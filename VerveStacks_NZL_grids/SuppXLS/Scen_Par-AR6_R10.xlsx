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13_ncr:1_{03437981-9062-43CD-BB2B-7A1C374ACB5D}" xr6:coauthVersionLast="47" xr6:coauthVersionMax="47" xr10:uidLastSave="{00000000-0000-0000-0000-000000000000}"/>
  <bookViews>
    <workbookView xWindow="-98" yWindow="-98" windowWidth="28996" windowHeight="17475" activeTab="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12_clu" sheetId="7" r:id="rId6"/>
    <sheet name="ts_annual" sheetId="8" r:id="rId7"/>
    <sheet name="ts_12" sheetId="9" r:id="rId8"/>
  </sheets>
  <definedNames>
    <definedName name="_xlnm._FilterDatabase" localSheetId="0" hidden="1">Veda!$C$8:$D$63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  <c r="B11" i="1"/>
  <c r="B12" i="1"/>
  <c r="B13" i="1"/>
  <c r="B9" i="1"/>
  <c r="D2" i="1" l="1"/>
  <c r="H48" i="1"/>
  <c r="H47" i="1"/>
  <c r="H46" i="1"/>
  <c r="H45" i="1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A11" i="7" l="1"/>
  <c r="A10" i="6"/>
  <c r="A11" i="9"/>
  <c r="A11" i="8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C9" i="8" l="1"/>
  <c r="S9" i="8"/>
  <c r="AG9" i="8"/>
  <c r="I9" i="8"/>
  <c r="X9" i="8"/>
  <c r="AK9" i="8"/>
  <c r="AC9" i="8"/>
  <c r="N9" i="8"/>
  <c r="C9" i="9"/>
  <c r="AK9" i="9"/>
  <c r="AG9" i="9"/>
  <c r="AC9" i="9"/>
  <c r="X9" i="9"/>
  <c r="S9" i="9"/>
  <c r="N9" i="9"/>
  <c r="I9" i="9"/>
  <c r="H23" i="6"/>
  <c r="H24" i="6"/>
  <c r="C9" i="7"/>
  <c r="N9" i="7"/>
  <c r="S9" i="7"/>
  <c r="I9" i="7"/>
  <c r="AK9" i="7"/>
  <c r="X9" i="7"/>
  <c r="AC9" i="7"/>
  <c r="AG9" i="7"/>
  <c r="D42" i="1"/>
  <c r="B31" i="1"/>
  <c r="E56" i="1"/>
  <c r="B55" i="1"/>
  <c r="E45" i="1"/>
  <c r="B44" i="1"/>
  <c r="E34" i="1"/>
  <c r="B33" i="1"/>
  <c r="K40" i="1"/>
  <c r="K48" i="1" s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H21" i="6" l="1"/>
  <c r="E17" i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<sst xmlns="http://schemas.openxmlformats.org/spreadsheetml/2006/main" count="51451" uniqueCount="793">
  <si>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</si>
  <si>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</si>
  <si>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</si>
  <si>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</si>
  <si>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</si>
  <si>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</si>
  <si>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</si>
  <si>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</si>
  <si>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</si>
  <si>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</si>
  <si>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</si>
  <si>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</si>
  <si>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</si>
  <si>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</si>
  <si>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</si>
  <si>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</si>
  <si>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</si>
  <si>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</si>
  <si>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</si>
  <si>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</si>
  <si>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</si>
  <si>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</si>
  <si>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</si>
  <si>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</si>
  <si>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</si>
  <si>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</si>
  <si>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</si>
  <si>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</si>
  <si>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</si>
  <si>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</si>
  <si>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</si>
  <si>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</si>
  <si>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</si>
  <si>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</si>
  <si>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</si>
  <si>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</si>
  <si>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</si>
  <si>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</si>
  <si>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</si>
  <si>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</si>
  <si>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</si>
  <si>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</si>
  <si>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</si>
  <si>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</si>
  <si>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</si>
  <si>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</si>
  <si>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</si>
  <si>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</si>
  <si>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</si>
  <si>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</si>
  <si>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</si>
  <si>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</si>
  <si>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</si>
  <si>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</si>
  <si>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</si>
  <si>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</si>
  <si>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</si>
  <si>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</si>
  <si>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</si>
  <si>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</si>
  <si>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</si>
  <si>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</si>
  <si>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</si>
  <si>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</si>
  <si>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</si>
  <si>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</si>
  <si>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</si>
  <si>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</si>
  <si>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</si>
  <si>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</si>
  <si>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</si>
  <si>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</si>
  <si>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</si>
  <si>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</si>
  <si>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</si>
  <si>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</si>
  <si>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</si>
  <si>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</si>
  <si>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</si>
  <si>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</si>
  <si>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</si>
  <si>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</si>
  <si>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</si>
  <si>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</si>
  <si>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</si>
  <si>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</si>
  <si>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</si>
  <si>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</si>
  <si>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</si>
  <si>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</si>
  <si>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</si>
  <si>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</si>
  <si>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</si>
  <si>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</si>
  <si>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</si>
  <si>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</si>
  <si>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</si>
  <si>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</si>
  <si>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</si>
  <si>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</si>
  <si>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</si>
  <si>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</si>
  <si>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</si>
  <si>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</si>
  <si>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</si>
  <si>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</si>
  <si>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</si>
  <si>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</si>
  <si>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</si>
  <si>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</si>
  <si>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</si>
  <si>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</si>
  <si>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</si>
  <si>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</si>
  <si>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</si>
  <si>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</si>
  <si>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</si>
  <si>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</si>
  <si>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</si>
  <si>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</si>
  <si>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</si>
  <si>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</si>
  <si>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</si>
  <si>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</si>
  <si>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</si>
  <si>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</si>
  <si>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</si>
  <si>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</si>
  <si>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</si>
  <si>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</si>
  <si>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</si>
  <si>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</si>
  <si>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</si>
  <si>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</si>
  <si>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</si>
  <si>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</si>
  <si>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</si>
  <si>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NZL</t>
  </si>
  <si>
    <t>Domestic gas, forest resources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</si>
  <si>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</si>
  <si>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</si>
  <si>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</si>
  <si>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</si>
  <si>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</si>
  <si>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</si>
  <si>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</si>
  <si>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</si>
  <si>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</t>
  </si>
  <si>
    <t>S2</t>
  </si>
  <si>
    <t>H2</t>
  </si>
  <si>
    <t>S3</t>
  </si>
  <si>
    <t>H3</t>
  </si>
  <si>
    <t>H4</t>
  </si>
  <si>
    <t>H5</t>
  </si>
  <si>
    <t>com_fr</t>
  </si>
  <si>
    <t>elc_spv-NZL_0001</t>
  </si>
  <si>
    <t>S1aH1</t>
  </si>
  <si>
    <t>IMPNRGZ</t>
  </si>
  <si>
    <t>S1aH2</t>
  </si>
  <si>
    <t>S1aH3</t>
  </si>
  <si>
    <t>S1aH4</t>
  </si>
  <si>
    <t>S1aH5</t>
  </si>
  <si>
    <t>S2aH1</t>
  </si>
  <si>
    <t>S2aH2</t>
  </si>
  <si>
    <t>S2aH3</t>
  </si>
  <si>
    <t>S2aH4</t>
  </si>
  <si>
    <t>S2aH5</t>
  </si>
  <si>
    <t>S3aH1</t>
  </si>
  <si>
    <t>S3aH2</t>
  </si>
  <si>
    <t>S3aH3</t>
  </si>
  <si>
    <t>S3aH4</t>
  </si>
  <si>
    <t>S3aH5</t>
  </si>
  <si>
    <t>elc_spv-NZL_0010</t>
  </si>
  <si>
    <t>elc_spv-NZL_0100</t>
  </si>
  <si>
    <t>elc_spv-NZL_0101</t>
  </si>
  <si>
    <t>elc_spv-NZL_0102</t>
  </si>
  <si>
    <t>elc_spv-NZL_0103</t>
  </si>
  <si>
    <t>elc_spv-NZL_0104</t>
  </si>
  <si>
    <t>elc_spv-NZL_0105</t>
  </si>
  <si>
    <t>elc_spv-NZL_0106</t>
  </si>
  <si>
    <t>elc_spv-NZL_0107</t>
  </si>
  <si>
    <t>elc_spv-NZL_0108</t>
  </si>
  <si>
    <t>elc_spv-NZL_0109</t>
  </si>
  <si>
    <t>elc_spv-NZL_0011</t>
  </si>
  <si>
    <t>elc_spv-NZL_0110</t>
  </si>
  <si>
    <t>elc_spv-NZL_0111</t>
  </si>
  <si>
    <t>elc_spv-NZL_0112</t>
  </si>
  <si>
    <t>elc_spv-NZL_0012</t>
  </si>
  <si>
    <t>elc_spv-NZL_0013</t>
  </si>
  <si>
    <t>elc_spv-NZL_0014</t>
  </si>
  <si>
    <t>elc_spv-NZL_0016</t>
  </si>
  <si>
    <t>elc_spv-NZL_0017</t>
  </si>
  <si>
    <t>elc_spv-NZL_0018</t>
  </si>
  <si>
    <t>elc_spv-NZL_0019</t>
  </si>
  <si>
    <t>elc_spv-NZL_0002</t>
  </si>
  <si>
    <t>elc_spv-NZL_0020</t>
  </si>
  <si>
    <t>elc_spv-NZL_0021</t>
  </si>
  <si>
    <t>elc_spv-NZL_0022</t>
  </si>
  <si>
    <t>elc_spv-NZL_0023</t>
  </si>
  <si>
    <t>elc_spv-NZL_0024</t>
  </si>
  <si>
    <t>elc_spv-NZL_0025</t>
  </si>
  <si>
    <t>elc_spv-NZL_0026</t>
  </si>
  <si>
    <t>elc_spv-NZL_0027</t>
  </si>
  <si>
    <t>elc_spv-NZL_0028</t>
  </si>
  <si>
    <t>elc_spv-NZL_0029</t>
  </si>
  <si>
    <t>elc_spv-NZL_0003</t>
  </si>
  <si>
    <t>elc_spv-NZL_0030</t>
  </si>
  <si>
    <t>elc_spv-NZL_0031</t>
  </si>
  <si>
    <t>elc_spv-NZL_0032</t>
  </si>
  <si>
    <t>elc_spv-NZL_0033</t>
  </si>
  <si>
    <t>elc_spv-NZL_0034</t>
  </si>
  <si>
    <t>elc_spv-NZL_0035</t>
  </si>
  <si>
    <t>elc_spv-NZL_0036</t>
  </si>
  <si>
    <t>elc_spv-NZL_0037</t>
  </si>
  <si>
    <t>elc_spv-NZL_0038</t>
  </si>
  <si>
    <t>elc_spv-NZL_0039</t>
  </si>
  <si>
    <t>elc_spv-NZL_0004</t>
  </si>
  <si>
    <t>elc_spv-NZL_0040</t>
  </si>
  <si>
    <t>elc_spv-NZL_0041</t>
  </si>
  <si>
    <t>elc_spv-NZL_0042</t>
  </si>
  <si>
    <t>elc_spv-NZL_0043</t>
  </si>
  <si>
    <t>elc_spv-NZL_0044</t>
  </si>
  <si>
    <t>elc_spv-NZL_0045</t>
  </si>
  <si>
    <t>elc_spv-NZL_0046</t>
  </si>
  <si>
    <t>elc_spv-NZL_0047</t>
  </si>
  <si>
    <t>elc_spv-NZL_0048</t>
  </si>
  <si>
    <t>elc_spv-NZL_0049</t>
  </si>
  <si>
    <t>elc_spv-NZL_0005</t>
  </si>
  <si>
    <t>elc_spv-NZL_0050</t>
  </si>
  <si>
    <t>elc_spv-NZL_0051</t>
  </si>
  <si>
    <t>elc_spv-NZL_0052</t>
  </si>
  <si>
    <t>elc_spv-NZL_0053</t>
  </si>
  <si>
    <t>elc_spv-NZL_0054</t>
  </si>
  <si>
    <t>elc_spv-NZL_0055</t>
  </si>
  <si>
    <t>elc_spv-NZL_0056</t>
  </si>
  <si>
    <t>elc_spv-NZL_0057</t>
  </si>
  <si>
    <t>elc_spv-NZL_0058</t>
  </si>
  <si>
    <t>elc_spv-NZL_0059</t>
  </si>
  <si>
    <t>elc_spv-NZL_0006</t>
  </si>
  <si>
    <t>elc_spv-NZL_0060</t>
  </si>
  <si>
    <t>elc_spv-NZL_0061</t>
  </si>
  <si>
    <t>elc_spv-NZL_0062</t>
  </si>
  <si>
    <t>elc_spv-NZL_0063</t>
  </si>
  <si>
    <t>elc_spv-NZL_0064</t>
  </si>
  <si>
    <t>elc_spv-NZL_0065</t>
  </si>
  <si>
    <t>elc_spv-NZL_0066</t>
  </si>
  <si>
    <t>elc_spv-NZL_0067</t>
  </si>
  <si>
    <t>elc_spv-NZL_0068</t>
  </si>
  <si>
    <t>elc_spv-NZL_0069</t>
  </si>
  <si>
    <t>elc_spv-NZL_0007</t>
  </si>
  <si>
    <t>elc_spv-NZL_0070</t>
  </si>
  <si>
    <t>elc_spv-NZL_0071</t>
  </si>
  <si>
    <t>elc_spv-NZL_0072</t>
  </si>
  <si>
    <t>elc_spv-NZL_0073</t>
  </si>
  <si>
    <t>elc_spv-NZL_0074</t>
  </si>
  <si>
    <t>elc_spv-NZL_0075</t>
  </si>
  <si>
    <t>elc_spv-NZL_0076</t>
  </si>
  <si>
    <t>elc_spv-NZL_0077</t>
  </si>
  <si>
    <t>elc_spv-NZL_0078</t>
  </si>
  <si>
    <t>elc_spv-NZL_0079</t>
  </si>
  <si>
    <t>elc_spv-NZL_0008</t>
  </si>
  <si>
    <t>elc_spv-NZL_0080</t>
  </si>
  <si>
    <t>elc_spv-NZL_0081</t>
  </si>
  <si>
    <t>elc_spv-NZL_0082</t>
  </si>
  <si>
    <t>elc_spv-NZL_0083</t>
  </si>
  <si>
    <t>elc_spv-NZL_0084</t>
  </si>
  <si>
    <t>elc_spv-NZL_0085</t>
  </si>
  <si>
    <t>elc_spv-NZL_0086</t>
  </si>
  <si>
    <t>elc_spv-NZL_0087</t>
  </si>
  <si>
    <t>elc_spv-NZL_0088</t>
  </si>
  <si>
    <t>elc_spv-NZL_0089</t>
  </si>
  <si>
    <t>elc_spv-NZL_0009</t>
  </si>
  <si>
    <t>elc_spv-NZL_0090</t>
  </si>
  <si>
    <t>elc_spv-NZL_0091</t>
  </si>
  <si>
    <t>elc_spv-NZL_0092</t>
  </si>
  <si>
    <t>elc_spv-NZL_0093</t>
  </si>
  <si>
    <t>elc_spv-NZL_0094</t>
  </si>
  <si>
    <t>elc_spv-NZL_0095</t>
  </si>
  <si>
    <t>elc_spv-NZL_0096</t>
  </si>
  <si>
    <t>elc_spv-NZL_0097</t>
  </si>
  <si>
    <t>elc_spv-NZL_0098</t>
  </si>
  <si>
    <t>elc_spv-NZL_0099</t>
  </si>
  <si>
    <t>elc_won-NZL_0001</t>
  </si>
  <si>
    <t>elc_won-NZL_0010</t>
  </si>
  <si>
    <t>elc_won-NZL_0100</t>
  </si>
  <si>
    <t>elc_won-NZL_0101</t>
  </si>
  <si>
    <t>elc_won-NZL_0102</t>
  </si>
  <si>
    <t>elc_won-NZL_0103</t>
  </si>
  <si>
    <t>elc_won-NZL_0104</t>
  </si>
  <si>
    <t>elc_won-NZL_0105</t>
  </si>
  <si>
    <t>elc_won-NZL_0106</t>
  </si>
  <si>
    <t>elc_won-NZL_0107</t>
  </si>
  <si>
    <t>elc_won-NZL_0108</t>
  </si>
  <si>
    <t>elc_won-NZL_0109</t>
  </si>
  <si>
    <t>elc_won-NZL_0011</t>
  </si>
  <si>
    <t>elc_won-NZL_0110</t>
  </si>
  <si>
    <t>elc_won-NZL_0111</t>
  </si>
  <si>
    <t>elc_won-NZL_0112</t>
  </si>
  <si>
    <t>elc_won-NZL_0012</t>
  </si>
  <si>
    <t>elc_won-NZL_0013</t>
  </si>
  <si>
    <t>elc_won-NZL_0014</t>
  </si>
  <si>
    <t>elc_won-NZL_0016</t>
  </si>
  <si>
    <t>elc_won-NZL_0017</t>
  </si>
  <si>
    <t>elc_won-NZL_0018</t>
  </si>
  <si>
    <t>elc_won-NZL_0019</t>
  </si>
  <si>
    <t>elc_won-NZL_0002</t>
  </si>
  <si>
    <t>elc_won-NZL_0020</t>
  </si>
  <si>
    <t>elc_won-NZL_0021</t>
  </si>
  <si>
    <t>elc_won-NZL_0022</t>
  </si>
  <si>
    <t>elc_won-NZL_0023</t>
  </si>
  <si>
    <t>elc_won-NZL_0024</t>
  </si>
  <si>
    <t>elc_won-NZL_0025</t>
  </si>
  <si>
    <t>elc_won-NZL_0026</t>
  </si>
  <si>
    <t>elc_won-NZL_0027</t>
  </si>
  <si>
    <t>elc_won-NZL_0028</t>
  </si>
  <si>
    <t>elc_won-NZL_0029</t>
  </si>
  <si>
    <t>elc_won-NZL_0003</t>
  </si>
  <si>
    <t>elc_won-NZL_0030</t>
  </si>
  <si>
    <t>elc_won-NZL_0031</t>
  </si>
  <si>
    <t>elc_won-NZL_0032</t>
  </si>
  <si>
    <t>elc_won-NZL_0033</t>
  </si>
  <si>
    <t>elc_won-NZL_0034</t>
  </si>
  <si>
    <t>elc_won-NZL_0035</t>
  </si>
  <si>
    <t>elc_won-NZL_0036</t>
  </si>
  <si>
    <t>elc_won-NZL_0037</t>
  </si>
  <si>
    <t>elc_won-NZL_0038</t>
  </si>
  <si>
    <t>elc_won-NZL_0039</t>
  </si>
  <si>
    <t>elc_won-NZL_0004</t>
  </si>
  <si>
    <t>elc_won-NZL_0040</t>
  </si>
  <si>
    <t>elc_won-NZL_0041</t>
  </si>
  <si>
    <t>elc_won-NZL_0042</t>
  </si>
  <si>
    <t>elc_won-NZL_0043</t>
  </si>
  <si>
    <t>elc_won-NZL_0044</t>
  </si>
  <si>
    <t>elc_won-NZL_0045</t>
  </si>
  <si>
    <t>elc_won-NZL_0046</t>
  </si>
  <si>
    <t>elc_won-NZL_0047</t>
  </si>
  <si>
    <t>elc_won-NZL_0048</t>
  </si>
  <si>
    <t>elc_won-NZL_0049</t>
  </si>
  <si>
    <t>elc_won-NZL_0005</t>
  </si>
  <si>
    <t>elc_won-NZL_0050</t>
  </si>
  <si>
    <t>elc_won-NZL_0051</t>
  </si>
  <si>
    <t>elc_won-NZL_0052</t>
  </si>
  <si>
    <t>elc_won-NZL_0053</t>
  </si>
  <si>
    <t>elc_won-NZL_0054</t>
  </si>
  <si>
    <t>elc_won-NZL_0055</t>
  </si>
  <si>
    <t>elc_won-NZL_0056</t>
  </si>
  <si>
    <t>elc_won-NZL_0057</t>
  </si>
  <si>
    <t>elc_won-NZL_0058</t>
  </si>
  <si>
    <t>elc_won-NZL_0059</t>
  </si>
  <si>
    <t>elc_won-NZL_0006</t>
  </si>
  <si>
    <t>elc_won-NZL_0060</t>
  </si>
  <si>
    <t>elc_won-NZL_0061</t>
  </si>
  <si>
    <t>elc_won-NZL_0062</t>
  </si>
  <si>
    <t>elc_won-NZL_0063</t>
  </si>
  <si>
    <t>elc_won-NZL_0064</t>
  </si>
  <si>
    <t>elc_won-NZL_0065</t>
  </si>
  <si>
    <t>elc_won-NZL_0066</t>
  </si>
  <si>
    <t>elc_won-NZL_0067</t>
  </si>
  <si>
    <t>elc_won-NZL_0068</t>
  </si>
  <si>
    <t>elc_won-NZL_0069</t>
  </si>
  <si>
    <t>elc_won-NZL_0007</t>
  </si>
  <si>
    <t>elc_won-NZL_0070</t>
  </si>
  <si>
    <t>elc_won-NZL_0071</t>
  </si>
  <si>
    <t>elc_won-NZL_0072</t>
  </si>
  <si>
    <t>elc_won-NZL_0073</t>
  </si>
  <si>
    <t>elc_won-NZL_0074</t>
  </si>
  <si>
    <t>elc_won-NZL_0075</t>
  </si>
  <si>
    <t>elc_won-NZL_0076</t>
  </si>
  <si>
    <t>elc_won-NZL_0077</t>
  </si>
  <si>
    <t>elc_won-NZL_0078</t>
  </si>
  <si>
    <t>elc_won-NZL_0079</t>
  </si>
  <si>
    <t>elc_won-NZL_0008</t>
  </si>
  <si>
    <t>elc_won-NZL_0080</t>
  </si>
  <si>
    <t>elc_won-NZL_0081</t>
  </si>
  <si>
    <t>elc_won-NZL_0082</t>
  </si>
  <si>
    <t>elc_won-NZL_0083</t>
  </si>
  <si>
    <t>elc_won-NZL_0084</t>
  </si>
  <si>
    <t>elc_won-NZL_0085</t>
  </si>
  <si>
    <t>elc_won-NZL_0086</t>
  </si>
  <si>
    <t>elc_won-NZL_0087</t>
  </si>
  <si>
    <t>elc_won-NZL_0088</t>
  </si>
  <si>
    <t>elc_won-NZL_0089</t>
  </si>
  <si>
    <t>elc_won-NZL_0009</t>
  </si>
  <si>
    <t>elc_won-NZL_0090</t>
  </si>
  <si>
    <t>elc_won-NZL_0091</t>
  </si>
  <si>
    <t>elc_won-NZL_0092</t>
  </si>
  <si>
    <t>elc_won-NZL_0093</t>
  </si>
  <si>
    <t>elc_won-NZL_0094</t>
  </si>
  <si>
    <t>elc_won-NZL_0095</t>
  </si>
  <si>
    <t>elc_won-NZL_0096</t>
  </si>
  <si>
    <t>elc_won-NZL_0097</t>
  </si>
  <si>
    <t>elc_won-NZL_0098</t>
  </si>
  <si>
    <t>elc_won-NZL_0099</t>
  </si>
  <si>
    <t>elc_wof-NZL_0100</t>
  </si>
  <si>
    <t>elc_wof-NZL_0101</t>
  </si>
  <si>
    <t>elc_wof-NZL_0102</t>
  </si>
  <si>
    <t>elc_wof-NZL_0104</t>
  </si>
  <si>
    <t>elc_wof-NZL_0105</t>
  </si>
  <si>
    <t>elc_wof-NZL_0116</t>
  </si>
  <si>
    <t>elc_wof-NZL_0117</t>
  </si>
  <si>
    <t>elc_wof-NZL_0118</t>
  </si>
  <si>
    <t>elc_wof-NZL_0119</t>
  </si>
  <si>
    <t>elc_wof-NZL_0120</t>
  </si>
  <si>
    <t>elc_wof-NZL_0121</t>
  </si>
  <si>
    <t>elc_wof-NZL_0122</t>
  </si>
  <si>
    <t>elc_wof-NZL_0123</t>
  </si>
  <si>
    <t>elc_wof-NZL_0124</t>
  </si>
  <si>
    <t>elc_wof-NZL_0125</t>
  </si>
  <si>
    <t>elc_wof-NZL_0126</t>
  </si>
  <si>
    <t>elc_wof-NZL_0127</t>
  </si>
  <si>
    <t>elc_wof-NZL_0128</t>
  </si>
  <si>
    <t>elc_wof-NZL_0129</t>
  </si>
  <si>
    <t>elc_wof-NZL_0130</t>
  </si>
  <si>
    <t>elc_wof-NZL_0131</t>
  </si>
  <si>
    <t>elc_wof-NZL_0141</t>
  </si>
  <si>
    <t>elc_wof-NZL_0142</t>
  </si>
  <si>
    <t>elc_wof-NZL_0143</t>
  </si>
  <si>
    <t>elc_wof-NZL_0144</t>
  </si>
  <si>
    <t>elc_wof-NZL_0145</t>
  </si>
  <si>
    <t>elc_wof-NZL_0146</t>
  </si>
  <si>
    <t>elc_wof-NZL_0147</t>
  </si>
  <si>
    <t>elc_wof-NZL_0148</t>
  </si>
  <si>
    <t>elc_wof-NZL_0149</t>
  </si>
  <si>
    <t>elc_wof-NZL_0150</t>
  </si>
  <si>
    <t>elc_wof-NZL_0151</t>
  </si>
  <si>
    <t>elc_wof-NZL_0152</t>
  </si>
  <si>
    <t>elc_wof-NZL_0153</t>
  </si>
  <si>
    <t>elc_wof-NZL_0154</t>
  </si>
  <si>
    <t>elc_wof-NZL_0155</t>
  </si>
  <si>
    <t>elc_wof-NZL_0156</t>
  </si>
  <si>
    <t>elc_wof-NZL_0157</t>
  </si>
  <si>
    <t>elc_wof-NZL_0158</t>
  </si>
  <si>
    <t>elc_wof-NZL_0167</t>
  </si>
  <si>
    <t>elc_wof-NZL_0168</t>
  </si>
  <si>
    <t>elc_wof-NZL_0169</t>
  </si>
  <si>
    <t>elc_wof-NZL_0170</t>
  </si>
  <si>
    <t>elc_wof-NZL_0171</t>
  </si>
  <si>
    <t>elc_wof-NZL_0172</t>
  </si>
  <si>
    <t>elc_wof-NZL_0173</t>
  </si>
  <si>
    <t>elc_wof-NZL_0174</t>
  </si>
  <si>
    <t>elc_wof-NZL_0175</t>
  </si>
  <si>
    <t>elc_wof-NZL_0176</t>
  </si>
  <si>
    <t>elc_wof-NZL_0177</t>
  </si>
  <si>
    <t>elc_wof-NZL_0178</t>
  </si>
  <si>
    <t>elc_wof-NZL_0179</t>
  </si>
  <si>
    <t>elc_wof-NZL_0180</t>
  </si>
  <si>
    <t>elc_wof-NZL_0182</t>
  </si>
  <si>
    <t>elc_wof-NZL_0183</t>
  </si>
  <si>
    <t>elc_wof-NZL_0184</t>
  </si>
  <si>
    <t>elc_wof-NZL_0185</t>
  </si>
  <si>
    <t>elc_wof-NZL_0194</t>
  </si>
  <si>
    <t>elc_wof-NZL_0195</t>
  </si>
  <si>
    <t>elc_wof-NZL_0196</t>
  </si>
  <si>
    <t>elc_wof-NZL_0197</t>
  </si>
  <si>
    <t>elc_wof-NZL_0198</t>
  </si>
  <si>
    <t>elc_wof-NZL_0199</t>
  </si>
  <si>
    <t>elc_wof-NZL_0200</t>
  </si>
  <si>
    <t>elc_wof-NZL_0201</t>
  </si>
  <si>
    <t>elc_wof-NZL_0202</t>
  </si>
  <si>
    <t>elc_wof-NZL_0203</t>
  </si>
  <si>
    <t>elc_wof-NZL_0204</t>
  </si>
  <si>
    <t>elc_wof-NZL_0205</t>
  </si>
  <si>
    <t>elc_wof-NZL_0206</t>
  </si>
  <si>
    <t>elc_wof-NZL_0207</t>
  </si>
  <si>
    <t>elc_wof-NZL_0211</t>
  </si>
  <si>
    <t>elc_wof-NZL_0212</t>
  </si>
  <si>
    <t>elc_wof-NZL_0213</t>
  </si>
  <si>
    <t>elc_wof-NZL_0214</t>
  </si>
  <si>
    <t>elc_wof-NZL_0227</t>
  </si>
  <si>
    <t>elc_wof-NZL_0228</t>
  </si>
  <si>
    <t>elc_wof-NZL_0229</t>
  </si>
  <si>
    <t>elc_wof-NZL_0230</t>
  </si>
  <si>
    <t>elc_wof-NZL_0231</t>
  </si>
  <si>
    <t>elc_wof-NZL_0232</t>
  </si>
  <si>
    <t>elc_wof-NZL_0233</t>
  </si>
  <si>
    <t>elc_wof-NZL_0234</t>
  </si>
  <si>
    <t>elc_wof-NZL_0235</t>
  </si>
  <si>
    <t>elc_wof-NZL_0236</t>
  </si>
  <si>
    <t>elc_wof-NZL_0237</t>
  </si>
  <si>
    <t>elc_wof-NZL_0238</t>
  </si>
  <si>
    <t>elc_wof-NZL_0239</t>
  </si>
  <si>
    <t>elc_wof-NZL_0240</t>
  </si>
  <si>
    <t>elc_wof-NZL_0246</t>
  </si>
  <si>
    <t>elc_wof-NZL_0247</t>
  </si>
  <si>
    <t>elc_wof-NZL_0248</t>
  </si>
  <si>
    <t>elc_wof-NZL_0249</t>
  </si>
  <si>
    <t>elc_wof-NZL_0251</t>
  </si>
  <si>
    <t>elc_wof-NZL_0252</t>
  </si>
  <si>
    <t>elc_wof-NZL_0267</t>
  </si>
  <si>
    <t>elc_wof-NZL_0268</t>
  </si>
  <si>
    <t>elc_wof-NZL_0269</t>
  </si>
  <si>
    <t>elc_wof-NZL_0270</t>
  </si>
  <si>
    <t>elc_wof-NZL_0271</t>
  </si>
  <si>
    <t>elc_wof-NZL_0274</t>
  </si>
  <si>
    <t>elc_wof-NZL_0275</t>
  </si>
  <si>
    <t>elc_wof-NZL_0276</t>
  </si>
  <si>
    <t>elc_wof-NZL_0277</t>
  </si>
  <si>
    <t>elc_wof-NZL_0278</t>
  </si>
  <si>
    <t>elc_wof-NZL_0279</t>
  </si>
  <si>
    <t>elc_wof-NZL_0280</t>
  </si>
  <si>
    <t>elc_wof-NZL_0286</t>
  </si>
  <si>
    <t>elc_wof-NZL_0287</t>
  </si>
  <si>
    <t>elc_wof-NZL_0288</t>
  </si>
  <si>
    <t>elc_wof-NZL_0289</t>
  </si>
  <si>
    <t>elc_wof-NZL_0290</t>
  </si>
  <si>
    <t>elc_wof-NZL_0291</t>
  </si>
  <si>
    <t>elc_wof-NZL_0292</t>
  </si>
  <si>
    <t>elc_wof-NZL_0293</t>
  </si>
  <si>
    <t>elc_wof-NZL_0294</t>
  </si>
  <si>
    <t>elc_wof-NZL_0295</t>
  </si>
  <si>
    <t>elc_wof-NZL_0307</t>
  </si>
  <si>
    <t>elc_wof-NZL_0311</t>
  </si>
  <si>
    <t>elc_wof-NZL_0312</t>
  </si>
  <si>
    <t>elc_wof-NZL_0313</t>
  </si>
  <si>
    <t>elc_wof-NZL_0314</t>
  </si>
  <si>
    <t>elc_wof-NZL_0315</t>
  </si>
  <si>
    <t>elc_wof-NZL_0319</t>
  </si>
  <si>
    <t>elc_wof-NZL_0320</t>
  </si>
  <si>
    <t>elc_wof-NZL_0321</t>
  </si>
  <si>
    <t>elc_wof-NZL_0322</t>
  </si>
  <si>
    <t>elc_wof-NZL_0323</t>
  </si>
  <si>
    <t>elc_wof-NZL_0324</t>
  </si>
  <si>
    <t>elc_wof-NZL_0325</t>
  </si>
  <si>
    <t>elc_wof-NZL_0326</t>
  </si>
  <si>
    <t>elc_wof-NZL_0331</t>
  </si>
  <si>
    <t>elc_wof-NZL_0332</t>
  </si>
  <si>
    <t>elc_wof-NZL_0333</t>
  </si>
  <si>
    <t>elc_wof-NZL_0334</t>
  </si>
  <si>
    <t>elc_wof-NZL_0335</t>
  </si>
  <si>
    <t>elc_wof-NZL_0336</t>
  </si>
  <si>
    <t>elc_wof-NZL_0337</t>
  </si>
  <si>
    <t>elc_wof-NZL_0338</t>
  </si>
  <si>
    <t>elc_wof-NZL_0339</t>
  </si>
  <si>
    <t>elc_wof-NZL_0340</t>
  </si>
  <si>
    <t>elc_wof-NZL_0350</t>
  </si>
  <si>
    <t>elc_wof-NZL_0353</t>
  </si>
  <si>
    <t>elc_wof-NZL_0358</t>
  </si>
  <si>
    <t>elc_wof-NZL_0359</t>
  </si>
  <si>
    <t>elc_wof-NZL_0360</t>
  </si>
  <si>
    <t>elc_wof-NZL_0361</t>
  </si>
  <si>
    <t>elc_wof-NZL_0371</t>
  </si>
  <si>
    <t>elc_wof-NZL_0372</t>
  </si>
  <si>
    <t>elc_wof-NZL_0373</t>
  </si>
  <si>
    <t>elc_wof-NZL_0374</t>
  </si>
  <si>
    <t>elc_wof-NZL_0375</t>
  </si>
  <si>
    <t>elc_wof-NZL_0379</t>
  </si>
  <si>
    <t>elc_wof-NZL_0380</t>
  </si>
  <si>
    <t>elc_wof-NZL_0381</t>
  </si>
  <si>
    <t>elc_wof-NZL_0382</t>
  </si>
  <si>
    <t>elc_wof-NZL_0383</t>
  </si>
  <si>
    <t>elc_wof-NZL_0384</t>
  </si>
  <si>
    <t>elc_wof-NZL_0385</t>
  </si>
  <si>
    <t>elc_wof-NZL_0386</t>
  </si>
  <si>
    <t>elc_wof-NZL_0387</t>
  </si>
  <si>
    <t>elc_wof-NZL_0388</t>
  </si>
  <si>
    <t>elc_wof-NZL_0398</t>
  </si>
  <si>
    <t>elc_wof-NZL_0399</t>
  </si>
  <si>
    <t>elc_wof-NZL_0400</t>
  </si>
  <si>
    <t>elc_wof-NZL_0406</t>
  </si>
  <si>
    <t>elc_wof-NZL_0407</t>
  </si>
  <si>
    <t>elc_wof-NZL_0408</t>
  </si>
  <si>
    <t>elc_wof-NZL_0421</t>
  </si>
  <si>
    <t>elc_wof-NZL_0422</t>
  </si>
  <si>
    <t>elc_wof-NZL_0423</t>
  </si>
  <si>
    <t>elc_wof-NZL_0424</t>
  </si>
  <si>
    <t>elc_wof-NZL_0430</t>
  </si>
  <si>
    <t>elc_wof-NZL_0431</t>
  </si>
  <si>
    <t>elc_wof-NZL_0432</t>
  </si>
  <si>
    <t>elc_wof-NZL_0433</t>
  </si>
  <si>
    <t>elc_wof-NZL_0434</t>
  </si>
  <si>
    <t>elc_wof-NZL_0435</t>
  </si>
  <si>
    <t>elc_wof-NZL_0436</t>
  </si>
  <si>
    <t>elc_wof-NZL_0444</t>
  </si>
  <si>
    <t>elc_wof-NZL_0445</t>
  </si>
  <si>
    <t>elc_wof-NZL_0446</t>
  </si>
  <si>
    <t>elc_wof-NZL_0447</t>
  </si>
  <si>
    <t>elc_wof-NZL_0448</t>
  </si>
  <si>
    <t>elc_wof-NZL_0469</t>
  </si>
  <si>
    <t>elc_wof-NZL_0470</t>
  </si>
  <si>
    <t>elc_wof-NZL_0471</t>
  </si>
  <si>
    <t>elc_wof-NZL_0478</t>
  </si>
  <si>
    <t>elc_wof-NZL_0479</t>
  </si>
  <si>
    <t>elc_wof-NZL_0480</t>
  </si>
  <si>
    <t>elc_wof-NZL_0481</t>
  </si>
  <si>
    <t>elc_wof-NZL_0482</t>
  </si>
  <si>
    <t>elc_wof-NZL_0483</t>
  </si>
  <si>
    <t>elc_wof-NZL_0488</t>
  </si>
  <si>
    <t>elc_wof-NZL_0489</t>
  </si>
  <si>
    <t>elc_wof-NZL_0490</t>
  </si>
  <si>
    <t>elc_wof-NZL_0491</t>
  </si>
  <si>
    <t>elc_wof-NZL_0492</t>
  </si>
  <si>
    <t>elc_wof-NZL_0493</t>
  </si>
  <si>
    <t>elc_wof-NZL_0496</t>
  </si>
  <si>
    <t>elc_wof-NZL_0051</t>
  </si>
  <si>
    <t>elc_wof-NZL_0513</t>
  </si>
  <si>
    <t>elc_wof-NZL_0514</t>
  </si>
  <si>
    <t>elc_wof-NZL_0515</t>
  </si>
  <si>
    <t>elc_wof-NZL_0516</t>
  </si>
  <si>
    <t>elc_wof-NZL_0517</t>
  </si>
  <si>
    <t>elc_wof-NZL_0518</t>
  </si>
  <si>
    <t>elc_wof-NZL_0052</t>
  </si>
  <si>
    <t>elc_wof-NZL_0521</t>
  </si>
  <si>
    <t>elc_wof-NZL_0522</t>
  </si>
  <si>
    <t>elc_wof-NZL_0523</t>
  </si>
  <si>
    <t>elc_wof-NZL_0524</t>
  </si>
  <si>
    <t>elc_wof-NZL_0525</t>
  </si>
  <si>
    <t>elc_wof-NZL_0526</t>
  </si>
  <si>
    <t>elc_wof-NZL_0527</t>
  </si>
  <si>
    <t>elc_wof-NZL_0528</t>
  </si>
  <si>
    <t>elc_wof-NZL_0529</t>
  </si>
  <si>
    <t>elc_wof-NZL_0053</t>
  </si>
  <si>
    <t>elc_wof-NZL_0530</t>
  </si>
  <si>
    <t>elc_wof-NZL_0531</t>
  </si>
  <si>
    <t>elc_wof-NZL_0532</t>
  </si>
  <si>
    <t>elc_wof-NZL_0533</t>
  </si>
  <si>
    <t>elc_wof-NZL_0534</t>
  </si>
  <si>
    <t>elc_wof-NZL_0535</t>
  </si>
  <si>
    <t>elc_wof-NZL_0536</t>
  </si>
  <si>
    <t>elc_wof-NZL_0560</t>
  </si>
  <si>
    <t>elc_wof-NZL_0561</t>
  </si>
  <si>
    <t>elc_wof-NZL_0562</t>
  </si>
  <si>
    <t>elc_wof-NZL_0563</t>
  </si>
  <si>
    <t>elc_wof-NZL_0564</t>
  </si>
  <si>
    <t>elc_wof-NZL_0565</t>
  </si>
  <si>
    <t>elc_wof-NZL_0566</t>
  </si>
  <si>
    <t>elc_wof-NZL_0567</t>
  </si>
  <si>
    <t>elc_wof-NZL_0568</t>
  </si>
  <si>
    <t>elc_wof-NZL_0569</t>
  </si>
  <si>
    <t>elc_wof-NZL_0570</t>
  </si>
  <si>
    <t>elc_wof-NZL_0571</t>
  </si>
  <si>
    <t>elc_wof-NZL_0572</t>
  </si>
  <si>
    <t>elc_wof-NZL_0573</t>
  </si>
  <si>
    <t>elc_wof-NZL_0574</t>
  </si>
  <si>
    <t>elc_wof-NZL_0575</t>
  </si>
  <si>
    <t>elc_wof-NZL_0576</t>
  </si>
  <si>
    <t>elc_wof-NZL_0577</t>
  </si>
  <si>
    <t>elc_wof-NZL_0578</t>
  </si>
  <si>
    <t>elc_wof-NZL_0579</t>
  </si>
  <si>
    <t>elc_wof-NZL_0580</t>
  </si>
  <si>
    <t>elc_wof-NZL_0581</t>
  </si>
  <si>
    <t>elc_wof-NZL_0582</t>
  </si>
  <si>
    <t>elc_wof-NZL_0583</t>
  </si>
  <si>
    <t>elc_wof-NZL_0584</t>
  </si>
  <si>
    <t>elc_wof-NZL_0585</t>
  </si>
  <si>
    <t>elc_wof-NZL_0586</t>
  </si>
  <si>
    <t>elc_wof-NZL_0607</t>
  </si>
  <si>
    <t>elc_wof-NZL_0608</t>
  </si>
  <si>
    <t>elc_wof-NZL_0609</t>
  </si>
  <si>
    <t>elc_wof-NZL_0610</t>
  </si>
  <si>
    <t>elc_wof-NZL_0611</t>
  </si>
  <si>
    <t>elc_wof-NZL_0612</t>
  </si>
  <si>
    <t>elc_wof-NZL_0614</t>
  </si>
  <si>
    <t>elc_wof-NZL_0615</t>
  </si>
  <si>
    <t>elc_wof-NZL_0616</t>
  </si>
  <si>
    <t>elc_wof-NZL_0617</t>
  </si>
  <si>
    <t>elc_wof-NZL_0618</t>
  </si>
  <si>
    <t>elc_wof-NZL_0622</t>
  </si>
  <si>
    <t>elc_wof-NZL_0623</t>
  </si>
  <si>
    <t>elc_wof-NZL_0624</t>
  </si>
  <si>
    <t>elc_wof-NZL_0626</t>
  </si>
  <si>
    <t>elc_wof-NZL_0627</t>
  </si>
  <si>
    <t>elc_wof-NZL_0628</t>
  </si>
  <si>
    <t>elc_wof-NZL_0629</t>
  </si>
  <si>
    <t>elc_wof-NZL_0630</t>
  </si>
  <si>
    <t>elc_wof-NZL_0631</t>
  </si>
  <si>
    <t>elc_wof-NZL_0632</t>
  </si>
  <si>
    <t>elc_wof-NZL_0655</t>
  </si>
  <si>
    <t>elc_wof-NZL_0656</t>
  </si>
  <si>
    <t>elc_wof-NZL_0657</t>
  </si>
  <si>
    <t>elc_wof-NZL_0658</t>
  </si>
  <si>
    <t>elc_wof-NZL_0659</t>
  </si>
  <si>
    <t>elc_wof-NZL_0660</t>
  </si>
  <si>
    <t>elc_wof-NZL_0662</t>
  </si>
  <si>
    <t>elc_wof-NZL_0663</t>
  </si>
  <si>
    <t>elc_wof-NZL_0671</t>
  </si>
  <si>
    <t>elc_wof-NZL_0672</t>
  </si>
  <si>
    <t>elc_wof-NZL_0673</t>
  </si>
  <si>
    <t>elc_wof-NZL_0674</t>
  </si>
  <si>
    <t>elc_wof-NZL_0675</t>
  </si>
  <si>
    <t>elc_wof-NZL_0676</t>
  </si>
  <si>
    <t>elc_wof-NZL_0678</t>
  </si>
  <si>
    <t>elc_wof-NZL_0689</t>
  </si>
  <si>
    <t>elc_wof-NZL_0694</t>
  </si>
  <si>
    <t>elc_wof-NZL_0695</t>
  </si>
  <si>
    <t>elc_wof-NZL_0704</t>
  </si>
  <si>
    <t>elc_wof-NZL_0705</t>
  </si>
  <si>
    <t>elc_wof-NZL_0706</t>
  </si>
  <si>
    <t>elc_wof-NZL_0708</t>
  </si>
  <si>
    <t>elc_wof-NZL_0709</t>
  </si>
  <si>
    <t>elc_wof-NZL_0710</t>
  </si>
  <si>
    <t>elc_wof-NZL_0711</t>
  </si>
  <si>
    <t>elc_wof-NZL_0716</t>
  </si>
  <si>
    <t>elc_wof-NZL_0717</t>
  </si>
  <si>
    <t>elc_wof-NZL_0718</t>
  </si>
  <si>
    <t>elc_wof-NZL_0719</t>
  </si>
  <si>
    <t>elc_wof-NZL_0072</t>
  </si>
  <si>
    <t>elc_wof-NZL_0720</t>
  </si>
  <si>
    <t>elc_wof-NZL_0721</t>
  </si>
  <si>
    <t>elc_wof-NZL_0735</t>
  </si>
  <si>
    <t>elc_wof-NZL_0736</t>
  </si>
  <si>
    <t>elc_wof-NZL_0739</t>
  </si>
  <si>
    <t>elc_wof-NZL_0740</t>
  </si>
  <si>
    <t>elc_wof-NZL_0075</t>
  </si>
  <si>
    <t>elc_wof-NZL_0750</t>
  </si>
  <si>
    <t>elc_wof-NZL_0751</t>
  </si>
  <si>
    <t>elc_wof-NZL_0754</t>
  </si>
  <si>
    <t>elc_wof-NZL_0755</t>
  </si>
  <si>
    <t>elc_wof-NZL_0756</t>
  </si>
  <si>
    <t>elc_wof-NZL_0757</t>
  </si>
  <si>
    <t>elc_wof-NZL_0758</t>
  </si>
  <si>
    <t>elc_wof-NZL_0076</t>
  </si>
  <si>
    <t>elc_wof-NZL_0761</t>
  </si>
  <si>
    <t>elc_wof-NZL_0762</t>
  </si>
  <si>
    <t>elc_wof-NZL_0763</t>
  </si>
  <si>
    <t>elc_wof-NZL_0764</t>
  </si>
  <si>
    <t>elc_wof-NZL_0765</t>
  </si>
  <si>
    <t>elc_wof-NZL_0077</t>
  </si>
  <si>
    <t>elc_wof-NZL_0779</t>
  </si>
  <si>
    <t>elc_wof-NZL_0780</t>
  </si>
  <si>
    <t>elc_wof-NZL_0781</t>
  </si>
  <si>
    <t>elc_wof-NZL_0782</t>
  </si>
  <si>
    <t>elc_wof-NZL_0783</t>
  </si>
  <si>
    <t>elc_wof-NZL_0784</t>
  </si>
  <si>
    <t>elc_wof-NZL_0800</t>
  </si>
  <si>
    <t>elc_wof-NZL_0801</t>
  </si>
  <si>
    <t>elc_wof-NZL_0802</t>
  </si>
  <si>
    <t>elc_wof-NZL_0803</t>
  </si>
  <si>
    <t>elc_wof-NZL_0804</t>
  </si>
  <si>
    <t>elc_wof-NZL_0805</t>
  </si>
  <si>
    <t>elc_wof-NZL_0806</t>
  </si>
  <si>
    <t>elc_wof-NZL_0808</t>
  </si>
  <si>
    <t>elc_wof-NZL_0809</t>
  </si>
  <si>
    <t>elc_wof-NZL_0831</t>
  </si>
  <si>
    <t>elc_wof-NZL_0832</t>
  </si>
  <si>
    <t>elc_wof-NZL_0833</t>
  </si>
  <si>
    <t>elc_wof-NZL_0834</t>
  </si>
  <si>
    <t>elc_wof-NZL_0835</t>
  </si>
  <si>
    <t>elc_wof-NZL_0836</t>
  </si>
  <si>
    <t>elc_wof-NZL_0853</t>
  </si>
  <si>
    <t>elc_wof-NZL_0854</t>
  </si>
  <si>
    <t>elc_wof-NZL_0855</t>
  </si>
  <si>
    <t>elc_wof-NZL_0856</t>
  </si>
  <si>
    <t>elc_wof-NZL_0857</t>
  </si>
  <si>
    <t>elc_wof-NZL_0858</t>
  </si>
  <si>
    <t>elc_wof-NZL_0862</t>
  </si>
  <si>
    <t>elc_wof-NZL_0886</t>
  </si>
  <si>
    <t>elc_wof-NZL_0887</t>
  </si>
  <si>
    <t>elc_wof-NZL_0888</t>
  </si>
  <si>
    <t>elc_wof-NZL_0889</t>
  </si>
  <si>
    <t>elc_wof-NZL_0890</t>
  </si>
  <si>
    <t>elc_wof-NZL_0911</t>
  </si>
  <si>
    <t>elc_wof-NZL_0912</t>
  </si>
  <si>
    <t>elc_wof-NZL_0092</t>
  </si>
  <si>
    <t>elc_wof-NZL_0926</t>
  </si>
  <si>
    <t>elc_wof-NZL_0927</t>
  </si>
  <si>
    <t>elc_wof-NZL_0928</t>
  </si>
  <si>
    <t>elc_wof-NZL_0929</t>
  </si>
  <si>
    <t>elc_wof-NZL_0093</t>
  </si>
  <si>
    <t>elc_wof-NZL_0094</t>
  </si>
  <si>
    <t>elc_wof-NZL_0095</t>
  </si>
  <si>
    <t>g_yrfr</t>
  </si>
  <si>
    <t>day_night</t>
  </si>
  <si>
    <t>D</t>
  </si>
  <si>
    <t>S3aH2,S1aH3,S3aH3,S2aH2,S1aH2,S2aH3</t>
  </si>
  <si>
    <t>N</t>
  </si>
  <si>
    <t>S3aH1,S3aH5,S2aH1,S1aH4,S1aH1,S3aH4,S1aH5,S2aH4,S2aH5</t>
  </si>
  <si>
    <t>com_pkflx</t>
  </si>
  <si>
    <t>ncap_afs</t>
  </si>
  <si>
    <t>pset_ci</t>
  </si>
  <si>
    <t>hydro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</si>
  <si>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</si>
  <si>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</si>
  <si>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</si>
  <si>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</si>
  <si>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</si>
  <si>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</si>
  <si>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</si>
  <si>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</si>
  <si>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</si>
  <si>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</si>
  <si>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</si>
  <si>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</si>
  <si>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</si>
  <si>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</si>
  <si>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</si>
  <si>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</si>
  <si>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</si>
  <si>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</si>
  <si>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</si>
  <si>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</si>
  <si>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</si>
  <si>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FaD,WaP,RaP,FaP,SaP,WaD,RaD,SaD</t>
  </si>
  <si>
    <t>SaN,WaN,RaP,RaN,FaN,WaP,FaP,SaP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</si>
</sst>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0" borderId="0" xfId="0" quotePrefix="1" applyNumberFormat="1"/>
    <xf numFmtId="0" fontId="0" fillId="0" borderId="0" xfId="0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44.72</c:v>
                </c:pt>
                <c:pt idx="1">
                  <c:v>41.589600000000004</c:v>
                </c:pt>
                <c:pt idx="2">
                  <c:v>42.036799999999999</c:v>
                </c:pt>
                <c:pt idx="3">
                  <c:v>44.272799999999997</c:v>
                </c:pt>
                <c:pt idx="4">
                  <c:v>49.639200000000002</c:v>
                </c:pt>
                <c:pt idx="5">
                  <c:v>55.005600000000001</c:v>
                </c:pt>
                <c:pt idx="6">
                  <c:v>59.477600000000002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335.39</c:v>
                </c:pt>
                <c:pt idx="4">
                  <c:v>407.27</c:v>
                </c:pt>
                <c:pt idx="5">
                  <c:v>479.16</c:v>
                </c:pt>
                <c:pt idx="6">
                  <c:v>604.24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7">
        <v>5</v>
      </c>
      <c r="H1" s="18">
        <v>10</v>
      </c>
      <c r="I1" s="18">
        <v>11</v>
      </c>
      <c r="J1" s="18">
        <v>16</v>
      </c>
      <c r="K1" s="18">
        <v>21</v>
      </c>
      <c r="L1" s="18">
        <v>22</v>
      </c>
      <c r="M1" s="18">
        <v>27</v>
      </c>
      <c r="N1" s="18">
        <v>32</v>
      </c>
      <c r="O1" s="18">
        <v>33</v>
      </c>
      <c r="P1" s="18">
        <v>38</v>
      </c>
      <c r="Q1" s="18">
        <v>43</v>
      </c>
      <c r="R1" s="18">
        <v>44</v>
      </c>
      <c r="S1" s="18">
        <v>49</v>
      </c>
      <c r="T1" s="18">
        <v>54</v>
      </c>
      <c r="U1" s="18">
        <v>55</v>
      </c>
    </row>
    <row r="2" spans="1:38" x14ac:dyDescent="0.45">
      <c r="D2" s="1" t="str">
        <f>"~Inputcell: "&amp;_xlfn.TEXTJOIN(",",TRUE,G1:EE1)</f>
        <v>~Inputcell: 5,10,11,16,21,22,27,32,33,38,43,44,49,54,55</v>
      </c>
    </row>
    <row r="3" spans="1:38" x14ac:dyDescent="0.45">
      <c r="D3" s="9">
        <v>5</v>
      </c>
    </row>
    <row r="5" spans="1:38" x14ac:dyDescent="0.45">
      <c r="D5" s="1" t="str">
        <f>VLOOKUP(D3,$C$9:$E$1001,2,FALSE)</f>
        <v>ts12_clu</v>
      </c>
      <c r="E5" s="1" t="str">
        <f>VLOOKUP(D3,$C$9:$E$1001,3,FALSE)</f>
        <v>C1</v>
      </c>
    </row>
    <row r="7" spans="1:38" x14ac:dyDescent="0.45">
      <c r="B7" s="16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103</v>
      </c>
      <c r="E9" t="s">
        <v>0</v>
      </c>
      <c r="G9" t="s">
        <v>1</v>
      </c>
      <c r="AH9" t="s">
        <v>103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104</v>
      </c>
      <c r="E10" t="s">
        <v>0</v>
      </c>
      <c r="G10" t="s">
        <v>3</v>
      </c>
      <c r="S10" t="s">
        <v>4</v>
      </c>
      <c r="AH10" t="s">
        <v>104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105</v>
      </c>
      <c r="E11" t="s">
        <v>0</v>
      </c>
      <c r="G11" t="s">
        <v>6</v>
      </c>
      <c r="S11" s="1">
        <v>2022</v>
      </c>
      <c r="AH11" t="s">
        <v>105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106</v>
      </c>
      <c r="E12" t="s">
        <v>0</v>
      </c>
      <c r="G12" t="s">
        <v>8</v>
      </c>
      <c r="S12" s="3">
        <f>SUMIFS(iea_data!I3:I9999,iea_data!$B$3:$B$9999,Veda!$S$11)+T28-T29</f>
        <v>44.72</v>
      </c>
      <c r="T12" s="2" t="s">
        <v>57</v>
      </c>
      <c r="AH12" t="s">
        <v>106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107</v>
      </c>
      <c r="E13" t="s">
        <v>0</v>
      </c>
      <c r="G13" t="s">
        <v>10</v>
      </c>
      <c r="AH13" t="s">
        <v>107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108</v>
      </c>
      <c r="E14" t="str">
        <f t="shared" ref="E14:E63" si="1">E13</f>
        <v>C1</v>
      </c>
      <c r="T14" s="8">
        <f>S12</f>
        <v>44.72</v>
      </c>
      <c r="U14" s="8">
        <f t="shared" ref="U14:Z14" si="2">$S$12*J15</f>
        <v>41.589600000000004</v>
      </c>
      <c r="V14" s="8">
        <f t="shared" si="2"/>
        <v>42.036799999999999</v>
      </c>
      <c r="W14" s="8">
        <f t="shared" si="2"/>
        <v>44.272799999999997</v>
      </c>
      <c r="X14" s="8">
        <f t="shared" si="2"/>
        <v>49.639200000000002</v>
      </c>
      <c r="Y14" s="8">
        <f t="shared" si="2"/>
        <v>55.005600000000001</v>
      </c>
      <c r="Z14" s="8">
        <f t="shared" si="2"/>
        <v>59.477600000000002</v>
      </c>
      <c r="AH14" t="s">
        <v>108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109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0.93</v>
      </c>
      <c r="K15" s="11">
        <f>SUMIFS(ar6_r10!$F$2:$F$999,ar6_r10!$A$2:$A$999,Veda!$E$5,ar6_r10!$C$2:$C$999,Veda!K$17,ar6_r10!$M$2:$M$999,Veda!$G15)</f>
        <v>0.94</v>
      </c>
      <c r="L15" s="11">
        <f>SUMIFS(ar6_r10!$F$2:$F$999,ar6_r10!$A$2:$A$999,Veda!$E$5,ar6_r10!$C$2:$C$999,Veda!L$17,ar6_r10!$M$2:$M$999,Veda!$G15)</f>
        <v>0.99</v>
      </c>
      <c r="M15" s="11">
        <f>SUMIFS(ar6_r10!$F$2:$F$999,ar6_r10!$A$2:$A$999,Veda!$E$5,ar6_r10!$C$2:$C$999,Veda!M$17,ar6_r10!$M$2:$M$999,Veda!$G15)</f>
        <v>1.1100000000000001</v>
      </c>
      <c r="N15" s="11">
        <f>SUMIFS(ar6_r10!$F$2:$F$999,ar6_r10!$A$2:$A$999,Veda!$E$5,ar6_r10!$C$2:$C$999,Veda!N$17,ar6_r10!$M$2:$M$999,Veda!$G15)</f>
        <v>1.23</v>
      </c>
      <c r="O15" s="11">
        <f>SUMIFS(ar6_r10!$F$2:$F$999,ar6_r10!$A$2:$A$999,Veda!$E$5,ar6_r10!$C$2:$C$999,Veda!O$17,ar6_r10!$M$2:$M$999,Veda!$G15)</f>
        <v>1.33</v>
      </c>
      <c r="AH15" t="s">
        <v>109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110</v>
      </c>
      <c r="E16" t="str">
        <f t="shared" si="1"/>
        <v>C1</v>
      </c>
      <c r="S16" s="5" t="s">
        <v>12</v>
      </c>
      <c r="AH16" t="s">
        <v>110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111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113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112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0.02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0.05</v>
      </c>
      <c r="O18" s="11">
        <f>SUMIFS(ar6_r10!$F$2:$F$999,ar6_r10!$A$2:$A$999,Veda!$E$5,ar6_r10!$C$2:$C$999,Veda!O$17,ar6_r10!$M$2:$M$999,Veda!$G18)</f>
        <v>0.06</v>
      </c>
      <c r="S18" s="10" t="s">
        <v>16</v>
      </c>
      <c r="T18" s="6">
        <f t="shared" ref="T18:Z20" si="4">I18*T$14</f>
        <v>0</v>
      </c>
      <c r="U18" s="6">
        <f t="shared" si="4"/>
        <v>0</v>
      </c>
      <c r="V18" s="6">
        <f t="shared" si="4"/>
        <v>0.42036800000000002</v>
      </c>
      <c r="W18" s="6">
        <f t="shared" si="4"/>
        <v>0.88545599999999991</v>
      </c>
      <c r="X18" s="6">
        <f t="shared" si="4"/>
        <v>1.4891760000000001</v>
      </c>
      <c r="Y18" s="6">
        <f t="shared" si="4"/>
        <v>2.7502800000000001</v>
      </c>
      <c r="Z18" s="6">
        <f t="shared" si="4"/>
        <v>3.5686559999999998</v>
      </c>
      <c r="AA18" t="s">
        <v>17</v>
      </c>
      <c r="AC18" s="2"/>
      <c r="AH18" t="s">
        <v>112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113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0.32</v>
      </c>
      <c r="J19" s="11">
        <f>SUMIFS(ar6_r10!$F$2:$F$999,ar6_r10!$A$2:$A$999,Veda!$E$5,ar6_r10!$C$2:$C$999,Veda!J$17,ar6_r10!$M$2:$M$999,Veda!$G19)</f>
        <v>0.28000000000000003</v>
      </c>
      <c r="K19" s="11">
        <f>SUMIFS(ar6_r10!$F$2:$F$999,ar6_r10!$A$2:$A$999,Veda!$E$5,ar6_r10!$C$2:$C$999,Veda!K$17,ar6_r10!$M$2:$M$999,Veda!$G19)</f>
        <v>0.28000000000000003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0.32</v>
      </c>
      <c r="S19" s="10" t="s">
        <v>19</v>
      </c>
      <c r="T19" s="6">
        <f t="shared" si="4"/>
        <v>14.3104</v>
      </c>
      <c r="U19" s="6">
        <f t="shared" si="4"/>
        <v>11.645088000000003</v>
      </c>
      <c r="V19" s="6">
        <f t="shared" si="4"/>
        <v>11.770304000000001</v>
      </c>
      <c r="W19" s="6">
        <f t="shared" si="4"/>
        <v>11.953656000000001</v>
      </c>
      <c r="X19" s="6">
        <f t="shared" si="4"/>
        <v>14.395367999999999</v>
      </c>
      <c r="Y19" s="6">
        <f t="shared" si="4"/>
        <v>16.50168</v>
      </c>
      <c r="Z19" s="6">
        <f t="shared" si="4"/>
        <v>19.032832000000003</v>
      </c>
      <c r="AA19" t="s">
        <v>17</v>
      </c>
      <c r="AH19" t="s">
        <v>111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0.66</v>
      </c>
      <c r="J20" s="11">
        <f>SUMIFS(ar6_r10!$F$2:$F$999,ar6_r10!$A$2:$A$999,Veda!$E$5,ar6_r10!$C$2:$C$999,Veda!J$17,ar6_r10!$M$2:$M$999,Veda!$G20)</f>
        <v>0.68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0.64</v>
      </c>
      <c r="M20" s="11">
        <f>SUMIFS(ar6_r10!$F$2:$F$999,ar6_r10!$A$2:$A$999,Veda!$E$5,ar6_r10!$C$2:$C$999,Veda!M$17,ar6_r10!$M$2:$M$999,Veda!$G20)</f>
        <v>0.59</v>
      </c>
      <c r="N20" s="11">
        <f>SUMIFS(ar6_r10!$F$2:$F$999,ar6_r10!$A$2:$A$999,Veda!$E$5,ar6_r10!$C$2:$C$999,Veda!N$17,ar6_r10!$M$2:$M$999,Veda!$G20)</f>
        <v>0.56999999999999995</v>
      </c>
      <c r="O20" s="11">
        <f>SUMIFS(ar6_r10!$F$2:$F$999,ar6_r10!$A$2:$A$999,Veda!$E$5,ar6_r10!$C$2:$C$999,Veda!O$17,ar6_r10!$M$2:$M$999,Veda!$G20)</f>
        <v>0.54</v>
      </c>
      <c r="S20" s="10" t="s">
        <v>22</v>
      </c>
      <c r="T20" s="6">
        <f t="shared" si="4"/>
        <v>29.5152</v>
      </c>
      <c r="U20" s="6">
        <f t="shared" si="4"/>
        <v>28.280928000000007</v>
      </c>
      <c r="V20" s="6">
        <f t="shared" si="4"/>
        <v>28.164656000000001</v>
      </c>
      <c r="W20" s="6">
        <f t="shared" si="4"/>
        <v>28.334591999999997</v>
      </c>
      <c r="X20" s="6">
        <f t="shared" si="4"/>
        <v>29.287127999999999</v>
      </c>
      <c r="Y20" s="6">
        <f t="shared" si="4"/>
        <v>31.353191999999996</v>
      </c>
      <c r="Z20" s="6">
        <f t="shared" si="4"/>
        <v>32.117904000000003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0.05</v>
      </c>
      <c r="L21" s="11">
        <f>SUMIFS(ar6_r10!$F$2:$F$999,ar6_r10!$A$2:$A$999,Veda!$E$5,ar6_r10!$C$2:$C$999,Veda!L$17,ar6_r10!$M$2:$M$999,Veda!$G21)</f>
        <v>0.08</v>
      </c>
      <c r="M21" s="11">
        <f>SUMIFS(ar6_r10!$F$2:$F$999,ar6_r10!$A$2:$A$999,Veda!$E$5,ar6_r10!$C$2:$C$999,Veda!M$17,ar6_r10!$M$2:$M$999,Veda!$G21)</f>
        <v>0.11</v>
      </c>
      <c r="N21" s="11">
        <f>SUMIFS(ar6_r10!$F$2:$F$999,ar6_r10!$A$2:$A$999,Veda!$E$5,ar6_r10!$C$2:$C$999,Veda!N$17,ar6_r10!$M$2:$M$999,Veda!$G21)</f>
        <v>0.13</v>
      </c>
      <c r="O21" s="11">
        <f>SUMIFS(ar6_r10!$F$2:$F$999,ar6_r10!$A$2:$A$999,Veda!$E$5,ar6_r10!$C$2:$C$999,Veda!O$17,ar6_r10!$M$2:$M$999,Veda!$G21)</f>
        <v>0.13</v>
      </c>
      <c r="S21" s="10" t="s">
        <v>24</v>
      </c>
      <c r="T21" s="6">
        <f>I21*T$14</f>
        <v>0.89439999999999997</v>
      </c>
      <c r="U21" s="6">
        <f t="shared" ref="U21:Z21" si="6">T21</f>
        <v>0.89439999999999997</v>
      </c>
      <c r="V21" s="6">
        <f t="shared" si="6"/>
        <v>0.89439999999999997</v>
      </c>
      <c r="W21" s="6">
        <f t="shared" si="6"/>
        <v>0.89439999999999997</v>
      </c>
      <c r="X21" s="6">
        <f t="shared" si="6"/>
        <v>0.89439999999999997</v>
      </c>
      <c r="Y21" s="6">
        <f t="shared" si="6"/>
        <v>0.89439999999999997</v>
      </c>
      <c r="Z21" s="6">
        <f t="shared" si="6"/>
        <v>0.89439999999999997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0</v>
      </c>
      <c r="U22" s="6">
        <f t="shared" si="7"/>
        <v>0.76918399999999565</v>
      </c>
      <c r="V22" s="6">
        <f t="shared" si="7"/>
        <v>1.2074399999999983</v>
      </c>
      <c r="W22" s="6">
        <f t="shared" si="7"/>
        <v>3.0901520000000033</v>
      </c>
      <c r="X22" s="6">
        <f t="shared" si="7"/>
        <v>5.0623040000000046</v>
      </c>
      <c r="Y22" s="6">
        <f t="shared" si="7"/>
        <v>6.2563280000000034</v>
      </c>
      <c r="Z22" s="6">
        <f t="shared" si="7"/>
        <v>7.432463999999996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335.39</v>
      </c>
      <c r="M24" s="8">
        <f>SUMIFS(ar6_r10!$F$2:$F$999,ar6_r10!$A$2:$A$999,Veda!$E$5,ar6_r10!$C$2:$C$999,Veda!M$17,ar6_r10!$M$2:$M$999,Veda!$G24)</f>
        <v>407.27</v>
      </c>
      <c r="N24" s="8">
        <f>SUMIFS(ar6_r10!$F$2:$F$999,ar6_r10!$A$2:$A$999,Veda!$E$5,ar6_r10!$C$2:$C$999,Veda!N$17,ar6_r10!$M$2:$M$999,Veda!$G24)</f>
        <v>479.16</v>
      </c>
      <c r="O24" s="8">
        <f>SUMIFS(ar6_r10!$F$2:$F$999,ar6_r10!$A$2:$A$999,Veda!$E$5,ar6_r10!$C$2:$C$999,Veda!O$17,ar6_r10!$M$2:$M$999,Veda!$G24)</f>
        <v>604.24</v>
      </c>
      <c r="S24" t="s">
        <v>28</v>
      </c>
      <c r="U24">
        <v>0</v>
      </c>
      <c r="V24" s="11">
        <f>K24/1000</f>
        <v>0.24168999999999999</v>
      </c>
      <c r="W24" s="11">
        <f>L24/1000</f>
        <v>0.33538999999999997</v>
      </c>
      <c r="X24" s="11">
        <f>M24/1000</f>
        <v>0.40726999999999997</v>
      </c>
      <c r="Y24" s="11">
        <f>N24/1000</f>
        <v>0.47916000000000003</v>
      </c>
      <c r="Z24" s="11">
        <f>O24/1000</f>
        <v>0.60424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85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114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83</v>
      </c>
      <c r="S44" t="s">
        <v>84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79</v>
      </c>
      <c r="H45" t="str">
        <f>G45</f>
        <v>Gas</v>
      </c>
      <c r="I45">
        <f t="shared" ref="I45:O48" si="10">AVERAGE($R45:$S45)*I37</f>
        <v>20.55</v>
      </c>
      <c r="J45">
        <f t="shared" si="10"/>
        <v>21.166500000000003</v>
      </c>
      <c r="K45">
        <f t="shared" si="10"/>
        <v>23.221499999999999</v>
      </c>
      <c r="L45">
        <f t="shared" si="10"/>
        <v>23.837999999999997</v>
      </c>
      <c r="M45">
        <f t="shared" si="10"/>
        <v>24.454499999999999</v>
      </c>
      <c r="N45">
        <f t="shared" si="10"/>
        <v>26.098500000000001</v>
      </c>
      <c r="O45">
        <f t="shared" si="10"/>
        <v>26.920500000000001</v>
      </c>
      <c r="R45">
        <f>HLOOKUP($G45&amp;"_"&amp;R$44,fuel_prices!$B$10:$I$11,2,FALSE)</f>
        <v>17.100000000000001</v>
      </c>
      <c r="S45">
        <f>HLOOKUP($G45&amp;"_"&amp;S$44,fuel_prices!$B$10:$I$11,2,FALSE)</f>
        <v>24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80</v>
      </c>
      <c r="H46" t="str">
        <f t="shared" ref="H46:H48" si="11">G46</f>
        <v>Coal</v>
      </c>
      <c r="I46">
        <f t="shared" si="10"/>
        <v>14.45</v>
      </c>
      <c r="J46">
        <f t="shared" si="10"/>
        <v>14.8835</v>
      </c>
      <c r="K46">
        <f t="shared" si="10"/>
        <v>15.750500000000001</v>
      </c>
      <c r="L46">
        <f t="shared" si="10"/>
        <v>17.050999999999998</v>
      </c>
      <c r="M46">
        <f t="shared" si="10"/>
        <v>18.351499999999998</v>
      </c>
      <c r="N46">
        <f t="shared" si="10"/>
        <v>19.5075</v>
      </c>
      <c r="O46">
        <f t="shared" si="10"/>
        <v>20.374499999999998</v>
      </c>
      <c r="R46">
        <f>HLOOKUP($G46&amp;"_"&amp;R$44,fuel_prices!$B$10:$I$11,2,FALSE)</f>
        <v>12.2</v>
      </c>
      <c r="S46">
        <f>HLOOKUP($G46&amp;"_"&amp;S$44,fuel_prices!$B$10:$I$11,2,FALSE)</f>
        <v>16.7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81</v>
      </c>
      <c r="H47" t="str">
        <f t="shared" si="11"/>
        <v>Oil</v>
      </c>
      <c r="I47">
        <f t="shared" si="10"/>
        <v>53</v>
      </c>
      <c r="J47">
        <f t="shared" si="10"/>
        <v>55.120000000000005</v>
      </c>
      <c r="K47">
        <f t="shared" si="10"/>
        <v>55.650000000000006</v>
      </c>
      <c r="L47">
        <f t="shared" si="10"/>
        <v>55.120000000000005</v>
      </c>
      <c r="M47">
        <f t="shared" si="10"/>
        <v>55.120000000000005</v>
      </c>
      <c r="N47">
        <f t="shared" si="10"/>
        <v>62.01</v>
      </c>
      <c r="O47">
        <f t="shared" si="10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82</v>
      </c>
      <c r="H48" t="str">
        <f t="shared" si="11"/>
        <v>Bioenergy</v>
      </c>
      <c r="I48">
        <f t="shared" si="10"/>
        <v>24</v>
      </c>
      <c r="J48">
        <f t="shared" si="10"/>
        <v>24.240000000000002</v>
      </c>
      <c r="K48">
        <f t="shared" si="10"/>
        <v>23.759999999999998</v>
      </c>
      <c r="L48">
        <f t="shared" si="10"/>
        <v>23.28</v>
      </c>
      <c r="M48">
        <f t="shared" si="10"/>
        <v>22.080000000000002</v>
      </c>
      <c r="N48">
        <f t="shared" si="10"/>
        <v>22.799999999999997</v>
      </c>
      <c r="O48">
        <f t="shared" si="10"/>
        <v>24.48</v>
      </c>
      <c r="R48">
        <f>HLOOKUP($G48&amp;"_"&amp;R$44,fuel_prices!$B$10:$I$11,2,FALSE)</f>
        <v>20</v>
      </c>
      <c r="S48">
        <f>HLOOKUP($G48&amp;"_"&amp;S$44,fuel_prices!$B$10:$I$11,2,FALSE)</f>
        <v>28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17.100000000000001</v>
      </c>
      <c r="C11">
        <v>24</v>
      </c>
      <c r="D11">
        <v>12.2</v>
      </c>
      <c r="E11">
        <v>16.7</v>
      </c>
      <c r="F11">
        <v>48</v>
      </c>
      <c r="G11">
        <v>58</v>
      </c>
      <c r="H11">
        <v>20</v>
      </c>
      <c r="I11">
        <v>28</v>
      </c>
      <c r="J11" t="s">
        <v>138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18.46</v>
      </c>
      <c r="D11">
        <v>19.34</v>
      </c>
      <c r="E11">
        <v>7.0000000000000007E-2</v>
      </c>
      <c r="F11">
        <v>0</v>
      </c>
      <c r="G11">
        <v>0</v>
      </c>
      <c r="H11">
        <v>0</v>
      </c>
      <c r="I11">
        <v>39.39</v>
      </c>
    </row>
    <row r="12" spans="1:9" x14ac:dyDescent="0.45">
      <c r="A12" t="s">
        <v>137</v>
      </c>
      <c r="B12">
        <v>2001</v>
      </c>
      <c r="C12">
        <v>18.78</v>
      </c>
      <c r="D12">
        <v>19.91</v>
      </c>
      <c r="E12">
        <v>0.06</v>
      </c>
      <c r="F12">
        <v>0.01</v>
      </c>
      <c r="G12">
        <v>0</v>
      </c>
      <c r="H12">
        <v>0</v>
      </c>
      <c r="I12">
        <v>39.71</v>
      </c>
    </row>
    <row r="13" spans="1:9" x14ac:dyDescent="0.45">
      <c r="A13" t="s">
        <v>137</v>
      </c>
      <c r="B13">
        <v>2002</v>
      </c>
      <c r="C13">
        <v>19.18</v>
      </c>
      <c r="D13">
        <v>20.04</v>
      </c>
      <c r="E13">
        <v>0.06</v>
      </c>
      <c r="F13">
        <v>0.01</v>
      </c>
      <c r="G13">
        <v>0</v>
      </c>
      <c r="H13">
        <v>0</v>
      </c>
      <c r="I13">
        <v>40.729999999999997</v>
      </c>
    </row>
    <row r="14" spans="1:9" x14ac:dyDescent="0.45">
      <c r="A14" t="s">
        <v>137</v>
      </c>
      <c r="B14">
        <v>2003</v>
      </c>
      <c r="C14">
        <v>18.73</v>
      </c>
      <c r="D14">
        <v>20.75</v>
      </c>
      <c r="E14">
        <v>0.06</v>
      </c>
      <c r="F14">
        <v>0.01</v>
      </c>
      <c r="G14">
        <v>0</v>
      </c>
      <c r="H14">
        <v>0</v>
      </c>
      <c r="I14">
        <v>40.86</v>
      </c>
    </row>
    <row r="15" spans="1:9" x14ac:dyDescent="0.45">
      <c r="A15" t="s">
        <v>137</v>
      </c>
      <c r="B15">
        <v>2004</v>
      </c>
      <c r="C15">
        <v>19.54</v>
      </c>
      <c r="D15">
        <v>21.4</v>
      </c>
      <c r="E15">
        <v>7.0000000000000007E-2</v>
      </c>
      <c r="F15">
        <v>0.01</v>
      </c>
      <c r="G15">
        <v>0</v>
      </c>
      <c r="H15">
        <v>0</v>
      </c>
      <c r="I15">
        <v>42.77</v>
      </c>
    </row>
    <row r="16" spans="1:9" x14ac:dyDescent="0.45">
      <c r="A16" t="s">
        <v>137</v>
      </c>
      <c r="B16">
        <v>2005</v>
      </c>
      <c r="C16">
        <v>20.059999999999999</v>
      </c>
      <c r="D16">
        <v>21.71</v>
      </c>
      <c r="E16">
        <v>0.06</v>
      </c>
      <c r="F16">
        <v>0.01</v>
      </c>
      <c r="G16">
        <v>0</v>
      </c>
      <c r="H16">
        <v>0</v>
      </c>
      <c r="I16">
        <v>42.98</v>
      </c>
    </row>
    <row r="17" spans="1:9" x14ac:dyDescent="0.45">
      <c r="A17" t="s">
        <v>137</v>
      </c>
      <c r="B17">
        <v>2006</v>
      </c>
      <c r="C17">
        <v>19.57</v>
      </c>
      <c r="D17">
        <v>22.99</v>
      </c>
      <c r="E17">
        <v>0.06</v>
      </c>
      <c r="F17">
        <v>0.01</v>
      </c>
      <c r="G17">
        <v>0</v>
      </c>
      <c r="H17">
        <v>0</v>
      </c>
      <c r="I17">
        <v>43.54</v>
      </c>
    </row>
    <row r="18" spans="1:9" x14ac:dyDescent="0.45">
      <c r="A18" t="s">
        <v>137</v>
      </c>
      <c r="B18">
        <v>2007</v>
      </c>
      <c r="C18">
        <v>19.55</v>
      </c>
      <c r="D18">
        <v>23.37</v>
      </c>
      <c r="E18">
        <v>0.06</v>
      </c>
      <c r="F18">
        <v>0.01</v>
      </c>
      <c r="G18">
        <v>0</v>
      </c>
      <c r="H18">
        <v>0</v>
      </c>
      <c r="I18">
        <v>43.9</v>
      </c>
    </row>
    <row r="19" spans="1:9" x14ac:dyDescent="0.45">
      <c r="A19" t="s">
        <v>137</v>
      </c>
      <c r="B19">
        <v>2008</v>
      </c>
      <c r="C19">
        <v>19.36</v>
      </c>
      <c r="D19">
        <v>23.35</v>
      </c>
      <c r="E19">
        <v>0.06</v>
      </c>
      <c r="F19">
        <v>0</v>
      </c>
      <c r="G19">
        <v>0</v>
      </c>
      <c r="H19">
        <v>0</v>
      </c>
      <c r="I19">
        <v>43.93</v>
      </c>
    </row>
    <row r="20" spans="1:9" x14ac:dyDescent="0.45">
      <c r="A20" t="s">
        <v>137</v>
      </c>
      <c r="B20">
        <v>2009</v>
      </c>
      <c r="C20">
        <v>18.72</v>
      </c>
      <c r="D20">
        <v>23.72</v>
      </c>
      <c r="E20">
        <v>0.05</v>
      </c>
      <c r="F20">
        <v>0.01</v>
      </c>
      <c r="G20">
        <v>0</v>
      </c>
      <c r="H20">
        <v>0</v>
      </c>
      <c r="I20">
        <v>43.55</v>
      </c>
    </row>
    <row r="21" spans="1:9" x14ac:dyDescent="0.45">
      <c r="A21" t="s">
        <v>137</v>
      </c>
      <c r="B21">
        <v>2010</v>
      </c>
      <c r="C21">
        <v>20.09</v>
      </c>
      <c r="D21">
        <v>23.61</v>
      </c>
      <c r="E21">
        <v>0.06</v>
      </c>
      <c r="F21">
        <v>0.01</v>
      </c>
      <c r="G21">
        <v>0</v>
      </c>
      <c r="H21">
        <v>0</v>
      </c>
      <c r="I21">
        <v>45</v>
      </c>
    </row>
    <row r="22" spans="1:9" x14ac:dyDescent="0.45">
      <c r="A22" t="s">
        <v>137</v>
      </c>
      <c r="B22">
        <v>2011</v>
      </c>
      <c r="C22">
        <v>19.64</v>
      </c>
      <c r="D22">
        <v>23.49</v>
      </c>
      <c r="E22">
        <v>0.06</v>
      </c>
      <c r="F22">
        <v>0.01</v>
      </c>
      <c r="G22">
        <v>0</v>
      </c>
      <c r="H22">
        <v>0</v>
      </c>
      <c r="I22">
        <v>44.63</v>
      </c>
    </row>
    <row r="23" spans="1:9" x14ac:dyDescent="0.45">
      <c r="A23" t="s">
        <v>137</v>
      </c>
      <c r="B23">
        <v>2012</v>
      </c>
      <c r="C23">
        <v>18.95</v>
      </c>
      <c r="D23">
        <v>24.13</v>
      </c>
      <c r="E23">
        <v>0.06</v>
      </c>
      <c r="F23">
        <v>0.01</v>
      </c>
      <c r="G23">
        <v>0</v>
      </c>
      <c r="H23">
        <v>0</v>
      </c>
      <c r="I23">
        <v>44.63</v>
      </c>
    </row>
    <row r="24" spans="1:9" x14ac:dyDescent="0.45">
      <c r="A24" t="s">
        <v>137</v>
      </c>
      <c r="B24">
        <v>2013</v>
      </c>
      <c r="C24">
        <v>18.690000000000001</v>
      </c>
      <c r="D24">
        <v>23.98</v>
      </c>
      <c r="E24">
        <v>0.06</v>
      </c>
      <c r="F24">
        <v>0.01</v>
      </c>
      <c r="G24">
        <v>0</v>
      </c>
      <c r="H24">
        <v>0</v>
      </c>
      <c r="I24">
        <v>43.77</v>
      </c>
    </row>
    <row r="25" spans="1:9" x14ac:dyDescent="0.45">
      <c r="A25" t="s">
        <v>137</v>
      </c>
      <c r="B25">
        <v>2014</v>
      </c>
      <c r="C25">
        <v>18.62</v>
      </c>
      <c r="D25">
        <v>24.37</v>
      </c>
      <c r="E25">
        <v>0.06</v>
      </c>
      <c r="F25">
        <v>0.01</v>
      </c>
      <c r="G25">
        <v>0</v>
      </c>
      <c r="H25">
        <v>0</v>
      </c>
      <c r="I25">
        <v>43.99</v>
      </c>
    </row>
    <row r="26" spans="1:9" x14ac:dyDescent="0.45">
      <c r="A26" t="s">
        <v>137</v>
      </c>
      <c r="B26">
        <v>2015</v>
      </c>
      <c r="C26">
        <v>18.84</v>
      </c>
      <c r="D26">
        <v>24.7</v>
      </c>
      <c r="E26">
        <v>0.08</v>
      </c>
      <c r="F26">
        <v>0.01</v>
      </c>
      <c r="G26">
        <v>0</v>
      </c>
      <c r="H26">
        <v>0</v>
      </c>
      <c r="I26">
        <v>44.69</v>
      </c>
    </row>
    <row r="27" spans="1:9" x14ac:dyDescent="0.45">
      <c r="A27" t="s">
        <v>137</v>
      </c>
      <c r="B27">
        <v>2016</v>
      </c>
      <c r="C27">
        <v>18.739999999999998</v>
      </c>
      <c r="D27">
        <v>24.33</v>
      </c>
      <c r="E27">
        <v>0.08</v>
      </c>
      <c r="F27">
        <v>0.01</v>
      </c>
      <c r="G27">
        <v>0</v>
      </c>
      <c r="H27">
        <v>0</v>
      </c>
      <c r="I27">
        <v>44.16</v>
      </c>
    </row>
    <row r="28" spans="1:9" x14ac:dyDescent="0.45">
      <c r="A28" t="s">
        <v>137</v>
      </c>
      <c r="B28">
        <v>2017</v>
      </c>
      <c r="C28">
        <v>18.87</v>
      </c>
      <c r="D28">
        <v>24.38</v>
      </c>
      <c r="E28">
        <v>0.08</v>
      </c>
      <c r="F28">
        <v>0.01</v>
      </c>
      <c r="G28">
        <v>0</v>
      </c>
      <c r="H28">
        <v>0</v>
      </c>
      <c r="I28">
        <v>44.64</v>
      </c>
    </row>
    <row r="29" spans="1:9" x14ac:dyDescent="0.45">
      <c r="A29" t="s">
        <v>137</v>
      </c>
      <c r="B29">
        <v>2018</v>
      </c>
      <c r="C29">
        <v>18.78</v>
      </c>
      <c r="D29">
        <v>24.45</v>
      </c>
      <c r="E29">
        <v>7.0000000000000007E-2</v>
      </c>
      <c r="F29">
        <v>0.02</v>
      </c>
      <c r="G29">
        <v>0</v>
      </c>
      <c r="H29">
        <v>0</v>
      </c>
      <c r="I29">
        <v>44.69</v>
      </c>
    </row>
    <row r="30" spans="1:9" x14ac:dyDescent="0.45">
      <c r="A30" t="s">
        <v>137</v>
      </c>
      <c r="B30">
        <v>2019</v>
      </c>
      <c r="C30">
        <v>19.16</v>
      </c>
      <c r="D30">
        <v>24.68</v>
      </c>
      <c r="E30">
        <v>7.0000000000000007E-2</v>
      </c>
      <c r="F30">
        <v>0.04</v>
      </c>
      <c r="G30">
        <v>0</v>
      </c>
      <c r="H30">
        <v>0</v>
      </c>
      <c r="I30">
        <v>45.15</v>
      </c>
    </row>
    <row r="31" spans="1:9" x14ac:dyDescent="0.45">
      <c r="A31" t="s">
        <v>137</v>
      </c>
      <c r="B31">
        <v>2020</v>
      </c>
      <c r="C31">
        <v>18.12</v>
      </c>
      <c r="D31">
        <v>24.69</v>
      </c>
      <c r="E31">
        <v>0.06</v>
      </c>
      <c r="F31">
        <v>0.04</v>
      </c>
      <c r="G31">
        <v>0</v>
      </c>
      <c r="H31">
        <v>0</v>
      </c>
      <c r="I31">
        <v>44.53</v>
      </c>
    </row>
    <row r="32" spans="1:9" x14ac:dyDescent="0.45">
      <c r="A32" t="s">
        <v>137</v>
      </c>
      <c r="B32">
        <v>2021</v>
      </c>
      <c r="C32">
        <v>17.78</v>
      </c>
      <c r="D32">
        <v>25.11</v>
      </c>
      <c r="E32">
        <v>0.06</v>
      </c>
      <c r="F32">
        <v>0.04</v>
      </c>
      <c r="G32">
        <v>0</v>
      </c>
      <c r="H32">
        <v>0</v>
      </c>
      <c r="I32">
        <v>44.61</v>
      </c>
    </row>
    <row r="33" spans="1:9" x14ac:dyDescent="0.45">
      <c r="A33" t="s">
        <v>137</v>
      </c>
      <c r="B33">
        <v>2022</v>
      </c>
      <c r="C33">
        <v>17.88</v>
      </c>
      <c r="D33">
        <v>24.67</v>
      </c>
      <c r="E33">
        <v>0.06</v>
      </c>
      <c r="F33">
        <v>0.13</v>
      </c>
      <c r="G33">
        <v>0</v>
      </c>
      <c r="H33">
        <v>0</v>
      </c>
      <c r="I33">
        <v>44.72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/>
  </sheetViews>
  <sheetFormatPr defaultRowHeight="14.25" x14ac:dyDescent="0.45"/>
  <sheetData>
    <row r="10" spans="1:10" x14ac:dyDescent="0.45">
      <c r="A10" t="str">
        <f>IFERROR(Veda!D5,"ts_12")</f>
        <v>ts12_clu</v>
      </c>
      <c r="B10" s="15"/>
      <c r="C10" s="15" t="s">
        <v>761</v>
      </c>
      <c r="D10" t="s">
        <v>107</v>
      </c>
      <c r="F10" t="s">
        <v>761</v>
      </c>
      <c r="G10" t="s">
        <v>112</v>
      </c>
      <c r="I10" t="s">
        <v>761</v>
      </c>
      <c r="J10" t="s">
        <v>113</v>
      </c>
    </row>
    <row r="11" spans="1:10" x14ac:dyDescent="0.45">
      <c r="B11" s="15"/>
      <c r="C11" s="15" t="s">
        <v>762</v>
      </c>
      <c r="D11" t="s">
        <v>763</v>
      </c>
      <c r="F11" t="s">
        <v>762</v>
      </c>
      <c r="G11" t="s">
        <v>772</v>
      </c>
      <c r="I11" t="s">
        <v>762</v>
      </c>
      <c r="J11" t="s">
        <v>791</v>
      </c>
    </row>
    <row r="12" spans="1:10" x14ac:dyDescent="0.45">
      <c r="B12" s="15"/>
      <c r="C12" s="15" t="s">
        <v>764</v>
      </c>
      <c r="D12" t="s">
        <v>765</v>
      </c>
      <c r="F12" t="s">
        <v>764</v>
      </c>
      <c r="G12" t="s">
        <v>772</v>
      </c>
      <c r="I12" t="s">
        <v>764</v>
      </c>
      <c r="J12" t="s">
        <v>792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~UC_T: LO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S3aH1,S3aH5,S2aH1,S1aH4,S1aH1,S3aH4,S1aH5,S2aH4,S2aH5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S3aH2,S1aH3,S3aH3,S2aH2,S1aH2,S2aH3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9BB2D-2CB7-45B2-A534-4C22F13DF18E}">
  <dimension ref="A9:AM5515"/>
  <sheetViews>
    <sheetView tabSelected="1" workbookViewId="0"/>
  </sheetViews>
  <sheetFormatPr defaultRowHeight="14.25" x14ac:dyDescent="0.45"/>
  <sheetData>
    <row r="9" spans="1:39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39" x14ac:dyDescent="0.45">
      <c r="A10" t="s">
        <v>107</v>
      </c>
      <c r="C10" t="s">
        <v>139</v>
      </c>
      <c r="D10" t="s">
        <v>140</v>
      </c>
      <c r="E10" t="s">
        <v>141</v>
      </c>
      <c r="F10" t="s">
        <v>142</v>
      </c>
      <c r="G10" t="s">
        <v>143</v>
      </c>
      <c r="I10" t="s">
        <v>13</v>
      </c>
      <c r="J10" t="s">
        <v>134</v>
      </c>
      <c r="K10" t="s">
        <v>154</v>
      </c>
      <c r="L10" t="s">
        <v>30</v>
      </c>
      <c r="N10" t="s">
        <v>13</v>
      </c>
      <c r="O10" t="s">
        <v>134</v>
      </c>
      <c r="P10" t="s">
        <v>154</v>
      </c>
      <c r="Q10" t="s">
        <v>30</v>
      </c>
      <c r="S10" t="s">
        <v>13</v>
      </c>
      <c r="T10" t="s">
        <v>134</v>
      </c>
      <c r="U10" t="s">
        <v>154</v>
      </c>
      <c r="V10" t="s">
        <v>30</v>
      </c>
      <c r="X10" t="s">
        <v>760</v>
      </c>
      <c r="Y10" t="s">
        <v>154</v>
      </c>
      <c r="Z10" t="s">
        <v>134</v>
      </c>
      <c r="AA10" t="s">
        <v>13</v>
      </c>
      <c r="AC10" t="s">
        <v>13</v>
      </c>
      <c r="AD10" t="s">
        <v>134</v>
      </c>
      <c r="AE10" t="s">
        <v>154</v>
      </c>
      <c r="AG10" t="s">
        <v>13</v>
      </c>
      <c r="AH10" t="s">
        <v>134</v>
      </c>
      <c r="AI10" t="s">
        <v>766</v>
      </c>
      <c r="AK10" t="s">
        <v>134</v>
      </c>
      <c r="AL10" t="s">
        <v>767</v>
      </c>
      <c r="AM10" t="s">
        <v>768</v>
      </c>
    </row>
    <row r="11" spans="1:39" x14ac:dyDescent="0.45">
      <c r="A11" t="str">
        <f>IFERROR(IF(Veda!D5=A10,"ok","x"),"")</f>
        <v>ok</v>
      </c>
      <c r="C11" t="s">
        <v>144</v>
      </c>
      <c r="D11" t="s">
        <v>145</v>
      </c>
      <c r="E11" t="s">
        <v>146</v>
      </c>
      <c r="F11" t="s">
        <v>147</v>
      </c>
      <c r="G11" t="s">
        <v>145</v>
      </c>
      <c r="I11" t="s">
        <v>155</v>
      </c>
      <c r="J11" t="s">
        <v>156</v>
      </c>
      <c r="K11">
        <v>8.1892568254619061E-3</v>
      </c>
      <c r="L11" t="s">
        <v>157</v>
      </c>
      <c r="N11" t="s">
        <v>282</v>
      </c>
      <c r="O11" t="s">
        <v>156</v>
      </c>
      <c r="P11">
        <v>0.1389232122163907</v>
      </c>
      <c r="Q11" t="s">
        <v>157</v>
      </c>
      <c r="S11" t="s">
        <v>393</v>
      </c>
      <c r="T11" t="s">
        <v>156</v>
      </c>
      <c r="U11">
        <v>0.14116264234237089</v>
      </c>
      <c r="V11" t="s">
        <v>157</v>
      </c>
      <c r="X11">
        <v>0.14463470319634703</v>
      </c>
      <c r="Y11">
        <v>5.7118895490971183E-2</v>
      </c>
      <c r="Z11" t="s">
        <v>156</v>
      </c>
      <c r="AA11" t="s">
        <v>25</v>
      </c>
      <c r="AC11" t="s">
        <v>22</v>
      </c>
      <c r="AD11" t="s">
        <v>156</v>
      </c>
      <c r="AE11">
        <v>0.16180807324794871</v>
      </c>
      <c r="AG11" t="s">
        <v>98</v>
      </c>
      <c r="AH11" t="s">
        <v>156</v>
      </c>
      <c r="AI11">
        <v>0.20239756866604375</v>
      </c>
      <c r="AK11" t="s">
        <v>148</v>
      </c>
      <c r="AL11">
        <v>0.42681235315764149</v>
      </c>
      <c r="AM11" t="s">
        <v>769</v>
      </c>
    </row>
    <row r="12" spans="1:39" x14ac:dyDescent="0.45">
      <c r="C12" t="s">
        <v>148</v>
      </c>
      <c r="E12" t="s">
        <v>149</v>
      </c>
      <c r="G12" t="s">
        <v>145</v>
      </c>
      <c r="I12" t="s">
        <v>155</v>
      </c>
      <c r="J12" t="s">
        <v>158</v>
      </c>
      <c r="K12">
        <v>0.39113663745172739</v>
      </c>
      <c r="L12" t="s">
        <v>157</v>
      </c>
      <c r="N12" t="s">
        <v>282</v>
      </c>
      <c r="O12" t="s">
        <v>158</v>
      </c>
      <c r="P12">
        <v>0.21044257270297984</v>
      </c>
      <c r="Q12" t="s">
        <v>157</v>
      </c>
      <c r="S12" t="s">
        <v>393</v>
      </c>
      <c r="T12" t="s">
        <v>158</v>
      </c>
      <c r="U12">
        <v>0.20360151785701974</v>
      </c>
      <c r="V12" t="s">
        <v>157</v>
      </c>
      <c r="X12">
        <v>0.20662100456621005</v>
      </c>
      <c r="Y12">
        <v>0.28937440436234663</v>
      </c>
      <c r="Z12" t="s">
        <v>158</v>
      </c>
      <c r="AA12" t="s">
        <v>25</v>
      </c>
      <c r="AC12" t="s">
        <v>22</v>
      </c>
      <c r="AD12" t="s">
        <v>158</v>
      </c>
      <c r="AE12">
        <v>0.17621972678258196</v>
      </c>
      <c r="AG12" t="s">
        <v>98</v>
      </c>
      <c r="AH12" t="s">
        <v>158</v>
      </c>
      <c r="AI12">
        <v>0.42371288582213706</v>
      </c>
      <c r="AK12" t="s">
        <v>150</v>
      </c>
      <c r="AL12">
        <v>0.193008180711637</v>
      </c>
      <c r="AM12" t="s">
        <v>769</v>
      </c>
    </row>
    <row r="13" spans="1:39" x14ac:dyDescent="0.45">
      <c r="C13" t="s">
        <v>150</v>
      </c>
      <c r="E13" t="s">
        <v>151</v>
      </c>
      <c r="G13" t="s">
        <v>145</v>
      </c>
      <c r="I13" t="s">
        <v>155</v>
      </c>
      <c r="J13" t="s">
        <v>159</v>
      </c>
      <c r="K13">
        <v>2.9757876459157312E-2</v>
      </c>
      <c r="L13" t="s">
        <v>157</v>
      </c>
      <c r="N13" t="s">
        <v>282</v>
      </c>
      <c r="O13" t="s">
        <v>159</v>
      </c>
      <c r="P13">
        <v>2.2275055221739476E-2</v>
      </c>
      <c r="Q13" t="s">
        <v>157</v>
      </c>
      <c r="S13" t="s">
        <v>393</v>
      </c>
      <c r="T13" t="s">
        <v>159</v>
      </c>
      <c r="U13">
        <v>2.081501068034142E-2</v>
      </c>
      <c r="V13" t="s">
        <v>157</v>
      </c>
      <c r="X13">
        <v>2.0662100456621004E-2</v>
      </c>
      <c r="Y13">
        <v>4.0199222666965011E-2</v>
      </c>
      <c r="Z13" t="s">
        <v>159</v>
      </c>
      <c r="AA13" t="s">
        <v>25</v>
      </c>
      <c r="AC13" t="s">
        <v>22</v>
      </c>
      <c r="AD13" t="s">
        <v>159</v>
      </c>
      <c r="AE13">
        <v>1.6405760227271412E-2</v>
      </c>
      <c r="AG13" t="s">
        <v>98</v>
      </c>
      <c r="AH13" t="s">
        <v>159</v>
      </c>
      <c r="AI13">
        <v>8.4633758865964248E-2</v>
      </c>
      <c r="AK13" t="s">
        <v>144</v>
      </c>
      <c r="AL13">
        <v>0.58017946613072147</v>
      </c>
      <c r="AM13" t="s">
        <v>769</v>
      </c>
    </row>
    <row r="14" spans="1:39" x14ac:dyDescent="0.45">
      <c r="E14" t="s">
        <v>152</v>
      </c>
      <c r="G14" t="s">
        <v>145</v>
      </c>
      <c r="I14" t="s">
        <v>155</v>
      </c>
      <c r="J14" t="s">
        <v>160</v>
      </c>
      <c r="K14">
        <v>2.1207699482324885E-2</v>
      </c>
      <c r="L14" t="s">
        <v>157</v>
      </c>
      <c r="N14" t="s">
        <v>282</v>
      </c>
      <c r="O14" t="s">
        <v>160</v>
      </c>
      <c r="P14">
        <v>2.2010955983947936E-2</v>
      </c>
      <c r="Q14" t="s">
        <v>157</v>
      </c>
      <c r="S14" t="s">
        <v>393</v>
      </c>
      <c r="T14" t="s">
        <v>160</v>
      </c>
      <c r="U14">
        <v>2.0693081004659285E-2</v>
      </c>
      <c r="V14" t="s">
        <v>157</v>
      </c>
      <c r="X14">
        <v>2.0662100456621004E-2</v>
      </c>
      <c r="Y14">
        <v>3.1199396696748951E-2</v>
      </c>
      <c r="Z14" t="s">
        <v>160</v>
      </c>
      <c r="AA14" t="s">
        <v>25</v>
      </c>
      <c r="AC14" t="s">
        <v>22</v>
      </c>
      <c r="AD14" t="s">
        <v>160</v>
      </c>
      <c r="AE14">
        <v>1.9194111667028085E-2</v>
      </c>
      <c r="AG14" t="s">
        <v>98</v>
      </c>
      <c r="AH14" t="s">
        <v>160</v>
      </c>
      <c r="AI14">
        <v>0.20130765794167327</v>
      </c>
    </row>
    <row r="15" spans="1:39" x14ac:dyDescent="0.45">
      <c r="E15" t="s">
        <v>153</v>
      </c>
      <c r="G15" t="s">
        <v>145</v>
      </c>
      <c r="I15" t="s">
        <v>155</v>
      </c>
      <c r="J15" t="s">
        <v>161</v>
      </c>
      <c r="K15">
        <v>1.1395461668312243E-2</v>
      </c>
      <c r="L15" t="s">
        <v>157</v>
      </c>
      <c r="N15" t="s">
        <v>282</v>
      </c>
      <c r="O15" t="s">
        <v>161</v>
      </c>
      <c r="P15">
        <v>0.10416967881704535</v>
      </c>
      <c r="Q15" t="s">
        <v>157</v>
      </c>
      <c r="S15" t="s">
        <v>393</v>
      </c>
      <c r="T15" t="s">
        <v>161</v>
      </c>
      <c r="U15">
        <v>0.10096553753776273</v>
      </c>
      <c r="V15" t="s">
        <v>157</v>
      </c>
      <c r="X15">
        <v>0.10331050228310502</v>
      </c>
      <c r="Y15">
        <v>7.79984917418724E-2</v>
      </c>
      <c r="Z15" t="s">
        <v>161</v>
      </c>
      <c r="AA15" t="s">
        <v>25</v>
      </c>
      <c r="AC15" t="s">
        <v>22</v>
      </c>
      <c r="AD15" t="s">
        <v>161</v>
      </c>
      <c r="AE15">
        <v>0.11241972862419539</v>
      </c>
      <c r="AG15" t="s">
        <v>98</v>
      </c>
      <c r="AH15" t="s">
        <v>161</v>
      </c>
      <c r="AI15">
        <v>0.25364899531134211</v>
      </c>
    </row>
    <row r="16" spans="1:39" x14ac:dyDescent="0.45">
      <c r="I16" t="s">
        <v>155</v>
      </c>
      <c r="J16" t="s">
        <v>162</v>
      </c>
      <c r="K16">
        <v>3.350365942792693E-3</v>
      </c>
      <c r="L16" t="s">
        <v>157</v>
      </c>
      <c r="N16" t="s">
        <v>282</v>
      </c>
      <c r="O16" t="s">
        <v>162</v>
      </c>
      <c r="P16">
        <v>0.10510243872295476</v>
      </c>
      <c r="Q16" t="s">
        <v>157</v>
      </c>
      <c r="S16" t="s">
        <v>393</v>
      </c>
      <c r="T16" t="s">
        <v>162</v>
      </c>
      <c r="U16">
        <v>0.10652051104498642</v>
      </c>
      <c r="V16" t="s">
        <v>157</v>
      </c>
      <c r="X16">
        <v>9.8287671232876711E-2</v>
      </c>
      <c r="Y16">
        <v>3.8815603013201416E-2</v>
      </c>
      <c r="Z16" t="s">
        <v>162</v>
      </c>
      <c r="AA16" t="s">
        <v>25</v>
      </c>
      <c r="AC16" t="s">
        <v>22</v>
      </c>
      <c r="AD16" t="s">
        <v>162</v>
      </c>
      <c r="AE16">
        <v>0.11766171478855797</v>
      </c>
      <c r="AG16" t="s">
        <v>98</v>
      </c>
      <c r="AH16" t="s">
        <v>162</v>
      </c>
      <c r="AI16">
        <v>0.17707708393690025</v>
      </c>
    </row>
    <row r="17" spans="9:35" x14ac:dyDescent="0.45">
      <c r="I17" t="s">
        <v>155</v>
      </c>
      <c r="J17" t="s">
        <v>163</v>
      </c>
      <c r="K17">
        <v>0.22751968489349814</v>
      </c>
      <c r="L17" t="s">
        <v>157</v>
      </c>
      <c r="N17" t="s">
        <v>282</v>
      </c>
      <c r="O17" t="s">
        <v>163</v>
      </c>
      <c r="P17">
        <v>0.15770069880116441</v>
      </c>
      <c r="Q17" t="s">
        <v>157</v>
      </c>
      <c r="S17" t="s">
        <v>393</v>
      </c>
      <c r="T17" t="s">
        <v>163</v>
      </c>
      <c r="U17">
        <v>0.14822642852720533</v>
      </c>
      <c r="V17" t="s">
        <v>157</v>
      </c>
      <c r="X17">
        <v>0.1404109589041096</v>
      </c>
      <c r="Y17">
        <v>0.19664669467717477</v>
      </c>
      <c r="Z17" t="s">
        <v>163</v>
      </c>
      <c r="AA17" t="s">
        <v>25</v>
      </c>
      <c r="AC17" t="s">
        <v>22</v>
      </c>
      <c r="AD17" t="s">
        <v>163</v>
      </c>
      <c r="AE17">
        <v>0.13037554525445844</v>
      </c>
      <c r="AG17" t="s">
        <v>98</v>
      </c>
      <c r="AH17" t="s">
        <v>163</v>
      </c>
      <c r="AI17">
        <v>0.38922275963321762</v>
      </c>
    </row>
    <row r="18" spans="9:35" x14ac:dyDescent="0.45">
      <c r="I18" t="s">
        <v>155</v>
      </c>
      <c r="J18" t="s">
        <v>164</v>
      </c>
      <c r="K18">
        <v>1.6565689720828804E-2</v>
      </c>
      <c r="L18" t="s">
        <v>157</v>
      </c>
      <c r="N18" t="s">
        <v>282</v>
      </c>
      <c r="O18" t="s">
        <v>164</v>
      </c>
      <c r="P18">
        <v>1.5520812194764149E-2</v>
      </c>
      <c r="Q18" t="s">
        <v>157</v>
      </c>
      <c r="S18" t="s">
        <v>393</v>
      </c>
      <c r="T18" t="s">
        <v>164</v>
      </c>
      <c r="U18">
        <v>1.4594572402156943E-2</v>
      </c>
      <c r="V18" t="s">
        <v>157</v>
      </c>
      <c r="X18">
        <v>1.4041095890410958E-2</v>
      </c>
      <c r="Y18">
        <v>2.7317703801307713E-2</v>
      </c>
      <c r="Z18" t="s">
        <v>164</v>
      </c>
      <c r="AA18" t="s">
        <v>25</v>
      </c>
      <c r="AC18" t="s">
        <v>22</v>
      </c>
      <c r="AD18" t="s">
        <v>164</v>
      </c>
      <c r="AE18">
        <v>1.1703348680626349E-2</v>
      </c>
      <c r="AG18" t="s">
        <v>98</v>
      </c>
      <c r="AH18" t="s">
        <v>164</v>
      </c>
      <c r="AI18">
        <v>0.15118518290819605</v>
      </c>
    </row>
    <row r="19" spans="9:35" x14ac:dyDescent="0.45">
      <c r="I19" t="s">
        <v>155</v>
      </c>
      <c r="J19" t="s">
        <v>165</v>
      </c>
      <c r="K19">
        <v>7.5383812361668025E-3</v>
      </c>
      <c r="L19" t="s">
        <v>157</v>
      </c>
      <c r="N19" t="s">
        <v>282</v>
      </c>
      <c r="O19" t="s">
        <v>165</v>
      </c>
      <c r="P19">
        <v>1.4953229134783688E-2</v>
      </c>
      <c r="Q19" t="s">
        <v>157</v>
      </c>
      <c r="S19" t="s">
        <v>393</v>
      </c>
      <c r="T19" t="s">
        <v>165</v>
      </c>
      <c r="U19">
        <v>1.4475496738635825E-2</v>
      </c>
      <c r="V19" t="s">
        <v>157</v>
      </c>
      <c r="X19">
        <v>1.4041095890410958E-2</v>
      </c>
      <c r="Y19">
        <v>2.1201799965194036E-2</v>
      </c>
      <c r="Z19" t="s">
        <v>165</v>
      </c>
      <c r="AA19" t="s">
        <v>25</v>
      </c>
      <c r="AC19" t="s">
        <v>22</v>
      </c>
      <c r="AD19" t="s">
        <v>165</v>
      </c>
      <c r="AE19">
        <v>1.409640442726794E-2</v>
      </c>
      <c r="AG19" t="s">
        <v>98</v>
      </c>
      <c r="AH19" t="s">
        <v>165</v>
      </c>
      <c r="AI19">
        <v>0.16600179306252505</v>
      </c>
    </row>
    <row r="20" spans="9:35" x14ac:dyDescent="0.45">
      <c r="I20" t="s">
        <v>155</v>
      </c>
      <c r="J20" t="s">
        <v>166</v>
      </c>
      <c r="K20">
        <v>2.3727470973064889E-4</v>
      </c>
      <c r="L20" t="s">
        <v>157</v>
      </c>
      <c r="N20" t="s">
        <v>282</v>
      </c>
      <c r="O20" t="s">
        <v>166</v>
      </c>
      <c r="P20">
        <v>7.1880422383122269E-2</v>
      </c>
      <c r="Q20" t="s">
        <v>157</v>
      </c>
      <c r="S20" t="s">
        <v>393</v>
      </c>
      <c r="T20" t="s">
        <v>166</v>
      </c>
      <c r="U20">
        <v>7.2369651385654016E-2</v>
      </c>
      <c r="V20" t="s">
        <v>157</v>
      </c>
      <c r="X20">
        <v>7.0205479452054798E-2</v>
      </c>
      <c r="Y20">
        <v>5.3004499912985108E-2</v>
      </c>
      <c r="Z20" t="s">
        <v>166</v>
      </c>
      <c r="AA20" t="s">
        <v>25</v>
      </c>
      <c r="AC20" t="s">
        <v>22</v>
      </c>
      <c r="AD20" t="s">
        <v>166</v>
      </c>
      <c r="AE20">
        <v>8.2539770616859437E-2</v>
      </c>
      <c r="AG20" t="s">
        <v>98</v>
      </c>
      <c r="AH20" t="s">
        <v>166</v>
      </c>
      <c r="AI20">
        <v>0.2392671431300557</v>
      </c>
    </row>
    <row r="21" spans="9:35" x14ac:dyDescent="0.45">
      <c r="I21" t="s">
        <v>155</v>
      </c>
      <c r="J21" t="s">
        <v>167</v>
      </c>
      <c r="K21">
        <v>1.7170877200821173E-2</v>
      </c>
      <c r="L21" t="s">
        <v>157</v>
      </c>
      <c r="N21" t="s">
        <v>282</v>
      </c>
      <c r="O21" t="s">
        <v>167</v>
      </c>
      <c r="P21">
        <v>3.6271621547644302E-2</v>
      </c>
      <c r="Q21" t="s">
        <v>157</v>
      </c>
      <c r="S21" t="s">
        <v>393</v>
      </c>
      <c r="T21" t="s">
        <v>167</v>
      </c>
      <c r="U21">
        <v>4.6998702015236676E-2</v>
      </c>
      <c r="V21" t="s">
        <v>157</v>
      </c>
      <c r="X21">
        <v>4.8744292237442921E-2</v>
      </c>
      <c r="Y21">
        <v>1.9250014502482003E-2</v>
      </c>
      <c r="Z21" t="s">
        <v>167</v>
      </c>
      <c r="AA21" t="s">
        <v>25</v>
      </c>
      <c r="AC21" t="s">
        <v>22</v>
      </c>
      <c r="AD21" t="s">
        <v>167</v>
      </c>
      <c r="AE21">
        <v>5.2561570545679032E-2</v>
      </c>
      <c r="AG21" t="s">
        <v>98</v>
      </c>
      <c r="AH21" t="s">
        <v>167</v>
      </c>
      <c r="AI21">
        <v>7.8199338361619963E-2</v>
      </c>
    </row>
    <row r="22" spans="9:35" x14ac:dyDescent="0.45">
      <c r="I22" t="s">
        <v>155</v>
      </c>
      <c r="J22" t="s">
        <v>168</v>
      </c>
      <c r="K22">
        <v>0.22468963545460757</v>
      </c>
      <c r="L22" t="s">
        <v>157</v>
      </c>
      <c r="N22" t="s">
        <v>282</v>
      </c>
      <c r="O22" t="s">
        <v>168</v>
      </c>
      <c r="P22">
        <v>6.2883428245040243E-2</v>
      </c>
      <c r="Q22" t="s">
        <v>157</v>
      </c>
      <c r="S22" t="s">
        <v>393</v>
      </c>
      <c r="T22" t="s">
        <v>168</v>
      </c>
      <c r="U22">
        <v>6.5004888800884314E-2</v>
      </c>
      <c r="V22" t="s">
        <v>157</v>
      </c>
      <c r="X22">
        <v>6.9634703196347028E-2</v>
      </c>
      <c r="Y22">
        <v>9.75239705309566E-2</v>
      </c>
      <c r="Z22" t="s">
        <v>168</v>
      </c>
      <c r="AA22" t="s">
        <v>25</v>
      </c>
      <c r="AC22" t="s">
        <v>22</v>
      </c>
      <c r="AD22" t="s">
        <v>168</v>
      </c>
      <c r="AE22">
        <v>5.6039139051095449E-2</v>
      </c>
      <c r="AG22" t="s">
        <v>98</v>
      </c>
      <c r="AH22" t="s">
        <v>168</v>
      </c>
      <c r="AI22">
        <v>0.26418489201370532</v>
      </c>
    </row>
    <row r="23" spans="9:35" x14ac:dyDescent="0.45">
      <c r="I23" t="s">
        <v>155</v>
      </c>
      <c r="J23" t="s">
        <v>169</v>
      </c>
      <c r="K23">
        <v>1.7458183762189015E-2</v>
      </c>
      <c r="L23" t="s">
        <v>157</v>
      </c>
      <c r="N23" t="s">
        <v>282</v>
      </c>
      <c r="O23" t="s">
        <v>169</v>
      </c>
      <c r="P23">
        <v>5.9821948361042012E-3</v>
      </c>
      <c r="Q23" t="s">
        <v>157</v>
      </c>
      <c r="S23" t="s">
        <v>393</v>
      </c>
      <c r="T23" t="s">
        <v>169</v>
      </c>
      <c r="U23">
        <v>6.2899086075166441E-3</v>
      </c>
      <c r="V23" t="s">
        <v>157</v>
      </c>
      <c r="X23">
        <v>6.9634703196347035E-3</v>
      </c>
      <c r="Y23">
        <v>1.354780432422577E-2</v>
      </c>
      <c r="Z23" t="s">
        <v>169</v>
      </c>
      <c r="AA23" t="s">
        <v>25</v>
      </c>
      <c r="AC23" t="s">
        <v>22</v>
      </c>
      <c r="AD23" t="s">
        <v>169</v>
      </c>
      <c r="AE23">
        <v>5.6920132626679014E-3</v>
      </c>
      <c r="AG23" t="s">
        <v>98</v>
      </c>
      <c r="AH23" t="s">
        <v>169</v>
      </c>
      <c r="AI23">
        <v>6.2906150128901439E-2</v>
      </c>
    </row>
    <row r="24" spans="9:35" x14ac:dyDescent="0.45">
      <c r="I24" t="s">
        <v>155</v>
      </c>
      <c r="J24" t="s">
        <v>170</v>
      </c>
      <c r="K24">
        <v>1.3788214641995006E-2</v>
      </c>
      <c r="L24" t="s">
        <v>157</v>
      </c>
      <c r="N24" t="s">
        <v>282</v>
      </c>
      <c r="O24" t="s">
        <v>170</v>
      </c>
      <c r="P24">
        <v>5.7526413568981423E-3</v>
      </c>
      <c r="Q24" t="s">
        <v>157</v>
      </c>
      <c r="S24" t="s">
        <v>393</v>
      </c>
      <c r="T24" t="s">
        <v>170</v>
      </c>
      <c r="U24">
        <v>6.3468258486081746E-3</v>
      </c>
      <c r="V24" t="s">
        <v>157</v>
      </c>
      <c r="X24">
        <v>6.9634703196347035E-3</v>
      </c>
      <c r="Y24">
        <v>1.0514713803876726E-2</v>
      </c>
      <c r="Z24" t="s">
        <v>170</v>
      </c>
      <c r="AA24" t="s">
        <v>25</v>
      </c>
      <c r="AC24" t="s">
        <v>22</v>
      </c>
      <c r="AD24" t="s">
        <v>170</v>
      </c>
      <c r="AE24">
        <v>6.6306489282295595E-3</v>
      </c>
      <c r="AG24" t="s">
        <v>98</v>
      </c>
      <c r="AH24" t="s">
        <v>170</v>
      </c>
      <c r="AI24">
        <v>0.10201043440940971</v>
      </c>
    </row>
    <row r="25" spans="9:35" x14ac:dyDescent="0.45">
      <c r="I25" t="s">
        <v>155</v>
      </c>
      <c r="J25" t="s">
        <v>171</v>
      </c>
      <c r="K25">
        <v>9.9947605503863009E-3</v>
      </c>
      <c r="L25" t="s">
        <v>157</v>
      </c>
      <c r="N25" t="s">
        <v>282</v>
      </c>
      <c r="O25" t="s">
        <v>171</v>
      </c>
      <c r="P25">
        <v>2.6131037835420482E-2</v>
      </c>
      <c r="Q25" t="s">
        <v>157</v>
      </c>
      <c r="S25" t="s">
        <v>393</v>
      </c>
      <c r="T25" t="s">
        <v>171</v>
      </c>
      <c r="U25">
        <v>3.1935225206961612E-2</v>
      </c>
      <c r="V25" t="s">
        <v>157</v>
      </c>
      <c r="X25">
        <v>3.4817351598173514E-2</v>
      </c>
      <c r="Y25">
        <v>2.6286784509691803E-2</v>
      </c>
      <c r="Z25" t="s">
        <v>171</v>
      </c>
      <c r="AA25" t="s">
        <v>25</v>
      </c>
      <c r="AC25" t="s">
        <v>22</v>
      </c>
      <c r="AD25" t="s">
        <v>171</v>
      </c>
      <c r="AE25">
        <v>3.6652443895532287E-2</v>
      </c>
      <c r="AG25" t="s">
        <v>98</v>
      </c>
      <c r="AH25" t="s">
        <v>171</v>
      </c>
      <c r="AI25">
        <v>0.10188180178320994</v>
      </c>
    </row>
    <row r="26" spans="9:35" x14ac:dyDescent="0.45">
      <c r="I26" t="s">
        <v>172</v>
      </c>
      <c r="J26" t="s">
        <v>156</v>
      </c>
      <c r="K26">
        <v>1.1607738816134319E-2</v>
      </c>
      <c r="L26" t="s">
        <v>157</v>
      </c>
      <c r="N26" t="s">
        <v>283</v>
      </c>
      <c r="O26" t="s">
        <v>156</v>
      </c>
      <c r="P26">
        <v>0.12603068490622943</v>
      </c>
      <c r="Q26" t="s">
        <v>157</v>
      </c>
      <c r="S26" t="s">
        <v>394</v>
      </c>
      <c r="T26" t="s">
        <v>156</v>
      </c>
      <c r="U26">
        <v>0.14127672590882373</v>
      </c>
      <c r="V26" t="s">
        <v>157</v>
      </c>
      <c r="AC26" t="s">
        <v>19</v>
      </c>
      <c r="AD26" t="s">
        <v>156</v>
      </c>
      <c r="AE26">
        <v>0.1458917092733289</v>
      </c>
    </row>
    <row r="27" spans="9:35" x14ac:dyDescent="0.45">
      <c r="I27" t="s">
        <v>172</v>
      </c>
      <c r="J27" t="s">
        <v>158</v>
      </c>
      <c r="K27">
        <v>0.38575529761517641</v>
      </c>
      <c r="L27" t="s">
        <v>157</v>
      </c>
      <c r="N27" t="s">
        <v>283</v>
      </c>
      <c r="O27" t="s">
        <v>158</v>
      </c>
      <c r="P27">
        <v>0.19672340750378875</v>
      </c>
      <c r="Q27" t="s">
        <v>157</v>
      </c>
      <c r="S27" t="s">
        <v>394</v>
      </c>
      <c r="T27" t="s">
        <v>158</v>
      </c>
      <c r="U27">
        <v>0.20509123777366634</v>
      </c>
      <c r="V27" t="s">
        <v>157</v>
      </c>
      <c r="AC27" t="s">
        <v>19</v>
      </c>
      <c r="AD27" t="s">
        <v>158</v>
      </c>
      <c r="AE27">
        <v>0.20492341306209061</v>
      </c>
    </row>
    <row r="28" spans="9:35" x14ac:dyDescent="0.45">
      <c r="I28" t="s">
        <v>172</v>
      </c>
      <c r="J28" t="s">
        <v>159</v>
      </c>
      <c r="K28">
        <v>2.9095281089448255E-2</v>
      </c>
      <c r="L28" t="s">
        <v>157</v>
      </c>
      <c r="N28" t="s">
        <v>283</v>
      </c>
      <c r="O28" t="s">
        <v>159</v>
      </c>
      <c r="P28">
        <v>2.1093788968654117E-2</v>
      </c>
      <c r="Q28" t="s">
        <v>157</v>
      </c>
      <c r="S28" t="s">
        <v>394</v>
      </c>
      <c r="T28" t="s">
        <v>159</v>
      </c>
      <c r="U28">
        <v>2.0905502036974742E-2</v>
      </c>
      <c r="V28" t="s">
        <v>157</v>
      </c>
      <c r="AC28" t="s">
        <v>19</v>
      </c>
      <c r="AD28" t="s">
        <v>159</v>
      </c>
      <c r="AE28">
        <v>2.0415001931051332E-2</v>
      </c>
    </row>
    <row r="29" spans="9:35" x14ac:dyDescent="0.45">
      <c r="I29" t="s">
        <v>172</v>
      </c>
      <c r="J29" t="s">
        <v>160</v>
      </c>
      <c r="K29">
        <v>2.114063402151891E-2</v>
      </c>
      <c r="L29" t="s">
        <v>157</v>
      </c>
      <c r="N29" t="s">
        <v>283</v>
      </c>
      <c r="O29" t="s">
        <v>160</v>
      </c>
      <c r="P29">
        <v>2.0806248779756537E-2</v>
      </c>
      <c r="Q29" t="s">
        <v>157</v>
      </c>
      <c r="S29" t="s">
        <v>394</v>
      </c>
      <c r="T29" t="s">
        <v>160</v>
      </c>
      <c r="U29">
        <v>2.0772965078354418E-2</v>
      </c>
      <c r="V29" t="s">
        <v>157</v>
      </c>
      <c r="AC29" t="s">
        <v>19</v>
      </c>
      <c r="AD29" t="s">
        <v>160</v>
      </c>
      <c r="AE29">
        <v>2.059231417439826E-2</v>
      </c>
    </row>
    <row r="30" spans="9:35" x14ac:dyDescent="0.45">
      <c r="I30" t="s">
        <v>172</v>
      </c>
      <c r="J30" t="s">
        <v>161</v>
      </c>
      <c r="K30">
        <v>1.0430825468061584E-2</v>
      </c>
      <c r="L30" t="s">
        <v>157</v>
      </c>
      <c r="N30" t="s">
        <v>283</v>
      </c>
      <c r="O30" t="s">
        <v>161</v>
      </c>
      <c r="P30">
        <v>9.6852174468621072E-2</v>
      </c>
      <c r="Q30" t="s">
        <v>157</v>
      </c>
      <c r="S30" t="s">
        <v>394</v>
      </c>
      <c r="T30" t="s">
        <v>161</v>
      </c>
      <c r="U30">
        <v>0.10101101876561445</v>
      </c>
      <c r="V30" t="s">
        <v>157</v>
      </c>
      <c r="AC30" t="s">
        <v>19</v>
      </c>
      <c r="AD30" t="s">
        <v>161</v>
      </c>
      <c r="AE30">
        <v>0.10400757936416422</v>
      </c>
    </row>
    <row r="31" spans="9:35" x14ac:dyDescent="0.45">
      <c r="I31" t="s">
        <v>172</v>
      </c>
      <c r="J31" t="s">
        <v>162</v>
      </c>
      <c r="K31">
        <v>5.3051348182008426E-3</v>
      </c>
      <c r="L31" t="s">
        <v>157</v>
      </c>
      <c r="N31" t="s">
        <v>283</v>
      </c>
      <c r="O31" t="s">
        <v>162</v>
      </c>
      <c r="P31">
        <v>0.11506339477094259</v>
      </c>
      <c r="Q31" t="s">
        <v>157</v>
      </c>
      <c r="S31" t="s">
        <v>394</v>
      </c>
      <c r="T31" t="s">
        <v>162</v>
      </c>
      <c r="U31">
        <v>0.10573633561039487</v>
      </c>
      <c r="V31" t="s">
        <v>157</v>
      </c>
      <c r="AC31" t="s">
        <v>19</v>
      </c>
      <c r="AD31" t="s">
        <v>162</v>
      </c>
      <c r="AE31">
        <v>9.9194735023698993E-2</v>
      </c>
    </row>
    <row r="32" spans="9:35" x14ac:dyDescent="0.45">
      <c r="I32" t="s">
        <v>172</v>
      </c>
      <c r="J32" t="s">
        <v>163</v>
      </c>
      <c r="K32">
        <v>0.24771730029845482</v>
      </c>
      <c r="L32" t="s">
        <v>157</v>
      </c>
      <c r="N32" t="s">
        <v>283</v>
      </c>
      <c r="O32" t="s">
        <v>163</v>
      </c>
      <c r="P32">
        <v>0.1772280973207245</v>
      </c>
      <c r="Q32" t="s">
        <v>157</v>
      </c>
      <c r="S32" t="s">
        <v>394</v>
      </c>
      <c r="T32" t="s">
        <v>163</v>
      </c>
      <c r="U32">
        <v>0.14793583724744377</v>
      </c>
      <c r="V32" t="s">
        <v>157</v>
      </c>
      <c r="AC32" t="s">
        <v>19</v>
      </c>
      <c r="AD32" t="s">
        <v>163</v>
      </c>
      <c r="AE32">
        <v>0.13930860570368736</v>
      </c>
    </row>
    <row r="33" spans="9:31" x14ac:dyDescent="0.45">
      <c r="I33" t="s">
        <v>172</v>
      </c>
      <c r="J33" t="s">
        <v>164</v>
      </c>
      <c r="K33">
        <v>1.7648388340077016E-2</v>
      </c>
      <c r="L33" t="s">
        <v>157</v>
      </c>
      <c r="N33" t="s">
        <v>283</v>
      </c>
      <c r="O33" t="s">
        <v>164</v>
      </c>
      <c r="P33">
        <v>1.7879829739427203E-2</v>
      </c>
      <c r="Q33" t="s">
        <v>157</v>
      </c>
      <c r="S33" t="s">
        <v>394</v>
      </c>
      <c r="T33" t="s">
        <v>164</v>
      </c>
      <c r="U33">
        <v>1.4626890730707626E-2</v>
      </c>
      <c r="V33" t="s">
        <v>157</v>
      </c>
      <c r="AC33" t="s">
        <v>19</v>
      </c>
      <c r="AD33" t="s">
        <v>164</v>
      </c>
      <c r="AE33">
        <v>1.3846017954026164E-2</v>
      </c>
    </row>
    <row r="34" spans="9:31" x14ac:dyDescent="0.45">
      <c r="I34" t="s">
        <v>172</v>
      </c>
      <c r="J34" t="s">
        <v>165</v>
      </c>
      <c r="K34">
        <v>7.9748559391639301E-3</v>
      </c>
      <c r="L34" t="s">
        <v>157</v>
      </c>
      <c r="N34" t="s">
        <v>283</v>
      </c>
      <c r="O34" t="s">
        <v>165</v>
      </c>
      <c r="P34">
        <v>1.7146398533230075E-2</v>
      </c>
      <c r="Q34" t="s">
        <v>157</v>
      </c>
      <c r="S34" t="s">
        <v>394</v>
      </c>
      <c r="T34" t="s">
        <v>165</v>
      </c>
      <c r="U34">
        <v>1.4429943438229164E-2</v>
      </c>
      <c r="V34" t="s">
        <v>157</v>
      </c>
      <c r="AC34" t="s">
        <v>19</v>
      </c>
      <c r="AD34" t="s">
        <v>165</v>
      </c>
      <c r="AE34">
        <v>1.3998193205983755E-2</v>
      </c>
    </row>
    <row r="35" spans="9:31" x14ac:dyDescent="0.45">
      <c r="I35" t="s">
        <v>172</v>
      </c>
      <c r="J35" t="s">
        <v>166</v>
      </c>
      <c r="K35">
        <v>0</v>
      </c>
      <c r="L35" t="s">
        <v>157</v>
      </c>
      <c r="N35" t="s">
        <v>283</v>
      </c>
      <c r="O35" t="s">
        <v>166</v>
      </c>
      <c r="P35">
        <v>8.0899794372281869E-2</v>
      </c>
      <c r="Q35" t="s">
        <v>157</v>
      </c>
      <c r="S35" t="s">
        <v>394</v>
      </c>
      <c r="T35" t="s">
        <v>166</v>
      </c>
      <c r="U35">
        <v>7.1717382134546939E-2</v>
      </c>
      <c r="V35" t="s">
        <v>157</v>
      </c>
      <c r="AC35" t="s">
        <v>19</v>
      </c>
      <c r="AD35" t="s">
        <v>166</v>
      </c>
      <c r="AE35">
        <v>7.0757722473281812E-2</v>
      </c>
    </row>
    <row r="36" spans="9:31" x14ac:dyDescent="0.45">
      <c r="I36" t="s">
        <v>172</v>
      </c>
      <c r="J36" t="s">
        <v>167</v>
      </c>
      <c r="K36">
        <v>1.9904579702332757E-2</v>
      </c>
      <c r="L36" t="s">
        <v>157</v>
      </c>
      <c r="N36" t="s">
        <v>283</v>
      </c>
      <c r="O36" t="s">
        <v>167</v>
      </c>
      <c r="P36">
        <v>2.8266489557720553E-2</v>
      </c>
      <c r="Q36" t="s">
        <v>157</v>
      </c>
      <c r="S36" t="s">
        <v>394</v>
      </c>
      <c r="T36" t="s">
        <v>167</v>
      </c>
      <c r="U36">
        <v>4.6781640686395086E-2</v>
      </c>
      <c r="V36" t="s">
        <v>157</v>
      </c>
      <c r="AC36" t="s">
        <v>19</v>
      </c>
      <c r="AD36" t="s">
        <v>167</v>
      </c>
      <c r="AE36">
        <v>4.9147027247065968E-2</v>
      </c>
    </row>
    <row r="37" spans="9:31" x14ac:dyDescent="0.45">
      <c r="I37" t="s">
        <v>172</v>
      </c>
      <c r="J37" t="s">
        <v>168</v>
      </c>
      <c r="K37">
        <v>0.20891182476011341</v>
      </c>
      <c r="L37" t="s">
        <v>157</v>
      </c>
      <c r="N37" t="s">
        <v>283</v>
      </c>
      <c r="O37" t="s">
        <v>168</v>
      </c>
      <c r="P37">
        <v>6.5408411495604626E-2</v>
      </c>
      <c r="Q37" t="s">
        <v>157</v>
      </c>
      <c r="S37" t="s">
        <v>394</v>
      </c>
      <c r="T37" t="s">
        <v>168</v>
      </c>
      <c r="U37">
        <v>6.4748577325283149E-2</v>
      </c>
      <c r="V37" t="s">
        <v>157</v>
      </c>
      <c r="AC37" t="s">
        <v>19</v>
      </c>
      <c r="AD37" t="s">
        <v>168</v>
      </c>
      <c r="AE37">
        <v>6.8998717869572429E-2</v>
      </c>
    </row>
    <row r="38" spans="9:31" x14ac:dyDescent="0.45">
      <c r="I38" t="s">
        <v>172</v>
      </c>
      <c r="J38" t="s">
        <v>169</v>
      </c>
      <c r="K38">
        <v>1.4841673226751595E-2</v>
      </c>
      <c r="L38" t="s">
        <v>157</v>
      </c>
      <c r="N38" t="s">
        <v>283</v>
      </c>
      <c r="O38" t="s">
        <v>169</v>
      </c>
      <c r="P38">
        <v>7.052608441691032E-3</v>
      </c>
      <c r="Q38" t="s">
        <v>157</v>
      </c>
      <c r="S38" t="s">
        <v>394</v>
      </c>
      <c r="T38" t="s">
        <v>169</v>
      </c>
      <c r="U38">
        <v>6.4497034018635331E-3</v>
      </c>
      <c r="V38" t="s">
        <v>157</v>
      </c>
      <c r="AC38" t="s">
        <v>19</v>
      </c>
      <c r="AD38" t="s">
        <v>169</v>
      </c>
      <c r="AE38">
        <v>6.9054740559192432E-3</v>
      </c>
    </row>
    <row r="39" spans="9:31" x14ac:dyDescent="0.45">
      <c r="I39" t="s">
        <v>172</v>
      </c>
      <c r="J39" t="s">
        <v>170</v>
      </c>
      <c r="K39">
        <v>1.2377418298574933E-2</v>
      </c>
      <c r="L39" t="s">
        <v>157</v>
      </c>
      <c r="N39" t="s">
        <v>283</v>
      </c>
      <c r="O39" t="s">
        <v>170</v>
      </c>
      <c r="P39">
        <v>6.2963304905891892E-3</v>
      </c>
      <c r="Q39" t="s">
        <v>157</v>
      </c>
      <c r="S39" t="s">
        <v>394</v>
      </c>
      <c r="T39" t="s">
        <v>170</v>
      </c>
      <c r="U39">
        <v>6.4258844409099992E-3</v>
      </c>
      <c r="V39" t="s">
        <v>157</v>
      </c>
      <c r="AC39" t="s">
        <v>19</v>
      </c>
      <c r="AD39" t="s">
        <v>170</v>
      </c>
      <c r="AE39">
        <v>6.9651622262026491E-3</v>
      </c>
    </row>
    <row r="40" spans="9:31" x14ac:dyDescent="0.45">
      <c r="I40" t="s">
        <v>172</v>
      </c>
      <c r="J40" t="s">
        <v>171</v>
      </c>
      <c r="K40">
        <v>7.289047605991146E-3</v>
      </c>
      <c r="L40" t="s">
        <v>157</v>
      </c>
      <c r="N40" t="s">
        <v>283</v>
      </c>
      <c r="O40" t="s">
        <v>171</v>
      </c>
      <c r="P40">
        <v>2.3252340650738501E-2</v>
      </c>
      <c r="Q40" t="s">
        <v>157</v>
      </c>
      <c r="S40" t="s">
        <v>394</v>
      </c>
      <c r="T40" t="s">
        <v>171</v>
      </c>
      <c r="U40">
        <v>3.2090355420792256E-2</v>
      </c>
      <c r="V40" t="s">
        <v>157</v>
      </c>
      <c r="AC40" t="s">
        <v>19</v>
      </c>
      <c r="AD40" t="s">
        <v>171</v>
      </c>
      <c r="AE40">
        <v>3.504832643552843E-2</v>
      </c>
    </row>
    <row r="41" spans="9:31" x14ac:dyDescent="0.45">
      <c r="I41" t="s">
        <v>173</v>
      </c>
      <c r="J41" t="s">
        <v>156</v>
      </c>
      <c r="K41">
        <v>1.7663918079105095E-2</v>
      </c>
      <c r="L41" t="s">
        <v>157</v>
      </c>
      <c r="N41" t="s">
        <v>284</v>
      </c>
      <c r="O41" t="s">
        <v>156</v>
      </c>
      <c r="P41">
        <v>0.14215104656079183</v>
      </c>
      <c r="Q41" t="s">
        <v>157</v>
      </c>
      <c r="S41" t="s">
        <v>395</v>
      </c>
      <c r="T41" t="s">
        <v>156</v>
      </c>
      <c r="U41">
        <v>0.14192454112184197</v>
      </c>
      <c r="V41" t="s">
        <v>157</v>
      </c>
    </row>
    <row r="42" spans="9:31" x14ac:dyDescent="0.45">
      <c r="I42" t="s">
        <v>173</v>
      </c>
      <c r="J42" t="s">
        <v>158</v>
      </c>
      <c r="K42">
        <v>0.41933623625565358</v>
      </c>
      <c r="L42" t="s">
        <v>157</v>
      </c>
      <c r="N42" t="s">
        <v>284</v>
      </c>
      <c r="O42" t="s">
        <v>158</v>
      </c>
      <c r="P42">
        <v>0.18450899713847893</v>
      </c>
      <c r="Q42" t="s">
        <v>157</v>
      </c>
      <c r="S42" t="s">
        <v>395</v>
      </c>
      <c r="T42" t="s">
        <v>158</v>
      </c>
      <c r="U42">
        <v>0.20669862968620434</v>
      </c>
      <c r="V42" t="s">
        <v>157</v>
      </c>
    </row>
    <row r="43" spans="9:31" x14ac:dyDescent="0.45">
      <c r="I43" t="s">
        <v>173</v>
      </c>
      <c r="J43" t="s">
        <v>159</v>
      </c>
      <c r="K43">
        <v>2.5814974124550451E-2</v>
      </c>
      <c r="L43" t="s">
        <v>157</v>
      </c>
      <c r="N43" t="s">
        <v>284</v>
      </c>
      <c r="O43" t="s">
        <v>159</v>
      </c>
      <c r="P43">
        <v>1.9913464736197563E-2</v>
      </c>
      <c r="Q43" t="s">
        <v>157</v>
      </c>
      <c r="S43" t="s">
        <v>395</v>
      </c>
      <c r="T43" t="s">
        <v>159</v>
      </c>
      <c r="U43">
        <v>2.0951432922281459E-2</v>
      </c>
      <c r="V43" t="s">
        <v>157</v>
      </c>
    </row>
    <row r="44" spans="9:31" x14ac:dyDescent="0.45">
      <c r="I44" t="s">
        <v>173</v>
      </c>
      <c r="J44" t="s">
        <v>160</v>
      </c>
      <c r="K44">
        <v>1.3840160529030022E-2</v>
      </c>
      <c r="L44" t="s">
        <v>157</v>
      </c>
      <c r="N44" t="s">
        <v>284</v>
      </c>
      <c r="O44" t="s">
        <v>160</v>
      </c>
      <c r="P44">
        <v>2.0536384625331545E-2</v>
      </c>
      <c r="Q44" t="s">
        <v>157</v>
      </c>
      <c r="S44" t="s">
        <v>395</v>
      </c>
      <c r="T44" t="s">
        <v>160</v>
      </c>
      <c r="U44">
        <v>2.0694883164342814E-2</v>
      </c>
      <c r="V44" t="s">
        <v>157</v>
      </c>
    </row>
    <row r="45" spans="9:31" x14ac:dyDescent="0.45">
      <c r="I45" t="s">
        <v>173</v>
      </c>
      <c r="J45" t="s">
        <v>161</v>
      </c>
      <c r="K45">
        <v>1.6147152418219803E-4</v>
      </c>
      <c r="L45" t="s">
        <v>157</v>
      </c>
      <c r="N45" t="s">
        <v>284</v>
      </c>
      <c r="O45" t="s">
        <v>161</v>
      </c>
      <c r="P45">
        <v>0.1063106703742326</v>
      </c>
      <c r="Q45" t="s">
        <v>157</v>
      </c>
      <c r="S45" t="s">
        <v>395</v>
      </c>
      <c r="T45" t="s">
        <v>161</v>
      </c>
      <c r="U45">
        <v>0.1010794639367411</v>
      </c>
      <c r="V45" t="s">
        <v>157</v>
      </c>
    </row>
    <row r="46" spans="9:31" x14ac:dyDescent="0.45">
      <c r="I46" t="s">
        <v>173</v>
      </c>
      <c r="J46" t="s">
        <v>162</v>
      </c>
      <c r="K46">
        <v>9.4744894181493025E-3</v>
      </c>
      <c r="L46" t="s">
        <v>157</v>
      </c>
      <c r="N46" t="s">
        <v>284</v>
      </c>
      <c r="O46" t="s">
        <v>162</v>
      </c>
      <c r="P46">
        <v>0.11318980771160232</v>
      </c>
      <c r="Q46" t="s">
        <v>157</v>
      </c>
      <c r="S46" t="s">
        <v>395</v>
      </c>
      <c r="T46" t="s">
        <v>162</v>
      </c>
      <c r="U46">
        <v>0.10402277657675767</v>
      </c>
      <c r="V46" t="s">
        <v>157</v>
      </c>
    </row>
    <row r="47" spans="9:31" x14ac:dyDescent="0.45">
      <c r="I47" t="s">
        <v>173</v>
      </c>
      <c r="J47" t="s">
        <v>163</v>
      </c>
      <c r="K47">
        <v>0.24898272021846138</v>
      </c>
      <c r="L47" t="s">
        <v>157</v>
      </c>
      <c r="N47" t="s">
        <v>284</v>
      </c>
      <c r="O47" t="s">
        <v>163</v>
      </c>
      <c r="P47">
        <v>0.16205286850184564</v>
      </c>
      <c r="Q47" t="s">
        <v>157</v>
      </c>
      <c r="S47" t="s">
        <v>395</v>
      </c>
      <c r="T47" t="s">
        <v>163</v>
      </c>
      <c r="U47">
        <v>0.14728490192078936</v>
      </c>
      <c r="V47" t="s">
        <v>157</v>
      </c>
    </row>
    <row r="48" spans="9:31" x14ac:dyDescent="0.45">
      <c r="I48" t="s">
        <v>173</v>
      </c>
      <c r="J48" t="s">
        <v>164</v>
      </c>
      <c r="K48">
        <v>1.1336563251478179E-2</v>
      </c>
      <c r="L48" t="s">
        <v>157</v>
      </c>
      <c r="N48" t="s">
        <v>284</v>
      </c>
      <c r="O48" t="s">
        <v>164</v>
      </c>
      <c r="P48">
        <v>1.6803646335062494E-2</v>
      </c>
      <c r="Q48" t="s">
        <v>157</v>
      </c>
      <c r="S48" t="s">
        <v>395</v>
      </c>
      <c r="T48" t="s">
        <v>164</v>
      </c>
      <c r="U48">
        <v>1.4676849425114394E-2</v>
      </c>
      <c r="V48" t="s">
        <v>157</v>
      </c>
    </row>
    <row r="49" spans="9:22" x14ac:dyDescent="0.45">
      <c r="I49" t="s">
        <v>173</v>
      </c>
      <c r="J49" t="s">
        <v>165</v>
      </c>
      <c r="K49">
        <v>1.2177179685688242E-3</v>
      </c>
      <c r="L49" t="s">
        <v>157</v>
      </c>
      <c r="N49" t="s">
        <v>284</v>
      </c>
      <c r="O49" t="s">
        <v>165</v>
      </c>
      <c r="P49">
        <v>1.6658683712456296E-2</v>
      </c>
      <c r="Q49" t="s">
        <v>157</v>
      </c>
      <c r="S49" t="s">
        <v>395</v>
      </c>
      <c r="T49" t="s">
        <v>165</v>
      </c>
      <c r="U49">
        <v>1.4480550399646576E-2</v>
      </c>
      <c r="V49" t="s">
        <v>157</v>
      </c>
    </row>
    <row r="50" spans="9:22" x14ac:dyDescent="0.45">
      <c r="I50" t="s">
        <v>173</v>
      </c>
      <c r="J50" t="s">
        <v>166</v>
      </c>
      <c r="K50">
        <v>0</v>
      </c>
      <c r="L50" t="s">
        <v>157</v>
      </c>
      <c r="N50" t="s">
        <v>284</v>
      </c>
      <c r="O50" t="s">
        <v>166</v>
      </c>
      <c r="P50">
        <v>8.2156270015097677E-2</v>
      </c>
      <c r="Q50" t="s">
        <v>157</v>
      </c>
      <c r="S50" t="s">
        <v>395</v>
      </c>
      <c r="T50" t="s">
        <v>166</v>
      </c>
      <c r="U50">
        <v>7.1013139274918827E-2</v>
      </c>
      <c r="V50" t="s">
        <v>157</v>
      </c>
    </row>
    <row r="51" spans="9:22" x14ac:dyDescent="0.45">
      <c r="I51" t="s">
        <v>173</v>
      </c>
      <c r="J51" t="s">
        <v>167</v>
      </c>
      <c r="K51">
        <v>2.1432000105166854E-2</v>
      </c>
      <c r="L51" t="s">
        <v>157</v>
      </c>
      <c r="N51" t="s">
        <v>284</v>
      </c>
      <c r="O51" t="s">
        <v>167</v>
      </c>
      <c r="P51">
        <v>3.9214366013167662E-2</v>
      </c>
      <c r="Q51" t="s">
        <v>157</v>
      </c>
      <c r="S51" t="s">
        <v>395</v>
      </c>
      <c r="T51" t="s">
        <v>167</v>
      </c>
      <c r="U51">
        <v>4.6704230578872623E-2</v>
      </c>
      <c r="V51" t="s">
        <v>157</v>
      </c>
    </row>
    <row r="52" spans="9:22" x14ac:dyDescent="0.45">
      <c r="I52" t="s">
        <v>173</v>
      </c>
      <c r="J52" t="s">
        <v>168</v>
      </c>
      <c r="K52">
        <v>0.20589474705041913</v>
      </c>
      <c r="L52" t="s">
        <v>157</v>
      </c>
      <c r="N52" t="s">
        <v>284</v>
      </c>
      <c r="O52" t="s">
        <v>168</v>
      </c>
      <c r="P52">
        <v>5.1602117008473843E-2</v>
      </c>
      <c r="Q52" t="s">
        <v>157</v>
      </c>
      <c r="S52" t="s">
        <v>395</v>
      </c>
      <c r="T52" t="s">
        <v>168</v>
      </c>
      <c r="U52">
        <v>6.5039068597521413E-2</v>
      </c>
      <c r="V52" t="s">
        <v>157</v>
      </c>
    </row>
    <row r="53" spans="9:22" x14ac:dyDescent="0.45">
      <c r="I53" t="s">
        <v>173</v>
      </c>
      <c r="J53" t="s">
        <v>169</v>
      </c>
      <c r="K53">
        <v>1.5111750164544819E-2</v>
      </c>
      <c r="L53" t="s">
        <v>157</v>
      </c>
      <c r="N53" t="s">
        <v>284</v>
      </c>
      <c r="O53" t="s">
        <v>169</v>
      </c>
      <c r="P53">
        <v>6.2074296608514139E-3</v>
      </c>
      <c r="Q53" t="s">
        <v>157</v>
      </c>
      <c r="S53" t="s">
        <v>395</v>
      </c>
      <c r="T53" t="s">
        <v>169</v>
      </c>
      <c r="U53">
        <v>6.5832932207938897E-3</v>
      </c>
      <c r="V53" t="s">
        <v>157</v>
      </c>
    </row>
    <row r="54" spans="9:22" x14ac:dyDescent="0.45">
      <c r="I54" t="s">
        <v>173</v>
      </c>
      <c r="J54" t="s">
        <v>170</v>
      </c>
      <c r="K54">
        <v>9.7123693034143199E-3</v>
      </c>
      <c r="L54" t="s">
        <v>157</v>
      </c>
      <c r="N54" t="s">
        <v>284</v>
      </c>
      <c r="O54" t="s">
        <v>170</v>
      </c>
      <c r="P54">
        <v>6.554552542994932E-3</v>
      </c>
      <c r="Q54" t="s">
        <v>157</v>
      </c>
      <c r="S54" t="s">
        <v>395</v>
      </c>
      <c r="T54" t="s">
        <v>170</v>
      </c>
      <c r="U54">
        <v>6.531080357546952E-3</v>
      </c>
      <c r="V54" t="s">
        <v>157</v>
      </c>
    </row>
    <row r="55" spans="9:22" x14ac:dyDescent="0.45">
      <c r="I55" t="s">
        <v>173</v>
      </c>
      <c r="J55" t="s">
        <v>171</v>
      </c>
      <c r="K55">
        <v>2.0882007275832702E-5</v>
      </c>
      <c r="L55" t="s">
        <v>157</v>
      </c>
      <c r="N55" t="s">
        <v>284</v>
      </c>
      <c r="O55" t="s">
        <v>171</v>
      </c>
      <c r="P55">
        <v>3.2139695063415276E-2</v>
      </c>
      <c r="Q55" t="s">
        <v>157</v>
      </c>
      <c r="S55" t="s">
        <v>395</v>
      </c>
      <c r="T55" t="s">
        <v>171</v>
      </c>
      <c r="U55">
        <v>3.2315158816626603E-2</v>
      </c>
      <c r="V55" t="s">
        <v>157</v>
      </c>
    </row>
    <row r="56" spans="9:22" x14ac:dyDescent="0.45">
      <c r="I56" t="s">
        <v>174</v>
      </c>
      <c r="J56" t="s">
        <v>156</v>
      </c>
      <c r="K56">
        <v>4.5901259840394485E-3</v>
      </c>
      <c r="L56" t="s">
        <v>157</v>
      </c>
      <c r="N56" t="s">
        <v>285</v>
      </c>
      <c r="O56" t="s">
        <v>156</v>
      </c>
      <c r="P56">
        <v>0.12310882807016439</v>
      </c>
      <c r="Q56" t="s">
        <v>157</v>
      </c>
      <c r="S56" t="s">
        <v>396</v>
      </c>
      <c r="T56" t="s">
        <v>156</v>
      </c>
      <c r="U56">
        <v>0.14361836332662595</v>
      </c>
      <c r="V56" t="s">
        <v>157</v>
      </c>
    </row>
    <row r="57" spans="9:22" x14ac:dyDescent="0.45">
      <c r="I57" t="s">
        <v>174</v>
      </c>
      <c r="J57" t="s">
        <v>158</v>
      </c>
      <c r="K57">
        <v>0.4003812399456822</v>
      </c>
      <c r="L57" t="s">
        <v>157</v>
      </c>
      <c r="N57" t="s">
        <v>285</v>
      </c>
      <c r="O57" t="s">
        <v>158</v>
      </c>
      <c r="P57">
        <v>0.18284152465276346</v>
      </c>
      <c r="Q57" t="s">
        <v>157</v>
      </c>
      <c r="S57" t="s">
        <v>396</v>
      </c>
      <c r="T57" t="s">
        <v>158</v>
      </c>
      <c r="U57">
        <v>0.20719976951078486</v>
      </c>
      <c r="V57" t="s">
        <v>157</v>
      </c>
    </row>
    <row r="58" spans="9:22" x14ac:dyDescent="0.45">
      <c r="I58" t="s">
        <v>174</v>
      </c>
      <c r="J58" t="s">
        <v>159</v>
      </c>
      <c r="K58">
        <v>3.7803001266741465E-2</v>
      </c>
      <c r="L58" t="s">
        <v>157</v>
      </c>
      <c r="N58" t="s">
        <v>285</v>
      </c>
      <c r="O58" t="s">
        <v>159</v>
      </c>
      <c r="P58">
        <v>2.0622654953225891E-2</v>
      </c>
      <c r="Q58" t="s">
        <v>157</v>
      </c>
      <c r="S58" t="s">
        <v>396</v>
      </c>
      <c r="T58" t="s">
        <v>159</v>
      </c>
      <c r="U58">
        <v>2.1448711441103045E-2</v>
      </c>
      <c r="V58" t="s">
        <v>157</v>
      </c>
    </row>
    <row r="59" spans="9:22" x14ac:dyDescent="0.45">
      <c r="I59" t="s">
        <v>174</v>
      </c>
      <c r="J59" t="s">
        <v>160</v>
      </c>
      <c r="K59">
        <v>2.6161159031763553E-2</v>
      </c>
      <c r="L59" t="s">
        <v>157</v>
      </c>
      <c r="N59" t="s">
        <v>285</v>
      </c>
      <c r="O59" t="s">
        <v>160</v>
      </c>
      <c r="P59">
        <v>2.022659447086168E-2</v>
      </c>
      <c r="Q59" t="s">
        <v>157</v>
      </c>
      <c r="S59" t="s">
        <v>396</v>
      </c>
      <c r="T59" t="s">
        <v>160</v>
      </c>
      <c r="U59">
        <v>2.11096552763433E-2</v>
      </c>
      <c r="V59" t="s">
        <v>157</v>
      </c>
    </row>
    <row r="60" spans="9:22" x14ac:dyDescent="0.45">
      <c r="I60" t="s">
        <v>174</v>
      </c>
      <c r="J60" t="s">
        <v>161</v>
      </c>
      <c r="K60">
        <v>1.8087474882304614E-2</v>
      </c>
      <c r="L60" t="s">
        <v>157</v>
      </c>
      <c r="N60" t="s">
        <v>285</v>
      </c>
      <c r="O60" t="s">
        <v>161</v>
      </c>
      <c r="P60">
        <v>9.2736526564322616E-2</v>
      </c>
      <c r="Q60" t="s">
        <v>157</v>
      </c>
      <c r="S60" t="s">
        <v>396</v>
      </c>
      <c r="T60" t="s">
        <v>161</v>
      </c>
      <c r="U60">
        <v>0.10181816918184576</v>
      </c>
      <c r="V60" t="s">
        <v>157</v>
      </c>
    </row>
    <row r="61" spans="9:22" x14ac:dyDescent="0.45">
      <c r="I61" t="s">
        <v>174</v>
      </c>
      <c r="J61" t="s">
        <v>162</v>
      </c>
      <c r="K61">
        <v>1.8421982356825971E-3</v>
      </c>
      <c r="L61" t="s">
        <v>157</v>
      </c>
      <c r="N61" t="s">
        <v>285</v>
      </c>
      <c r="O61" t="s">
        <v>162</v>
      </c>
      <c r="P61">
        <v>0.12258452538173388</v>
      </c>
      <c r="Q61" t="s">
        <v>157</v>
      </c>
      <c r="S61" t="s">
        <v>396</v>
      </c>
      <c r="T61" t="s">
        <v>162</v>
      </c>
      <c r="U61">
        <v>0.10111546165281443</v>
      </c>
      <c r="V61" t="s">
        <v>157</v>
      </c>
    </row>
    <row r="62" spans="9:22" x14ac:dyDescent="0.45">
      <c r="I62" t="s">
        <v>174</v>
      </c>
      <c r="J62" t="s">
        <v>163</v>
      </c>
      <c r="K62">
        <v>0.22994392522978069</v>
      </c>
      <c r="L62" t="s">
        <v>157</v>
      </c>
      <c r="N62" t="s">
        <v>285</v>
      </c>
      <c r="O62" t="s">
        <v>163</v>
      </c>
      <c r="P62">
        <v>0.17083500872227139</v>
      </c>
      <c r="Q62" t="s">
        <v>157</v>
      </c>
      <c r="S62" t="s">
        <v>396</v>
      </c>
      <c r="T62" t="s">
        <v>163</v>
      </c>
      <c r="U62">
        <v>0.1441666293919415</v>
      </c>
      <c r="V62" t="s">
        <v>157</v>
      </c>
    </row>
    <row r="63" spans="9:22" x14ac:dyDescent="0.45">
      <c r="I63" t="s">
        <v>174</v>
      </c>
      <c r="J63" t="s">
        <v>164</v>
      </c>
      <c r="K63">
        <v>2.2403094963066129E-2</v>
      </c>
      <c r="L63" t="s">
        <v>157</v>
      </c>
      <c r="N63" t="s">
        <v>285</v>
      </c>
      <c r="O63" t="s">
        <v>164</v>
      </c>
      <c r="P63">
        <v>1.6833758713086053E-2</v>
      </c>
      <c r="Q63" t="s">
        <v>157</v>
      </c>
      <c r="S63" t="s">
        <v>396</v>
      </c>
      <c r="T63" t="s">
        <v>164</v>
      </c>
      <c r="U63">
        <v>1.4630619475177622E-2</v>
      </c>
      <c r="V63" t="s">
        <v>157</v>
      </c>
    </row>
    <row r="64" spans="9:22" x14ac:dyDescent="0.45">
      <c r="I64" t="s">
        <v>174</v>
      </c>
      <c r="J64" t="s">
        <v>165</v>
      </c>
      <c r="K64">
        <v>1.2125967886925274E-2</v>
      </c>
      <c r="L64" t="s">
        <v>157</v>
      </c>
      <c r="N64" t="s">
        <v>285</v>
      </c>
      <c r="O64" t="s">
        <v>165</v>
      </c>
      <c r="P64">
        <v>1.6426632743454378E-2</v>
      </c>
      <c r="Q64" t="s">
        <v>157</v>
      </c>
      <c r="S64" t="s">
        <v>396</v>
      </c>
      <c r="T64" t="s">
        <v>165</v>
      </c>
      <c r="U64">
        <v>1.4570951846910601E-2</v>
      </c>
      <c r="V64" t="s">
        <v>157</v>
      </c>
    </row>
    <row r="65" spans="9:22" x14ac:dyDescent="0.45">
      <c r="I65" t="s">
        <v>174</v>
      </c>
      <c r="J65" t="s">
        <v>166</v>
      </c>
      <c r="K65">
        <v>1.1936490916775878E-3</v>
      </c>
      <c r="L65" t="s">
        <v>157</v>
      </c>
      <c r="N65" t="s">
        <v>285</v>
      </c>
      <c r="O65" t="s">
        <v>166</v>
      </c>
      <c r="P65">
        <v>8.2580383791841031E-2</v>
      </c>
      <c r="Q65" t="s">
        <v>157</v>
      </c>
      <c r="S65" t="s">
        <v>396</v>
      </c>
      <c r="T65" t="s">
        <v>166</v>
      </c>
      <c r="U65">
        <v>7.1139125642049897E-2</v>
      </c>
      <c r="V65" t="s">
        <v>157</v>
      </c>
    </row>
    <row r="66" spans="9:22" x14ac:dyDescent="0.45">
      <c r="I66" t="s">
        <v>174</v>
      </c>
      <c r="J66" t="s">
        <v>167</v>
      </c>
      <c r="K66">
        <v>8.7162319510344591E-3</v>
      </c>
      <c r="L66" t="s">
        <v>157</v>
      </c>
      <c r="N66" t="s">
        <v>285</v>
      </c>
      <c r="O66" t="s">
        <v>167</v>
      </c>
      <c r="P66">
        <v>4.2406946102215522E-2</v>
      </c>
      <c r="Q66" t="s">
        <v>157</v>
      </c>
      <c r="S66" t="s">
        <v>396</v>
      </c>
      <c r="T66" t="s">
        <v>167</v>
      </c>
      <c r="U66">
        <v>4.7207403286630992E-2</v>
      </c>
      <c r="V66" t="s">
        <v>157</v>
      </c>
    </row>
    <row r="67" spans="9:22" x14ac:dyDescent="0.45">
      <c r="I67" t="s">
        <v>174</v>
      </c>
      <c r="J67" t="s">
        <v>168</v>
      </c>
      <c r="K67">
        <v>0.19687296589085526</v>
      </c>
      <c r="L67" t="s">
        <v>157</v>
      </c>
      <c r="N67" t="s">
        <v>285</v>
      </c>
      <c r="O67" t="s">
        <v>168</v>
      </c>
      <c r="P67">
        <v>6.5074858281673711E-2</v>
      </c>
      <c r="Q67" t="s">
        <v>157</v>
      </c>
      <c r="S67" t="s">
        <v>396</v>
      </c>
      <c r="T67" t="s">
        <v>168</v>
      </c>
      <c r="U67">
        <v>6.6246418498120893E-2</v>
      </c>
      <c r="V67" t="s">
        <v>157</v>
      </c>
    </row>
    <row r="68" spans="9:22" x14ac:dyDescent="0.45">
      <c r="I68" t="s">
        <v>174</v>
      </c>
      <c r="J68" t="s">
        <v>169</v>
      </c>
      <c r="K68">
        <v>1.6085376467578204E-2</v>
      </c>
      <c r="L68" t="s">
        <v>157</v>
      </c>
      <c r="N68" t="s">
        <v>285</v>
      </c>
      <c r="O68" t="s">
        <v>169</v>
      </c>
      <c r="P68">
        <v>6.8983539298836972E-3</v>
      </c>
      <c r="Q68" t="s">
        <v>157</v>
      </c>
      <c r="S68" t="s">
        <v>396</v>
      </c>
      <c r="T68" t="s">
        <v>169</v>
      </c>
      <c r="U68">
        <v>6.6711837008130749E-3</v>
      </c>
      <c r="V68" t="s">
        <v>157</v>
      </c>
    </row>
    <row r="69" spans="9:22" x14ac:dyDescent="0.45">
      <c r="I69" t="s">
        <v>174</v>
      </c>
      <c r="J69" t="s">
        <v>170</v>
      </c>
      <c r="K69">
        <v>1.3368587834934002E-2</v>
      </c>
      <c r="L69" t="s">
        <v>157</v>
      </c>
      <c r="N69" t="s">
        <v>285</v>
      </c>
      <c r="O69" t="s">
        <v>170</v>
      </c>
      <c r="P69">
        <v>6.5406137118757266E-3</v>
      </c>
      <c r="Q69" t="s">
        <v>157</v>
      </c>
      <c r="S69" t="s">
        <v>396</v>
      </c>
      <c r="T69" t="s">
        <v>170</v>
      </c>
      <c r="U69">
        <v>6.636080011380348E-3</v>
      </c>
      <c r="V69" t="s">
        <v>157</v>
      </c>
    </row>
    <row r="70" spans="9:22" x14ac:dyDescent="0.45">
      <c r="I70" t="s">
        <v>174</v>
      </c>
      <c r="J70" t="s">
        <v>171</v>
      </c>
      <c r="K70">
        <v>1.0425001337934508E-2</v>
      </c>
      <c r="L70" t="s">
        <v>157</v>
      </c>
      <c r="N70" t="s">
        <v>285</v>
      </c>
      <c r="O70" t="s">
        <v>171</v>
      </c>
      <c r="P70">
        <v>3.028278991062662E-2</v>
      </c>
      <c r="Q70" t="s">
        <v>157</v>
      </c>
      <c r="S70" t="s">
        <v>396</v>
      </c>
      <c r="T70" t="s">
        <v>171</v>
      </c>
      <c r="U70">
        <v>3.2421457757457743E-2</v>
      </c>
      <c r="V70" t="s">
        <v>157</v>
      </c>
    </row>
    <row r="71" spans="9:22" x14ac:dyDescent="0.45">
      <c r="I71" t="s">
        <v>175</v>
      </c>
      <c r="J71" t="s">
        <v>156</v>
      </c>
      <c r="K71">
        <v>4.5844575903835555E-3</v>
      </c>
      <c r="L71" t="s">
        <v>157</v>
      </c>
      <c r="N71" t="s">
        <v>286</v>
      </c>
      <c r="O71" t="s">
        <v>156</v>
      </c>
      <c r="P71">
        <v>0.11264325051713692</v>
      </c>
      <c r="Q71" t="s">
        <v>157</v>
      </c>
      <c r="S71" t="s">
        <v>397</v>
      </c>
      <c r="T71" t="s">
        <v>156</v>
      </c>
      <c r="U71">
        <v>0.14374979119236081</v>
      </c>
      <c r="V71" t="s">
        <v>157</v>
      </c>
    </row>
    <row r="72" spans="9:22" x14ac:dyDescent="0.45">
      <c r="I72" t="s">
        <v>175</v>
      </c>
      <c r="J72" t="s">
        <v>158</v>
      </c>
      <c r="K72">
        <v>0.40470641381129741</v>
      </c>
      <c r="L72" t="s">
        <v>157</v>
      </c>
      <c r="N72" t="s">
        <v>286</v>
      </c>
      <c r="O72" t="s">
        <v>158</v>
      </c>
      <c r="P72">
        <v>0.18105458072676842</v>
      </c>
      <c r="Q72" t="s">
        <v>157</v>
      </c>
      <c r="S72" t="s">
        <v>397</v>
      </c>
      <c r="T72" t="s">
        <v>158</v>
      </c>
      <c r="U72">
        <v>0.2064528471703129</v>
      </c>
      <c r="V72" t="s">
        <v>157</v>
      </c>
    </row>
    <row r="73" spans="9:22" x14ac:dyDescent="0.45">
      <c r="I73" t="s">
        <v>175</v>
      </c>
      <c r="J73" t="s">
        <v>159</v>
      </c>
      <c r="K73">
        <v>3.8230420242363408E-2</v>
      </c>
      <c r="L73" t="s">
        <v>157</v>
      </c>
      <c r="N73" t="s">
        <v>286</v>
      </c>
      <c r="O73" t="s">
        <v>159</v>
      </c>
      <c r="P73">
        <v>2.2270596000966585E-2</v>
      </c>
      <c r="Q73" t="s">
        <v>157</v>
      </c>
      <c r="S73" t="s">
        <v>397</v>
      </c>
      <c r="T73" t="s">
        <v>159</v>
      </c>
      <c r="U73">
        <v>2.1367900031306085E-2</v>
      </c>
      <c r="V73" t="s">
        <v>157</v>
      </c>
    </row>
    <row r="74" spans="9:22" x14ac:dyDescent="0.45">
      <c r="I74" t="s">
        <v>175</v>
      </c>
      <c r="J74" t="s">
        <v>160</v>
      </c>
      <c r="K74">
        <v>2.6326842591020045E-2</v>
      </c>
      <c r="L74" t="s">
        <v>157</v>
      </c>
      <c r="N74" t="s">
        <v>286</v>
      </c>
      <c r="O74" t="s">
        <v>160</v>
      </c>
      <c r="P74">
        <v>2.1049250357540822E-2</v>
      </c>
      <c r="Q74" t="s">
        <v>157</v>
      </c>
      <c r="S74" t="s">
        <v>397</v>
      </c>
      <c r="T74" t="s">
        <v>160</v>
      </c>
      <c r="U74">
        <v>2.10759827630079E-2</v>
      </c>
      <c r="V74" t="s">
        <v>157</v>
      </c>
    </row>
    <row r="75" spans="9:22" x14ac:dyDescent="0.45">
      <c r="I75" t="s">
        <v>175</v>
      </c>
      <c r="J75" t="s">
        <v>161</v>
      </c>
      <c r="K75">
        <v>1.8034512709825506E-2</v>
      </c>
      <c r="L75" t="s">
        <v>157</v>
      </c>
      <c r="N75" t="s">
        <v>286</v>
      </c>
      <c r="O75" t="s">
        <v>161</v>
      </c>
      <c r="P75">
        <v>8.8261147793701755E-2</v>
      </c>
      <c r="Q75" t="s">
        <v>157</v>
      </c>
      <c r="S75" t="s">
        <v>397</v>
      </c>
      <c r="T75" t="s">
        <v>161</v>
      </c>
      <c r="U75">
        <v>0.1024794305938649</v>
      </c>
      <c r="V75" t="s">
        <v>157</v>
      </c>
    </row>
    <row r="76" spans="9:22" x14ac:dyDescent="0.45">
      <c r="I76" t="s">
        <v>175</v>
      </c>
      <c r="J76" t="s">
        <v>162</v>
      </c>
      <c r="K76">
        <v>1.7068803475493316E-3</v>
      </c>
      <c r="L76" t="s">
        <v>157</v>
      </c>
      <c r="N76" t="s">
        <v>286</v>
      </c>
      <c r="O76" t="s">
        <v>162</v>
      </c>
      <c r="P76">
        <v>0.13149770867510249</v>
      </c>
      <c r="Q76" t="s">
        <v>157</v>
      </c>
      <c r="S76" t="s">
        <v>397</v>
      </c>
      <c r="T76" t="s">
        <v>162</v>
      </c>
      <c r="U76">
        <v>0.10137870149759484</v>
      </c>
      <c r="V76" t="s">
        <v>157</v>
      </c>
    </row>
    <row r="77" spans="9:22" x14ac:dyDescent="0.45">
      <c r="I77" t="s">
        <v>175</v>
      </c>
      <c r="J77" t="s">
        <v>163</v>
      </c>
      <c r="K77">
        <v>0.23280307977963943</v>
      </c>
      <c r="L77" t="s">
        <v>157</v>
      </c>
      <c r="N77" t="s">
        <v>286</v>
      </c>
      <c r="O77" t="s">
        <v>163</v>
      </c>
      <c r="P77">
        <v>0.18427615156791749</v>
      </c>
      <c r="Q77" t="s">
        <v>157</v>
      </c>
      <c r="S77" t="s">
        <v>397</v>
      </c>
      <c r="T77" t="s">
        <v>163</v>
      </c>
      <c r="U77">
        <v>0.14491575827453684</v>
      </c>
      <c r="V77" t="s">
        <v>157</v>
      </c>
    </row>
    <row r="78" spans="9:22" x14ac:dyDescent="0.45">
      <c r="I78" t="s">
        <v>175</v>
      </c>
      <c r="J78" t="s">
        <v>164</v>
      </c>
      <c r="K78">
        <v>2.2482425168239659E-2</v>
      </c>
      <c r="L78" t="s">
        <v>157</v>
      </c>
      <c r="N78" t="s">
        <v>286</v>
      </c>
      <c r="O78" t="s">
        <v>164</v>
      </c>
      <c r="P78">
        <v>1.8398198702576946E-2</v>
      </c>
      <c r="Q78" t="s">
        <v>157</v>
      </c>
      <c r="S78" t="s">
        <v>397</v>
      </c>
      <c r="T78" t="s">
        <v>164</v>
      </c>
      <c r="U78">
        <v>1.4841846713513091E-2</v>
      </c>
      <c r="V78" t="s">
        <v>157</v>
      </c>
    </row>
    <row r="79" spans="9:22" x14ac:dyDescent="0.45">
      <c r="I79" t="s">
        <v>175</v>
      </c>
      <c r="J79" t="s">
        <v>165</v>
      </c>
      <c r="K79">
        <v>1.250387178178663E-2</v>
      </c>
      <c r="L79" t="s">
        <v>157</v>
      </c>
      <c r="N79" t="s">
        <v>286</v>
      </c>
      <c r="O79" t="s">
        <v>165</v>
      </c>
      <c r="P79">
        <v>1.7772734096223732E-2</v>
      </c>
      <c r="Q79" t="s">
        <v>157</v>
      </c>
      <c r="S79" t="s">
        <v>397</v>
      </c>
      <c r="T79" t="s">
        <v>165</v>
      </c>
      <c r="U79">
        <v>1.4605059289280485E-2</v>
      </c>
      <c r="V79" t="s">
        <v>157</v>
      </c>
    </row>
    <row r="80" spans="9:22" x14ac:dyDescent="0.45">
      <c r="I80" t="s">
        <v>175</v>
      </c>
      <c r="J80" t="s">
        <v>166</v>
      </c>
      <c r="K80">
        <v>1.2603233063731025E-3</v>
      </c>
      <c r="L80" t="s">
        <v>157</v>
      </c>
      <c r="N80" t="s">
        <v>286</v>
      </c>
      <c r="O80" t="s">
        <v>166</v>
      </c>
      <c r="P80">
        <v>8.6742799635046441E-2</v>
      </c>
      <c r="Q80" t="s">
        <v>157</v>
      </c>
      <c r="S80" t="s">
        <v>397</v>
      </c>
      <c r="T80" t="s">
        <v>166</v>
      </c>
      <c r="U80">
        <v>7.203345301742381E-2</v>
      </c>
      <c r="V80" t="s">
        <v>157</v>
      </c>
    </row>
    <row r="81" spans="9:22" x14ac:dyDescent="0.45">
      <c r="I81" t="s">
        <v>175</v>
      </c>
      <c r="J81" t="s">
        <v>167</v>
      </c>
      <c r="K81">
        <v>8.2380373281943746E-3</v>
      </c>
      <c r="L81" t="s">
        <v>157</v>
      </c>
      <c r="N81" t="s">
        <v>286</v>
      </c>
      <c r="O81" t="s">
        <v>167</v>
      </c>
      <c r="P81">
        <v>3.4457408921681011E-2</v>
      </c>
      <c r="Q81" t="s">
        <v>157</v>
      </c>
      <c r="S81" t="s">
        <v>397</v>
      </c>
      <c r="T81" t="s">
        <v>167</v>
      </c>
      <c r="U81">
        <v>4.7027066568720993E-2</v>
      </c>
      <c r="V81" t="s">
        <v>157</v>
      </c>
    </row>
    <row r="82" spans="9:22" x14ac:dyDescent="0.45">
      <c r="I82" t="s">
        <v>175</v>
      </c>
      <c r="J82" t="s">
        <v>168</v>
      </c>
      <c r="K82">
        <v>0.1917574897426006</v>
      </c>
      <c r="L82" t="s">
        <v>157</v>
      </c>
      <c r="N82" t="s">
        <v>286</v>
      </c>
      <c r="O82" t="s">
        <v>168</v>
      </c>
      <c r="P82">
        <v>6.2510723878513114E-2</v>
      </c>
      <c r="Q82" t="s">
        <v>157</v>
      </c>
      <c r="S82" t="s">
        <v>397</v>
      </c>
      <c r="T82" t="s">
        <v>168</v>
      </c>
      <c r="U82">
        <v>6.5612091535244749E-2</v>
      </c>
      <c r="V82" t="s">
        <v>157</v>
      </c>
    </row>
    <row r="83" spans="9:22" x14ac:dyDescent="0.45">
      <c r="I83" t="s">
        <v>175</v>
      </c>
      <c r="J83" t="s">
        <v>169</v>
      </c>
      <c r="K83">
        <v>1.5315438773890713E-2</v>
      </c>
      <c r="L83" t="s">
        <v>157</v>
      </c>
      <c r="N83" t="s">
        <v>286</v>
      </c>
      <c r="O83" t="s">
        <v>169</v>
      </c>
      <c r="P83">
        <v>6.8089193783253338E-3</v>
      </c>
      <c r="Q83" t="s">
        <v>157</v>
      </c>
      <c r="S83" t="s">
        <v>397</v>
      </c>
      <c r="T83" t="s">
        <v>169</v>
      </c>
      <c r="U83">
        <v>6.4773877927161161E-3</v>
      </c>
      <c r="V83" t="s">
        <v>157</v>
      </c>
    </row>
    <row r="84" spans="9:22" x14ac:dyDescent="0.45">
      <c r="I84" t="s">
        <v>175</v>
      </c>
      <c r="J84" t="s">
        <v>170</v>
      </c>
      <c r="K84">
        <v>1.2681736465063808E-2</v>
      </c>
      <c r="L84" t="s">
        <v>157</v>
      </c>
      <c r="N84" t="s">
        <v>286</v>
      </c>
      <c r="O84" t="s">
        <v>170</v>
      </c>
      <c r="P84">
        <v>6.1709328049266909E-3</v>
      </c>
      <c r="Q84" t="s">
        <v>157</v>
      </c>
      <c r="S84" t="s">
        <v>397</v>
      </c>
      <c r="T84" t="s">
        <v>170</v>
      </c>
      <c r="U84">
        <v>6.3505193684990063E-3</v>
      </c>
      <c r="V84" t="s">
        <v>157</v>
      </c>
    </row>
    <row r="85" spans="9:22" x14ac:dyDescent="0.45">
      <c r="I85" t="s">
        <v>175</v>
      </c>
      <c r="J85" t="s">
        <v>171</v>
      </c>
      <c r="K85">
        <v>9.3680703617724237E-3</v>
      </c>
      <c r="L85" t="s">
        <v>157</v>
      </c>
      <c r="N85" t="s">
        <v>286</v>
      </c>
      <c r="O85" t="s">
        <v>171</v>
      </c>
      <c r="P85">
        <v>2.608559694357223E-2</v>
      </c>
      <c r="Q85" t="s">
        <v>157</v>
      </c>
      <c r="S85" t="s">
        <v>397</v>
      </c>
      <c r="T85" t="s">
        <v>171</v>
      </c>
      <c r="U85">
        <v>3.1632164191617455E-2</v>
      </c>
      <c r="V85" t="s">
        <v>157</v>
      </c>
    </row>
    <row r="86" spans="9:22" x14ac:dyDescent="0.45">
      <c r="I86" t="s">
        <v>176</v>
      </c>
      <c r="J86" t="s">
        <v>156</v>
      </c>
      <c r="K86">
        <v>4.3062402320730147E-3</v>
      </c>
      <c r="L86" t="s">
        <v>157</v>
      </c>
      <c r="N86" t="s">
        <v>287</v>
      </c>
      <c r="O86" t="s">
        <v>156</v>
      </c>
      <c r="P86">
        <v>0.11364339525818472</v>
      </c>
      <c r="Q86" t="s">
        <v>157</v>
      </c>
      <c r="S86" t="s">
        <v>398</v>
      </c>
      <c r="T86" t="s">
        <v>156</v>
      </c>
      <c r="U86">
        <v>0.14493904516879869</v>
      </c>
      <c r="V86" t="s">
        <v>157</v>
      </c>
    </row>
    <row r="87" spans="9:22" x14ac:dyDescent="0.45">
      <c r="I87" t="s">
        <v>176</v>
      </c>
      <c r="J87" t="s">
        <v>158</v>
      </c>
      <c r="K87">
        <v>0.40739343874651418</v>
      </c>
      <c r="L87" t="s">
        <v>157</v>
      </c>
      <c r="N87" t="s">
        <v>287</v>
      </c>
      <c r="O87" t="s">
        <v>158</v>
      </c>
      <c r="P87">
        <v>0.17760137886270894</v>
      </c>
      <c r="Q87" t="s">
        <v>157</v>
      </c>
      <c r="S87" t="s">
        <v>398</v>
      </c>
      <c r="T87" t="s">
        <v>158</v>
      </c>
      <c r="U87">
        <v>0.21024020911115354</v>
      </c>
      <c r="V87" t="s">
        <v>157</v>
      </c>
    </row>
    <row r="88" spans="9:22" x14ac:dyDescent="0.45">
      <c r="I88" t="s">
        <v>176</v>
      </c>
      <c r="J88" t="s">
        <v>159</v>
      </c>
      <c r="K88">
        <v>3.8851280845248602E-2</v>
      </c>
      <c r="L88" t="s">
        <v>157</v>
      </c>
      <c r="N88" t="s">
        <v>287</v>
      </c>
      <c r="O88" t="s">
        <v>159</v>
      </c>
      <c r="P88">
        <v>2.1277189607368178E-2</v>
      </c>
      <c r="Q88" t="s">
        <v>157</v>
      </c>
      <c r="S88" t="s">
        <v>398</v>
      </c>
      <c r="T88" t="s">
        <v>159</v>
      </c>
      <c r="U88">
        <v>2.118922170352322E-2</v>
      </c>
      <c r="V88" t="s">
        <v>157</v>
      </c>
    </row>
    <row r="89" spans="9:22" x14ac:dyDescent="0.45">
      <c r="I89" t="s">
        <v>176</v>
      </c>
      <c r="J89" t="s">
        <v>160</v>
      </c>
      <c r="K89">
        <v>2.6882368510335021E-2</v>
      </c>
      <c r="L89" t="s">
        <v>157</v>
      </c>
      <c r="N89" t="s">
        <v>287</v>
      </c>
      <c r="O89" t="s">
        <v>160</v>
      </c>
      <c r="P89">
        <v>2.0183541705201917E-2</v>
      </c>
      <c r="Q89" t="s">
        <v>157</v>
      </c>
      <c r="S89" t="s">
        <v>398</v>
      </c>
      <c r="T89" t="s">
        <v>160</v>
      </c>
      <c r="U89">
        <v>2.1049226248171272E-2</v>
      </c>
      <c r="V89" t="s">
        <v>157</v>
      </c>
    </row>
    <row r="90" spans="9:22" x14ac:dyDescent="0.45">
      <c r="I90" t="s">
        <v>176</v>
      </c>
      <c r="J90" t="s">
        <v>161</v>
      </c>
      <c r="K90">
        <v>1.7738946923637568E-2</v>
      </c>
      <c r="L90" t="s">
        <v>157</v>
      </c>
      <c r="N90" t="s">
        <v>287</v>
      </c>
      <c r="O90" t="s">
        <v>161</v>
      </c>
      <c r="P90">
        <v>8.8655484769364773E-2</v>
      </c>
      <c r="Q90" t="s">
        <v>157</v>
      </c>
      <c r="S90" t="s">
        <v>398</v>
      </c>
      <c r="T90" t="s">
        <v>161</v>
      </c>
      <c r="U90">
        <v>0.10371923565032422</v>
      </c>
      <c r="V90" t="s">
        <v>157</v>
      </c>
    </row>
    <row r="91" spans="9:22" x14ac:dyDescent="0.45">
      <c r="I91" t="s">
        <v>176</v>
      </c>
      <c r="J91" t="s">
        <v>162</v>
      </c>
      <c r="K91">
        <v>1.5253681411357782E-3</v>
      </c>
      <c r="L91" t="s">
        <v>157</v>
      </c>
      <c r="N91" t="s">
        <v>287</v>
      </c>
      <c r="O91" t="s">
        <v>162</v>
      </c>
      <c r="P91">
        <v>0.14007521660337782</v>
      </c>
      <c r="Q91" t="s">
        <v>157</v>
      </c>
      <c r="S91" t="s">
        <v>398</v>
      </c>
      <c r="T91" t="s">
        <v>162</v>
      </c>
      <c r="U91">
        <v>9.7794966974426037E-2</v>
      </c>
      <c r="V91" t="s">
        <v>157</v>
      </c>
    </row>
    <row r="92" spans="9:22" x14ac:dyDescent="0.45">
      <c r="I92" t="s">
        <v>176</v>
      </c>
      <c r="J92" t="s">
        <v>163</v>
      </c>
      <c r="K92">
        <v>0.2333473449003273</v>
      </c>
      <c r="L92" t="s">
        <v>157</v>
      </c>
      <c r="N92" t="s">
        <v>287</v>
      </c>
      <c r="O92" t="s">
        <v>163</v>
      </c>
      <c r="P92">
        <v>0.1873945136391939</v>
      </c>
      <c r="Q92" t="s">
        <v>157</v>
      </c>
      <c r="S92" t="s">
        <v>398</v>
      </c>
      <c r="T92" t="s">
        <v>163</v>
      </c>
      <c r="U92">
        <v>0.14491204785265138</v>
      </c>
      <c r="V92" t="s">
        <v>157</v>
      </c>
    </row>
    <row r="93" spans="9:22" x14ac:dyDescent="0.45">
      <c r="I93" t="s">
        <v>176</v>
      </c>
      <c r="J93" t="s">
        <v>164</v>
      </c>
      <c r="K93">
        <v>2.2218863876989077E-2</v>
      </c>
      <c r="L93" t="s">
        <v>157</v>
      </c>
      <c r="N93" t="s">
        <v>287</v>
      </c>
      <c r="O93" t="s">
        <v>164</v>
      </c>
      <c r="P93">
        <v>1.8525081274833193E-2</v>
      </c>
      <c r="Q93" t="s">
        <v>157</v>
      </c>
      <c r="S93" t="s">
        <v>398</v>
      </c>
      <c r="T93" t="s">
        <v>164</v>
      </c>
      <c r="U93">
        <v>1.4654468543958396E-2</v>
      </c>
      <c r="V93" t="s">
        <v>157</v>
      </c>
    </row>
    <row r="94" spans="9:22" x14ac:dyDescent="0.45">
      <c r="I94" t="s">
        <v>176</v>
      </c>
      <c r="J94" t="s">
        <v>165</v>
      </c>
      <c r="K94">
        <v>1.2695147247708882E-2</v>
      </c>
      <c r="L94" t="s">
        <v>157</v>
      </c>
      <c r="N94" t="s">
        <v>287</v>
      </c>
      <c r="O94" t="s">
        <v>165</v>
      </c>
      <c r="P94">
        <v>1.8592095463103617E-2</v>
      </c>
      <c r="Q94" t="s">
        <v>157</v>
      </c>
      <c r="S94" t="s">
        <v>398</v>
      </c>
      <c r="T94" t="s">
        <v>165</v>
      </c>
      <c r="U94">
        <v>1.4577810592406837E-2</v>
      </c>
      <c r="V94" t="s">
        <v>157</v>
      </c>
    </row>
    <row r="95" spans="9:22" x14ac:dyDescent="0.45">
      <c r="I95" t="s">
        <v>176</v>
      </c>
      <c r="J95" t="s">
        <v>166</v>
      </c>
      <c r="K95">
        <v>1.3670319670923245E-3</v>
      </c>
      <c r="L95" t="s">
        <v>157</v>
      </c>
      <c r="N95" t="s">
        <v>287</v>
      </c>
      <c r="O95" t="s">
        <v>166</v>
      </c>
      <c r="P95">
        <v>9.372032320305991E-2</v>
      </c>
      <c r="Q95" t="s">
        <v>157</v>
      </c>
      <c r="S95" t="s">
        <v>398</v>
      </c>
      <c r="T95" t="s">
        <v>166</v>
      </c>
      <c r="U95">
        <v>7.1763509970752412E-2</v>
      </c>
      <c r="V95" t="s">
        <v>157</v>
      </c>
    </row>
    <row r="96" spans="9:22" x14ac:dyDescent="0.45">
      <c r="I96" t="s">
        <v>176</v>
      </c>
      <c r="J96" t="s">
        <v>167</v>
      </c>
      <c r="K96">
        <v>7.2518782007032784E-3</v>
      </c>
      <c r="L96" t="s">
        <v>157</v>
      </c>
      <c r="N96" t="s">
        <v>287</v>
      </c>
      <c r="O96" t="s">
        <v>167</v>
      </c>
      <c r="P96">
        <v>3.2821397619768419E-2</v>
      </c>
      <c r="Q96" t="s">
        <v>157</v>
      </c>
      <c r="S96" t="s">
        <v>398</v>
      </c>
      <c r="T96" t="s">
        <v>167</v>
      </c>
      <c r="U96">
        <v>4.5904994967174616E-2</v>
      </c>
      <c r="V96" t="s">
        <v>157</v>
      </c>
    </row>
    <row r="97" spans="9:22" x14ac:dyDescent="0.45">
      <c r="I97" t="s">
        <v>176</v>
      </c>
      <c r="J97" t="s">
        <v>168</v>
      </c>
      <c r="K97">
        <v>0.18983579702438519</v>
      </c>
      <c r="L97" t="s">
        <v>157</v>
      </c>
      <c r="N97" t="s">
        <v>287</v>
      </c>
      <c r="O97" t="s">
        <v>168</v>
      </c>
      <c r="P97">
        <v>5.1861441600308575E-2</v>
      </c>
      <c r="Q97" t="s">
        <v>157</v>
      </c>
      <c r="S97" t="s">
        <v>398</v>
      </c>
      <c r="T97" t="s">
        <v>168</v>
      </c>
      <c r="U97">
        <v>6.5907132795432158E-2</v>
      </c>
      <c r="V97" t="s">
        <v>157</v>
      </c>
    </row>
    <row r="98" spans="9:22" x14ac:dyDescent="0.45">
      <c r="I98" t="s">
        <v>176</v>
      </c>
      <c r="J98" t="s">
        <v>169</v>
      </c>
      <c r="K98">
        <v>1.5139731948700995E-2</v>
      </c>
      <c r="L98" t="s">
        <v>157</v>
      </c>
      <c r="N98" t="s">
        <v>287</v>
      </c>
      <c r="O98" t="s">
        <v>169</v>
      </c>
      <c r="P98">
        <v>5.8632257095137157E-3</v>
      </c>
      <c r="Q98" t="s">
        <v>157</v>
      </c>
      <c r="S98" t="s">
        <v>398</v>
      </c>
      <c r="T98" t="s">
        <v>169</v>
      </c>
      <c r="U98">
        <v>6.0880958104859249E-3</v>
      </c>
      <c r="V98" t="s">
        <v>157</v>
      </c>
    </row>
    <row r="99" spans="9:22" x14ac:dyDescent="0.45">
      <c r="I99" t="s">
        <v>176</v>
      </c>
      <c r="J99" t="s">
        <v>170</v>
      </c>
      <c r="K99">
        <v>1.2576659297520422E-2</v>
      </c>
      <c r="L99" t="s">
        <v>157</v>
      </c>
      <c r="N99" t="s">
        <v>287</v>
      </c>
      <c r="O99" t="s">
        <v>170</v>
      </c>
      <c r="P99">
        <v>5.3662912908395369E-3</v>
      </c>
      <c r="Q99" t="s">
        <v>157</v>
      </c>
      <c r="S99" t="s">
        <v>398</v>
      </c>
      <c r="T99" t="s">
        <v>170</v>
      </c>
      <c r="U99">
        <v>6.0418800897630498E-3</v>
      </c>
      <c r="V99" t="s">
        <v>157</v>
      </c>
    </row>
    <row r="100" spans="9:22" x14ac:dyDescent="0.45">
      <c r="I100" t="s">
        <v>176</v>
      </c>
      <c r="J100" t="s">
        <v>171</v>
      </c>
      <c r="K100">
        <v>8.8699021376283573E-3</v>
      </c>
      <c r="L100" t="s">
        <v>157</v>
      </c>
      <c r="N100" t="s">
        <v>287</v>
      </c>
      <c r="O100" t="s">
        <v>171</v>
      </c>
      <c r="P100">
        <v>2.4419423393172816E-2</v>
      </c>
      <c r="Q100" t="s">
        <v>157</v>
      </c>
      <c r="S100" t="s">
        <v>398</v>
      </c>
      <c r="T100" t="s">
        <v>171</v>
      </c>
      <c r="U100">
        <v>3.1218154520978137E-2</v>
      </c>
      <c r="V100" t="s">
        <v>157</v>
      </c>
    </row>
    <row r="101" spans="9:22" x14ac:dyDescent="0.45">
      <c r="I101" t="s">
        <v>177</v>
      </c>
      <c r="J101" t="s">
        <v>156</v>
      </c>
      <c r="K101">
        <v>3.7612961095102619E-3</v>
      </c>
      <c r="L101" t="s">
        <v>157</v>
      </c>
      <c r="N101" t="s">
        <v>288</v>
      </c>
      <c r="O101" t="s">
        <v>156</v>
      </c>
      <c r="P101">
        <v>0.12391900636580627</v>
      </c>
      <c r="Q101" t="s">
        <v>157</v>
      </c>
      <c r="S101" t="s">
        <v>399</v>
      </c>
      <c r="T101" t="s">
        <v>156</v>
      </c>
      <c r="U101">
        <v>0.1446312951744512</v>
      </c>
      <c r="V101" t="s">
        <v>157</v>
      </c>
    </row>
    <row r="102" spans="9:22" x14ac:dyDescent="0.45">
      <c r="I102" t="s">
        <v>177</v>
      </c>
      <c r="J102" t="s">
        <v>158</v>
      </c>
      <c r="K102">
        <v>0.40773678806150154</v>
      </c>
      <c r="L102" t="s">
        <v>157</v>
      </c>
      <c r="N102" t="s">
        <v>288</v>
      </c>
      <c r="O102" t="s">
        <v>158</v>
      </c>
      <c r="P102">
        <v>0.18357146982596798</v>
      </c>
      <c r="Q102" t="s">
        <v>157</v>
      </c>
      <c r="S102" t="s">
        <v>399</v>
      </c>
      <c r="T102" t="s">
        <v>158</v>
      </c>
      <c r="U102">
        <v>0.20956339681594535</v>
      </c>
      <c r="V102" t="s">
        <v>157</v>
      </c>
    </row>
    <row r="103" spans="9:22" x14ac:dyDescent="0.45">
      <c r="I103" t="s">
        <v>177</v>
      </c>
      <c r="J103" t="s">
        <v>159</v>
      </c>
      <c r="K103">
        <v>3.9301003503386299E-2</v>
      </c>
      <c r="L103" t="s">
        <v>157</v>
      </c>
      <c r="N103" t="s">
        <v>288</v>
      </c>
      <c r="O103" t="s">
        <v>159</v>
      </c>
      <c r="P103">
        <v>1.8481828481068847E-2</v>
      </c>
      <c r="Q103" t="s">
        <v>157</v>
      </c>
      <c r="S103" t="s">
        <v>399</v>
      </c>
      <c r="T103" t="s">
        <v>159</v>
      </c>
      <c r="U103">
        <v>2.1181113184515706E-2</v>
      </c>
      <c r="V103" t="s">
        <v>157</v>
      </c>
    </row>
    <row r="104" spans="9:22" x14ac:dyDescent="0.45">
      <c r="I104" t="s">
        <v>177</v>
      </c>
      <c r="J104" t="s">
        <v>160</v>
      </c>
      <c r="K104">
        <v>2.7738334388359227E-2</v>
      </c>
      <c r="L104" t="s">
        <v>157</v>
      </c>
      <c r="N104" t="s">
        <v>288</v>
      </c>
      <c r="O104" t="s">
        <v>160</v>
      </c>
      <c r="P104">
        <v>1.8209078413958267E-2</v>
      </c>
      <c r="Q104" t="s">
        <v>157</v>
      </c>
      <c r="S104" t="s">
        <v>399</v>
      </c>
      <c r="T104" t="s">
        <v>160</v>
      </c>
      <c r="U104">
        <v>2.1047879226040015E-2</v>
      </c>
      <c r="V104" t="s">
        <v>157</v>
      </c>
    </row>
    <row r="105" spans="9:22" x14ac:dyDescent="0.45">
      <c r="I105" t="s">
        <v>177</v>
      </c>
      <c r="J105" t="s">
        <v>161</v>
      </c>
      <c r="K105">
        <v>1.719003415424767E-2</v>
      </c>
      <c r="L105" t="s">
        <v>157</v>
      </c>
      <c r="N105" t="s">
        <v>288</v>
      </c>
      <c r="O105" t="s">
        <v>161</v>
      </c>
      <c r="P105">
        <v>9.201349822675442E-2</v>
      </c>
      <c r="Q105" t="s">
        <v>157</v>
      </c>
      <c r="S105" t="s">
        <v>399</v>
      </c>
      <c r="T105" t="s">
        <v>161</v>
      </c>
      <c r="U105">
        <v>0.10248516587325324</v>
      </c>
      <c r="V105" t="s">
        <v>157</v>
      </c>
    </row>
    <row r="106" spans="9:22" x14ac:dyDescent="0.45">
      <c r="I106" t="s">
        <v>177</v>
      </c>
      <c r="J106" t="s">
        <v>162</v>
      </c>
      <c r="K106">
        <v>1.4448605830616153E-3</v>
      </c>
      <c r="L106" t="s">
        <v>157</v>
      </c>
      <c r="N106" t="s">
        <v>288</v>
      </c>
      <c r="O106" t="s">
        <v>162</v>
      </c>
      <c r="P106">
        <v>0.12881599402398039</v>
      </c>
      <c r="Q106" t="s">
        <v>157</v>
      </c>
      <c r="S106" t="s">
        <v>399</v>
      </c>
      <c r="T106" t="s">
        <v>162</v>
      </c>
      <c r="U106">
        <v>9.8843611807188411E-2</v>
      </c>
      <c r="V106" t="s">
        <v>157</v>
      </c>
    </row>
    <row r="107" spans="9:22" x14ac:dyDescent="0.45">
      <c r="I107" t="s">
        <v>177</v>
      </c>
      <c r="J107" t="s">
        <v>163</v>
      </c>
      <c r="K107">
        <v>0.22973520680007214</v>
      </c>
      <c r="L107" t="s">
        <v>157</v>
      </c>
      <c r="N107" t="s">
        <v>288</v>
      </c>
      <c r="O107" t="s">
        <v>163</v>
      </c>
      <c r="P107">
        <v>0.18487498825094412</v>
      </c>
      <c r="Q107" t="s">
        <v>157</v>
      </c>
      <c r="S107" t="s">
        <v>399</v>
      </c>
      <c r="T107" t="s">
        <v>163</v>
      </c>
      <c r="U107">
        <v>0.14639323409202232</v>
      </c>
      <c r="V107" t="s">
        <v>157</v>
      </c>
    </row>
    <row r="108" spans="9:22" x14ac:dyDescent="0.45">
      <c r="I108" t="s">
        <v>177</v>
      </c>
      <c r="J108" t="s">
        <v>164</v>
      </c>
      <c r="K108">
        <v>2.1671770024853518E-2</v>
      </c>
      <c r="L108" t="s">
        <v>157</v>
      </c>
      <c r="N108" t="s">
        <v>288</v>
      </c>
      <c r="O108" t="s">
        <v>164</v>
      </c>
      <c r="P108">
        <v>1.757747893853526E-2</v>
      </c>
      <c r="Q108" t="s">
        <v>157</v>
      </c>
      <c r="S108" t="s">
        <v>399</v>
      </c>
      <c r="T108" t="s">
        <v>164</v>
      </c>
      <c r="U108">
        <v>1.490262689917049E-2</v>
      </c>
      <c r="V108" t="s">
        <v>157</v>
      </c>
    </row>
    <row r="109" spans="9:22" x14ac:dyDescent="0.45">
      <c r="I109" t="s">
        <v>177</v>
      </c>
      <c r="J109" t="s">
        <v>165</v>
      </c>
      <c r="K109">
        <v>1.2432323895207173E-2</v>
      </c>
      <c r="L109" t="s">
        <v>157</v>
      </c>
      <c r="N109" t="s">
        <v>288</v>
      </c>
      <c r="O109" t="s">
        <v>165</v>
      </c>
      <c r="P109">
        <v>1.775446328828402E-2</v>
      </c>
      <c r="Q109" t="s">
        <v>157</v>
      </c>
      <c r="S109" t="s">
        <v>399</v>
      </c>
      <c r="T109" t="s">
        <v>165</v>
      </c>
      <c r="U109">
        <v>1.4753469110494629E-2</v>
      </c>
      <c r="V109" t="s">
        <v>157</v>
      </c>
    </row>
    <row r="110" spans="9:22" x14ac:dyDescent="0.45">
      <c r="I110" t="s">
        <v>177</v>
      </c>
      <c r="J110" t="s">
        <v>166</v>
      </c>
      <c r="K110">
        <v>1.322187028958527E-3</v>
      </c>
      <c r="L110" t="s">
        <v>157</v>
      </c>
      <c r="N110" t="s">
        <v>288</v>
      </c>
      <c r="O110" t="s">
        <v>166</v>
      </c>
      <c r="P110">
        <v>9.0144647218894383E-2</v>
      </c>
      <c r="Q110" t="s">
        <v>157</v>
      </c>
      <c r="S110" t="s">
        <v>399</v>
      </c>
      <c r="T110" t="s">
        <v>166</v>
      </c>
      <c r="U110">
        <v>7.1689351543049007E-2</v>
      </c>
      <c r="V110" t="s">
        <v>157</v>
      </c>
    </row>
    <row r="111" spans="9:22" x14ac:dyDescent="0.45">
      <c r="I111" t="s">
        <v>177</v>
      </c>
      <c r="J111" t="s">
        <v>167</v>
      </c>
      <c r="K111">
        <v>5.9819605239182991E-3</v>
      </c>
      <c r="L111" t="s">
        <v>157</v>
      </c>
      <c r="N111" t="s">
        <v>288</v>
      </c>
      <c r="O111" t="s">
        <v>167</v>
      </c>
      <c r="P111">
        <v>3.6428691068633633E-2</v>
      </c>
      <c r="Q111" t="s">
        <v>157</v>
      </c>
      <c r="S111" t="s">
        <v>399</v>
      </c>
      <c r="T111" t="s">
        <v>167</v>
      </c>
      <c r="U111">
        <v>4.6215831874542174E-2</v>
      </c>
      <c r="V111" t="s">
        <v>157</v>
      </c>
    </row>
    <row r="112" spans="9:22" x14ac:dyDescent="0.45">
      <c r="I112" t="s">
        <v>177</v>
      </c>
      <c r="J112" t="s">
        <v>168</v>
      </c>
      <c r="K112">
        <v>0.19334188608613206</v>
      </c>
      <c r="L112" t="s">
        <v>157</v>
      </c>
      <c r="N112" t="s">
        <v>288</v>
      </c>
      <c r="O112" t="s">
        <v>168</v>
      </c>
      <c r="P112">
        <v>4.9865316224346048E-2</v>
      </c>
      <c r="Q112" t="s">
        <v>157</v>
      </c>
      <c r="S112" t="s">
        <v>399</v>
      </c>
      <c r="T112" t="s">
        <v>168</v>
      </c>
      <c r="U112">
        <v>6.5604806922591324E-2</v>
      </c>
      <c r="V112" t="s">
        <v>157</v>
      </c>
    </row>
    <row r="113" spans="9:22" x14ac:dyDescent="0.45">
      <c r="I113" t="s">
        <v>177</v>
      </c>
      <c r="J113" t="s">
        <v>169</v>
      </c>
      <c r="K113">
        <v>1.5799823661187807E-2</v>
      </c>
      <c r="L113" t="s">
        <v>157</v>
      </c>
      <c r="N113" t="s">
        <v>288</v>
      </c>
      <c r="O113" t="s">
        <v>169</v>
      </c>
      <c r="P113">
        <v>5.8536752207124934E-3</v>
      </c>
      <c r="Q113" t="s">
        <v>157</v>
      </c>
      <c r="S113" t="s">
        <v>399</v>
      </c>
      <c r="T113" t="s">
        <v>169</v>
      </c>
      <c r="U113">
        <v>6.0036186473311978E-3</v>
      </c>
      <c r="V113" t="s">
        <v>157</v>
      </c>
    </row>
    <row r="114" spans="9:22" x14ac:dyDescent="0.45">
      <c r="I114" t="s">
        <v>177</v>
      </c>
      <c r="J114" t="s">
        <v>170</v>
      </c>
      <c r="K114">
        <v>1.3299171089289893E-2</v>
      </c>
      <c r="L114" t="s">
        <v>157</v>
      </c>
      <c r="N114" t="s">
        <v>288</v>
      </c>
      <c r="O114" t="s">
        <v>170</v>
      </c>
      <c r="P114">
        <v>5.6794842315187688E-3</v>
      </c>
      <c r="Q114" t="s">
        <v>157</v>
      </c>
      <c r="S114" t="s">
        <v>399</v>
      </c>
      <c r="T114" t="s">
        <v>170</v>
      </c>
      <c r="U114">
        <v>5.9273621146346076E-3</v>
      </c>
      <c r="V114" t="s">
        <v>157</v>
      </c>
    </row>
    <row r="115" spans="9:22" x14ac:dyDescent="0.45">
      <c r="I115" t="s">
        <v>177</v>
      </c>
      <c r="J115" t="s">
        <v>171</v>
      </c>
      <c r="K115">
        <v>9.2433540903139079E-3</v>
      </c>
      <c r="L115" t="s">
        <v>157</v>
      </c>
      <c r="N115" t="s">
        <v>288</v>
      </c>
      <c r="O115" t="s">
        <v>171</v>
      </c>
      <c r="P115">
        <v>2.6810380220595047E-2</v>
      </c>
      <c r="Q115" t="s">
        <v>157</v>
      </c>
      <c r="S115" t="s">
        <v>399</v>
      </c>
      <c r="T115" t="s">
        <v>171</v>
      </c>
      <c r="U115">
        <v>3.0757236714770392E-2</v>
      </c>
      <c r="V115" t="s">
        <v>157</v>
      </c>
    </row>
    <row r="116" spans="9:22" x14ac:dyDescent="0.45">
      <c r="I116" t="s">
        <v>178</v>
      </c>
      <c r="J116" t="s">
        <v>156</v>
      </c>
      <c r="K116">
        <v>3.4523321493687667E-3</v>
      </c>
      <c r="L116" t="s">
        <v>157</v>
      </c>
      <c r="N116" t="s">
        <v>289</v>
      </c>
      <c r="O116" t="s">
        <v>156</v>
      </c>
      <c r="P116">
        <v>0.1159827634076645</v>
      </c>
      <c r="Q116" t="s">
        <v>157</v>
      </c>
      <c r="S116" t="s">
        <v>400</v>
      </c>
      <c r="T116" t="s">
        <v>156</v>
      </c>
      <c r="U116">
        <v>0.14331677050520925</v>
      </c>
      <c r="V116" t="s">
        <v>157</v>
      </c>
    </row>
    <row r="117" spans="9:22" x14ac:dyDescent="0.45">
      <c r="I117" t="s">
        <v>178</v>
      </c>
      <c r="J117" t="s">
        <v>158</v>
      </c>
      <c r="K117">
        <v>0.40918780698589857</v>
      </c>
      <c r="L117" t="s">
        <v>157</v>
      </c>
      <c r="N117" t="s">
        <v>289</v>
      </c>
      <c r="O117" t="s">
        <v>158</v>
      </c>
      <c r="P117">
        <v>0.18925122505864742</v>
      </c>
      <c r="Q117" t="s">
        <v>157</v>
      </c>
      <c r="S117" t="s">
        <v>400</v>
      </c>
      <c r="T117" t="s">
        <v>158</v>
      </c>
      <c r="U117">
        <v>0.20837658095523895</v>
      </c>
      <c r="V117" t="s">
        <v>157</v>
      </c>
    </row>
    <row r="118" spans="9:22" x14ac:dyDescent="0.45">
      <c r="I118" t="s">
        <v>178</v>
      </c>
      <c r="J118" t="s">
        <v>159</v>
      </c>
      <c r="K118">
        <v>3.8629569629325122E-2</v>
      </c>
      <c r="L118" t="s">
        <v>157</v>
      </c>
      <c r="N118" t="s">
        <v>289</v>
      </c>
      <c r="O118" t="s">
        <v>159</v>
      </c>
      <c r="P118">
        <v>2.0324995199048984E-2</v>
      </c>
      <c r="Q118" t="s">
        <v>157</v>
      </c>
      <c r="S118" t="s">
        <v>400</v>
      </c>
      <c r="T118" t="s">
        <v>159</v>
      </c>
      <c r="U118">
        <v>2.1322785413332521E-2</v>
      </c>
      <c r="V118" t="s">
        <v>157</v>
      </c>
    </row>
    <row r="119" spans="9:22" x14ac:dyDescent="0.45">
      <c r="I119" t="s">
        <v>178</v>
      </c>
      <c r="J119" t="s">
        <v>160</v>
      </c>
      <c r="K119">
        <v>2.7394947766973394E-2</v>
      </c>
      <c r="L119" t="s">
        <v>157</v>
      </c>
      <c r="N119" t="s">
        <v>289</v>
      </c>
      <c r="O119" t="s">
        <v>160</v>
      </c>
      <c r="P119">
        <v>1.9909464726431111E-2</v>
      </c>
      <c r="Q119" t="s">
        <v>157</v>
      </c>
      <c r="S119" t="s">
        <v>400</v>
      </c>
      <c r="T119" t="s">
        <v>160</v>
      </c>
      <c r="U119">
        <v>2.1066016749442758E-2</v>
      </c>
      <c r="V119" t="s">
        <v>157</v>
      </c>
    </row>
    <row r="120" spans="9:22" x14ac:dyDescent="0.45">
      <c r="I120" t="s">
        <v>178</v>
      </c>
      <c r="J120" t="s">
        <v>161</v>
      </c>
      <c r="K120">
        <v>1.6205871602087744E-2</v>
      </c>
      <c r="L120" t="s">
        <v>157</v>
      </c>
      <c r="N120" t="s">
        <v>289</v>
      </c>
      <c r="O120" t="s">
        <v>161</v>
      </c>
      <c r="P120">
        <v>9.2962141187345526E-2</v>
      </c>
      <c r="Q120" t="s">
        <v>157</v>
      </c>
      <c r="S120" t="s">
        <v>400</v>
      </c>
      <c r="T120" t="s">
        <v>161</v>
      </c>
      <c r="U120">
        <v>0.10165650967484946</v>
      </c>
      <c r="V120" t="s">
        <v>157</v>
      </c>
    </row>
    <row r="121" spans="9:22" x14ac:dyDescent="0.45">
      <c r="I121" t="s">
        <v>178</v>
      </c>
      <c r="J121" t="s">
        <v>162</v>
      </c>
      <c r="K121">
        <v>1.5651988343074695E-3</v>
      </c>
      <c r="L121" t="s">
        <v>157</v>
      </c>
      <c r="N121" t="s">
        <v>289</v>
      </c>
      <c r="O121" t="s">
        <v>162</v>
      </c>
      <c r="P121">
        <v>0.11059144514014373</v>
      </c>
      <c r="Q121" t="s">
        <v>157</v>
      </c>
      <c r="S121" t="s">
        <v>400</v>
      </c>
      <c r="T121" t="s">
        <v>162</v>
      </c>
      <c r="U121">
        <v>0.10071832564442634</v>
      </c>
      <c r="V121" t="s">
        <v>157</v>
      </c>
    </row>
    <row r="122" spans="9:22" x14ac:dyDescent="0.45">
      <c r="I122" t="s">
        <v>178</v>
      </c>
      <c r="J122" t="s">
        <v>163</v>
      </c>
      <c r="K122">
        <v>0.22620789908364025</v>
      </c>
      <c r="L122" t="s">
        <v>157</v>
      </c>
      <c r="N122" t="s">
        <v>289</v>
      </c>
      <c r="O122" t="s">
        <v>163</v>
      </c>
      <c r="P122">
        <v>0.19977263353737021</v>
      </c>
      <c r="Q122" t="s">
        <v>157</v>
      </c>
      <c r="S122" t="s">
        <v>400</v>
      </c>
      <c r="T122" t="s">
        <v>163</v>
      </c>
      <c r="U122">
        <v>0.14772777916307578</v>
      </c>
      <c r="V122" t="s">
        <v>157</v>
      </c>
    </row>
    <row r="123" spans="9:22" x14ac:dyDescent="0.45">
      <c r="I123" t="s">
        <v>178</v>
      </c>
      <c r="J123" t="s">
        <v>164</v>
      </c>
      <c r="K123">
        <v>2.1389994876289817E-2</v>
      </c>
      <c r="L123" t="s">
        <v>157</v>
      </c>
      <c r="N123" t="s">
        <v>289</v>
      </c>
      <c r="O123" t="s">
        <v>164</v>
      </c>
      <c r="P123">
        <v>1.8130116604460535E-2</v>
      </c>
      <c r="Q123" t="s">
        <v>157</v>
      </c>
      <c r="S123" t="s">
        <v>400</v>
      </c>
      <c r="T123" t="s">
        <v>164</v>
      </c>
      <c r="U123">
        <v>1.4899613532154942E-2</v>
      </c>
      <c r="V123" t="s">
        <v>157</v>
      </c>
    </row>
    <row r="124" spans="9:22" x14ac:dyDescent="0.45">
      <c r="I124" t="s">
        <v>178</v>
      </c>
      <c r="J124" t="s">
        <v>165</v>
      </c>
      <c r="K124">
        <v>1.1912571046187091E-2</v>
      </c>
      <c r="L124" t="s">
        <v>157</v>
      </c>
      <c r="N124" t="s">
        <v>289</v>
      </c>
      <c r="O124" t="s">
        <v>165</v>
      </c>
      <c r="P124">
        <v>1.7470111473390532E-2</v>
      </c>
      <c r="Q124" t="s">
        <v>157</v>
      </c>
      <c r="S124" t="s">
        <v>400</v>
      </c>
      <c r="T124" t="s">
        <v>165</v>
      </c>
      <c r="U124">
        <v>1.4726195525893923E-2</v>
      </c>
      <c r="V124" t="s">
        <v>157</v>
      </c>
    </row>
    <row r="125" spans="9:22" x14ac:dyDescent="0.45">
      <c r="I125" t="s">
        <v>178</v>
      </c>
      <c r="J125" t="s">
        <v>166</v>
      </c>
      <c r="K125">
        <v>1.2227440684734866E-3</v>
      </c>
      <c r="L125" t="s">
        <v>157</v>
      </c>
      <c r="N125" t="s">
        <v>289</v>
      </c>
      <c r="O125" t="s">
        <v>166</v>
      </c>
      <c r="P125">
        <v>8.2082312348040046E-2</v>
      </c>
      <c r="Q125" t="s">
        <v>157</v>
      </c>
      <c r="S125" t="s">
        <v>400</v>
      </c>
      <c r="T125" t="s">
        <v>166</v>
      </c>
      <c r="U125">
        <v>7.2130123482510702E-2</v>
      </c>
      <c r="V125" t="s">
        <v>157</v>
      </c>
    </row>
    <row r="126" spans="9:22" x14ac:dyDescent="0.45">
      <c r="I126" t="s">
        <v>178</v>
      </c>
      <c r="J126" t="s">
        <v>167</v>
      </c>
      <c r="K126">
        <v>6.1815236016161115E-3</v>
      </c>
      <c r="L126" t="s">
        <v>157</v>
      </c>
      <c r="N126" t="s">
        <v>289</v>
      </c>
      <c r="O126" t="s">
        <v>167</v>
      </c>
      <c r="P126">
        <v>3.3862726369089859E-2</v>
      </c>
      <c r="Q126" t="s">
        <v>157</v>
      </c>
      <c r="S126" t="s">
        <v>400</v>
      </c>
      <c r="T126" t="s">
        <v>167</v>
      </c>
      <c r="U126">
        <v>4.6431626708251635E-2</v>
      </c>
      <c r="V126" t="s">
        <v>157</v>
      </c>
    </row>
    <row r="127" spans="9:22" x14ac:dyDescent="0.45">
      <c r="I127" t="s">
        <v>178</v>
      </c>
      <c r="J127" t="s">
        <v>168</v>
      </c>
      <c r="K127">
        <v>0.19734566570729095</v>
      </c>
      <c r="L127" t="s">
        <v>157</v>
      </c>
      <c r="N127" t="s">
        <v>289</v>
      </c>
      <c r="O127" t="s">
        <v>168</v>
      </c>
      <c r="P127">
        <v>5.8215199691120087E-2</v>
      </c>
      <c r="Q127" t="s">
        <v>157</v>
      </c>
      <c r="S127" t="s">
        <v>400</v>
      </c>
      <c r="T127" t="s">
        <v>168</v>
      </c>
      <c r="U127">
        <v>6.5539553376747203E-2</v>
      </c>
      <c r="V127" t="s">
        <v>157</v>
      </c>
    </row>
    <row r="128" spans="9:22" x14ac:dyDescent="0.45">
      <c r="I128" t="s">
        <v>178</v>
      </c>
      <c r="J128" t="s">
        <v>169</v>
      </c>
      <c r="K128">
        <v>1.6108506982190209E-2</v>
      </c>
      <c r="L128" t="s">
        <v>157</v>
      </c>
      <c r="N128" t="s">
        <v>289</v>
      </c>
      <c r="O128" t="s">
        <v>169</v>
      </c>
      <c r="P128">
        <v>7.0500544476224964E-3</v>
      </c>
      <c r="Q128" t="s">
        <v>157</v>
      </c>
      <c r="S128" t="s">
        <v>400</v>
      </c>
      <c r="T128" t="s">
        <v>169</v>
      </c>
      <c r="U128">
        <v>5.9804805859313579E-3</v>
      </c>
      <c r="V128" t="s">
        <v>157</v>
      </c>
    </row>
    <row r="129" spans="9:22" x14ac:dyDescent="0.45">
      <c r="I129" t="s">
        <v>178</v>
      </c>
      <c r="J129" t="s">
        <v>170</v>
      </c>
      <c r="K129">
        <v>1.3770755978961054E-2</v>
      </c>
      <c r="L129" t="s">
        <v>157</v>
      </c>
      <c r="N129" t="s">
        <v>289</v>
      </c>
      <c r="O129" t="s">
        <v>170</v>
      </c>
      <c r="P129">
        <v>6.4945903440648692E-3</v>
      </c>
      <c r="Q129" t="s">
        <v>157</v>
      </c>
      <c r="S129" t="s">
        <v>400</v>
      </c>
      <c r="T129" t="s">
        <v>170</v>
      </c>
      <c r="U129">
        <v>5.8924975424940055E-3</v>
      </c>
      <c r="V129" t="s">
        <v>157</v>
      </c>
    </row>
    <row r="130" spans="9:22" x14ac:dyDescent="0.45">
      <c r="I130" t="s">
        <v>178</v>
      </c>
      <c r="J130" t="s">
        <v>171</v>
      </c>
      <c r="K130">
        <v>9.4246116873898996E-3</v>
      </c>
      <c r="L130" t="s">
        <v>157</v>
      </c>
      <c r="N130" t="s">
        <v>289</v>
      </c>
      <c r="O130" t="s">
        <v>171</v>
      </c>
      <c r="P130">
        <v>2.7900220465560056E-2</v>
      </c>
      <c r="Q130" t="s">
        <v>157</v>
      </c>
      <c r="S130" t="s">
        <v>400</v>
      </c>
      <c r="T130" t="s">
        <v>171</v>
      </c>
      <c r="U130">
        <v>3.021514114044118E-2</v>
      </c>
      <c r="V130" t="s">
        <v>157</v>
      </c>
    </row>
    <row r="131" spans="9:22" x14ac:dyDescent="0.45">
      <c r="I131" t="s">
        <v>179</v>
      </c>
      <c r="J131" t="s">
        <v>156</v>
      </c>
      <c r="K131">
        <v>3.3887168307141038E-3</v>
      </c>
      <c r="L131" t="s">
        <v>157</v>
      </c>
      <c r="N131" t="s">
        <v>290</v>
      </c>
      <c r="O131" t="s">
        <v>156</v>
      </c>
      <c r="P131">
        <v>0.12317550703394504</v>
      </c>
      <c r="Q131" t="s">
        <v>157</v>
      </c>
      <c r="S131" t="s">
        <v>401</v>
      </c>
      <c r="T131" t="s">
        <v>156</v>
      </c>
      <c r="U131">
        <v>0.14336270667634468</v>
      </c>
      <c r="V131" t="s">
        <v>157</v>
      </c>
    </row>
    <row r="132" spans="9:22" x14ac:dyDescent="0.45">
      <c r="I132" t="s">
        <v>179</v>
      </c>
      <c r="J132" t="s">
        <v>158</v>
      </c>
      <c r="K132">
        <v>0.40717420329189447</v>
      </c>
      <c r="L132" t="s">
        <v>157</v>
      </c>
      <c r="N132" t="s">
        <v>290</v>
      </c>
      <c r="O132" t="s">
        <v>158</v>
      </c>
      <c r="P132">
        <v>0.17168321674520537</v>
      </c>
      <c r="Q132" t="s">
        <v>157</v>
      </c>
      <c r="S132" t="s">
        <v>401</v>
      </c>
      <c r="T132" t="s">
        <v>158</v>
      </c>
      <c r="U132">
        <v>0.20583188849026834</v>
      </c>
      <c r="V132" t="s">
        <v>157</v>
      </c>
    </row>
    <row r="133" spans="9:22" x14ac:dyDescent="0.45">
      <c r="I133" t="s">
        <v>179</v>
      </c>
      <c r="J133" t="s">
        <v>159</v>
      </c>
      <c r="K133">
        <v>3.7652830099093065E-2</v>
      </c>
      <c r="L133" t="s">
        <v>157</v>
      </c>
      <c r="N133" t="s">
        <v>290</v>
      </c>
      <c r="O133" t="s">
        <v>159</v>
      </c>
      <c r="P133">
        <v>2.0083876991236534E-2</v>
      </c>
      <c r="Q133" t="s">
        <v>157</v>
      </c>
      <c r="S133" t="s">
        <v>401</v>
      </c>
      <c r="T133" t="s">
        <v>159</v>
      </c>
      <c r="U133">
        <v>2.116537737952159E-2</v>
      </c>
      <c r="V133" t="s">
        <v>157</v>
      </c>
    </row>
    <row r="134" spans="9:22" x14ac:dyDescent="0.45">
      <c r="I134" t="s">
        <v>179</v>
      </c>
      <c r="J134" t="s">
        <v>160</v>
      </c>
      <c r="K134">
        <v>2.6308830118909651E-2</v>
      </c>
      <c r="L134" t="s">
        <v>157</v>
      </c>
      <c r="N134" t="s">
        <v>290</v>
      </c>
      <c r="O134" t="s">
        <v>160</v>
      </c>
      <c r="P134">
        <v>1.9369491201521736E-2</v>
      </c>
      <c r="Q134" t="s">
        <v>157</v>
      </c>
      <c r="S134" t="s">
        <v>401</v>
      </c>
      <c r="T134" t="s">
        <v>160</v>
      </c>
      <c r="U134">
        <v>2.0854911585951812E-2</v>
      </c>
      <c r="V134" t="s">
        <v>157</v>
      </c>
    </row>
    <row r="135" spans="9:22" x14ac:dyDescent="0.45">
      <c r="I135" t="s">
        <v>179</v>
      </c>
      <c r="J135" t="s">
        <v>161</v>
      </c>
      <c r="K135">
        <v>1.4032739709265961E-2</v>
      </c>
      <c r="L135" t="s">
        <v>157</v>
      </c>
      <c r="N135" t="s">
        <v>290</v>
      </c>
      <c r="O135" t="s">
        <v>161</v>
      </c>
      <c r="P135">
        <v>9.4337132120540568E-2</v>
      </c>
      <c r="Q135" t="s">
        <v>157</v>
      </c>
      <c r="S135" t="s">
        <v>401</v>
      </c>
      <c r="T135" t="s">
        <v>161</v>
      </c>
      <c r="U135">
        <v>0.10070264553393217</v>
      </c>
      <c r="V135" t="s">
        <v>157</v>
      </c>
    </row>
    <row r="136" spans="9:22" x14ac:dyDescent="0.45">
      <c r="I136" t="s">
        <v>179</v>
      </c>
      <c r="J136" t="s">
        <v>162</v>
      </c>
      <c r="K136">
        <v>1.6611432571777204E-3</v>
      </c>
      <c r="L136" t="s">
        <v>157</v>
      </c>
      <c r="N136" t="s">
        <v>290</v>
      </c>
      <c r="O136" t="s">
        <v>162</v>
      </c>
      <c r="P136">
        <v>0.11305153638358566</v>
      </c>
      <c r="Q136" t="s">
        <v>157</v>
      </c>
      <c r="S136" t="s">
        <v>401</v>
      </c>
      <c r="T136" t="s">
        <v>162</v>
      </c>
      <c r="U136">
        <v>0.10196509223692228</v>
      </c>
      <c r="V136" t="s">
        <v>157</v>
      </c>
    </row>
    <row r="137" spans="9:22" x14ac:dyDescent="0.45">
      <c r="I137" t="s">
        <v>179</v>
      </c>
      <c r="J137" t="s">
        <v>163</v>
      </c>
      <c r="K137">
        <v>0.22855630893428386</v>
      </c>
      <c r="L137" t="s">
        <v>157</v>
      </c>
      <c r="N137" t="s">
        <v>290</v>
      </c>
      <c r="O137" t="s">
        <v>163</v>
      </c>
      <c r="P137">
        <v>0.19242242339853258</v>
      </c>
      <c r="Q137" t="s">
        <v>157</v>
      </c>
      <c r="S137" t="s">
        <v>401</v>
      </c>
      <c r="T137" t="s">
        <v>163</v>
      </c>
      <c r="U137">
        <v>0.14844478130269678</v>
      </c>
      <c r="V137" t="s">
        <v>157</v>
      </c>
    </row>
    <row r="138" spans="9:22" x14ac:dyDescent="0.45">
      <c r="I138" t="s">
        <v>179</v>
      </c>
      <c r="J138" t="s">
        <v>164</v>
      </c>
      <c r="K138">
        <v>2.1083484001786012E-2</v>
      </c>
      <c r="L138" t="s">
        <v>157</v>
      </c>
      <c r="N138" t="s">
        <v>290</v>
      </c>
      <c r="O138" t="s">
        <v>164</v>
      </c>
      <c r="P138">
        <v>1.8969526739835065E-2</v>
      </c>
      <c r="Q138" t="s">
        <v>157</v>
      </c>
      <c r="S138" t="s">
        <v>401</v>
      </c>
      <c r="T138" t="s">
        <v>164</v>
      </c>
      <c r="U138">
        <v>1.4621256088240119E-2</v>
      </c>
      <c r="V138" t="s">
        <v>157</v>
      </c>
    </row>
    <row r="139" spans="9:22" x14ac:dyDescent="0.45">
      <c r="I139" t="s">
        <v>179</v>
      </c>
      <c r="J139" t="s">
        <v>165</v>
      </c>
      <c r="K139">
        <v>1.1315785364508911E-2</v>
      </c>
      <c r="L139" t="s">
        <v>157</v>
      </c>
      <c r="N139" t="s">
        <v>290</v>
      </c>
      <c r="O139" t="s">
        <v>165</v>
      </c>
      <c r="P139">
        <v>1.8371611016619927E-2</v>
      </c>
      <c r="Q139" t="s">
        <v>157</v>
      </c>
      <c r="S139" t="s">
        <v>401</v>
      </c>
      <c r="T139" t="s">
        <v>165</v>
      </c>
      <c r="U139">
        <v>1.4517017883777694E-2</v>
      </c>
      <c r="V139" t="s">
        <v>157</v>
      </c>
    </row>
    <row r="140" spans="9:22" x14ac:dyDescent="0.45">
      <c r="I140" t="s">
        <v>179</v>
      </c>
      <c r="J140" t="s">
        <v>166</v>
      </c>
      <c r="K140">
        <v>9.8012590048476714E-4</v>
      </c>
      <c r="L140" t="s">
        <v>157</v>
      </c>
      <c r="N140" t="s">
        <v>290</v>
      </c>
      <c r="O140" t="s">
        <v>166</v>
      </c>
      <c r="P140">
        <v>8.5280033563442617E-2</v>
      </c>
      <c r="Q140" t="s">
        <v>157</v>
      </c>
      <c r="S140" t="s">
        <v>401</v>
      </c>
      <c r="T140" t="s">
        <v>166</v>
      </c>
      <c r="U140">
        <v>7.2920386028402201E-2</v>
      </c>
      <c r="V140" t="s">
        <v>157</v>
      </c>
    </row>
    <row r="141" spans="9:22" x14ac:dyDescent="0.45">
      <c r="I141" t="s">
        <v>179</v>
      </c>
      <c r="J141" t="s">
        <v>167</v>
      </c>
      <c r="K141">
        <v>7.1331481448571521E-3</v>
      </c>
      <c r="L141" t="s">
        <v>157</v>
      </c>
      <c r="N141" t="s">
        <v>290</v>
      </c>
      <c r="O141" t="s">
        <v>167</v>
      </c>
      <c r="P141">
        <v>3.7495600236256504E-2</v>
      </c>
      <c r="Q141" t="s">
        <v>157</v>
      </c>
      <c r="S141" t="s">
        <v>401</v>
      </c>
      <c r="T141" t="s">
        <v>167</v>
      </c>
      <c r="U141">
        <v>4.6211770592873853E-2</v>
      </c>
      <c r="V141" t="s">
        <v>157</v>
      </c>
    </row>
    <row r="142" spans="9:22" x14ac:dyDescent="0.45">
      <c r="I142" t="s">
        <v>179</v>
      </c>
      <c r="J142" t="s">
        <v>168</v>
      </c>
      <c r="K142">
        <v>0.20047381327785641</v>
      </c>
      <c r="L142" t="s">
        <v>157</v>
      </c>
      <c r="N142" t="s">
        <v>290</v>
      </c>
      <c r="O142" t="s">
        <v>168</v>
      </c>
      <c r="P142">
        <v>6.0505203356556826E-2</v>
      </c>
      <c r="Q142" t="s">
        <v>157</v>
      </c>
      <c r="S142" t="s">
        <v>401</v>
      </c>
      <c r="T142" t="s">
        <v>168</v>
      </c>
      <c r="U142">
        <v>6.64021428426851E-2</v>
      </c>
      <c r="V142" t="s">
        <v>157</v>
      </c>
    </row>
    <row r="143" spans="9:22" x14ac:dyDescent="0.45">
      <c r="I143" t="s">
        <v>179</v>
      </c>
      <c r="J143" t="s">
        <v>169</v>
      </c>
      <c r="K143">
        <v>1.6854426145830919E-2</v>
      </c>
      <c r="L143" t="s">
        <v>157</v>
      </c>
      <c r="N143" t="s">
        <v>290</v>
      </c>
      <c r="O143" t="s">
        <v>169</v>
      </c>
      <c r="P143">
        <v>7.1227857708610993E-3</v>
      </c>
      <c r="Q143" t="s">
        <v>157</v>
      </c>
      <c r="S143" t="s">
        <v>401</v>
      </c>
      <c r="T143" t="s">
        <v>169</v>
      </c>
      <c r="U143">
        <v>6.1623400072213421E-3</v>
      </c>
      <c r="V143" t="s">
        <v>157</v>
      </c>
    </row>
    <row r="144" spans="9:22" x14ac:dyDescent="0.45">
      <c r="I144" t="s">
        <v>179</v>
      </c>
      <c r="J144" t="s">
        <v>170</v>
      </c>
      <c r="K144">
        <v>1.4167250021259951E-2</v>
      </c>
      <c r="L144" t="s">
        <v>157</v>
      </c>
      <c r="N144" t="s">
        <v>290</v>
      </c>
      <c r="O144" t="s">
        <v>170</v>
      </c>
      <c r="P144">
        <v>6.525829198928493E-3</v>
      </c>
      <c r="Q144" t="s">
        <v>157</v>
      </c>
      <c r="S144" t="s">
        <v>401</v>
      </c>
      <c r="T144" t="s">
        <v>170</v>
      </c>
      <c r="U144">
        <v>6.1233066395310959E-3</v>
      </c>
      <c r="V144" t="s">
        <v>157</v>
      </c>
    </row>
    <row r="145" spans="9:22" x14ac:dyDescent="0.45">
      <c r="I145" t="s">
        <v>179</v>
      </c>
      <c r="J145" t="s">
        <v>171</v>
      </c>
      <c r="K145">
        <v>9.2171949020770881E-3</v>
      </c>
      <c r="L145" t="s">
        <v>157</v>
      </c>
      <c r="N145" t="s">
        <v>290</v>
      </c>
      <c r="O145" t="s">
        <v>171</v>
      </c>
      <c r="P145">
        <v>3.160622624293194E-2</v>
      </c>
      <c r="Q145" t="s">
        <v>157</v>
      </c>
      <c r="S145" t="s">
        <v>401</v>
      </c>
      <c r="T145" t="s">
        <v>171</v>
      </c>
      <c r="U145">
        <v>3.0714376711630926E-2</v>
      </c>
      <c r="V145" t="s">
        <v>157</v>
      </c>
    </row>
    <row r="146" spans="9:22" x14ac:dyDescent="0.45">
      <c r="I146" t="s">
        <v>180</v>
      </c>
      <c r="J146" t="s">
        <v>156</v>
      </c>
      <c r="K146">
        <v>4.4467579718971062E-3</v>
      </c>
      <c r="L146" t="s">
        <v>157</v>
      </c>
      <c r="N146" t="s">
        <v>291</v>
      </c>
      <c r="O146" t="s">
        <v>156</v>
      </c>
      <c r="P146">
        <v>0.13000972639731345</v>
      </c>
      <c r="Q146" t="s">
        <v>157</v>
      </c>
      <c r="S146" t="s">
        <v>402</v>
      </c>
      <c r="T146" t="s">
        <v>156</v>
      </c>
      <c r="U146">
        <v>0.14375216533319859</v>
      </c>
      <c r="V146" t="s">
        <v>157</v>
      </c>
    </row>
    <row r="147" spans="9:22" x14ac:dyDescent="0.45">
      <c r="I147" t="s">
        <v>180</v>
      </c>
      <c r="J147" t="s">
        <v>158</v>
      </c>
      <c r="K147">
        <v>0.40139495533389463</v>
      </c>
      <c r="L147" t="s">
        <v>157</v>
      </c>
      <c r="N147" t="s">
        <v>291</v>
      </c>
      <c r="O147" t="s">
        <v>158</v>
      </c>
      <c r="P147">
        <v>0.18589926978451643</v>
      </c>
      <c r="Q147" t="s">
        <v>157</v>
      </c>
      <c r="S147" t="s">
        <v>402</v>
      </c>
      <c r="T147" t="s">
        <v>158</v>
      </c>
      <c r="U147">
        <v>0.20412021848412557</v>
      </c>
      <c r="V147" t="s">
        <v>157</v>
      </c>
    </row>
    <row r="148" spans="9:22" x14ac:dyDescent="0.45">
      <c r="I148" t="s">
        <v>180</v>
      </c>
      <c r="J148" t="s">
        <v>159</v>
      </c>
      <c r="K148">
        <v>3.7208906657886433E-2</v>
      </c>
      <c r="L148" t="s">
        <v>157</v>
      </c>
      <c r="N148" t="s">
        <v>291</v>
      </c>
      <c r="O148" t="s">
        <v>159</v>
      </c>
      <c r="P148">
        <v>2.068126708611475E-2</v>
      </c>
      <c r="Q148" t="s">
        <v>157</v>
      </c>
      <c r="S148" t="s">
        <v>402</v>
      </c>
      <c r="T148" t="s">
        <v>159</v>
      </c>
      <c r="U148">
        <v>2.0875465378534817E-2</v>
      </c>
      <c r="V148" t="s">
        <v>157</v>
      </c>
    </row>
    <row r="149" spans="9:22" x14ac:dyDescent="0.45">
      <c r="I149" t="s">
        <v>180</v>
      </c>
      <c r="J149" t="s">
        <v>160</v>
      </c>
      <c r="K149">
        <v>2.5435580869270825E-2</v>
      </c>
      <c r="L149" t="s">
        <v>157</v>
      </c>
      <c r="N149" t="s">
        <v>291</v>
      </c>
      <c r="O149" t="s">
        <v>160</v>
      </c>
      <c r="P149">
        <v>2.0607393571733888E-2</v>
      </c>
      <c r="Q149" t="s">
        <v>157</v>
      </c>
      <c r="S149" t="s">
        <v>402</v>
      </c>
      <c r="T149" t="s">
        <v>160</v>
      </c>
      <c r="U149">
        <v>2.0692195301225586E-2</v>
      </c>
      <c r="V149" t="s">
        <v>157</v>
      </c>
    </row>
    <row r="150" spans="9:22" x14ac:dyDescent="0.45">
      <c r="I150" t="s">
        <v>180</v>
      </c>
      <c r="J150" t="s">
        <v>161</v>
      </c>
      <c r="K150">
        <v>1.3287455107951832E-2</v>
      </c>
      <c r="L150" t="s">
        <v>157</v>
      </c>
      <c r="N150" t="s">
        <v>291</v>
      </c>
      <c r="O150" t="s">
        <v>161</v>
      </c>
      <c r="P150">
        <v>0.10274035877184845</v>
      </c>
      <c r="Q150" t="s">
        <v>157</v>
      </c>
      <c r="S150" t="s">
        <v>402</v>
      </c>
      <c r="T150" t="s">
        <v>161</v>
      </c>
      <c r="U150">
        <v>0.10046611267449018</v>
      </c>
      <c r="V150" t="s">
        <v>157</v>
      </c>
    </row>
    <row r="151" spans="9:22" x14ac:dyDescent="0.45">
      <c r="I151" t="s">
        <v>180</v>
      </c>
      <c r="J151" t="s">
        <v>162</v>
      </c>
      <c r="K151">
        <v>2.1915382542348565E-3</v>
      </c>
      <c r="L151" t="s">
        <v>157</v>
      </c>
      <c r="N151" t="s">
        <v>291</v>
      </c>
      <c r="O151" t="s">
        <v>162</v>
      </c>
      <c r="P151">
        <v>0.1282750685938851</v>
      </c>
      <c r="Q151" t="s">
        <v>157</v>
      </c>
      <c r="S151" t="s">
        <v>402</v>
      </c>
      <c r="T151" t="s">
        <v>162</v>
      </c>
      <c r="U151">
        <v>0.10384569534225757</v>
      </c>
      <c r="V151" t="s">
        <v>157</v>
      </c>
    </row>
    <row r="152" spans="9:22" x14ac:dyDescent="0.45">
      <c r="I152" t="s">
        <v>180</v>
      </c>
      <c r="J152" t="s">
        <v>163</v>
      </c>
      <c r="K152">
        <v>0.24437137616147783</v>
      </c>
      <c r="L152" t="s">
        <v>157</v>
      </c>
      <c r="N152" t="s">
        <v>291</v>
      </c>
      <c r="O152" t="s">
        <v>163</v>
      </c>
      <c r="P152">
        <v>0.16456517754679004</v>
      </c>
      <c r="Q152" t="s">
        <v>157</v>
      </c>
      <c r="S152" t="s">
        <v>402</v>
      </c>
      <c r="T152" t="s">
        <v>163</v>
      </c>
      <c r="U152">
        <v>0.14872541889027471</v>
      </c>
      <c r="V152" t="s">
        <v>157</v>
      </c>
    </row>
    <row r="153" spans="9:22" x14ac:dyDescent="0.45">
      <c r="I153" t="s">
        <v>180</v>
      </c>
      <c r="J153" t="s">
        <v>164</v>
      </c>
      <c r="K153">
        <v>2.1897539530110578E-2</v>
      </c>
      <c r="L153" t="s">
        <v>157</v>
      </c>
      <c r="N153" t="s">
        <v>291</v>
      </c>
      <c r="O153" t="s">
        <v>164</v>
      </c>
      <c r="P153">
        <v>1.6153756046689564E-2</v>
      </c>
      <c r="Q153" t="s">
        <v>157</v>
      </c>
      <c r="S153" t="s">
        <v>402</v>
      </c>
      <c r="T153" t="s">
        <v>164</v>
      </c>
      <c r="U153">
        <v>1.4623343917471894E-2</v>
      </c>
      <c r="V153" t="s">
        <v>157</v>
      </c>
    </row>
    <row r="154" spans="9:22" x14ac:dyDescent="0.45">
      <c r="I154" t="s">
        <v>180</v>
      </c>
      <c r="J154" t="s">
        <v>165</v>
      </c>
      <c r="K154">
        <v>1.1262938519271464E-2</v>
      </c>
      <c r="L154" t="s">
        <v>157</v>
      </c>
      <c r="N154" t="s">
        <v>291</v>
      </c>
      <c r="O154" t="s">
        <v>165</v>
      </c>
      <c r="P154">
        <v>1.6442481597673274E-2</v>
      </c>
      <c r="Q154" t="s">
        <v>157</v>
      </c>
      <c r="S154" t="s">
        <v>402</v>
      </c>
      <c r="T154" t="s">
        <v>165</v>
      </c>
      <c r="U154">
        <v>1.455876700549737E-2</v>
      </c>
      <c r="V154" t="s">
        <v>157</v>
      </c>
    </row>
    <row r="155" spans="9:22" x14ac:dyDescent="0.45">
      <c r="I155" t="s">
        <v>180</v>
      </c>
      <c r="J155" t="s">
        <v>166</v>
      </c>
      <c r="K155">
        <v>1.0887210409721085E-3</v>
      </c>
      <c r="L155" t="s">
        <v>157</v>
      </c>
      <c r="N155" t="s">
        <v>291</v>
      </c>
      <c r="O155" t="s">
        <v>166</v>
      </c>
      <c r="P155">
        <v>9.0249928637457913E-2</v>
      </c>
      <c r="Q155" t="s">
        <v>157</v>
      </c>
      <c r="S155" t="s">
        <v>402</v>
      </c>
      <c r="T155" t="s">
        <v>166</v>
      </c>
      <c r="U155">
        <v>7.3026773571193734E-2</v>
      </c>
      <c r="V155" t="s">
        <v>157</v>
      </c>
    </row>
    <row r="156" spans="9:22" x14ac:dyDescent="0.45">
      <c r="I156" t="s">
        <v>180</v>
      </c>
      <c r="J156" t="s">
        <v>167</v>
      </c>
      <c r="K156">
        <v>7.5847790049336714E-3</v>
      </c>
      <c r="L156" t="s">
        <v>157</v>
      </c>
      <c r="N156" t="s">
        <v>291</v>
      </c>
      <c r="O156" t="s">
        <v>167</v>
      </c>
      <c r="P156">
        <v>3.5350988742157384E-2</v>
      </c>
      <c r="Q156" t="s">
        <v>157</v>
      </c>
      <c r="S156" t="s">
        <v>402</v>
      </c>
      <c r="T156" t="s">
        <v>167</v>
      </c>
      <c r="U156">
        <v>4.634579729922244E-2</v>
      </c>
      <c r="V156" t="s">
        <v>157</v>
      </c>
    </row>
    <row r="157" spans="9:22" x14ac:dyDescent="0.45">
      <c r="I157" t="s">
        <v>180</v>
      </c>
      <c r="J157" t="s">
        <v>168</v>
      </c>
      <c r="K157">
        <v>0.19242969136253057</v>
      </c>
      <c r="L157" t="s">
        <v>157</v>
      </c>
      <c r="N157" t="s">
        <v>291</v>
      </c>
      <c r="O157" t="s">
        <v>168</v>
      </c>
      <c r="P157">
        <v>4.8497636518397079E-2</v>
      </c>
      <c r="Q157" t="s">
        <v>157</v>
      </c>
      <c r="S157" t="s">
        <v>402</v>
      </c>
      <c r="T157" t="s">
        <v>168</v>
      </c>
      <c r="U157">
        <v>6.5866267640641102E-2</v>
      </c>
      <c r="V157" t="s">
        <v>157</v>
      </c>
    </row>
    <row r="158" spans="9:22" x14ac:dyDescent="0.45">
      <c r="I158" t="s">
        <v>180</v>
      </c>
      <c r="J158" t="s">
        <v>169</v>
      </c>
      <c r="K158">
        <v>1.5982426376428081E-2</v>
      </c>
      <c r="L158" t="s">
        <v>157</v>
      </c>
      <c r="N158" t="s">
        <v>291</v>
      </c>
      <c r="O158" t="s">
        <v>169</v>
      </c>
      <c r="P158">
        <v>6.2103241186361501E-3</v>
      </c>
      <c r="Q158" t="s">
        <v>157</v>
      </c>
      <c r="S158" t="s">
        <v>402</v>
      </c>
      <c r="T158" t="s">
        <v>169</v>
      </c>
      <c r="U158">
        <v>6.268413920266498E-3</v>
      </c>
      <c r="V158" t="s">
        <v>157</v>
      </c>
    </row>
    <row r="159" spans="9:22" x14ac:dyDescent="0.45">
      <c r="I159" t="s">
        <v>180</v>
      </c>
      <c r="J159" t="s">
        <v>170</v>
      </c>
      <c r="K159">
        <v>1.3093444599292459E-2</v>
      </c>
      <c r="L159" t="s">
        <v>157</v>
      </c>
      <c r="N159" t="s">
        <v>291</v>
      </c>
      <c r="O159" t="s">
        <v>170</v>
      </c>
      <c r="P159">
        <v>6.043176009224399E-3</v>
      </c>
      <c r="Q159" t="s">
        <v>157</v>
      </c>
      <c r="S159" t="s">
        <v>402</v>
      </c>
      <c r="T159" t="s">
        <v>170</v>
      </c>
      <c r="U159">
        <v>6.2309547128500606E-3</v>
      </c>
      <c r="V159" t="s">
        <v>157</v>
      </c>
    </row>
    <row r="160" spans="9:22" x14ac:dyDescent="0.45">
      <c r="I160" t="s">
        <v>180</v>
      </c>
      <c r="J160" t="s">
        <v>171</v>
      </c>
      <c r="K160">
        <v>8.3238892098476212E-3</v>
      </c>
      <c r="L160" t="s">
        <v>157</v>
      </c>
      <c r="N160" t="s">
        <v>291</v>
      </c>
      <c r="O160" t="s">
        <v>171</v>
      </c>
      <c r="P160">
        <v>2.8273446577562204E-2</v>
      </c>
      <c r="Q160" t="s">
        <v>157</v>
      </c>
      <c r="S160" t="s">
        <v>402</v>
      </c>
      <c r="T160" t="s">
        <v>171</v>
      </c>
      <c r="U160">
        <v>3.0602410528749908E-2</v>
      </c>
      <c r="V160" t="s">
        <v>157</v>
      </c>
    </row>
    <row r="161" spans="9:22" x14ac:dyDescent="0.45">
      <c r="I161" t="s">
        <v>181</v>
      </c>
      <c r="J161" t="s">
        <v>156</v>
      </c>
      <c r="K161">
        <v>3.9659202214697188E-3</v>
      </c>
      <c r="L161" t="s">
        <v>157</v>
      </c>
      <c r="N161" t="s">
        <v>292</v>
      </c>
      <c r="O161" t="s">
        <v>156</v>
      </c>
      <c r="P161">
        <v>0.123165685104178</v>
      </c>
      <c r="Q161" t="s">
        <v>157</v>
      </c>
      <c r="S161" t="s">
        <v>403</v>
      </c>
      <c r="T161" t="s">
        <v>156</v>
      </c>
      <c r="U161">
        <v>0.14250386494629785</v>
      </c>
      <c r="V161" t="s">
        <v>157</v>
      </c>
    </row>
    <row r="162" spans="9:22" x14ac:dyDescent="0.45">
      <c r="I162" t="s">
        <v>181</v>
      </c>
      <c r="J162" t="s">
        <v>158</v>
      </c>
      <c r="K162">
        <v>0.40777430746392912</v>
      </c>
      <c r="L162" t="s">
        <v>157</v>
      </c>
      <c r="N162" t="s">
        <v>292</v>
      </c>
      <c r="O162" t="s">
        <v>158</v>
      </c>
      <c r="P162">
        <v>0.20184773438518208</v>
      </c>
      <c r="Q162" t="s">
        <v>157</v>
      </c>
      <c r="S162" t="s">
        <v>403</v>
      </c>
      <c r="T162" t="s">
        <v>158</v>
      </c>
      <c r="U162">
        <v>0.20231454658359269</v>
      </c>
      <c r="V162" t="s">
        <v>157</v>
      </c>
    </row>
    <row r="163" spans="9:22" x14ac:dyDescent="0.45">
      <c r="I163" t="s">
        <v>181</v>
      </c>
      <c r="J163" t="s">
        <v>159</v>
      </c>
      <c r="K163">
        <v>3.7971218637375119E-2</v>
      </c>
      <c r="L163" t="s">
        <v>157</v>
      </c>
      <c r="N163" t="s">
        <v>292</v>
      </c>
      <c r="O163" t="s">
        <v>159</v>
      </c>
      <c r="P163">
        <v>2.0171024575067958E-2</v>
      </c>
      <c r="Q163" t="s">
        <v>157</v>
      </c>
      <c r="S163" t="s">
        <v>403</v>
      </c>
      <c r="T163" t="s">
        <v>159</v>
      </c>
      <c r="U163">
        <v>2.0804370317749302E-2</v>
      </c>
      <c r="V163" t="s">
        <v>157</v>
      </c>
    </row>
    <row r="164" spans="9:22" x14ac:dyDescent="0.45">
      <c r="I164" t="s">
        <v>181</v>
      </c>
      <c r="J164" t="s">
        <v>160</v>
      </c>
      <c r="K164">
        <v>2.6039255069198589E-2</v>
      </c>
      <c r="L164" t="s">
        <v>157</v>
      </c>
      <c r="N164" t="s">
        <v>292</v>
      </c>
      <c r="O164" t="s">
        <v>160</v>
      </c>
      <c r="P164">
        <v>1.9484407759491069E-2</v>
      </c>
      <c r="Q164" t="s">
        <v>157</v>
      </c>
      <c r="S164" t="s">
        <v>403</v>
      </c>
      <c r="T164" t="s">
        <v>160</v>
      </c>
      <c r="U164">
        <v>2.0609833106428603E-2</v>
      </c>
      <c r="V164" t="s">
        <v>157</v>
      </c>
    </row>
    <row r="165" spans="9:22" x14ac:dyDescent="0.45">
      <c r="I165" t="s">
        <v>181</v>
      </c>
      <c r="J165" t="s">
        <v>161</v>
      </c>
      <c r="K165">
        <v>1.3119519405417916E-2</v>
      </c>
      <c r="L165" t="s">
        <v>157</v>
      </c>
      <c r="N165" t="s">
        <v>292</v>
      </c>
      <c r="O165" t="s">
        <v>161</v>
      </c>
      <c r="P165">
        <v>9.1914358105522578E-2</v>
      </c>
      <c r="Q165" t="s">
        <v>157</v>
      </c>
      <c r="S165" t="s">
        <v>403</v>
      </c>
      <c r="T165" t="s">
        <v>161</v>
      </c>
      <c r="U165">
        <v>0.10042005293015573</v>
      </c>
      <c r="V165" t="s">
        <v>157</v>
      </c>
    </row>
    <row r="166" spans="9:22" x14ac:dyDescent="0.45">
      <c r="I166" t="s">
        <v>181</v>
      </c>
      <c r="J166" t="s">
        <v>162</v>
      </c>
      <c r="K166">
        <v>2.0900015190497031E-3</v>
      </c>
      <c r="L166" t="s">
        <v>157</v>
      </c>
      <c r="N166" t="s">
        <v>292</v>
      </c>
      <c r="O166" t="s">
        <v>162</v>
      </c>
      <c r="P166">
        <v>0.11730095541874989</v>
      </c>
      <c r="Q166" t="s">
        <v>157</v>
      </c>
      <c r="S166" t="s">
        <v>403</v>
      </c>
      <c r="T166" t="s">
        <v>162</v>
      </c>
      <c r="U166">
        <v>0.10564316750448237</v>
      </c>
      <c r="V166" t="s">
        <v>157</v>
      </c>
    </row>
    <row r="167" spans="9:22" x14ac:dyDescent="0.45">
      <c r="I167" t="s">
        <v>181</v>
      </c>
      <c r="J167" t="s">
        <v>163</v>
      </c>
      <c r="K167">
        <v>0.23828717239336913</v>
      </c>
      <c r="L167" t="s">
        <v>157</v>
      </c>
      <c r="N167" t="s">
        <v>292</v>
      </c>
      <c r="O167" t="s">
        <v>163</v>
      </c>
      <c r="P167">
        <v>0.18194789327089528</v>
      </c>
      <c r="Q167" t="s">
        <v>157</v>
      </c>
      <c r="S167" t="s">
        <v>403</v>
      </c>
      <c r="T167" t="s">
        <v>163</v>
      </c>
      <c r="U167">
        <v>0.1486447406143461</v>
      </c>
      <c r="V167" t="s">
        <v>157</v>
      </c>
    </row>
    <row r="168" spans="9:22" x14ac:dyDescent="0.45">
      <c r="I168" t="s">
        <v>181</v>
      </c>
      <c r="J168" t="s">
        <v>164</v>
      </c>
      <c r="K168">
        <v>2.125190519518054E-2</v>
      </c>
      <c r="L168" t="s">
        <v>157</v>
      </c>
      <c r="N168" t="s">
        <v>292</v>
      </c>
      <c r="O168" t="s">
        <v>164</v>
      </c>
      <c r="P168">
        <v>1.7377259261804213E-2</v>
      </c>
      <c r="Q168" t="s">
        <v>157</v>
      </c>
      <c r="S168" t="s">
        <v>403</v>
      </c>
      <c r="T168" t="s">
        <v>164</v>
      </c>
      <c r="U168">
        <v>1.4686971556242628E-2</v>
      </c>
      <c r="V168" t="s">
        <v>157</v>
      </c>
    </row>
    <row r="169" spans="9:22" x14ac:dyDescent="0.45">
      <c r="I169" t="s">
        <v>181</v>
      </c>
      <c r="J169" t="s">
        <v>165</v>
      </c>
      <c r="K169">
        <v>1.117560202147303E-2</v>
      </c>
      <c r="L169" t="s">
        <v>157</v>
      </c>
      <c r="N169" t="s">
        <v>292</v>
      </c>
      <c r="O169" t="s">
        <v>165</v>
      </c>
      <c r="P169">
        <v>1.7234911406411479E-2</v>
      </c>
      <c r="Q169" t="s">
        <v>157</v>
      </c>
      <c r="S169" t="s">
        <v>403</v>
      </c>
      <c r="T169" t="s">
        <v>165</v>
      </c>
      <c r="U169">
        <v>1.464865533219167E-2</v>
      </c>
      <c r="V169" t="s">
        <v>157</v>
      </c>
    </row>
    <row r="170" spans="9:22" x14ac:dyDescent="0.45">
      <c r="I170" t="s">
        <v>181</v>
      </c>
      <c r="J170" t="s">
        <v>166</v>
      </c>
      <c r="K170">
        <v>8.6574610020660639E-4</v>
      </c>
      <c r="L170" t="s">
        <v>157</v>
      </c>
      <c r="N170" t="s">
        <v>292</v>
      </c>
      <c r="O170" t="s">
        <v>166</v>
      </c>
      <c r="P170">
        <v>8.4174474261180368E-2</v>
      </c>
      <c r="Q170" t="s">
        <v>157</v>
      </c>
      <c r="S170" t="s">
        <v>403</v>
      </c>
      <c r="T170" t="s">
        <v>166</v>
      </c>
      <c r="U170">
        <v>7.326388316783411E-2</v>
      </c>
      <c r="V170" t="s">
        <v>157</v>
      </c>
    </row>
    <row r="171" spans="9:22" x14ac:dyDescent="0.45">
      <c r="I171" t="s">
        <v>181</v>
      </c>
      <c r="J171" t="s">
        <v>167</v>
      </c>
      <c r="K171">
        <v>6.3637384339275752E-3</v>
      </c>
      <c r="L171" t="s">
        <v>157</v>
      </c>
      <c r="N171" t="s">
        <v>292</v>
      </c>
      <c r="O171" t="s">
        <v>167</v>
      </c>
      <c r="P171">
        <v>3.499908047057957E-2</v>
      </c>
      <c r="Q171" t="s">
        <v>157</v>
      </c>
      <c r="S171" t="s">
        <v>403</v>
      </c>
      <c r="T171" t="s">
        <v>167</v>
      </c>
      <c r="U171">
        <v>4.677261363824594E-2</v>
      </c>
      <c r="V171" t="s">
        <v>157</v>
      </c>
    </row>
    <row r="172" spans="9:22" x14ac:dyDescent="0.45">
      <c r="I172" t="s">
        <v>181</v>
      </c>
      <c r="J172" t="s">
        <v>168</v>
      </c>
      <c r="K172">
        <v>0.19453679295537912</v>
      </c>
      <c r="L172" t="s">
        <v>157</v>
      </c>
      <c r="N172" t="s">
        <v>292</v>
      </c>
      <c r="O172" t="s">
        <v>168</v>
      </c>
      <c r="P172">
        <v>5.2973589205474111E-2</v>
      </c>
      <c r="Q172" t="s">
        <v>157</v>
      </c>
      <c r="S172" t="s">
        <v>403</v>
      </c>
      <c r="T172" t="s">
        <v>168</v>
      </c>
      <c r="U172">
        <v>6.594343694522159E-2</v>
      </c>
      <c r="V172" t="s">
        <v>157</v>
      </c>
    </row>
    <row r="173" spans="9:22" x14ac:dyDescent="0.45">
      <c r="I173" t="s">
        <v>181</v>
      </c>
      <c r="J173" t="s">
        <v>169</v>
      </c>
      <c r="K173">
        <v>1.564194533494339E-2</v>
      </c>
      <c r="L173" t="s">
        <v>157</v>
      </c>
      <c r="N173" t="s">
        <v>292</v>
      </c>
      <c r="O173" t="s">
        <v>169</v>
      </c>
      <c r="P173">
        <v>5.779687259386327E-3</v>
      </c>
      <c r="Q173" t="s">
        <v>157</v>
      </c>
      <c r="S173" t="s">
        <v>403</v>
      </c>
      <c r="T173" t="s">
        <v>169</v>
      </c>
      <c r="U173">
        <v>6.2613492361672076E-3</v>
      </c>
      <c r="V173" t="s">
        <v>157</v>
      </c>
    </row>
    <row r="174" spans="9:22" x14ac:dyDescent="0.45">
      <c r="I174" t="s">
        <v>181</v>
      </c>
      <c r="J174" t="s">
        <v>170</v>
      </c>
      <c r="K174">
        <v>1.2673258162446788E-2</v>
      </c>
      <c r="L174" t="s">
        <v>157</v>
      </c>
      <c r="N174" t="s">
        <v>292</v>
      </c>
      <c r="O174" t="s">
        <v>170</v>
      </c>
      <c r="P174">
        <v>5.5867962907591908E-3</v>
      </c>
      <c r="Q174" t="s">
        <v>157</v>
      </c>
      <c r="S174" t="s">
        <v>403</v>
      </c>
      <c r="T174" t="s">
        <v>170</v>
      </c>
      <c r="U174">
        <v>6.2235928691909926E-3</v>
      </c>
      <c r="V174" t="s">
        <v>157</v>
      </c>
    </row>
    <row r="175" spans="9:22" x14ac:dyDescent="0.45">
      <c r="I175" t="s">
        <v>181</v>
      </c>
      <c r="J175" t="s">
        <v>171</v>
      </c>
      <c r="K175">
        <v>8.2436170866336238E-3</v>
      </c>
      <c r="L175" t="s">
        <v>157</v>
      </c>
      <c r="N175" t="s">
        <v>292</v>
      </c>
      <c r="O175" t="s">
        <v>171</v>
      </c>
      <c r="P175">
        <v>2.6042143225317883E-2</v>
      </c>
      <c r="Q175" t="s">
        <v>157</v>
      </c>
      <c r="S175" t="s">
        <v>403</v>
      </c>
      <c r="T175" t="s">
        <v>171</v>
      </c>
      <c r="U175">
        <v>3.125892125185329E-2</v>
      </c>
      <c r="V175" t="s">
        <v>157</v>
      </c>
    </row>
    <row r="176" spans="9:22" x14ac:dyDescent="0.45">
      <c r="I176" t="s">
        <v>182</v>
      </c>
      <c r="J176" t="s">
        <v>156</v>
      </c>
      <c r="K176">
        <v>3.9148957728371596E-3</v>
      </c>
      <c r="L176" t="s">
        <v>157</v>
      </c>
      <c r="N176" t="s">
        <v>293</v>
      </c>
      <c r="O176" t="s">
        <v>156</v>
      </c>
      <c r="P176">
        <v>0.12750840378938272</v>
      </c>
      <c r="Q176" t="s">
        <v>157</v>
      </c>
      <c r="S176" t="s">
        <v>404</v>
      </c>
      <c r="T176" t="s">
        <v>156</v>
      </c>
      <c r="U176">
        <v>0.14057329545054939</v>
      </c>
      <c r="V176" t="s">
        <v>157</v>
      </c>
    </row>
    <row r="177" spans="9:22" x14ac:dyDescent="0.45">
      <c r="I177" t="s">
        <v>182</v>
      </c>
      <c r="J177" t="s">
        <v>158</v>
      </c>
      <c r="K177">
        <v>0.40782118738299983</v>
      </c>
      <c r="L177" t="s">
        <v>157</v>
      </c>
      <c r="N177" t="s">
        <v>293</v>
      </c>
      <c r="O177" t="s">
        <v>158</v>
      </c>
      <c r="P177">
        <v>0.19133031729996144</v>
      </c>
      <c r="Q177" t="s">
        <v>157</v>
      </c>
      <c r="S177" t="s">
        <v>404</v>
      </c>
      <c r="T177" t="s">
        <v>158</v>
      </c>
      <c r="U177">
        <v>0.20140265870245216</v>
      </c>
      <c r="V177" t="s">
        <v>157</v>
      </c>
    </row>
    <row r="178" spans="9:22" x14ac:dyDescent="0.45">
      <c r="I178" t="s">
        <v>182</v>
      </c>
      <c r="J178" t="s">
        <v>159</v>
      </c>
      <c r="K178">
        <v>3.7597657639251145E-2</v>
      </c>
      <c r="L178" t="s">
        <v>157</v>
      </c>
      <c r="N178" t="s">
        <v>293</v>
      </c>
      <c r="O178" t="s">
        <v>159</v>
      </c>
      <c r="P178">
        <v>2.0797817724825255E-2</v>
      </c>
      <c r="Q178" t="s">
        <v>157</v>
      </c>
      <c r="S178" t="s">
        <v>404</v>
      </c>
      <c r="T178" t="s">
        <v>159</v>
      </c>
      <c r="U178">
        <v>2.0736767895349943E-2</v>
      </c>
      <c r="V178" t="s">
        <v>157</v>
      </c>
    </row>
    <row r="179" spans="9:22" x14ac:dyDescent="0.45">
      <c r="I179" t="s">
        <v>182</v>
      </c>
      <c r="J179" t="s">
        <v>160</v>
      </c>
      <c r="K179">
        <v>2.5377251342865871E-2</v>
      </c>
      <c r="L179" t="s">
        <v>157</v>
      </c>
      <c r="N179" t="s">
        <v>293</v>
      </c>
      <c r="O179" t="s">
        <v>160</v>
      </c>
      <c r="P179">
        <v>2.0565121982375281E-2</v>
      </c>
      <c r="Q179" t="s">
        <v>157</v>
      </c>
      <c r="S179" t="s">
        <v>404</v>
      </c>
      <c r="T179" t="s">
        <v>160</v>
      </c>
      <c r="U179">
        <v>2.0530504347594243E-2</v>
      </c>
      <c r="V179" t="s">
        <v>157</v>
      </c>
    </row>
    <row r="180" spans="9:22" x14ac:dyDescent="0.45">
      <c r="I180" t="s">
        <v>182</v>
      </c>
      <c r="J180" t="s">
        <v>161</v>
      </c>
      <c r="K180">
        <v>1.27265912181841E-2</v>
      </c>
      <c r="L180" t="s">
        <v>157</v>
      </c>
      <c r="N180" t="s">
        <v>293</v>
      </c>
      <c r="O180" t="s">
        <v>161</v>
      </c>
      <c r="P180">
        <v>9.9859297810560604E-2</v>
      </c>
      <c r="Q180" t="s">
        <v>157</v>
      </c>
      <c r="S180" t="s">
        <v>404</v>
      </c>
      <c r="T180" t="s">
        <v>161</v>
      </c>
      <c r="U180">
        <v>0.10042398578944001</v>
      </c>
      <c r="V180" t="s">
        <v>157</v>
      </c>
    </row>
    <row r="181" spans="9:22" x14ac:dyDescent="0.45">
      <c r="I181" t="s">
        <v>182</v>
      </c>
      <c r="J181" t="s">
        <v>162</v>
      </c>
      <c r="K181">
        <v>1.9169687903123028E-3</v>
      </c>
      <c r="L181" t="s">
        <v>157</v>
      </c>
      <c r="N181" t="s">
        <v>293</v>
      </c>
      <c r="O181" t="s">
        <v>162</v>
      </c>
      <c r="P181">
        <v>0.10010889838763495</v>
      </c>
      <c r="Q181" t="s">
        <v>157</v>
      </c>
      <c r="S181" t="s">
        <v>404</v>
      </c>
      <c r="T181" t="s">
        <v>162</v>
      </c>
      <c r="U181">
        <v>0.10698698867952113</v>
      </c>
      <c r="V181" t="s">
        <v>157</v>
      </c>
    </row>
    <row r="182" spans="9:22" x14ac:dyDescent="0.45">
      <c r="I182" t="s">
        <v>182</v>
      </c>
      <c r="J182" t="s">
        <v>163</v>
      </c>
      <c r="K182">
        <v>0.23322649187939595</v>
      </c>
      <c r="L182" t="s">
        <v>157</v>
      </c>
      <c r="N182" t="s">
        <v>293</v>
      </c>
      <c r="O182" t="s">
        <v>163</v>
      </c>
      <c r="P182">
        <v>0.18232944242119273</v>
      </c>
      <c r="Q182" t="s">
        <v>157</v>
      </c>
      <c r="S182" t="s">
        <v>404</v>
      </c>
      <c r="T182" t="s">
        <v>163</v>
      </c>
      <c r="U182">
        <v>0.14825746427725969</v>
      </c>
      <c r="V182" t="s">
        <v>157</v>
      </c>
    </row>
    <row r="183" spans="9:22" x14ac:dyDescent="0.45">
      <c r="I183" t="s">
        <v>182</v>
      </c>
      <c r="J183" t="s">
        <v>164</v>
      </c>
      <c r="K183">
        <v>2.1073562915256121E-2</v>
      </c>
      <c r="L183" t="s">
        <v>157</v>
      </c>
      <c r="N183" t="s">
        <v>293</v>
      </c>
      <c r="O183" t="s">
        <v>164</v>
      </c>
      <c r="P183">
        <v>1.8434838125440094E-2</v>
      </c>
      <c r="Q183" t="s">
        <v>157</v>
      </c>
      <c r="S183" t="s">
        <v>404</v>
      </c>
      <c r="T183" t="s">
        <v>164</v>
      </c>
      <c r="U183">
        <v>1.4743513613569336E-2</v>
      </c>
      <c r="V183" t="s">
        <v>157</v>
      </c>
    </row>
    <row r="184" spans="9:22" x14ac:dyDescent="0.45">
      <c r="I184" t="s">
        <v>182</v>
      </c>
      <c r="J184" t="s">
        <v>165</v>
      </c>
      <c r="K184">
        <v>1.106478582598539E-2</v>
      </c>
      <c r="L184" t="s">
        <v>157</v>
      </c>
      <c r="N184" t="s">
        <v>293</v>
      </c>
      <c r="O184" t="s">
        <v>165</v>
      </c>
      <c r="P184">
        <v>1.7670939479619535E-2</v>
      </c>
      <c r="Q184" t="s">
        <v>157</v>
      </c>
      <c r="S184" t="s">
        <v>404</v>
      </c>
      <c r="T184" t="s">
        <v>165</v>
      </c>
      <c r="U184">
        <v>1.4643645919654296E-2</v>
      </c>
      <c r="V184" t="s">
        <v>157</v>
      </c>
    </row>
    <row r="185" spans="9:22" x14ac:dyDescent="0.45">
      <c r="I185" t="s">
        <v>182</v>
      </c>
      <c r="J185" t="s">
        <v>166</v>
      </c>
      <c r="K185">
        <v>7.8915336132004063E-4</v>
      </c>
      <c r="L185" t="s">
        <v>157</v>
      </c>
      <c r="N185" t="s">
        <v>293</v>
      </c>
      <c r="O185" t="s">
        <v>166</v>
      </c>
      <c r="P185">
        <v>7.8989125621362316E-2</v>
      </c>
      <c r="Q185" t="s">
        <v>157</v>
      </c>
      <c r="S185" t="s">
        <v>404</v>
      </c>
      <c r="T185" t="s">
        <v>166</v>
      </c>
      <c r="U185">
        <v>7.3666673131924182E-2</v>
      </c>
      <c r="V185" t="s">
        <v>157</v>
      </c>
    </row>
    <row r="186" spans="9:22" x14ac:dyDescent="0.45">
      <c r="I186" t="s">
        <v>182</v>
      </c>
      <c r="J186" t="s">
        <v>167</v>
      </c>
      <c r="K186">
        <v>6.6016555154755742E-3</v>
      </c>
      <c r="L186" t="s">
        <v>157</v>
      </c>
      <c r="N186" t="s">
        <v>293</v>
      </c>
      <c r="O186" t="s">
        <v>167</v>
      </c>
      <c r="P186">
        <v>3.6394956307289471E-2</v>
      </c>
      <c r="Q186" t="s">
        <v>157</v>
      </c>
      <c r="S186" t="s">
        <v>404</v>
      </c>
      <c r="T186" t="s">
        <v>167</v>
      </c>
      <c r="U186">
        <v>4.7064215058735821E-2</v>
      </c>
      <c r="V186" t="s">
        <v>157</v>
      </c>
    </row>
    <row r="187" spans="9:22" x14ac:dyDescent="0.45">
      <c r="I187" t="s">
        <v>182</v>
      </c>
      <c r="J187" t="s">
        <v>168</v>
      </c>
      <c r="K187">
        <v>0.1994684944984062</v>
      </c>
      <c r="L187" t="s">
        <v>157</v>
      </c>
      <c r="N187" t="s">
        <v>293</v>
      </c>
      <c r="O187" t="s">
        <v>168</v>
      </c>
      <c r="P187">
        <v>6.1511827475626321E-2</v>
      </c>
      <c r="Q187" t="s">
        <v>157</v>
      </c>
      <c r="S187" t="s">
        <v>404</v>
      </c>
      <c r="T187" t="s">
        <v>168</v>
      </c>
      <c r="U187">
        <v>6.6385270408233596E-2</v>
      </c>
      <c r="V187" t="s">
        <v>157</v>
      </c>
    </row>
    <row r="188" spans="9:22" x14ac:dyDescent="0.45">
      <c r="I188" t="s">
        <v>182</v>
      </c>
      <c r="J188" t="s">
        <v>169</v>
      </c>
      <c r="K188">
        <v>1.6569723499052877E-2</v>
      </c>
      <c r="L188" t="s">
        <v>157</v>
      </c>
      <c r="N188" t="s">
        <v>293</v>
      </c>
      <c r="O188" t="s">
        <v>169</v>
      </c>
      <c r="P188">
        <v>7.3250619725156825E-3</v>
      </c>
      <c r="Q188" t="s">
        <v>157</v>
      </c>
      <c r="S188" t="s">
        <v>404</v>
      </c>
      <c r="T188" t="s">
        <v>169</v>
      </c>
      <c r="U188">
        <v>6.2737388022555615E-3</v>
      </c>
      <c r="V188" t="s">
        <v>157</v>
      </c>
    </row>
    <row r="189" spans="9:22" x14ac:dyDescent="0.45">
      <c r="I189" t="s">
        <v>182</v>
      </c>
      <c r="J189" t="s">
        <v>170</v>
      </c>
      <c r="K189">
        <v>1.3322467057392928E-2</v>
      </c>
      <c r="L189" t="s">
        <v>157</v>
      </c>
      <c r="N189" t="s">
        <v>293</v>
      </c>
      <c r="O189" t="s">
        <v>170</v>
      </c>
      <c r="P189">
        <v>6.5619295655663839E-3</v>
      </c>
      <c r="Q189" t="s">
        <v>157</v>
      </c>
      <c r="S189" t="s">
        <v>404</v>
      </c>
      <c r="T189" t="s">
        <v>170</v>
      </c>
      <c r="U189">
        <v>6.2930428035985302E-3</v>
      </c>
      <c r="V189" t="s">
        <v>157</v>
      </c>
    </row>
    <row r="190" spans="9:22" x14ac:dyDescent="0.45">
      <c r="I190" t="s">
        <v>182</v>
      </c>
      <c r="J190" t="s">
        <v>171</v>
      </c>
      <c r="K190">
        <v>8.5291133012644245E-3</v>
      </c>
      <c r="L190" t="s">
        <v>157</v>
      </c>
      <c r="N190" t="s">
        <v>293</v>
      </c>
      <c r="O190" t="s">
        <v>171</v>
      </c>
      <c r="P190">
        <v>3.0612022036647181E-2</v>
      </c>
      <c r="Q190" t="s">
        <v>157</v>
      </c>
      <c r="S190" t="s">
        <v>404</v>
      </c>
      <c r="T190" t="s">
        <v>171</v>
      </c>
      <c r="U190">
        <v>3.2018235119862119E-2</v>
      </c>
      <c r="V190" t="s">
        <v>157</v>
      </c>
    </row>
    <row r="191" spans="9:22" x14ac:dyDescent="0.45">
      <c r="I191" t="s">
        <v>183</v>
      </c>
      <c r="J191" t="s">
        <v>156</v>
      </c>
      <c r="K191">
        <v>1.0207751386084379E-2</v>
      </c>
      <c r="L191" t="s">
        <v>157</v>
      </c>
      <c r="N191" t="s">
        <v>294</v>
      </c>
      <c r="O191" t="s">
        <v>156</v>
      </c>
      <c r="P191">
        <v>0.11747841109627301</v>
      </c>
      <c r="Q191" t="s">
        <v>157</v>
      </c>
      <c r="S191" t="s">
        <v>405</v>
      </c>
      <c r="T191" t="s">
        <v>156</v>
      </c>
      <c r="U191">
        <v>0.14002439307927217</v>
      </c>
      <c r="V191" t="s">
        <v>157</v>
      </c>
    </row>
    <row r="192" spans="9:22" x14ac:dyDescent="0.45">
      <c r="I192" t="s">
        <v>183</v>
      </c>
      <c r="J192" t="s">
        <v>158</v>
      </c>
      <c r="K192">
        <v>0.39050392839501519</v>
      </c>
      <c r="L192" t="s">
        <v>157</v>
      </c>
      <c r="N192" t="s">
        <v>294</v>
      </c>
      <c r="O192" t="s">
        <v>158</v>
      </c>
      <c r="P192">
        <v>0.19986720672194394</v>
      </c>
      <c r="Q192" t="s">
        <v>157</v>
      </c>
      <c r="S192" t="s">
        <v>405</v>
      </c>
      <c r="T192" t="s">
        <v>158</v>
      </c>
      <c r="U192">
        <v>0.20132966112155748</v>
      </c>
      <c r="V192" t="s">
        <v>157</v>
      </c>
    </row>
    <row r="193" spans="9:22" x14ac:dyDescent="0.45">
      <c r="I193" t="s">
        <v>183</v>
      </c>
      <c r="J193" t="s">
        <v>159</v>
      </c>
      <c r="K193">
        <v>3.0865113675247909E-2</v>
      </c>
      <c r="L193" t="s">
        <v>157</v>
      </c>
      <c r="N193" t="s">
        <v>294</v>
      </c>
      <c r="O193" t="s">
        <v>159</v>
      </c>
      <c r="P193">
        <v>2.1201415373628529E-2</v>
      </c>
      <c r="Q193" t="s">
        <v>157</v>
      </c>
      <c r="S193" t="s">
        <v>405</v>
      </c>
      <c r="T193" t="s">
        <v>159</v>
      </c>
      <c r="U193">
        <v>2.0581223880084074E-2</v>
      </c>
      <c r="V193" t="s">
        <v>157</v>
      </c>
    </row>
    <row r="194" spans="9:22" x14ac:dyDescent="0.45">
      <c r="I194" t="s">
        <v>183</v>
      </c>
      <c r="J194" t="s">
        <v>160</v>
      </c>
      <c r="K194">
        <v>2.2392994179984606E-2</v>
      </c>
      <c r="L194" t="s">
        <v>157</v>
      </c>
      <c r="N194" t="s">
        <v>294</v>
      </c>
      <c r="O194" t="s">
        <v>160</v>
      </c>
      <c r="P194">
        <v>1.966054304745591E-2</v>
      </c>
      <c r="Q194" t="s">
        <v>157</v>
      </c>
      <c r="S194" t="s">
        <v>405</v>
      </c>
      <c r="T194" t="s">
        <v>160</v>
      </c>
      <c r="U194">
        <v>2.0390026611440445E-2</v>
      </c>
      <c r="V194" t="s">
        <v>157</v>
      </c>
    </row>
    <row r="195" spans="9:22" x14ac:dyDescent="0.45">
      <c r="I195" t="s">
        <v>183</v>
      </c>
      <c r="J195" t="s">
        <v>161</v>
      </c>
      <c r="K195">
        <v>1.1079748497619203E-2</v>
      </c>
      <c r="L195" t="s">
        <v>157</v>
      </c>
      <c r="N195" t="s">
        <v>294</v>
      </c>
      <c r="O195" t="s">
        <v>161</v>
      </c>
      <c r="P195">
        <v>8.5330667641079383E-2</v>
      </c>
      <c r="Q195" t="s">
        <v>157</v>
      </c>
      <c r="S195" t="s">
        <v>405</v>
      </c>
      <c r="T195" t="s">
        <v>161</v>
      </c>
      <c r="U195">
        <v>0.10015222950123898</v>
      </c>
      <c r="V195" t="s">
        <v>157</v>
      </c>
    </row>
    <row r="196" spans="9:22" x14ac:dyDescent="0.45">
      <c r="I196" t="s">
        <v>183</v>
      </c>
      <c r="J196" t="s">
        <v>162</v>
      </c>
      <c r="K196">
        <v>4.4989264427229662E-3</v>
      </c>
      <c r="L196" t="s">
        <v>157</v>
      </c>
      <c r="N196" t="s">
        <v>294</v>
      </c>
      <c r="O196" t="s">
        <v>162</v>
      </c>
      <c r="P196">
        <v>0.12424633588343752</v>
      </c>
      <c r="Q196" t="s">
        <v>157</v>
      </c>
      <c r="S196" t="s">
        <v>405</v>
      </c>
      <c r="T196" t="s">
        <v>162</v>
      </c>
      <c r="U196">
        <v>0.10731189641174083</v>
      </c>
      <c r="V196" t="s">
        <v>157</v>
      </c>
    </row>
    <row r="197" spans="9:22" x14ac:dyDescent="0.45">
      <c r="I197" t="s">
        <v>183</v>
      </c>
      <c r="J197" t="s">
        <v>163</v>
      </c>
      <c r="K197">
        <v>0.24437476650204903</v>
      </c>
      <c r="L197" t="s">
        <v>157</v>
      </c>
      <c r="N197" t="s">
        <v>294</v>
      </c>
      <c r="O197" t="s">
        <v>163</v>
      </c>
      <c r="P197">
        <v>0.19601787732752551</v>
      </c>
      <c r="Q197" t="s">
        <v>157</v>
      </c>
      <c r="S197" t="s">
        <v>405</v>
      </c>
      <c r="T197" t="s">
        <v>163</v>
      </c>
      <c r="U197">
        <v>0.14807305203558135</v>
      </c>
      <c r="V197" t="s">
        <v>157</v>
      </c>
    </row>
    <row r="198" spans="9:22" x14ac:dyDescent="0.45">
      <c r="I198" t="s">
        <v>183</v>
      </c>
      <c r="J198" t="s">
        <v>164</v>
      </c>
      <c r="K198">
        <v>1.6912117858584472E-2</v>
      </c>
      <c r="L198" t="s">
        <v>157</v>
      </c>
      <c r="N198" t="s">
        <v>294</v>
      </c>
      <c r="O198" t="s">
        <v>164</v>
      </c>
      <c r="P198">
        <v>1.8673186333355542E-2</v>
      </c>
      <c r="Q198" t="s">
        <v>157</v>
      </c>
      <c r="S198" t="s">
        <v>405</v>
      </c>
      <c r="T198" t="s">
        <v>164</v>
      </c>
      <c r="U198">
        <v>1.4709796718473582E-2</v>
      </c>
      <c r="V198" t="s">
        <v>157</v>
      </c>
    </row>
    <row r="199" spans="9:22" x14ac:dyDescent="0.45">
      <c r="I199" t="s">
        <v>183</v>
      </c>
      <c r="J199" t="s">
        <v>165</v>
      </c>
      <c r="K199">
        <v>7.4328625568791185E-3</v>
      </c>
      <c r="L199" t="s">
        <v>157</v>
      </c>
      <c r="N199" t="s">
        <v>294</v>
      </c>
      <c r="O199" t="s">
        <v>165</v>
      </c>
      <c r="P199">
        <v>1.7805904771463602E-2</v>
      </c>
      <c r="Q199" t="s">
        <v>157</v>
      </c>
      <c r="S199" t="s">
        <v>405</v>
      </c>
      <c r="T199" t="s">
        <v>165</v>
      </c>
      <c r="U199">
        <v>1.4640383552227125E-2</v>
      </c>
      <c r="V199" t="s">
        <v>157</v>
      </c>
    </row>
    <row r="200" spans="9:22" x14ac:dyDescent="0.45">
      <c r="I200" t="s">
        <v>183</v>
      </c>
      <c r="J200" t="s">
        <v>166</v>
      </c>
      <c r="K200">
        <v>0</v>
      </c>
      <c r="L200" t="s">
        <v>157</v>
      </c>
      <c r="N200" t="s">
        <v>294</v>
      </c>
      <c r="O200" t="s">
        <v>166</v>
      </c>
      <c r="P200">
        <v>8.2697391329558848E-2</v>
      </c>
      <c r="Q200" t="s">
        <v>157</v>
      </c>
      <c r="S200" t="s">
        <v>405</v>
      </c>
      <c r="T200" t="s">
        <v>166</v>
      </c>
      <c r="U200">
        <v>7.372965199901764E-2</v>
      </c>
      <c r="V200" t="s">
        <v>157</v>
      </c>
    </row>
    <row r="201" spans="9:22" x14ac:dyDescent="0.45">
      <c r="I201" t="s">
        <v>183</v>
      </c>
      <c r="J201" t="s">
        <v>167</v>
      </c>
      <c r="K201">
        <v>1.8551379724288029E-2</v>
      </c>
      <c r="L201" t="s">
        <v>157</v>
      </c>
      <c r="N201" t="s">
        <v>294</v>
      </c>
      <c r="O201" t="s">
        <v>167</v>
      </c>
      <c r="P201">
        <v>2.2914754393447336E-2</v>
      </c>
      <c r="Q201" t="s">
        <v>157</v>
      </c>
      <c r="S201" t="s">
        <v>405</v>
      </c>
      <c r="T201" t="s">
        <v>167</v>
      </c>
      <c r="U201">
        <v>4.7064134022212538E-2</v>
      </c>
      <c r="V201" t="s">
        <v>157</v>
      </c>
    </row>
    <row r="202" spans="9:22" x14ac:dyDescent="0.45">
      <c r="I202" t="s">
        <v>183</v>
      </c>
      <c r="J202" t="s">
        <v>168</v>
      </c>
      <c r="K202">
        <v>0.20787301816373921</v>
      </c>
      <c r="L202" t="s">
        <v>157</v>
      </c>
      <c r="N202" t="s">
        <v>294</v>
      </c>
      <c r="O202" t="s">
        <v>168</v>
      </c>
      <c r="P202">
        <v>6.4520163457113935E-2</v>
      </c>
      <c r="Q202" t="s">
        <v>157</v>
      </c>
      <c r="S202" t="s">
        <v>405</v>
      </c>
      <c r="T202" t="s">
        <v>168</v>
      </c>
      <c r="U202">
        <v>6.6688857289926462E-2</v>
      </c>
      <c r="V202" t="s">
        <v>157</v>
      </c>
    </row>
    <row r="203" spans="9:22" x14ac:dyDescent="0.45">
      <c r="I203" t="s">
        <v>183</v>
      </c>
      <c r="J203" t="s">
        <v>169</v>
      </c>
      <c r="K203">
        <v>1.4831072074976654E-2</v>
      </c>
      <c r="L203" t="s">
        <v>157</v>
      </c>
      <c r="N203" t="s">
        <v>294</v>
      </c>
      <c r="O203" t="s">
        <v>169</v>
      </c>
      <c r="P203">
        <v>6.1422050182923637E-3</v>
      </c>
      <c r="Q203" t="s">
        <v>157</v>
      </c>
      <c r="S203" t="s">
        <v>405</v>
      </c>
      <c r="T203" t="s">
        <v>169</v>
      </c>
      <c r="U203">
        <v>6.3516333501083492E-3</v>
      </c>
      <c r="V203" t="s">
        <v>157</v>
      </c>
    </row>
    <row r="204" spans="9:22" x14ac:dyDescent="0.45">
      <c r="I204" t="s">
        <v>183</v>
      </c>
      <c r="J204" t="s">
        <v>170</v>
      </c>
      <c r="K204">
        <v>1.2741664875068797E-2</v>
      </c>
      <c r="L204" t="s">
        <v>157</v>
      </c>
      <c r="N204" t="s">
        <v>294</v>
      </c>
      <c r="O204" t="s">
        <v>170</v>
      </c>
      <c r="P204">
        <v>5.1969554921009039E-3</v>
      </c>
      <c r="Q204" t="s">
        <v>157</v>
      </c>
      <c r="S204" t="s">
        <v>405</v>
      </c>
      <c r="T204" t="s">
        <v>170</v>
      </c>
      <c r="U204">
        <v>6.428255334534636E-3</v>
      </c>
      <c r="V204" t="s">
        <v>157</v>
      </c>
    </row>
    <row r="205" spans="9:22" x14ac:dyDescent="0.45">
      <c r="I205" t="s">
        <v>183</v>
      </c>
      <c r="J205" t="s">
        <v>171</v>
      </c>
      <c r="K205">
        <v>7.7346556677403951E-3</v>
      </c>
      <c r="L205" t="s">
        <v>157</v>
      </c>
      <c r="N205" t="s">
        <v>294</v>
      </c>
      <c r="O205" t="s">
        <v>171</v>
      </c>
      <c r="P205">
        <v>1.8246982113323724E-2</v>
      </c>
      <c r="Q205" t="s">
        <v>157</v>
      </c>
      <c r="S205" t="s">
        <v>405</v>
      </c>
      <c r="T205" t="s">
        <v>171</v>
      </c>
      <c r="U205">
        <v>3.2524805092584361E-2</v>
      </c>
      <c r="V205" t="s">
        <v>157</v>
      </c>
    </row>
    <row r="206" spans="9:22" x14ac:dyDescent="0.45">
      <c r="I206" t="s">
        <v>184</v>
      </c>
      <c r="J206" t="s">
        <v>156</v>
      </c>
      <c r="K206">
        <v>4.7729661673675998E-3</v>
      </c>
      <c r="L206" t="s">
        <v>157</v>
      </c>
      <c r="N206" t="s">
        <v>295</v>
      </c>
      <c r="O206" t="s">
        <v>156</v>
      </c>
      <c r="P206">
        <v>0.12562175991958979</v>
      </c>
      <c r="Q206" t="s">
        <v>157</v>
      </c>
      <c r="S206" t="s">
        <v>406</v>
      </c>
      <c r="T206" t="s">
        <v>156</v>
      </c>
      <c r="U206">
        <v>0.14025740005507539</v>
      </c>
      <c r="V206" t="s">
        <v>157</v>
      </c>
    </row>
    <row r="207" spans="9:22" x14ac:dyDescent="0.45">
      <c r="I207" t="s">
        <v>184</v>
      </c>
      <c r="J207" t="s">
        <v>158</v>
      </c>
      <c r="K207">
        <v>0.39914011437928376</v>
      </c>
      <c r="L207" t="s">
        <v>157</v>
      </c>
      <c r="N207" t="s">
        <v>295</v>
      </c>
      <c r="O207" t="s">
        <v>158</v>
      </c>
      <c r="P207">
        <v>0.20420818464440291</v>
      </c>
      <c r="Q207" t="s">
        <v>157</v>
      </c>
      <c r="S207" t="s">
        <v>406</v>
      </c>
      <c r="T207" t="s">
        <v>158</v>
      </c>
      <c r="U207">
        <v>0.20239870654715181</v>
      </c>
      <c r="V207" t="s">
        <v>157</v>
      </c>
    </row>
    <row r="208" spans="9:22" x14ac:dyDescent="0.45">
      <c r="I208" t="s">
        <v>184</v>
      </c>
      <c r="J208" t="s">
        <v>159</v>
      </c>
      <c r="K208">
        <v>3.6701045242548178E-2</v>
      </c>
      <c r="L208" t="s">
        <v>157</v>
      </c>
      <c r="N208" t="s">
        <v>295</v>
      </c>
      <c r="O208" t="s">
        <v>159</v>
      </c>
      <c r="P208">
        <v>2.4258643404006942E-2</v>
      </c>
      <c r="Q208" t="s">
        <v>157</v>
      </c>
      <c r="S208" t="s">
        <v>406</v>
      </c>
      <c r="T208" t="s">
        <v>159</v>
      </c>
      <c r="U208">
        <v>2.0594021101153041E-2</v>
      </c>
      <c r="V208" t="s">
        <v>157</v>
      </c>
    </row>
    <row r="209" spans="9:22" x14ac:dyDescent="0.45">
      <c r="I209" t="s">
        <v>184</v>
      </c>
      <c r="J209" t="s">
        <v>160</v>
      </c>
      <c r="K209">
        <v>2.3003879553327531E-2</v>
      </c>
      <c r="L209" t="s">
        <v>157</v>
      </c>
      <c r="N209" t="s">
        <v>295</v>
      </c>
      <c r="O209" t="s">
        <v>160</v>
      </c>
      <c r="P209">
        <v>2.3275854693405169E-2</v>
      </c>
      <c r="Q209" t="s">
        <v>157</v>
      </c>
      <c r="S209" t="s">
        <v>406</v>
      </c>
      <c r="T209" t="s">
        <v>160</v>
      </c>
      <c r="U209">
        <v>2.0390059814832068E-2</v>
      </c>
      <c r="V209" t="s">
        <v>157</v>
      </c>
    </row>
    <row r="210" spans="9:22" x14ac:dyDescent="0.45">
      <c r="I210" t="s">
        <v>184</v>
      </c>
      <c r="J210" t="s">
        <v>161</v>
      </c>
      <c r="K210">
        <v>1.1040418667913228E-2</v>
      </c>
      <c r="L210" t="s">
        <v>157</v>
      </c>
      <c r="N210" t="s">
        <v>295</v>
      </c>
      <c r="O210" t="s">
        <v>161</v>
      </c>
      <c r="P210">
        <v>0.10188311218196147</v>
      </c>
      <c r="Q210" t="s">
        <v>157</v>
      </c>
      <c r="S210" t="s">
        <v>406</v>
      </c>
      <c r="T210" t="s">
        <v>161</v>
      </c>
      <c r="U210">
        <v>0.10017282262252786</v>
      </c>
      <c r="V210" t="s">
        <v>157</v>
      </c>
    </row>
    <row r="211" spans="9:22" x14ac:dyDescent="0.45">
      <c r="I211" t="s">
        <v>184</v>
      </c>
      <c r="J211" t="s">
        <v>162</v>
      </c>
      <c r="K211">
        <v>2.767413148475032E-3</v>
      </c>
      <c r="L211" t="s">
        <v>157</v>
      </c>
      <c r="N211" t="s">
        <v>295</v>
      </c>
      <c r="O211" t="s">
        <v>162</v>
      </c>
      <c r="P211">
        <v>0.11211726148989745</v>
      </c>
      <c r="Q211" t="s">
        <v>157</v>
      </c>
      <c r="S211" t="s">
        <v>406</v>
      </c>
      <c r="T211" t="s">
        <v>162</v>
      </c>
      <c r="U211">
        <v>0.10652205911789146</v>
      </c>
      <c r="V211" t="s">
        <v>157</v>
      </c>
    </row>
    <row r="212" spans="9:22" x14ac:dyDescent="0.45">
      <c r="I212" t="s">
        <v>184</v>
      </c>
      <c r="J212" t="s">
        <v>163</v>
      </c>
      <c r="K212">
        <v>0.25138158574322084</v>
      </c>
      <c r="L212" t="s">
        <v>157</v>
      </c>
      <c r="N212" t="s">
        <v>295</v>
      </c>
      <c r="O212" t="s">
        <v>163</v>
      </c>
      <c r="P212">
        <v>0.15497515871145179</v>
      </c>
      <c r="Q212" t="s">
        <v>157</v>
      </c>
      <c r="S212" t="s">
        <v>406</v>
      </c>
      <c r="T212" t="s">
        <v>163</v>
      </c>
      <c r="U212">
        <v>0.14792343508812211</v>
      </c>
      <c r="V212" t="s">
        <v>157</v>
      </c>
    </row>
    <row r="213" spans="9:22" x14ac:dyDescent="0.45">
      <c r="I213" t="s">
        <v>184</v>
      </c>
      <c r="J213" t="s">
        <v>164</v>
      </c>
      <c r="K213">
        <v>2.1092892174253888E-2</v>
      </c>
      <c r="L213" t="s">
        <v>157</v>
      </c>
      <c r="N213" t="s">
        <v>295</v>
      </c>
      <c r="O213" t="s">
        <v>164</v>
      </c>
      <c r="P213">
        <v>1.5970305756577551E-2</v>
      </c>
      <c r="Q213" t="s">
        <v>157</v>
      </c>
      <c r="S213" t="s">
        <v>406</v>
      </c>
      <c r="T213" t="s">
        <v>164</v>
      </c>
      <c r="U213">
        <v>1.463836894170524E-2</v>
      </c>
      <c r="V213" t="s">
        <v>157</v>
      </c>
    </row>
    <row r="214" spans="9:22" x14ac:dyDescent="0.45">
      <c r="I214" t="s">
        <v>184</v>
      </c>
      <c r="J214" t="s">
        <v>165</v>
      </c>
      <c r="K214">
        <v>1.0184406189208007E-2</v>
      </c>
      <c r="L214" t="s">
        <v>157</v>
      </c>
      <c r="N214" t="s">
        <v>295</v>
      </c>
      <c r="O214" t="s">
        <v>165</v>
      </c>
      <c r="P214">
        <v>1.5825980393166305E-2</v>
      </c>
      <c r="Q214" t="s">
        <v>157</v>
      </c>
      <c r="S214" t="s">
        <v>406</v>
      </c>
      <c r="T214" t="s">
        <v>165</v>
      </c>
      <c r="U214">
        <v>1.455595527240547E-2</v>
      </c>
      <c r="V214" t="s">
        <v>157</v>
      </c>
    </row>
    <row r="215" spans="9:22" x14ac:dyDescent="0.45">
      <c r="I215" t="s">
        <v>184</v>
      </c>
      <c r="J215" t="s">
        <v>166</v>
      </c>
      <c r="K215">
        <v>3.5810290423169403E-4</v>
      </c>
      <c r="L215" t="s">
        <v>157</v>
      </c>
      <c r="N215" t="s">
        <v>295</v>
      </c>
      <c r="O215" t="s">
        <v>166</v>
      </c>
      <c r="P215">
        <v>7.7740882049050081E-2</v>
      </c>
      <c r="Q215" t="s">
        <v>157</v>
      </c>
      <c r="S215" t="s">
        <v>406</v>
      </c>
      <c r="T215" t="s">
        <v>166</v>
      </c>
      <c r="U215">
        <v>7.3364405600004776E-2</v>
      </c>
      <c r="V215" t="s">
        <v>157</v>
      </c>
    </row>
    <row r="216" spans="9:22" x14ac:dyDescent="0.45">
      <c r="I216" t="s">
        <v>184</v>
      </c>
      <c r="J216" t="s">
        <v>167</v>
      </c>
      <c r="K216">
        <v>8.4746255227306881E-3</v>
      </c>
      <c r="L216" t="s">
        <v>157</v>
      </c>
      <c r="N216" t="s">
        <v>295</v>
      </c>
      <c r="O216" t="s">
        <v>167</v>
      </c>
      <c r="P216">
        <v>3.8540794860781644E-2</v>
      </c>
      <c r="Q216" t="s">
        <v>157</v>
      </c>
      <c r="S216" t="s">
        <v>406</v>
      </c>
      <c r="T216" t="s">
        <v>167</v>
      </c>
      <c r="U216">
        <v>4.6734069859039967E-2</v>
      </c>
      <c r="V216" t="s">
        <v>157</v>
      </c>
    </row>
    <row r="217" spans="9:22" x14ac:dyDescent="0.45">
      <c r="I217" t="s">
        <v>184</v>
      </c>
      <c r="J217" t="s">
        <v>168</v>
      </c>
      <c r="K217">
        <v>0.19463241102430645</v>
      </c>
      <c r="L217" t="s">
        <v>157</v>
      </c>
      <c r="N217" t="s">
        <v>295</v>
      </c>
      <c r="O217" t="s">
        <v>168</v>
      </c>
      <c r="P217">
        <v>6.1188262080659854E-2</v>
      </c>
      <c r="Q217" t="s">
        <v>157</v>
      </c>
      <c r="S217" t="s">
        <v>406</v>
      </c>
      <c r="T217" t="s">
        <v>168</v>
      </c>
      <c r="U217">
        <v>6.6696289037205397E-2</v>
      </c>
      <c r="V217" t="s">
        <v>157</v>
      </c>
    </row>
    <row r="218" spans="9:22" x14ac:dyDescent="0.45">
      <c r="I218" t="s">
        <v>184</v>
      </c>
      <c r="J218" t="s">
        <v>169</v>
      </c>
      <c r="K218">
        <v>1.5432112417910279E-2</v>
      </c>
      <c r="L218" t="s">
        <v>157</v>
      </c>
      <c r="N218" t="s">
        <v>295</v>
      </c>
      <c r="O218" t="s">
        <v>169</v>
      </c>
      <c r="P218">
        <v>7.2411263699794521E-3</v>
      </c>
      <c r="Q218" t="s">
        <v>157</v>
      </c>
      <c r="S218" t="s">
        <v>406</v>
      </c>
      <c r="T218" t="s">
        <v>169</v>
      </c>
      <c r="U218">
        <v>6.51230042916925E-3</v>
      </c>
      <c r="V218" t="s">
        <v>157</v>
      </c>
    </row>
    <row r="219" spans="9:22" x14ac:dyDescent="0.45">
      <c r="I219" t="s">
        <v>184</v>
      </c>
      <c r="J219" t="s">
        <v>170</v>
      </c>
      <c r="K219">
        <v>1.2913535723053777E-2</v>
      </c>
      <c r="L219" t="s">
        <v>157</v>
      </c>
      <c r="N219" t="s">
        <v>295</v>
      </c>
      <c r="O219" t="s">
        <v>170</v>
      </c>
      <c r="P219">
        <v>6.8487734483430526E-3</v>
      </c>
      <c r="Q219" t="s">
        <v>157</v>
      </c>
      <c r="S219" t="s">
        <v>406</v>
      </c>
      <c r="T219" t="s">
        <v>170</v>
      </c>
      <c r="U219">
        <v>6.5227722120889363E-3</v>
      </c>
      <c r="V219" t="s">
        <v>157</v>
      </c>
    </row>
    <row r="220" spans="9:22" x14ac:dyDescent="0.45">
      <c r="I220" t="s">
        <v>184</v>
      </c>
      <c r="J220" t="s">
        <v>171</v>
      </c>
      <c r="K220">
        <v>8.1044911421690093E-3</v>
      </c>
      <c r="L220" t="s">
        <v>157</v>
      </c>
      <c r="N220" t="s">
        <v>295</v>
      </c>
      <c r="O220" t="s">
        <v>171</v>
      </c>
      <c r="P220">
        <v>3.0303899996726478E-2</v>
      </c>
      <c r="Q220" t="s">
        <v>157</v>
      </c>
      <c r="S220" t="s">
        <v>406</v>
      </c>
      <c r="T220" t="s">
        <v>171</v>
      </c>
      <c r="U220">
        <v>3.2717334301627314E-2</v>
      </c>
      <c r="V220" t="s">
        <v>157</v>
      </c>
    </row>
    <row r="221" spans="9:22" x14ac:dyDescent="0.45">
      <c r="I221" t="s">
        <v>185</v>
      </c>
      <c r="J221" t="s">
        <v>156</v>
      </c>
      <c r="K221">
        <v>4.7424993803664283E-3</v>
      </c>
      <c r="L221" t="s">
        <v>157</v>
      </c>
      <c r="N221" t="s">
        <v>296</v>
      </c>
      <c r="O221" t="s">
        <v>156</v>
      </c>
      <c r="P221">
        <v>0.12165133091322552</v>
      </c>
      <c r="Q221" t="s">
        <v>157</v>
      </c>
      <c r="S221" t="s">
        <v>407</v>
      </c>
      <c r="T221" t="s">
        <v>156</v>
      </c>
      <c r="U221">
        <v>0.14083596124118977</v>
      </c>
      <c r="V221" t="s">
        <v>157</v>
      </c>
    </row>
    <row r="222" spans="9:22" x14ac:dyDescent="0.45">
      <c r="I222" t="s">
        <v>185</v>
      </c>
      <c r="J222" t="s">
        <v>158</v>
      </c>
      <c r="K222">
        <v>0.40114899938707788</v>
      </c>
      <c r="L222" t="s">
        <v>157</v>
      </c>
      <c r="N222" t="s">
        <v>296</v>
      </c>
      <c r="O222" t="s">
        <v>158</v>
      </c>
      <c r="P222">
        <v>0.21441669897977486</v>
      </c>
      <c r="Q222" t="s">
        <v>157</v>
      </c>
      <c r="S222" t="s">
        <v>407</v>
      </c>
      <c r="T222" t="s">
        <v>158</v>
      </c>
      <c r="U222">
        <v>0.20445948107580253</v>
      </c>
      <c r="V222" t="s">
        <v>157</v>
      </c>
    </row>
    <row r="223" spans="9:22" x14ac:dyDescent="0.45">
      <c r="I223" t="s">
        <v>185</v>
      </c>
      <c r="J223" t="s">
        <v>159</v>
      </c>
      <c r="K223">
        <v>3.6795503300147386E-2</v>
      </c>
      <c r="L223" t="s">
        <v>157</v>
      </c>
      <c r="N223" t="s">
        <v>296</v>
      </c>
      <c r="O223" t="s">
        <v>159</v>
      </c>
      <c r="P223">
        <v>2.3108009185378618E-2</v>
      </c>
      <c r="Q223" t="s">
        <v>157</v>
      </c>
      <c r="S223" t="s">
        <v>407</v>
      </c>
      <c r="T223" t="s">
        <v>159</v>
      </c>
      <c r="U223">
        <v>2.0772996487148167E-2</v>
      </c>
      <c r="V223" t="s">
        <v>157</v>
      </c>
    </row>
    <row r="224" spans="9:22" x14ac:dyDescent="0.45">
      <c r="I224" t="s">
        <v>185</v>
      </c>
      <c r="J224" t="s">
        <v>160</v>
      </c>
      <c r="K224">
        <v>2.2860496973190716E-2</v>
      </c>
      <c r="L224" t="s">
        <v>157</v>
      </c>
      <c r="N224" t="s">
        <v>296</v>
      </c>
      <c r="O224" t="s">
        <v>160</v>
      </c>
      <c r="P224">
        <v>2.1888764279868703E-2</v>
      </c>
      <c r="Q224" t="s">
        <v>157</v>
      </c>
      <c r="S224" t="s">
        <v>407</v>
      </c>
      <c r="T224" t="s">
        <v>160</v>
      </c>
      <c r="U224">
        <v>2.0550551488828651E-2</v>
      </c>
      <c r="V224" t="s">
        <v>157</v>
      </c>
    </row>
    <row r="225" spans="9:22" x14ac:dyDescent="0.45">
      <c r="I225" t="s">
        <v>185</v>
      </c>
      <c r="J225" t="s">
        <v>161</v>
      </c>
      <c r="K225">
        <v>1.1133710334956868E-2</v>
      </c>
      <c r="L225" t="s">
        <v>157</v>
      </c>
      <c r="N225" t="s">
        <v>296</v>
      </c>
      <c r="O225" t="s">
        <v>161</v>
      </c>
      <c r="P225">
        <v>9.4398497398222661E-2</v>
      </c>
      <c r="Q225" t="s">
        <v>157</v>
      </c>
      <c r="S225" t="s">
        <v>407</v>
      </c>
      <c r="T225" t="s">
        <v>161</v>
      </c>
      <c r="U225">
        <v>0.10048290017693184</v>
      </c>
      <c r="V225" t="s">
        <v>157</v>
      </c>
    </row>
    <row r="226" spans="9:22" x14ac:dyDescent="0.45">
      <c r="I226" t="s">
        <v>185</v>
      </c>
      <c r="J226" t="s">
        <v>162</v>
      </c>
      <c r="K226">
        <v>2.7342005716843323E-3</v>
      </c>
      <c r="L226" t="s">
        <v>157</v>
      </c>
      <c r="N226" t="s">
        <v>296</v>
      </c>
      <c r="O226" t="s">
        <v>162</v>
      </c>
      <c r="P226">
        <v>0.10749762013883615</v>
      </c>
      <c r="Q226" t="s">
        <v>157</v>
      </c>
      <c r="S226" t="s">
        <v>407</v>
      </c>
      <c r="T226" t="s">
        <v>162</v>
      </c>
      <c r="U226">
        <v>0.10495229596139383</v>
      </c>
      <c r="V226" t="s">
        <v>157</v>
      </c>
    </row>
    <row r="227" spans="9:22" x14ac:dyDescent="0.45">
      <c r="I227" t="s">
        <v>185</v>
      </c>
      <c r="J227" t="s">
        <v>163</v>
      </c>
      <c r="K227">
        <v>0.24859945043508538</v>
      </c>
      <c r="L227" t="s">
        <v>157</v>
      </c>
      <c r="N227" t="s">
        <v>296</v>
      </c>
      <c r="O227" t="s">
        <v>163</v>
      </c>
      <c r="P227">
        <v>0.17132633908036241</v>
      </c>
      <c r="Q227" t="s">
        <v>157</v>
      </c>
      <c r="S227" t="s">
        <v>407</v>
      </c>
      <c r="T227" t="s">
        <v>163</v>
      </c>
      <c r="U227">
        <v>0.14743649371808668</v>
      </c>
      <c r="V227" t="s">
        <v>157</v>
      </c>
    </row>
    <row r="228" spans="9:22" x14ac:dyDescent="0.45">
      <c r="I228" t="s">
        <v>185</v>
      </c>
      <c r="J228" t="s">
        <v>164</v>
      </c>
      <c r="K228">
        <v>2.0806216906128456E-2</v>
      </c>
      <c r="L228" t="s">
        <v>157</v>
      </c>
      <c r="N228" t="s">
        <v>296</v>
      </c>
      <c r="O228" t="s">
        <v>164</v>
      </c>
      <c r="P228">
        <v>1.6691897255947191E-2</v>
      </c>
      <c r="Q228" t="s">
        <v>157</v>
      </c>
      <c r="S228" t="s">
        <v>407</v>
      </c>
      <c r="T228" t="s">
        <v>164</v>
      </c>
      <c r="U228">
        <v>1.456141140225305E-2</v>
      </c>
      <c r="V228" t="s">
        <v>157</v>
      </c>
    </row>
    <row r="229" spans="9:22" x14ac:dyDescent="0.45">
      <c r="I229" t="s">
        <v>185</v>
      </c>
      <c r="J229" t="s">
        <v>165</v>
      </c>
      <c r="K229">
        <v>1.0210164296259251E-2</v>
      </c>
      <c r="L229" t="s">
        <v>157</v>
      </c>
      <c r="N229" t="s">
        <v>296</v>
      </c>
      <c r="O229" t="s">
        <v>165</v>
      </c>
      <c r="P229">
        <v>1.5841592351435847E-2</v>
      </c>
      <c r="Q229" t="s">
        <v>157</v>
      </c>
      <c r="S229" t="s">
        <v>407</v>
      </c>
      <c r="T229" t="s">
        <v>165</v>
      </c>
      <c r="U229">
        <v>1.4421802866566222E-2</v>
      </c>
      <c r="V229" t="s">
        <v>157</v>
      </c>
    </row>
    <row r="230" spans="9:22" x14ac:dyDescent="0.45">
      <c r="I230" t="s">
        <v>185</v>
      </c>
      <c r="J230" t="s">
        <v>166</v>
      </c>
      <c r="K230">
        <v>2.2559799481439437E-4</v>
      </c>
      <c r="L230" t="s">
        <v>157</v>
      </c>
      <c r="N230" t="s">
        <v>296</v>
      </c>
      <c r="O230" t="s">
        <v>166</v>
      </c>
      <c r="P230">
        <v>7.3284880965075294E-2</v>
      </c>
      <c r="Q230" t="s">
        <v>157</v>
      </c>
      <c r="S230" t="s">
        <v>407</v>
      </c>
      <c r="T230" t="s">
        <v>166</v>
      </c>
      <c r="U230">
        <v>7.2719276094260002E-2</v>
      </c>
      <c r="V230" t="s">
        <v>157</v>
      </c>
    </row>
    <row r="231" spans="9:22" x14ac:dyDescent="0.45">
      <c r="I231" t="s">
        <v>185</v>
      </c>
      <c r="J231" t="s">
        <v>167</v>
      </c>
      <c r="K231">
        <v>8.1748507656434297E-3</v>
      </c>
      <c r="L231" t="s">
        <v>157</v>
      </c>
      <c r="N231" t="s">
        <v>296</v>
      </c>
      <c r="O231" t="s">
        <v>167</v>
      </c>
      <c r="P231">
        <v>3.6200326476659023E-2</v>
      </c>
      <c r="Q231" t="s">
        <v>157</v>
      </c>
      <c r="S231" t="s">
        <v>407</v>
      </c>
      <c r="T231" t="s">
        <v>167</v>
      </c>
      <c r="U231">
        <v>4.6335015506513796E-2</v>
      </c>
      <c r="V231" t="s">
        <v>157</v>
      </c>
    </row>
    <row r="232" spans="9:22" x14ac:dyDescent="0.45">
      <c r="I232" t="s">
        <v>185</v>
      </c>
      <c r="J232" t="s">
        <v>168</v>
      </c>
      <c r="K232">
        <v>0.19537887477809607</v>
      </c>
      <c r="L232" t="s">
        <v>157</v>
      </c>
      <c r="N232" t="s">
        <v>296</v>
      </c>
      <c r="O232" t="s">
        <v>168</v>
      </c>
      <c r="P232">
        <v>6.2797628108603065E-2</v>
      </c>
      <c r="Q232" t="s">
        <v>157</v>
      </c>
      <c r="S232" t="s">
        <v>407</v>
      </c>
      <c r="T232" t="s">
        <v>168</v>
      </c>
      <c r="U232">
        <v>6.6530230658698064E-2</v>
      </c>
      <c r="V232" t="s">
        <v>157</v>
      </c>
    </row>
    <row r="233" spans="9:22" x14ac:dyDescent="0.45">
      <c r="I233" t="s">
        <v>185</v>
      </c>
      <c r="J233" t="s">
        <v>169</v>
      </c>
      <c r="K233">
        <v>1.5928325997455608E-2</v>
      </c>
      <c r="L233" t="s">
        <v>157</v>
      </c>
      <c r="N233" t="s">
        <v>296</v>
      </c>
      <c r="O233" t="s">
        <v>169</v>
      </c>
      <c r="P233">
        <v>7.0512303420963412E-3</v>
      </c>
      <c r="Q233" t="s">
        <v>157</v>
      </c>
      <c r="S233" t="s">
        <v>407</v>
      </c>
      <c r="T233" t="s">
        <v>169</v>
      </c>
      <c r="U233">
        <v>6.6554576211738919E-3</v>
      </c>
      <c r="V233" t="s">
        <v>157</v>
      </c>
    </row>
    <row r="234" spans="9:22" x14ac:dyDescent="0.45">
      <c r="I234" t="s">
        <v>185</v>
      </c>
      <c r="J234" t="s">
        <v>170</v>
      </c>
      <c r="K234">
        <v>1.3134836640455302E-2</v>
      </c>
      <c r="L234" t="s">
        <v>157</v>
      </c>
      <c r="N234" t="s">
        <v>296</v>
      </c>
      <c r="O234" t="s">
        <v>170</v>
      </c>
      <c r="P234">
        <v>6.3953288373861088E-3</v>
      </c>
      <c r="Q234" t="s">
        <v>157</v>
      </c>
      <c r="S234" t="s">
        <v>407</v>
      </c>
      <c r="T234" t="s">
        <v>170</v>
      </c>
      <c r="U234">
        <v>6.5707547268818462E-3</v>
      </c>
      <c r="V234" t="s">
        <v>157</v>
      </c>
    </row>
    <row r="235" spans="9:22" x14ac:dyDescent="0.45">
      <c r="I235" t="s">
        <v>185</v>
      </c>
      <c r="J235" t="s">
        <v>171</v>
      </c>
      <c r="K235">
        <v>8.126272238638408E-3</v>
      </c>
      <c r="L235" t="s">
        <v>157</v>
      </c>
      <c r="N235" t="s">
        <v>296</v>
      </c>
      <c r="O235" t="s">
        <v>171</v>
      </c>
      <c r="P235">
        <v>2.7449855687128259E-2</v>
      </c>
      <c r="Q235" t="s">
        <v>157</v>
      </c>
      <c r="S235" t="s">
        <v>407</v>
      </c>
      <c r="T235" t="s">
        <v>171</v>
      </c>
      <c r="U235">
        <v>3.2715370974271657E-2</v>
      </c>
      <c r="V235" t="s">
        <v>157</v>
      </c>
    </row>
    <row r="236" spans="9:22" x14ac:dyDescent="0.45">
      <c r="I236" t="s">
        <v>186</v>
      </c>
      <c r="J236" t="s">
        <v>156</v>
      </c>
      <c r="K236">
        <v>4.4324344970652716E-3</v>
      </c>
      <c r="L236" t="s">
        <v>157</v>
      </c>
      <c r="N236" t="s">
        <v>297</v>
      </c>
      <c r="O236" t="s">
        <v>156</v>
      </c>
      <c r="P236">
        <v>0.1305014513454221</v>
      </c>
      <c r="Q236" t="s">
        <v>157</v>
      </c>
      <c r="S236" t="s">
        <v>408</v>
      </c>
      <c r="T236" t="s">
        <v>156</v>
      </c>
      <c r="U236">
        <v>0.14223220294437577</v>
      </c>
      <c r="V236" t="s">
        <v>157</v>
      </c>
    </row>
    <row r="237" spans="9:22" x14ac:dyDescent="0.45">
      <c r="I237" t="s">
        <v>186</v>
      </c>
      <c r="J237" t="s">
        <v>158</v>
      </c>
      <c r="K237">
        <v>0.40018249831572805</v>
      </c>
      <c r="L237" t="s">
        <v>157</v>
      </c>
      <c r="N237" t="s">
        <v>297</v>
      </c>
      <c r="O237" t="s">
        <v>158</v>
      </c>
      <c r="P237">
        <v>0.19207379385962933</v>
      </c>
      <c r="Q237" t="s">
        <v>157</v>
      </c>
      <c r="S237" t="s">
        <v>408</v>
      </c>
      <c r="T237" t="s">
        <v>158</v>
      </c>
      <c r="U237">
        <v>0.20665024166812321</v>
      </c>
      <c r="V237" t="s">
        <v>157</v>
      </c>
    </row>
    <row r="238" spans="9:22" x14ac:dyDescent="0.45">
      <c r="I238" t="s">
        <v>186</v>
      </c>
      <c r="J238" t="s">
        <v>159</v>
      </c>
      <c r="K238">
        <v>3.5844629838496178E-2</v>
      </c>
      <c r="L238" t="s">
        <v>157</v>
      </c>
      <c r="N238" t="s">
        <v>297</v>
      </c>
      <c r="O238" t="s">
        <v>159</v>
      </c>
      <c r="P238">
        <v>2.1391809736898085E-2</v>
      </c>
      <c r="Q238" t="s">
        <v>157</v>
      </c>
      <c r="S238" t="s">
        <v>408</v>
      </c>
      <c r="T238" t="s">
        <v>159</v>
      </c>
      <c r="U238">
        <v>2.0972478431459343E-2</v>
      </c>
      <c r="V238" t="s">
        <v>157</v>
      </c>
    </row>
    <row r="239" spans="9:22" x14ac:dyDescent="0.45">
      <c r="I239" t="s">
        <v>186</v>
      </c>
      <c r="J239" t="s">
        <v>160</v>
      </c>
      <c r="K239">
        <v>2.2351644674111611E-2</v>
      </c>
      <c r="L239" t="s">
        <v>157</v>
      </c>
      <c r="N239" t="s">
        <v>297</v>
      </c>
      <c r="O239" t="s">
        <v>160</v>
      </c>
      <c r="P239">
        <v>2.1453904416301201E-2</v>
      </c>
      <c r="Q239" t="s">
        <v>157</v>
      </c>
      <c r="S239" t="s">
        <v>408</v>
      </c>
      <c r="T239" t="s">
        <v>160</v>
      </c>
      <c r="U239">
        <v>2.0752286674157371E-2</v>
      </c>
      <c r="V239" t="s">
        <v>157</v>
      </c>
    </row>
    <row r="240" spans="9:22" x14ac:dyDescent="0.45">
      <c r="I240" t="s">
        <v>186</v>
      </c>
      <c r="J240" t="s">
        <v>161</v>
      </c>
      <c r="K240">
        <v>1.0828140297660108E-2</v>
      </c>
      <c r="L240" t="s">
        <v>157</v>
      </c>
      <c r="N240" t="s">
        <v>297</v>
      </c>
      <c r="O240" t="s">
        <v>161</v>
      </c>
      <c r="P240">
        <v>0.10133998056510737</v>
      </c>
      <c r="Q240" t="s">
        <v>157</v>
      </c>
      <c r="S240" t="s">
        <v>408</v>
      </c>
      <c r="T240" t="s">
        <v>161</v>
      </c>
      <c r="U240">
        <v>0.10069086614053256</v>
      </c>
      <c r="V240" t="s">
        <v>157</v>
      </c>
    </row>
    <row r="241" spans="9:22" x14ac:dyDescent="0.45">
      <c r="I241" t="s">
        <v>186</v>
      </c>
      <c r="J241" t="s">
        <v>162</v>
      </c>
      <c r="K241">
        <v>2.4737190352390058E-3</v>
      </c>
      <c r="L241" t="s">
        <v>157</v>
      </c>
      <c r="N241" t="s">
        <v>297</v>
      </c>
      <c r="O241" t="s">
        <v>162</v>
      </c>
      <c r="P241">
        <v>0.10740107363566646</v>
      </c>
      <c r="Q241" t="s">
        <v>157</v>
      </c>
      <c r="S241" t="s">
        <v>408</v>
      </c>
      <c r="T241" t="s">
        <v>162</v>
      </c>
      <c r="U241">
        <v>0.10299680378397018</v>
      </c>
      <c r="V241" t="s">
        <v>157</v>
      </c>
    </row>
    <row r="242" spans="9:22" x14ac:dyDescent="0.45">
      <c r="I242" t="s">
        <v>186</v>
      </c>
      <c r="J242" t="s">
        <v>163</v>
      </c>
      <c r="K242">
        <v>0.2427944896759183</v>
      </c>
      <c r="L242" t="s">
        <v>157</v>
      </c>
      <c r="N242" t="s">
        <v>297</v>
      </c>
      <c r="O242" t="s">
        <v>163</v>
      </c>
      <c r="P242">
        <v>0.16527815253666905</v>
      </c>
      <c r="Q242" t="s">
        <v>157</v>
      </c>
      <c r="S242" t="s">
        <v>408</v>
      </c>
      <c r="T242" t="s">
        <v>163</v>
      </c>
      <c r="U242">
        <v>0.14652552064642996</v>
      </c>
      <c r="V242" t="s">
        <v>157</v>
      </c>
    </row>
    <row r="243" spans="9:22" x14ac:dyDescent="0.45">
      <c r="I243" t="s">
        <v>186</v>
      </c>
      <c r="J243" t="s">
        <v>164</v>
      </c>
      <c r="K243">
        <v>2.0894352854673275E-2</v>
      </c>
      <c r="L243" t="s">
        <v>157</v>
      </c>
      <c r="N243" t="s">
        <v>297</v>
      </c>
      <c r="O243" t="s">
        <v>164</v>
      </c>
      <c r="P243">
        <v>1.6865074201205532E-2</v>
      </c>
      <c r="Q243" t="s">
        <v>157</v>
      </c>
      <c r="S243" t="s">
        <v>408</v>
      </c>
      <c r="T243" t="s">
        <v>164</v>
      </c>
      <c r="U243">
        <v>1.4490136120340101E-2</v>
      </c>
      <c r="V243" t="s">
        <v>157</v>
      </c>
    </row>
    <row r="244" spans="9:22" x14ac:dyDescent="0.45">
      <c r="I244" t="s">
        <v>186</v>
      </c>
      <c r="J244" t="s">
        <v>165</v>
      </c>
      <c r="K244">
        <v>1.0153852897355382E-2</v>
      </c>
      <c r="L244" t="s">
        <v>157</v>
      </c>
      <c r="N244" t="s">
        <v>297</v>
      </c>
      <c r="O244" t="s">
        <v>165</v>
      </c>
      <c r="P244">
        <v>1.6387614754525145E-2</v>
      </c>
      <c r="Q244" t="s">
        <v>157</v>
      </c>
      <c r="S244" t="s">
        <v>408</v>
      </c>
      <c r="T244" t="s">
        <v>165</v>
      </c>
      <c r="U244">
        <v>1.4342433270142908E-2</v>
      </c>
      <c r="V244" t="s">
        <v>157</v>
      </c>
    </row>
    <row r="245" spans="9:22" x14ac:dyDescent="0.45">
      <c r="I245" t="s">
        <v>186</v>
      </c>
      <c r="J245" t="s">
        <v>166</v>
      </c>
      <c r="K245">
        <v>1.7265699153162217E-4</v>
      </c>
      <c r="L245" t="s">
        <v>157</v>
      </c>
      <c r="N245" t="s">
        <v>297</v>
      </c>
      <c r="O245" t="s">
        <v>166</v>
      </c>
      <c r="P245">
        <v>7.9122458607150725E-2</v>
      </c>
      <c r="Q245" t="s">
        <v>157</v>
      </c>
      <c r="S245" t="s">
        <v>408</v>
      </c>
      <c r="T245" t="s">
        <v>166</v>
      </c>
      <c r="U245">
        <v>7.16902535964766E-2</v>
      </c>
      <c r="V245" t="s">
        <v>157</v>
      </c>
    </row>
    <row r="246" spans="9:22" x14ac:dyDescent="0.45">
      <c r="I246" t="s">
        <v>186</v>
      </c>
      <c r="J246" t="s">
        <v>167</v>
      </c>
      <c r="K246">
        <v>7.9408037458480723E-3</v>
      </c>
      <c r="L246" t="s">
        <v>157</v>
      </c>
      <c r="N246" t="s">
        <v>297</v>
      </c>
      <c r="O246" t="s">
        <v>167</v>
      </c>
      <c r="P246">
        <v>4.1783551340397691E-2</v>
      </c>
      <c r="Q246" t="s">
        <v>157</v>
      </c>
      <c r="S246" t="s">
        <v>408</v>
      </c>
      <c r="T246" t="s">
        <v>167</v>
      </c>
      <c r="U246">
        <v>4.6181133143193803E-2</v>
      </c>
      <c r="V246" t="s">
        <v>157</v>
      </c>
    </row>
    <row r="247" spans="9:22" x14ac:dyDescent="0.45">
      <c r="I247" t="s">
        <v>186</v>
      </c>
      <c r="J247" t="s">
        <v>168</v>
      </c>
      <c r="K247">
        <v>0.20162643390426269</v>
      </c>
      <c r="L247" t="s">
        <v>157</v>
      </c>
      <c r="N247" t="s">
        <v>297</v>
      </c>
      <c r="O247" t="s">
        <v>168</v>
      </c>
      <c r="P247">
        <v>6.2202249820774928E-2</v>
      </c>
      <c r="Q247" t="s">
        <v>157</v>
      </c>
      <c r="S247" t="s">
        <v>408</v>
      </c>
      <c r="T247" t="s">
        <v>168</v>
      </c>
      <c r="U247">
        <v>6.6395683588857973E-2</v>
      </c>
      <c r="V247" t="s">
        <v>157</v>
      </c>
    </row>
    <row r="248" spans="9:22" x14ac:dyDescent="0.45">
      <c r="I248" t="s">
        <v>186</v>
      </c>
      <c r="J248" t="s">
        <v>169</v>
      </c>
      <c r="K248">
        <v>1.7398602407316947E-2</v>
      </c>
      <c r="L248" t="s">
        <v>157</v>
      </c>
      <c r="N248" t="s">
        <v>297</v>
      </c>
      <c r="O248" t="s">
        <v>169</v>
      </c>
      <c r="P248">
        <v>6.65863634531637E-3</v>
      </c>
      <c r="Q248" t="s">
        <v>157</v>
      </c>
      <c r="S248" t="s">
        <v>408</v>
      </c>
      <c r="T248" t="s">
        <v>169</v>
      </c>
      <c r="U248">
        <v>6.6840251557251677E-3</v>
      </c>
      <c r="V248" t="s">
        <v>157</v>
      </c>
    </row>
    <row r="249" spans="9:22" x14ac:dyDescent="0.45">
      <c r="I249" t="s">
        <v>186</v>
      </c>
      <c r="J249" t="s">
        <v>170</v>
      </c>
      <c r="K249">
        <v>1.4263918479190679E-2</v>
      </c>
      <c r="L249" t="s">
        <v>157</v>
      </c>
      <c r="N249" t="s">
        <v>297</v>
      </c>
      <c r="O249" t="s">
        <v>170</v>
      </c>
      <c r="P249">
        <v>6.3881347776991631E-3</v>
      </c>
      <c r="Q249" t="s">
        <v>157</v>
      </c>
      <c r="S249" t="s">
        <v>408</v>
      </c>
      <c r="T249" t="s">
        <v>170</v>
      </c>
      <c r="U249">
        <v>6.6473391884841072E-3</v>
      </c>
      <c r="V249" t="s">
        <v>157</v>
      </c>
    </row>
    <row r="250" spans="9:22" x14ac:dyDescent="0.45">
      <c r="I250" t="s">
        <v>186</v>
      </c>
      <c r="J250" t="s">
        <v>171</v>
      </c>
      <c r="K250">
        <v>8.6418223856028504E-3</v>
      </c>
      <c r="L250" t="s">
        <v>157</v>
      </c>
      <c r="N250" t="s">
        <v>297</v>
      </c>
      <c r="O250" t="s">
        <v>171</v>
      </c>
      <c r="P250">
        <v>3.1152114057236759E-2</v>
      </c>
      <c r="Q250" t="s">
        <v>157</v>
      </c>
      <c r="S250" t="s">
        <v>408</v>
      </c>
      <c r="T250" t="s">
        <v>171</v>
      </c>
      <c r="U250">
        <v>3.2748595647730999E-2</v>
      </c>
      <c r="V250" t="s">
        <v>157</v>
      </c>
    </row>
    <row r="251" spans="9:22" x14ac:dyDescent="0.45">
      <c r="I251" t="s">
        <v>187</v>
      </c>
      <c r="J251" t="s">
        <v>156</v>
      </c>
      <c r="K251">
        <v>9.0399105553331353E-3</v>
      </c>
      <c r="L251" t="s">
        <v>157</v>
      </c>
      <c r="N251" t="s">
        <v>298</v>
      </c>
      <c r="O251" t="s">
        <v>156</v>
      </c>
      <c r="P251">
        <v>0.11101600772109382</v>
      </c>
      <c r="Q251" t="s">
        <v>157</v>
      </c>
      <c r="S251" t="s">
        <v>409</v>
      </c>
      <c r="T251" t="s">
        <v>156</v>
      </c>
      <c r="U251">
        <v>0.14365838122718252</v>
      </c>
      <c r="V251" t="s">
        <v>157</v>
      </c>
    </row>
    <row r="252" spans="9:22" x14ac:dyDescent="0.45">
      <c r="I252" t="s">
        <v>187</v>
      </c>
      <c r="J252" t="s">
        <v>158</v>
      </c>
      <c r="K252">
        <v>0.39707544942137923</v>
      </c>
      <c r="L252" t="s">
        <v>157</v>
      </c>
      <c r="N252" t="s">
        <v>298</v>
      </c>
      <c r="O252" t="s">
        <v>158</v>
      </c>
      <c r="P252">
        <v>0.20646141352844155</v>
      </c>
      <c r="Q252" t="s">
        <v>157</v>
      </c>
      <c r="S252" t="s">
        <v>409</v>
      </c>
      <c r="T252" t="s">
        <v>158</v>
      </c>
      <c r="U252">
        <v>0.20811232025547158</v>
      </c>
      <c r="V252" t="s">
        <v>157</v>
      </c>
    </row>
    <row r="253" spans="9:22" x14ac:dyDescent="0.45">
      <c r="I253" t="s">
        <v>187</v>
      </c>
      <c r="J253" t="s">
        <v>159</v>
      </c>
      <c r="K253">
        <v>3.164313237133988E-2</v>
      </c>
      <c r="L253" t="s">
        <v>157</v>
      </c>
      <c r="N253" t="s">
        <v>298</v>
      </c>
      <c r="O253" t="s">
        <v>159</v>
      </c>
      <c r="P253">
        <v>2.1105485522469714E-2</v>
      </c>
      <c r="Q253" t="s">
        <v>157</v>
      </c>
      <c r="S253" t="s">
        <v>409</v>
      </c>
      <c r="T253" t="s">
        <v>159</v>
      </c>
      <c r="U253">
        <v>2.1429816663114741E-2</v>
      </c>
      <c r="V253" t="s">
        <v>157</v>
      </c>
    </row>
    <row r="254" spans="9:22" x14ac:dyDescent="0.45">
      <c r="I254" t="s">
        <v>187</v>
      </c>
      <c r="J254" t="s">
        <v>160</v>
      </c>
      <c r="K254">
        <v>2.3038283331368314E-2</v>
      </c>
      <c r="L254" t="s">
        <v>157</v>
      </c>
      <c r="N254" t="s">
        <v>298</v>
      </c>
      <c r="O254" t="s">
        <v>160</v>
      </c>
      <c r="P254">
        <v>1.8823770941508403E-2</v>
      </c>
      <c r="Q254" t="s">
        <v>157</v>
      </c>
      <c r="S254" t="s">
        <v>409</v>
      </c>
      <c r="T254" t="s">
        <v>160</v>
      </c>
      <c r="U254">
        <v>2.1123536732387826E-2</v>
      </c>
      <c r="V254" t="s">
        <v>157</v>
      </c>
    </row>
    <row r="255" spans="9:22" x14ac:dyDescent="0.45">
      <c r="I255" t="s">
        <v>187</v>
      </c>
      <c r="J255" t="s">
        <v>161</v>
      </c>
      <c r="K255">
        <v>1.1283757861199357E-2</v>
      </c>
      <c r="L255" t="s">
        <v>157</v>
      </c>
      <c r="N255" t="s">
        <v>298</v>
      </c>
      <c r="O255" t="s">
        <v>161</v>
      </c>
      <c r="P255">
        <v>7.8207736060697697E-2</v>
      </c>
      <c r="Q255" t="s">
        <v>157</v>
      </c>
      <c r="S255" t="s">
        <v>409</v>
      </c>
      <c r="T255" t="s">
        <v>161</v>
      </c>
      <c r="U255">
        <v>0.10139123451189946</v>
      </c>
      <c r="V255" t="s">
        <v>157</v>
      </c>
    </row>
    <row r="256" spans="9:22" x14ac:dyDescent="0.45">
      <c r="I256" t="s">
        <v>187</v>
      </c>
      <c r="J256" t="s">
        <v>162</v>
      </c>
      <c r="K256">
        <v>3.2112196563833795E-3</v>
      </c>
      <c r="L256" t="s">
        <v>157</v>
      </c>
      <c r="N256" t="s">
        <v>298</v>
      </c>
      <c r="O256" t="s">
        <v>162</v>
      </c>
      <c r="P256">
        <v>0.12367910540586322</v>
      </c>
      <c r="Q256" t="s">
        <v>157</v>
      </c>
      <c r="S256" t="s">
        <v>409</v>
      </c>
      <c r="T256" t="s">
        <v>162</v>
      </c>
      <c r="U256">
        <v>0.10107756039340811</v>
      </c>
      <c r="V256" t="s">
        <v>157</v>
      </c>
    </row>
    <row r="257" spans="9:22" x14ac:dyDescent="0.45">
      <c r="I257" t="s">
        <v>187</v>
      </c>
      <c r="J257" t="s">
        <v>163</v>
      </c>
      <c r="K257">
        <v>0.23910951462258914</v>
      </c>
      <c r="L257" t="s">
        <v>157</v>
      </c>
      <c r="N257" t="s">
        <v>298</v>
      </c>
      <c r="O257" t="s">
        <v>163</v>
      </c>
      <c r="P257">
        <v>0.20290831899702241</v>
      </c>
      <c r="Q257" t="s">
        <v>157</v>
      </c>
      <c r="S257" t="s">
        <v>409</v>
      </c>
      <c r="T257" t="s">
        <v>163</v>
      </c>
      <c r="U257">
        <v>0.14536369713148053</v>
      </c>
      <c r="V257" t="s">
        <v>157</v>
      </c>
    </row>
    <row r="258" spans="9:22" x14ac:dyDescent="0.45">
      <c r="I258" t="s">
        <v>187</v>
      </c>
      <c r="J258" t="s">
        <v>164</v>
      </c>
      <c r="K258">
        <v>1.6040620771272034E-2</v>
      </c>
      <c r="L258" t="s">
        <v>157</v>
      </c>
      <c r="N258" t="s">
        <v>298</v>
      </c>
      <c r="O258" t="s">
        <v>164</v>
      </c>
      <c r="P258">
        <v>1.8417002592474276E-2</v>
      </c>
      <c r="Q258" t="s">
        <v>157</v>
      </c>
      <c r="S258" t="s">
        <v>409</v>
      </c>
      <c r="T258" t="s">
        <v>164</v>
      </c>
      <c r="U258">
        <v>1.450732331455796E-2</v>
      </c>
      <c r="V258" t="s">
        <v>157</v>
      </c>
    </row>
    <row r="259" spans="9:22" x14ac:dyDescent="0.45">
      <c r="I259" t="s">
        <v>187</v>
      </c>
      <c r="J259" t="s">
        <v>165</v>
      </c>
      <c r="K259">
        <v>6.7072655039148426E-3</v>
      </c>
      <c r="L259" t="s">
        <v>157</v>
      </c>
      <c r="N259" t="s">
        <v>298</v>
      </c>
      <c r="O259" t="s">
        <v>165</v>
      </c>
      <c r="P259">
        <v>1.7786672513887825E-2</v>
      </c>
      <c r="Q259" t="s">
        <v>157</v>
      </c>
      <c r="S259" t="s">
        <v>409</v>
      </c>
      <c r="T259" t="s">
        <v>165</v>
      </c>
      <c r="U259">
        <v>1.4225567459301916E-2</v>
      </c>
      <c r="V259" t="s">
        <v>157</v>
      </c>
    </row>
    <row r="260" spans="9:22" x14ac:dyDescent="0.45">
      <c r="I260" t="s">
        <v>187</v>
      </c>
      <c r="J260" t="s">
        <v>166</v>
      </c>
      <c r="K260">
        <v>0</v>
      </c>
      <c r="L260" t="s">
        <v>157</v>
      </c>
      <c r="N260" t="s">
        <v>298</v>
      </c>
      <c r="O260" t="s">
        <v>166</v>
      </c>
      <c r="P260">
        <v>8.2637156081816585E-2</v>
      </c>
      <c r="Q260" t="s">
        <v>157</v>
      </c>
      <c r="S260" t="s">
        <v>409</v>
      </c>
      <c r="T260" t="s">
        <v>166</v>
      </c>
      <c r="U260">
        <v>7.0131507376895913E-2</v>
      </c>
      <c r="V260" t="s">
        <v>157</v>
      </c>
    </row>
    <row r="261" spans="9:22" x14ac:dyDescent="0.45">
      <c r="I261" t="s">
        <v>187</v>
      </c>
      <c r="J261" t="s">
        <v>167</v>
      </c>
      <c r="K261">
        <v>1.7039502630311034E-2</v>
      </c>
      <c r="L261" t="s">
        <v>157</v>
      </c>
      <c r="N261" t="s">
        <v>298</v>
      </c>
      <c r="O261" t="s">
        <v>167</v>
      </c>
      <c r="P261">
        <v>2.0827912056226465E-2</v>
      </c>
      <c r="Q261" t="s">
        <v>157</v>
      </c>
      <c r="S261" t="s">
        <v>409</v>
      </c>
      <c r="T261" t="s">
        <v>167</v>
      </c>
      <c r="U261">
        <v>4.6201818731450621E-2</v>
      </c>
      <c r="V261" t="s">
        <v>157</v>
      </c>
    </row>
    <row r="262" spans="9:22" x14ac:dyDescent="0.45">
      <c r="I262" t="s">
        <v>187</v>
      </c>
      <c r="J262" t="s">
        <v>168</v>
      </c>
      <c r="K262">
        <v>0.20839578492017005</v>
      </c>
      <c r="L262" t="s">
        <v>157</v>
      </c>
      <c r="N262" t="s">
        <v>298</v>
      </c>
      <c r="O262" t="s">
        <v>168</v>
      </c>
      <c r="P262">
        <v>7.103306378553445E-2</v>
      </c>
      <c r="Q262" t="s">
        <v>157</v>
      </c>
      <c r="S262" t="s">
        <v>409</v>
      </c>
      <c r="T262" t="s">
        <v>168</v>
      </c>
      <c r="U262">
        <v>6.6357136321337565E-2</v>
      </c>
      <c r="V262" t="s">
        <v>157</v>
      </c>
    </row>
    <row r="263" spans="9:22" x14ac:dyDescent="0.45">
      <c r="I263" t="s">
        <v>187</v>
      </c>
      <c r="J263" t="s">
        <v>169</v>
      </c>
      <c r="K263">
        <v>1.5514122082014846E-2</v>
      </c>
      <c r="L263" t="s">
        <v>157</v>
      </c>
      <c r="N263" t="s">
        <v>298</v>
      </c>
      <c r="O263" t="s">
        <v>169</v>
      </c>
      <c r="P263">
        <v>6.0858580860528189E-3</v>
      </c>
      <c r="Q263" t="s">
        <v>157</v>
      </c>
      <c r="S263" t="s">
        <v>409</v>
      </c>
      <c r="T263" t="s">
        <v>169</v>
      </c>
      <c r="U263">
        <v>6.687389071353197E-3</v>
      </c>
      <c r="V263" t="s">
        <v>157</v>
      </c>
    </row>
    <row r="264" spans="9:22" x14ac:dyDescent="0.45">
      <c r="I264" t="s">
        <v>187</v>
      </c>
      <c r="J264" t="s">
        <v>170</v>
      </c>
      <c r="K264">
        <v>1.3464611275112445E-2</v>
      </c>
      <c r="L264" t="s">
        <v>157</v>
      </c>
      <c r="N264" t="s">
        <v>298</v>
      </c>
      <c r="O264" t="s">
        <v>170</v>
      </c>
      <c r="P264">
        <v>4.6635613003406535E-3</v>
      </c>
      <c r="Q264" t="s">
        <v>157</v>
      </c>
      <c r="S264" t="s">
        <v>409</v>
      </c>
      <c r="T264" t="s">
        <v>170</v>
      </c>
      <c r="U264">
        <v>6.7345304793154743E-3</v>
      </c>
      <c r="V264" t="s">
        <v>157</v>
      </c>
    </row>
    <row r="265" spans="9:22" x14ac:dyDescent="0.45">
      <c r="I265" t="s">
        <v>187</v>
      </c>
      <c r="J265" t="s">
        <v>171</v>
      </c>
      <c r="K265">
        <v>8.4368249976122644E-3</v>
      </c>
      <c r="L265" t="s">
        <v>157</v>
      </c>
      <c r="N265" t="s">
        <v>298</v>
      </c>
      <c r="O265" t="s">
        <v>171</v>
      </c>
      <c r="P265">
        <v>1.6346935406570055E-2</v>
      </c>
      <c r="Q265" t="s">
        <v>157</v>
      </c>
      <c r="S265" t="s">
        <v>409</v>
      </c>
      <c r="T265" t="s">
        <v>171</v>
      </c>
      <c r="U265">
        <v>3.2998180330842598E-2</v>
      </c>
      <c r="V265" t="s">
        <v>157</v>
      </c>
    </row>
    <row r="266" spans="9:22" x14ac:dyDescent="0.45">
      <c r="I266" t="s">
        <v>188</v>
      </c>
      <c r="J266" t="s">
        <v>156</v>
      </c>
      <c r="K266">
        <v>8.9380286481534205E-3</v>
      </c>
      <c r="L266" t="s">
        <v>157</v>
      </c>
      <c r="N266" t="s">
        <v>299</v>
      </c>
      <c r="O266" t="s">
        <v>156</v>
      </c>
      <c r="P266">
        <v>0.10868250379100698</v>
      </c>
      <c r="Q266" t="s">
        <v>157</v>
      </c>
      <c r="S266" t="s">
        <v>410</v>
      </c>
      <c r="T266" t="s">
        <v>156</v>
      </c>
      <c r="U266">
        <v>0.14362539242612346</v>
      </c>
      <c r="V266" t="s">
        <v>157</v>
      </c>
    </row>
    <row r="267" spans="9:22" x14ac:dyDescent="0.45">
      <c r="I267" t="s">
        <v>188</v>
      </c>
      <c r="J267" t="s">
        <v>158</v>
      </c>
      <c r="K267">
        <v>0.40151580049369051</v>
      </c>
      <c r="L267" t="s">
        <v>157</v>
      </c>
      <c r="N267" t="s">
        <v>299</v>
      </c>
      <c r="O267" t="s">
        <v>158</v>
      </c>
      <c r="P267">
        <v>0.21478721035640941</v>
      </c>
      <c r="Q267" t="s">
        <v>157</v>
      </c>
      <c r="S267" t="s">
        <v>410</v>
      </c>
      <c r="T267" t="s">
        <v>158</v>
      </c>
      <c r="U267">
        <v>0.20839425330875042</v>
      </c>
      <c r="V267" t="s">
        <v>157</v>
      </c>
    </row>
    <row r="268" spans="9:22" x14ac:dyDescent="0.45">
      <c r="I268" t="s">
        <v>188</v>
      </c>
      <c r="J268" t="s">
        <v>159</v>
      </c>
      <c r="K268">
        <v>3.0871489216449308E-2</v>
      </c>
      <c r="L268" t="s">
        <v>157</v>
      </c>
      <c r="N268" t="s">
        <v>299</v>
      </c>
      <c r="O268" t="s">
        <v>159</v>
      </c>
      <c r="P268">
        <v>2.0749361803489408E-2</v>
      </c>
      <c r="Q268" t="s">
        <v>157</v>
      </c>
      <c r="S268" t="s">
        <v>410</v>
      </c>
      <c r="T268" t="s">
        <v>159</v>
      </c>
      <c r="U268">
        <v>2.1826764287528933E-2</v>
      </c>
      <c r="V268" t="s">
        <v>157</v>
      </c>
    </row>
    <row r="269" spans="9:22" x14ac:dyDescent="0.45">
      <c r="I269" t="s">
        <v>188</v>
      </c>
      <c r="J269" t="s">
        <v>160</v>
      </c>
      <c r="K269">
        <v>2.2462102783461953E-2</v>
      </c>
      <c r="L269" t="s">
        <v>157</v>
      </c>
      <c r="N269" t="s">
        <v>299</v>
      </c>
      <c r="O269" t="s">
        <v>160</v>
      </c>
      <c r="P269">
        <v>1.8279700803151246E-2</v>
      </c>
      <c r="Q269" t="s">
        <v>157</v>
      </c>
      <c r="S269" t="s">
        <v>410</v>
      </c>
      <c r="T269" t="s">
        <v>160</v>
      </c>
      <c r="U269">
        <v>2.1525273836168875E-2</v>
      </c>
      <c r="V269" t="s">
        <v>157</v>
      </c>
    </row>
    <row r="270" spans="9:22" x14ac:dyDescent="0.45">
      <c r="I270" t="s">
        <v>188</v>
      </c>
      <c r="J270" t="s">
        <v>161</v>
      </c>
      <c r="K270">
        <v>1.0889118982674639E-2</v>
      </c>
      <c r="L270" t="s">
        <v>157</v>
      </c>
      <c r="N270" t="s">
        <v>299</v>
      </c>
      <c r="O270" t="s">
        <v>161</v>
      </c>
      <c r="P270">
        <v>7.946460315389485E-2</v>
      </c>
      <c r="Q270" t="s">
        <v>157</v>
      </c>
      <c r="S270" t="s">
        <v>410</v>
      </c>
      <c r="T270" t="s">
        <v>161</v>
      </c>
      <c r="U270">
        <v>0.10241799922977392</v>
      </c>
      <c r="V270" t="s">
        <v>157</v>
      </c>
    </row>
    <row r="271" spans="9:22" x14ac:dyDescent="0.45">
      <c r="I271" t="s">
        <v>188</v>
      </c>
      <c r="J271" t="s">
        <v>162</v>
      </c>
      <c r="K271">
        <v>2.3913795602336307E-3</v>
      </c>
      <c r="L271" t="s">
        <v>157</v>
      </c>
      <c r="N271" t="s">
        <v>299</v>
      </c>
      <c r="O271" t="s">
        <v>162</v>
      </c>
      <c r="P271">
        <v>0.11784313669504257</v>
      </c>
      <c r="Q271" t="s">
        <v>157</v>
      </c>
      <c r="S271" t="s">
        <v>410</v>
      </c>
      <c r="T271" t="s">
        <v>162</v>
      </c>
      <c r="U271">
        <v>0.10085085171158263</v>
      </c>
      <c r="V271" t="s">
        <v>157</v>
      </c>
    </row>
    <row r="272" spans="9:22" x14ac:dyDescent="0.45">
      <c r="I272" t="s">
        <v>188</v>
      </c>
      <c r="J272" t="s">
        <v>163</v>
      </c>
      <c r="K272">
        <v>0.23856142133641653</v>
      </c>
      <c r="L272" t="s">
        <v>157</v>
      </c>
      <c r="N272" t="s">
        <v>299</v>
      </c>
      <c r="O272" t="s">
        <v>163</v>
      </c>
      <c r="P272">
        <v>0.19392751439879677</v>
      </c>
      <c r="Q272" t="s">
        <v>157</v>
      </c>
      <c r="S272" t="s">
        <v>410</v>
      </c>
      <c r="T272" t="s">
        <v>163</v>
      </c>
      <c r="U272">
        <v>0.14402382763495897</v>
      </c>
      <c r="V272" t="s">
        <v>157</v>
      </c>
    </row>
    <row r="273" spans="9:22" x14ac:dyDescent="0.45">
      <c r="I273" t="s">
        <v>188</v>
      </c>
      <c r="J273" t="s">
        <v>164</v>
      </c>
      <c r="K273">
        <v>1.5656813837414754E-2</v>
      </c>
      <c r="L273" t="s">
        <v>157</v>
      </c>
      <c r="N273" t="s">
        <v>299</v>
      </c>
      <c r="O273" t="s">
        <v>164</v>
      </c>
      <c r="P273">
        <v>1.7192771376311047E-2</v>
      </c>
      <c r="Q273" t="s">
        <v>157</v>
      </c>
      <c r="S273" t="s">
        <v>410</v>
      </c>
      <c r="T273" t="s">
        <v>164</v>
      </c>
      <c r="U273">
        <v>1.4454108520543012E-2</v>
      </c>
      <c r="V273" t="s">
        <v>157</v>
      </c>
    </row>
    <row r="274" spans="9:22" x14ac:dyDescent="0.45">
      <c r="I274" t="s">
        <v>188</v>
      </c>
      <c r="J274" t="s">
        <v>165</v>
      </c>
      <c r="K274">
        <v>6.1786442961663203E-3</v>
      </c>
      <c r="L274" t="s">
        <v>157</v>
      </c>
      <c r="N274" t="s">
        <v>299</v>
      </c>
      <c r="O274" t="s">
        <v>165</v>
      </c>
      <c r="P274">
        <v>1.6842760397376803E-2</v>
      </c>
      <c r="Q274" t="s">
        <v>157</v>
      </c>
      <c r="S274" t="s">
        <v>410</v>
      </c>
      <c r="T274" t="s">
        <v>165</v>
      </c>
      <c r="U274">
        <v>1.4345524433931583E-2</v>
      </c>
      <c r="V274" t="s">
        <v>157</v>
      </c>
    </row>
    <row r="275" spans="9:22" x14ac:dyDescent="0.45">
      <c r="I275" t="s">
        <v>188</v>
      </c>
      <c r="J275" t="s">
        <v>166</v>
      </c>
      <c r="K275">
        <v>0</v>
      </c>
      <c r="L275" t="s">
        <v>157</v>
      </c>
      <c r="N275" t="s">
        <v>299</v>
      </c>
      <c r="O275" t="s">
        <v>166</v>
      </c>
      <c r="P275">
        <v>8.3235045611313493E-2</v>
      </c>
      <c r="Q275" t="s">
        <v>157</v>
      </c>
      <c r="S275" t="s">
        <v>410</v>
      </c>
      <c r="T275" t="s">
        <v>166</v>
      </c>
      <c r="U275">
        <v>7.001813875469283E-2</v>
      </c>
      <c r="V275" t="s">
        <v>157</v>
      </c>
    </row>
    <row r="276" spans="9:22" x14ac:dyDescent="0.45">
      <c r="I276" t="s">
        <v>188</v>
      </c>
      <c r="J276" t="s">
        <v>167</v>
      </c>
      <c r="K276">
        <v>1.6302874588708688E-2</v>
      </c>
      <c r="L276" t="s">
        <v>157</v>
      </c>
      <c r="N276" t="s">
        <v>299</v>
      </c>
      <c r="O276" t="s">
        <v>167</v>
      </c>
      <c r="P276">
        <v>2.2494700228624927E-2</v>
      </c>
      <c r="Q276" t="s">
        <v>157</v>
      </c>
      <c r="S276" t="s">
        <v>410</v>
      </c>
      <c r="T276" t="s">
        <v>167</v>
      </c>
      <c r="U276">
        <v>4.6415899034521452E-2</v>
      </c>
      <c r="V276" t="s">
        <v>157</v>
      </c>
    </row>
    <row r="277" spans="9:22" x14ac:dyDescent="0.45">
      <c r="I277" t="s">
        <v>188</v>
      </c>
      <c r="J277" t="s">
        <v>168</v>
      </c>
      <c r="K277">
        <v>0.20738216534298565</v>
      </c>
      <c r="L277" t="s">
        <v>157</v>
      </c>
      <c r="N277" t="s">
        <v>299</v>
      </c>
      <c r="O277" t="s">
        <v>168</v>
      </c>
      <c r="P277">
        <v>7.6821240676905378E-2</v>
      </c>
      <c r="Q277" t="s">
        <v>157</v>
      </c>
      <c r="S277" t="s">
        <v>410</v>
      </c>
      <c r="T277" t="s">
        <v>168</v>
      </c>
      <c r="U277">
        <v>6.5844761365323606E-2</v>
      </c>
      <c r="V277" t="s">
        <v>157</v>
      </c>
    </row>
    <row r="278" spans="9:22" x14ac:dyDescent="0.45">
      <c r="I278" t="s">
        <v>188</v>
      </c>
      <c r="J278" t="s">
        <v>169</v>
      </c>
      <c r="K278">
        <v>1.6297615424604863E-2</v>
      </c>
      <c r="L278" t="s">
        <v>157</v>
      </c>
      <c r="N278" t="s">
        <v>299</v>
      </c>
      <c r="O278" t="s">
        <v>169</v>
      </c>
      <c r="P278">
        <v>6.8888898221598042E-3</v>
      </c>
      <c r="Q278" t="s">
        <v>157</v>
      </c>
      <c r="S278" t="s">
        <v>410</v>
      </c>
      <c r="T278" t="s">
        <v>169</v>
      </c>
      <c r="U278">
        <v>6.5874561067355746E-3</v>
      </c>
      <c r="V278" t="s">
        <v>157</v>
      </c>
    </row>
    <row r="279" spans="9:22" x14ac:dyDescent="0.45">
      <c r="I279" t="s">
        <v>188</v>
      </c>
      <c r="J279" t="s">
        <v>170</v>
      </c>
      <c r="K279">
        <v>1.4024896676453151E-2</v>
      </c>
      <c r="L279" t="s">
        <v>157</v>
      </c>
      <c r="N279" t="s">
        <v>299</v>
      </c>
      <c r="O279" t="s">
        <v>170</v>
      </c>
      <c r="P279">
        <v>4.8468758402934221E-3</v>
      </c>
      <c r="Q279" t="s">
        <v>157</v>
      </c>
      <c r="S279" t="s">
        <v>410</v>
      </c>
      <c r="T279" t="s">
        <v>170</v>
      </c>
      <c r="U279">
        <v>6.7629321316643254E-3</v>
      </c>
      <c r="V279" t="s">
        <v>157</v>
      </c>
    </row>
    <row r="280" spans="9:22" x14ac:dyDescent="0.45">
      <c r="I280" t="s">
        <v>188</v>
      </c>
      <c r="J280" t="s">
        <v>171</v>
      </c>
      <c r="K280">
        <v>8.527648812586535E-3</v>
      </c>
      <c r="L280" t="s">
        <v>157</v>
      </c>
      <c r="N280" t="s">
        <v>299</v>
      </c>
      <c r="O280" t="s">
        <v>171</v>
      </c>
      <c r="P280">
        <v>1.7943685045223975E-2</v>
      </c>
      <c r="Q280" t="s">
        <v>157</v>
      </c>
      <c r="S280" t="s">
        <v>410</v>
      </c>
      <c r="T280" t="s">
        <v>171</v>
      </c>
      <c r="U280">
        <v>3.2906817217700474E-2</v>
      </c>
      <c r="V280" t="s">
        <v>157</v>
      </c>
    </row>
    <row r="281" spans="9:22" x14ac:dyDescent="0.45">
      <c r="I281" t="s">
        <v>189</v>
      </c>
      <c r="J281" t="s">
        <v>156</v>
      </c>
      <c r="K281">
        <v>9.4652086818096566E-3</v>
      </c>
      <c r="L281" t="s">
        <v>157</v>
      </c>
      <c r="N281" t="s">
        <v>300</v>
      </c>
      <c r="O281" t="s">
        <v>156</v>
      </c>
      <c r="P281">
        <v>0.11775194074309883</v>
      </c>
      <c r="Q281" t="s">
        <v>157</v>
      </c>
      <c r="S281" t="s">
        <v>411</v>
      </c>
      <c r="T281" t="s">
        <v>156</v>
      </c>
      <c r="U281">
        <v>0.14450614223964031</v>
      </c>
      <c r="V281" t="s">
        <v>157</v>
      </c>
    </row>
    <row r="282" spans="9:22" x14ac:dyDescent="0.45">
      <c r="I282" t="s">
        <v>189</v>
      </c>
      <c r="J282" t="s">
        <v>158</v>
      </c>
      <c r="K282">
        <v>0.40541092925348943</v>
      </c>
      <c r="L282" t="s">
        <v>157</v>
      </c>
      <c r="N282" t="s">
        <v>300</v>
      </c>
      <c r="O282" t="s">
        <v>158</v>
      </c>
      <c r="P282">
        <v>0.1964253742702857</v>
      </c>
      <c r="Q282" t="s">
        <v>157</v>
      </c>
      <c r="S282" t="s">
        <v>411</v>
      </c>
      <c r="T282" t="s">
        <v>158</v>
      </c>
      <c r="U282">
        <v>0.2064218407282658</v>
      </c>
      <c r="V282" t="s">
        <v>157</v>
      </c>
    </row>
    <row r="283" spans="9:22" x14ac:dyDescent="0.45">
      <c r="I283" t="s">
        <v>189</v>
      </c>
      <c r="J283" t="s">
        <v>159</v>
      </c>
      <c r="K283">
        <v>3.048033038531052E-2</v>
      </c>
      <c r="L283" t="s">
        <v>157</v>
      </c>
      <c r="N283" t="s">
        <v>300</v>
      </c>
      <c r="O283" t="s">
        <v>159</v>
      </c>
      <c r="P283">
        <v>2.0775407282457262E-2</v>
      </c>
      <c r="Q283" t="s">
        <v>157</v>
      </c>
      <c r="S283" t="s">
        <v>411</v>
      </c>
      <c r="T283" t="s">
        <v>159</v>
      </c>
      <c r="U283">
        <v>2.1452654467088033E-2</v>
      </c>
      <c r="V283" t="s">
        <v>157</v>
      </c>
    </row>
    <row r="284" spans="9:22" x14ac:dyDescent="0.45">
      <c r="I284" t="s">
        <v>189</v>
      </c>
      <c r="J284" t="s">
        <v>160</v>
      </c>
      <c r="K284">
        <v>2.1773422983629869E-2</v>
      </c>
      <c r="L284" t="s">
        <v>157</v>
      </c>
      <c r="N284" t="s">
        <v>300</v>
      </c>
      <c r="O284" t="s">
        <v>160</v>
      </c>
      <c r="P284">
        <v>1.9306854561501791E-2</v>
      </c>
      <c r="Q284" t="s">
        <v>157</v>
      </c>
      <c r="S284" t="s">
        <v>411</v>
      </c>
      <c r="T284" t="s">
        <v>160</v>
      </c>
      <c r="U284">
        <v>2.13795950058733E-2</v>
      </c>
      <c r="V284" t="s">
        <v>157</v>
      </c>
    </row>
    <row r="285" spans="9:22" x14ac:dyDescent="0.45">
      <c r="I285" t="s">
        <v>189</v>
      </c>
      <c r="J285" t="s">
        <v>161</v>
      </c>
      <c r="K285">
        <v>1.0562289402355911E-2</v>
      </c>
      <c r="L285" t="s">
        <v>157</v>
      </c>
      <c r="N285" t="s">
        <v>300</v>
      </c>
      <c r="O285" t="s">
        <v>161</v>
      </c>
      <c r="P285">
        <v>8.4285512157434295E-2</v>
      </c>
      <c r="Q285" t="s">
        <v>157</v>
      </c>
      <c r="S285" t="s">
        <v>411</v>
      </c>
      <c r="T285" t="s">
        <v>161</v>
      </c>
      <c r="U285">
        <v>0.10458543041094336</v>
      </c>
      <c r="V285" t="s">
        <v>157</v>
      </c>
    </row>
    <row r="286" spans="9:22" x14ac:dyDescent="0.45">
      <c r="I286" t="s">
        <v>189</v>
      </c>
      <c r="J286" t="s">
        <v>162</v>
      </c>
      <c r="K286">
        <v>2.4010001423922745E-3</v>
      </c>
      <c r="L286" t="s">
        <v>157</v>
      </c>
      <c r="N286" t="s">
        <v>300</v>
      </c>
      <c r="O286" t="s">
        <v>162</v>
      </c>
      <c r="P286">
        <v>0.11064048265392033</v>
      </c>
      <c r="Q286" t="s">
        <v>157</v>
      </c>
      <c r="S286" t="s">
        <v>411</v>
      </c>
      <c r="T286" t="s">
        <v>162</v>
      </c>
      <c r="U286">
        <v>9.9843941382943877E-2</v>
      </c>
      <c r="V286" t="s">
        <v>157</v>
      </c>
    </row>
    <row r="287" spans="9:22" x14ac:dyDescent="0.45">
      <c r="I287" t="s">
        <v>189</v>
      </c>
      <c r="J287" t="s">
        <v>163</v>
      </c>
      <c r="K287">
        <v>0.23004586560320911</v>
      </c>
      <c r="L287" t="s">
        <v>157</v>
      </c>
      <c r="N287" t="s">
        <v>300</v>
      </c>
      <c r="O287" t="s">
        <v>163</v>
      </c>
      <c r="P287">
        <v>0.17192061198263256</v>
      </c>
      <c r="Q287" t="s">
        <v>157</v>
      </c>
      <c r="S287" t="s">
        <v>411</v>
      </c>
      <c r="T287" t="s">
        <v>163</v>
      </c>
      <c r="U287">
        <v>0.14578477103754311</v>
      </c>
      <c r="V287" t="s">
        <v>157</v>
      </c>
    </row>
    <row r="288" spans="9:22" x14ac:dyDescent="0.45">
      <c r="I288" t="s">
        <v>189</v>
      </c>
      <c r="J288" t="s">
        <v>164</v>
      </c>
      <c r="K288">
        <v>1.5360117327374809E-2</v>
      </c>
      <c r="L288" t="s">
        <v>157</v>
      </c>
      <c r="N288" t="s">
        <v>300</v>
      </c>
      <c r="O288" t="s">
        <v>164</v>
      </c>
      <c r="P288">
        <v>1.6799133832820546E-2</v>
      </c>
      <c r="Q288" t="s">
        <v>157</v>
      </c>
      <c r="S288" t="s">
        <v>411</v>
      </c>
      <c r="T288" t="s">
        <v>164</v>
      </c>
      <c r="U288">
        <v>1.4563825651744576E-2</v>
      </c>
      <c r="V288" t="s">
        <v>157</v>
      </c>
    </row>
    <row r="289" spans="9:22" x14ac:dyDescent="0.45">
      <c r="I289" t="s">
        <v>189</v>
      </c>
      <c r="J289" t="s">
        <v>165</v>
      </c>
      <c r="K289">
        <v>6.002559417414741E-3</v>
      </c>
      <c r="L289" t="s">
        <v>157</v>
      </c>
      <c r="N289" t="s">
        <v>300</v>
      </c>
      <c r="O289" t="s">
        <v>165</v>
      </c>
      <c r="P289">
        <v>1.6788206060031573E-2</v>
      </c>
      <c r="Q289" t="s">
        <v>157</v>
      </c>
      <c r="S289" t="s">
        <v>411</v>
      </c>
      <c r="T289" t="s">
        <v>165</v>
      </c>
      <c r="U289">
        <v>1.4344030911536491E-2</v>
      </c>
      <c r="V289" t="s">
        <v>157</v>
      </c>
    </row>
    <row r="290" spans="9:22" x14ac:dyDescent="0.45">
      <c r="I290" t="s">
        <v>189</v>
      </c>
      <c r="J290" t="s">
        <v>166</v>
      </c>
      <c r="K290">
        <v>0</v>
      </c>
      <c r="L290" t="s">
        <v>157</v>
      </c>
      <c r="N290" t="s">
        <v>300</v>
      </c>
      <c r="O290" t="s">
        <v>166</v>
      </c>
      <c r="P290">
        <v>8.0508596592121548E-2</v>
      </c>
      <c r="Q290" t="s">
        <v>157</v>
      </c>
      <c r="S290" t="s">
        <v>411</v>
      </c>
      <c r="T290" t="s">
        <v>166</v>
      </c>
      <c r="U290">
        <v>6.9467838368474505E-2</v>
      </c>
      <c r="V290" t="s">
        <v>157</v>
      </c>
    </row>
    <row r="291" spans="9:22" x14ac:dyDescent="0.45">
      <c r="I291" t="s">
        <v>189</v>
      </c>
      <c r="J291" t="s">
        <v>167</v>
      </c>
      <c r="K291">
        <v>1.7070144563811208E-2</v>
      </c>
      <c r="L291" t="s">
        <v>157</v>
      </c>
      <c r="N291" t="s">
        <v>300</v>
      </c>
      <c r="O291" t="s">
        <v>167</v>
      </c>
      <c r="P291">
        <v>3.8779494646391237E-2</v>
      </c>
      <c r="Q291" t="s">
        <v>157</v>
      </c>
      <c r="S291" t="s">
        <v>411</v>
      </c>
      <c r="T291" t="s">
        <v>167</v>
      </c>
      <c r="U291">
        <v>4.6223454011156552E-2</v>
      </c>
      <c r="V291" t="s">
        <v>157</v>
      </c>
    </row>
    <row r="292" spans="9:22" x14ac:dyDescent="0.45">
      <c r="I292" t="s">
        <v>189</v>
      </c>
      <c r="J292" t="s">
        <v>168</v>
      </c>
      <c r="K292">
        <v>0.21048023768983187</v>
      </c>
      <c r="L292" t="s">
        <v>157</v>
      </c>
      <c r="N292" t="s">
        <v>300</v>
      </c>
      <c r="O292" t="s">
        <v>168</v>
      </c>
      <c r="P292">
        <v>7.7856323057535398E-2</v>
      </c>
      <c r="Q292" t="s">
        <v>157</v>
      </c>
      <c r="S292" t="s">
        <v>411</v>
      </c>
      <c r="T292" t="s">
        <v>168</v>
      </c>
      <c r="U292">
        <v>6.5746714626925981E-2</v>
      </c>
      <c r="V292" t="s">
        <v>157</v>
      </c>
    </row>
    <row r="293" spans="9:22" x14ac:dyDescent="0.45">
      <c r="I293" t="s">
        <v>189</v>
      </c>
      <c r="J293" t="s">
        <v>169</v>
      </c>
      <c r="K293">
        <v>1.743717508530997E-2</v>
      </c>
      <c r="L293" t="s">
        <v>157</v>
      </c>
      <c r="N293" t="s">
        <v>300</v>
      </c>
      <c r="O293" t="s">
        <v>169</v>
      </c>
      <c r="P293">
        <v>8.5684282189993494E-3</v>
      </c>
      <c r="Q293" t="s">
        <v>157</v>
      </c>
      <c r="S293" t="s">
        <v>411</v>
      </c>
      <c r="T293" t="s">
        <v>169</v>
      </c>
      <c r="U293">
        <v>6.5684693790746523E-3</v>
      </c>
      <c r="V293" t="s">
        <v>157</v>
      </c>
    </row>
    <row r="294" spans="9:22" x14ac:dyDescent="0.45">
      <c r="I294" t="s">
        <v>189</v>
      </c>
      <c r="J294" t="s">
        <v>170</v>
      </c>
      <c r="K294">
        <v>1.4872681105068402E-2</v>
      </c>
      <c r="L294" t="s">
        <v>157</v>
      </c>
      <c r="N294" t="s">
        <v>300</v>
      </c>
      <c r="O294" t="s">
        <v>170</v>
      </c>
      <c r="P294">
        <v>7.9393274654927931E-3</v>
      </c>
      <c r="Q294" t="s">
        <v>157</v>
      </c>
      <c r="S294" t="s">
        <v>411</v>
      </c>
      <c r="T294" t="s">
        <v>170</v>
      </c>
      <c r="U294">
        <v>6.5875606786549466E-3</v>
      </c>
      <c r="V294" t="s">
        <v>157</v>
      </c>
    </row>
    <row r="295" spans="9:22" x14ac:dyDescent="0.45">
      <c r="I295" t="s">
        <v>189</v>
      </c>
      <c r="J295" t="s">
        <v>171</v>
      </c>
      <c r="K295">
        <v>8.6380383589921665E-3</v>
      </c>
      <c r="L295" t="s">
        <v>157</v>
      </c>
      <c r="N295" t="s">
        <v>300</v>
      </c>
      <c r="O295" t="s">
        <v>171</v>
      </c>
      <c r="P295">
        <v>3.1654306475276825E-2</v>
      </c>
      <c r="Q295" t="s">
        <v>157</v>
      </c>
      <c r="S295" t="s">
        <v>411</v>
      </c>
      <c r="T295" t="s">
        <v>171</v>
      </c>
      <c r="U295">
        <v>3.2523731100134519E-2</v>
      </c>
      <c r="V295" t="s">
        <v>157</v>
      </c>
    </row>
    <row r="296" spans="9:22" x14ac:dyDescent="0.45">
      <c r="I296" t="s">
        <v>190</v>
      </c>
      <c r="J296" t="s">
        <v>156</v>
      </c>
      <c r="K296">
        <v>1.2116804778683772E-2</v>
      </c>
      <c r="L296" t="s">
        <v>157</v>
      </c>
      <c r="N296" t="s">
        <v>301</v>
      </c>
      <c r="O296" t="s">
        <v>156</v>
      </c>
      <c r="P296">
        <v>0.13723390397445312</v>
      </c>
      <c r="Q296" t="s">
        <v>157</v>
      </c>
      <c r="S296" t="s">
        <v>412</v>
      </c>
      <c r="T296" t="s">
        <v>156</v>
      </c>
      <c r="U296">
        <v>0.14408042990000178</v>
      </c>
      <c r="V296" t="s">
        <v>157</v>
      </c>
    </row>
    <row r="297" spans="9:22" x14ac:dyDescent="0.45">
      <c r="I297" t="s">
        <v>190</v>
      </c>
      <c r="J297" t="s">
        <v>158</v>
      </c>
      <c r="K297">
        <v>0.38526836938984221</v>
      </c>
      <c r="L297" t="s">
        <v>157</v>
      </c>
      <c r="N297" t="s">
        <v>301</v>
      </c>
      <c r="O297" t="s">
        <v>158</v>
      </c>
      <c r="P297">
        <v>0.18937336873448607</v>
      </c>
      <c r="Q297" t="s">
        <v>157</v>
      </c>
      <c r="S297" t="s">
        <v>412</v>
      </c>
      <c r="T297" t="s">
        <v>158</v>
      </c>
      <c r="U297">
        <v>0.20654536722535052</v>
      </c>
      <c r="V297" t="s">
        <v>157</v>
      </c>
    </row>
    <row r="298" spans="9:22" x14ac:dyDescent="0.45">
      <c r="I298" t="s">
        <v>190</v>
      </c>
      <c r="J298" t="s">
        <v>159</v>
      </c>
      <c r="K298">
        <v>2.7773556097465617E-2</v>
      </c>
      <c r="L298" t="s">
        <v>157</v>
      </c>
      <c r="N298" t="s">
        <v>301</v>
      </c>
      <c r="O298" t="s">
        <v>159</v>
      </c>
      <c r="P298">
        <v>1.8998364360073756E-2</v>
      </c>
      <c r="Q298" t="s">
        <v>157</v>
      </c>
      <c r="S298" t="s">
        <v>412</v>
      </c>
      <c r="T298" t="s">
        <v>159</v>
      </c>
      <c r="U298">
        <v>2.165421500593406E-2</v>
      </c>
      <c r="V298" t="s">
        <v>157</v>
      </c>
    </row>
    <row r="299" spans="9:22" x14ac:dyDescent="0.45">
      <c r="I299" t="s">
        <v>190</v>
      </c>
      <c r="J299" t="s">
        <v>160</v>
      </c>
      <c r="K299">
        <v>1.9388122148104522E-2</v>
      </c>
      <c r="L299" t="s">
        <v>157</v>
      </c>
      <c r="N299" t="s">
        <v>301</v>
      </c>
      <c r="O299" t="s">
        <v>160</v>
      </c>
      <c r="P299">
        <v>1.9017463546426597E-2</v>
      </c>
      <c r="Q299" t="s">
        <v>157</v>
      </c>
      <c r="S299" t="s">
        <v>412</v>
      </c>
      <c r="T299" t="s">
        <v>160</v>
      </c>
      <c r="U299">
        <v>2.1651384005151365E-2</v>
      </c>
      <c r="V299" t="s">
        <v>157</v>
      </c>
    </row>
    <row r="300" spans="9:22" x14ac:dyDescent="0.45">
      <c r="I300" t="s">
        <v>190</v>
      </c>
      <c r="J300" t="s">
        <v>161</v>
      </c>
      <c r="K300">
        <v>9.1517200097629512E-3</v>
      </c>
      <c r="L300" t="s">
        <v>157</v>
      </c>
      <c r="N300" t="s">
        <v>301</v>
      </c>
      <c r="O300" t="s">
        <v>161</v>
      </c>
      <c r="P300">
        <v>9.6756768873685617E-2</v>
      </c>
      <c r="Q300" t="s">
        <v>157</v>
      </c>
      <c r="S300" t="s">
        <v>412</v>
      </c>
      <c r="T300" t="s">
        <v>161</v>
      </c>
      <c r="U300">
        <v>0.10527845608734107</v>
      </c>
      <c r="V300" t="s">
        <v>157</v>
      </c>
    </row>
    <row r="301" spans="9:22" x14ac:dyDescent="0.45">
      <c r="I301" t="s">
        <v>190</v>
      </c>
      <c r="J301" t="s">
        <v>162</v>
      </c>
      <c r="K301">
        <v>5.3680359557115934E-3</v>
      </c>
      <c r="L301" t="s">
        <v>157</v>
      </c>
      <c r="N301" t="s">
        <v>301</v>
      </c>
      <c r="O301" t="s">
        <v>162</v>
      </c>
      <c r="P301">
        <v>0.11742709367285566</v>
      </c>
      <c r="Q301" t="s">
        <v>157</v>
      </c>
      <c r="S301" t="s">
        <v>412</v>
      </c>
      <c r="T301" t="s">
        <v>162</v>
      </c>
      <c r="U301">
        <v>0.1021836732169463</v>
      </c>
      <c r="V301" t="s">
        <v>157</v>
      </c>
    </row>
    <row r="302" spans="9:22" x14ac:dyDescent="0.45">
      <c r="I302" t="s">
        <v>190</v>
      </c>
      <c r="J302" t="s">
        <v>163</v>
      </c>
      <c r="K302">
        <v>0.24321698769400646</v>
      </c>
      <c r="L302" t="s">
        <v>157</v>
      </c>
      <c r="N302" t="s">
        <v>301</v>
      </c>
      <c r="O302" t="s">
        <v>163</v>
      </c>
      <c r="P302">
        <v>0.16647234559569052</v>
      </c>
      <c r="Q302" t="s">
        <v>157</v>
      </c>
      <c r="S302" t="s">
        <v>412</v>
      </c>
      <c r="T302" t="s">
        <v>163</v>
      </c>
      <c r="U302">
        <v>0.14755969750480394</v>
      </c>
      <c r="V302" t="s">
        <v>157</v>
      </c>
    </row>
    <row r="303" spans="9:22" x14ac:dyDescent="0.45">
      <c r="I303" t="s">
        <v>190</v>
      </c>
      <c r="J303" t="s">
        <v>164</v>
      </c>
      <c r="K303">
        <v>1.6118826696888015E-2</v>
      </c>
      <c r="L303" t="s">
        <v>157</v>
      </c>
      <c r="N303" t="s">
        <v>301</v>
      </c>
      <c r="O303" t="s">
        <v>164</v>
      </c>
      <c r="P303">
        <v>1.6961519722209148E-2</v>
      </c>
      <c r="Q303" t="s">
        <v>157</v>
      </c>
      <c r="S303" t="s">
        <v>412</v>
      </c>
      <c r="T303" t="s">
        <v>164</v>
      </c>
      <c r="U303">
        <v>1.4815170247288484E-2</v>
      </c>
      <c r="V303" t="s">
        <v>157</v>
      </c>
    </row>
    <row r="304" spans="9:22" x14ac:dyDescent="0.45">
      <c r="I304" t="s">
        <v>190</v>
      </c>
      <c r="J304" t="s">
        <v>165</v>
      </c>
      <c r="K304">
        <v>7.1724984410757144E-3</v>
      </c>
      <c r="L304" t="s">
        <v>157</v>
      </c>
      <c r="N304" t="s">
        <v>301</v>
      </c>
      <c r="O304" t="s">
        <v>165</v>
      </c>
      <c r="P304">
        <v>1.6997906487179113E-2</v>
      </c>
      <c r="Q304" t="s">
        <v>157</v>
      </c>
      <c r="S304" t="s">
        <v>412</v>
      </c>
      <c r="T304" t="s">
        <v>165</v>
      </c>
      <c r="U304">
        <v>1.4727690265300452E-2</v>
      </c>
      <c r="V304" t="s">
        <v>157</v>
      </c>
    </row>
    <row r="305" spans="9:22" x14ac:dyDescent="0.45">
      <c r="I305" t="s">
        <v>190</v>
      </c>
      <c r="J305" t="s">
        <v>166</v>
      </c>
      <c r="K305">
        <v>0</v>
      </c>
      <c r="L305" t="s">
        <v>157</v>
      </c>
      <c r="N305" t="s">
        <v>301</v>
      </c>
      <c r="O305" t="s">
        <v>166</v>
      </c>
      <c r="P305">
        <v>8.2341290926516514E-2</v>
      </c>
      <c r="Q305" t="s">
        <v>157</v>
      </c>
      <c r="S305" t="s">
        <v>412</v>
      </c>
      <c r="T305" t="s">
        <v>166</v>
      </c>
      <c r="U305">
        <v>7.1214458706973335E-2</v>
      </c>
      <c r="V305" t="s">
        <v>157</v>
      </c>
    </row>
    <row r="306" spans="9:22" x14ac:dyDescent="0.45">
      <c r="I306" t="s">
        <v>190</v>
      </c>
      <c r="J306" t="s">
        <v>167</v>
      </c>
      <c r="K306">
        <v>2.0698988507552342E-2</v>
      </c>
      <c r="L306" t="s">
        <v>157</v>
      </c>
      <c r="N306" t="s">
        <v>301</v>
      </c>
      <c r="O306" t="s">
        <v>167</v>
      </c>
      <c r="P306">
        <v>3.6599095901042177E-2</v>
      </c>
      <c r="Q306" t="s">
        <v>157</v>
      </c>
      <c r="S306" t="s">
        <v>412</v>
      </c>
      <c r="T306" t="s">
        <v>167</v>
      </c>
      <c r="U306">
        <v>4.3974277357737498E-2</v>
      </c>
      <c r="V306" t="s">
        <v>157</v>
      </c>
    </row>
    <row r="307" spans="9:22" x14ac:dyDescent="0.45">
      <c r="I307" t="s">
        <v>190</v>
      </c>
      <c r="J307" t="s">
        <v>168</v>
      </c>
      <c r="K307">
        <v>0.21782230209700976</v>
      </c>
      <c r="L307" t="s">
        <v>157</v>
      </c>
      <c r="N307" t="s">
        <v>301</v>
      </c>
      <c r="O307" t="s">
        <v>168</v>
      </c>
      <c r="P307">
        <v>6.2989946506813638E-2</v>
      </c>
      <c r="Q307" t="s">
        <v>157</v>
      </c>
      <c r="S307" t="s">
        <v>412</v>
      </c>
      <c r="T307" t="s">
        <v>168</v>
      </c>
      <c r="U307">
        <v>6.3182844736887483E-2</v>
      </c>
      <c r="V307" t="s">
        <v>157</v>
      </c>
    </row>
    <row r="308" spans="9:22" x14ac:dyDescent="0.45">
      <c r="I308" t="s">
        <v>190</v>
      </c>
      <c r="J308" t="s">
        <v>169</v>
      </c>
      <c r="K308">
        <v>1.6261967856388046E-2</v>
      </c>
      <c r="L308" t="s">
        <v>157</v>
      </c>
      <c r="N308" t="s">
        <v>301</v>
      </c>
      <c r="O308" t="s">
        <v>169</v>
      </c>
      <c r="P308">
        <v>6.1702345395194362E-3</v>
      </c>
      <c r="Q308" t="s">
        <v>157</v>
      </c>
      <c r="S308" t="s">
        <v>412</v>
      </c>
      <c r="T308" t="s">
        <v>169</v>
      </c>
      <c r="U308">
        <v>6.3893017054953202E-3</v>
      </c>
      <c r="V308" t="s">
        <v>157</v>
      </c>
    </row>
    <row r="309" spans="9:22" x14ac:dyDescent="0.45">
      <c r="I309" t="s">
        <v>190</v>
      </c>
      <c r="J309" t="s">
        <v>170</v>
      </c>
      <c r="K309">
        <v>1.2213080370972601E-2</v>
      </c>
      <c r="L309" t="s">
        <v>157</v>
      </c>
      <c r="N309" t="s">
        <v>301</v>
      </c>
      <c r="O309" t="s">
        <v>170</v>
      </c>
      <c r="P309">
        <v>5.8310764403796201E-3</v>
      </c>
      <c r="Q309" t="s">
        <v>157</v>
      </c>
      <c r="S309" t="s">
        <v>412</v>
      </c>
      <c r="T309" t="s">
        <v>170</v>
      </c>
      <c r="U309">
        <v>6.2460378706841587E-3</v>
      </c>
      <c r="V309" t="s">
        <v>157</v>
      </c>
    </row>
    <row r="310" spans="9:22" x14ac:dyDescent="0.45">
      <c r="I310" t="s">
        <v>190</v>
      </c>
      <c r="J310" t="s">
        <v>171</v>
      </c>
      <c r="K310">
        <v>7.4287399565363668E-3</v>
      </c>
      <c r="L310" t="s">
        <v>157</v>
      </c>
      <c r="N310" t="s">
        <v>301</v>
      </c>
      <c r="O310" t="s">
        <v>171</v>
      </c>
      <c r="P310">
        <v>2.6829620718669039E-2</v>
      </c>
      <c r="Q310" t="s">
        <v>157</v>
      </c>
      <c r="S310" t="s">
        <v>412</v>
      </c>
      <c r="T310" t="s">
        <v>171</v>
      </c>
      <c r="U310">
        <v>3.0496996164104253E-2</v>
      </c>
      <c r="V310" t="s">
        <v>157</v>
      </c>
    </row>
    <row r="311" spans="9:22" x14ac:dyDescent="0.45">
      <c r="I311" t="s">
        <v>191</v>
      </c>
      <c r="J311" t="s">
        <v>156</v>
      </c>
      <c r="K311">
        <v>1.1912843601710316E-2</v>
      </c>
      <c r="L311" t="s">
        <v>157</v>
      </c>
      <c r="N311" t="s">
        <v>302</v>
      </c>
      <c r="O311" t="s">
        <v>156</v>
      </c>
      <c r="P311">
        <v>0.12223129682661042</v>
      </c>
      <c r="Q311" t="s">
        <v>157</v>
      </c>
      <c r="S311" t="s">
        <v>413</v>
      </c>
      <c r="T311" t="s">
        <v>156</v>
      </c>
      <c r="U311">
        <v>0.14416713804003584</v>
      </c>
      <c r="V311" t="s">
        <v>157</v>
      </c>
    </row>
    <row r="312" spans="9:22" x14ac:dyDescent="0.45">
      <c r="I312" t="s">
        <v>191</v>
      </c>
      <c r="J312" t="s">
        <v>158</v>
      </c>
      <c r="K312">
        <v>0.38589840522322588</v>
      </c>
      <c r="L312" t="s">
        <v>157</v>
      </c>
      <c r="N312" t="s">
        <v>302</v>
      </c>
      <c r="O312" t="s">
        <v>158</v>
      </c>
      <c r="P312">
        <v>0.19601097952004509</v>
      </c>
      <c r="Q312" t="s">
        <v>157</v>
      </c>
      <c r="S312" t="s">
        <v>413</v>
      </c>
      <c r="T312" t="s">
        <v>158</v>
      </c>
      <c r="U312">
        <v>0.20720729214183356</v>
      </c>
      <c r="V312" t="s">
        <v>157</v>
      </c>
    </row>
    <row r="313" spans="9:22" x14ac:dyDescent="0.45">
      <c r="I313" t="s">
        <v>191</v>
      </c>
      <c r="J313" t="s">
        <v>159</v>
      </c>
      <c r="K313">
        <v>2.8139306489520621E-2</v>
      </c>
      <c r="L313" t="s">
        <v>157</v>
      </c>
      <c r="N313" t="s">
        <v>302</v>
      </c>
      <c r="O313" t="s">
        <v>159</v>
      </c>
      <c r="P313">
        <v>2.0201325499427627E-2</v>
      </c>
      <c r="Q313" t="s">
        <v>157</v>
      </c>
      <c r="S313" t="s">
        <v>413</v>
      </c>
      <c r="T313" t="s">
        <v>159</v>
      </c>
      <c r="U313">
        <v>2.1729370152778111E-2</v>
      </c>
      <c r="V313" t="s">
        <v>157</v>
      </c>
    </row>
    <row r="314" spans="9:22" x14ac:dyDescent="0.45">
      <c r="I314" t="s">
        <v>191</v>
      </c>
      <c r="J314" t="s">
        <v>160</v>
      </c>
      <c r="K314">
        <v>1.9122616179022448E-2</v>
      </c>
      <c r="L314" t="s">
        <v>157</v>
      </c>
      <c r="N314" t="s">
        <v>302</v>
      </c>
      <c r="O314" t="s">
        <v>160</v>
      </c>
      <c r="P314">
        <v>1.9544625750121218E-2</v>
      </c>
      <c r="Q314" t="s">
        <v>157</v>
      </c>
      <c r="S314" t="s">
        <v>413</v>
      </c>
      <c r="T314" t="s">
        <v>160</v>
      </c>
      <c r="U314">
        <v>2.1618573196472389E-2</v>
      </c>
      <c r="V314" t="s">
        <v>157</v>
      </c>
    </row>
    <row r="315" spans="9:22" x14ac:dyDescent="0.45">
      <c r="I315" t="s">
        <v>191</v>
      </c>
      <c r="J315" t="s">
        <v>161</v>
      </c>
      <c r="K315">
        <v>9.323173355217795E-3</v>
      </c>
      <c r="L315" t="s">
        <v>157</v>
      </c>
      <c r="N315" t="s">
        <v>302</v>
      </c>
      <c r="O315" t="s">
        <v>161</v>
      </c>
      <c r="P315">
        <v>8.9384501158573854E-2</v>
      </c>
      <c r="Q315" t="s">
        <v>157</v>
      </c>
      <c r="S315" t="s">
        <v>413</v>
      </c>
      <c r="T315" t="s">
        <v>161</v>
      </c>
      <c r="U315">
        <v>0.10512206856981292</v>
      </c>
      <c r="V315" t="s">
        <v>157</v>
      </c>
    </row>
    <row r="316" spans="9:22" x14ac:dyDescent="0.45">
      <c r="I316" t="s">
        <v>191</v>
      </c>
      <c r="J316" t="s">
        <v>162</v>
      </c>
      <c r="K316">
        <v>5.9879151350249269E-3</v>
      </c>
      <c r="L316" t="s">
        <v>157</v>
      </c>
      <c r="N316" t="s">
        <v>302</v>
      </c>
      <c r="O316" t="s">
        <v>162</v>
      </c>
      <c r="P316">
        <v>0.11202719701776324</v>
      </c>
      <c r="Q316" t="s">
        <v>157</v>
      </c>
      <c r="S316" t="s">
        <v>413</v>
      </c>
      <c r="T316" t="s">
        <v>162</v>
      </c>
      <c r="U316">
        <v>0.10515520871149213</v>
      </c>
      <c r="V316" t="s">
        <v>157</v>
      </c>
    </row>
    <row r="317" spans="9:22" x14ac:dyDescent="0.45">
      <c r="I317" t="s">
        <v>191</v>
      </c>
      <c r="J317" t="s">
        <v>163</v>
      </c>
      <c r="K317">
        <v>0.2532965190311961</v>
      </c>
      <c r="L317" t="s">
        <v>157</v>
      </c>
      <c r="N317" t="s">
        <v>302</v>
      </c>
      <c r="O317" t="s">
        <v>163</v>
      </c>
      <c r="P317">
        <v>0.18297658802130634</v>
      </c>
      <c r="Q317" t="s">
        <v>157</v>
      </c>
      <c r="S317" t="s">
        <v>413</v>
      </c>
      <c r="T317" t="s">
        <v>163</v>
      </c>
      <c r="U317">
        <v>0.1484071396902118</v>
      </c>
      <c r="V317" t="s">
        <v>157</v>
      </c>
    </row>
    <row r="318" spans="9:22" x14ac:dyDescent="0.45">
      <c r="I318" t="s">
        <v>191</v>
      </c>
      <c r="J318" t="s">
        <v>164</v>
      </c>
      <c r="K318">
        <v>1.6494501252807593E-2</v>
      </c>
      <c r="L318" t="s">
        <v>157</v>
      </c>
      <c r="N318" t="s">
        <v>302</v>
      </c>
      <c r="O318" t="s">
        <v>164</v>
      </c>
      <c r="P318">
        <v>1.9173790750345119E-2</v>
      </c>
      <c r="Q318" t="s">
        <v>157</v>
      </c>
      <c r="S318" t="s">
        <v>413</v>
      </c>
      <c r="T318" t="s">
        <v>164</v>
      </c>
      <c r="U318">
        <v>1.5085894007697663E-2</v>
      </c>
      <c r="V318" t="s">
        <v>157</v>
      </c>
    </row>
    <row r="319" spans="9:22" x14ac:dyDescent="0.45">
      <c r="I319" t="s">
        <v>191</v>
      </c>
      <c r="J319" t="s">
        <v>165</v>
      </c>
      <c r="K319">
        <v>7.0541889858969763E-3</v>
      </c>
      <c r="L319" t="s">
        <v>157</v>
      </c>
      <c r="N319" t="s">
        <v>302</v>
      </c>
      <c r="O319" t="s">
        <v>165</v>
      </c>
      <c r="P319">
        <v>1.8521606240833172E-2</v>
      </c>
      <c r="Q319" t="s">
        <v>157</v>
      </c>
      <c r="S319" t="s">
        <v>413</v>
      </c>
      <c r="T319" t="s">
        <v>165</v>
      </c>
      <c r="U319">
        <v>1.4922342978195828E-2</v>
      </c>
      <c r="V319" t="s">
        <v>157</v>
      </c>
    </row>
    <row r="320" spans="9:22" x14ac:dyDescent="0.45">
      <c r="I320" t="s">
        <v>191</v>
      </c>
      <c r="J320" t="s">
        <v>166</v>
      </c>
      <c r="K320">
        <v>0</v>
      </c>
      <c r="L320" t="s">
        <v>157</v>
      </c>
      <c r="N320" t="s">
        <v>302</v>
      </c>
      <c r="O320" t="s">
        <v>166</v>
      </c>
      <c r="P320">
        <v>8.1945815228500432E-2</v>
      </c>
      <c r="Q320" t="s">
        <v>157</v>
      </c>
      <c r="S320" t="s">
        <v>413</v>
      </c>
      <c r="T320" t="s">
        <v>166</v>
      </c>
      <c r="U320">
        <v>7.3646536333825952E-2</v>
      </c>
      <c r="V320" t="s">
        <v>157</v>
      </c>
    </row>
    <row r="321" spans="9:22" x14ac:dyDescent="0.45">
      <c r="I321" t="s">
        <v>191</v>
      </c>
      <c r="J321" t="s">
        <v>167</v>
      </c>
      <c r="K321">
        <v>2.0555753463992847E-2</v>
      </c>
      <c r="L321" t="s">
        <v>157</v>
      </c>
      <c r="N321" t="s">
        <v>302</v>
      </c>
      <c r="O321" t="s">
        <v>167</v>
      </c>
      <c r="P321">
        <v>3.1828279931518502E-2</v>
      </c>
      <c r="Q321" t="s">
        <v>157</v>
      </c>
      <c r="S321" t="s">
        <v>413</v>
      </c>
      <c r="T321" t="s">
        <v>167</v>
      </c>
      <c r="U321">
        <v>4.0318654730546681E-2</v>
      </c>
      <c r="V321" t="s">
        <v>157</v>
      </c>
    </row>
    <row r="322" spans="9:22" x14ac:dyDescent="0.45">
      <c r="I322" t="s">
        <v>191</v>
      </c>
      <c r="J322" t="s">
        <v>168</v>
      </c>
      <c r="K322">
        <v>0.20886086299257925</v>
      </c>
      <c r="L322" t="s">
        <v>157</v>
      </c>
      <c r="N322" t="s">
        <v>302</v>
      </c>
      <c r="O322" t="s">
        <v>168</v>
      </c>
      <c r="P322">
        <v>6.6594854830526906E-2</v>
      </c>
      <c r="Q322" t="s">
        <v>157</v>
      </c>
      <c r="S322" t="s">
        <v>413</v>
      </c>
      <c r="T322" t="s">
        <v>168</v>
      </c>
      <c r="U322">
        <v>6.1659332796821183E-2</v>
      </c>
      <c r="V322" t="s">
        <v>157</v>
      </c>
    </row>
    <row r="323" spans="9:22" x14ac:dyDescent="0.45">
      <c r="I323" t="s">
        <v>191</v>
      </c>
      <c r="J323" t="s">
        <v>169</v>
      </c>
      <c r="K323">
        <v>1.4777820041386879E-2</v>
      </c>
      <c r="L323" t="s">
        <v>157</v>
      </c>
      <c r="N323" t="s">
        <v>302</v>
      </c>
      <c r="O323" t="s">
        <v>169</v>
      </c>
      <c r="P323">
        <v>7.1371388398101896E-3</v>
      </c>
      <c r="Q323" t="s">
        <v>157</v>
      </c>
      <c r="S323" t="s">
        <v>413</v>
      </c>
      <c r="T323" t="s">
        <v>169</v>
      </c>
      <c r="U323">
        <v>6.024962147767733E-3</v>
      </c>
      <c r="V323" t="s">
        <v>157</v>
      </c>
    </row>
    <row r="324" spans="9:22" x14ac:dyDescent="0.45">
      <c r="I324" t="s">
        <v>191</v>
      </c>
      <c r="J324" t="s">
        <v>170</v>
      </c>
      <c r="K324">
        <v>1.1812224539408726E-2</v>
      </c>
      <c r="L324" t="s">
        <v>157</v>
      </c>
      <c r="N324" t="s">
        <v>302</v>
      </c>
      <c r="O324" t="s">
        <v>170</v>
      </c>
      <c r="P324">
        <v>6.5373234460168036E-3</v>
      </c>
      <c r="Q324" t="s">
        <v>157</v>
      </c>
      <c r="S324" t="s">
        <v>413</v>
      </c>
      <c r="T324" t="s">
        <v>170</v>
      </c>
      <c r="U324">
        <v>5.9783489135739974E-3</v>
      </c>
      <c r="V324" t="s">
        <v>157</v>
      </c>
    </row>
    <row r="325" spans="9:22" x14ac:dyDescent="0.45">
      <c r="I325" t="s">
        <v>191</v>
      </c>
      <c r="J325" t="s">
        <v>171</v>
      </c>
      <c r="K325">
        <v>6.7638697090096137E-3</v>
      </c>
      <c r="L325" t="s">
        <v>157</v>
      </c>
      <c r="N325" t="s">
        <v>302</v>
      </c>
      <c r="O325" t="s">
        <v>171</v>
      </c>
      <c r="P325">
        <v>2.5884676938601095E-2</v>
      </c>
      <c r="Q325" t="s">
        <v>157</v>
      </c>
      <c r="S325" t="s">
        <v>413</v>
      </c>
      <c r="T325" t="s">
        <v>171</v>
      </c>
      <c r="U325">
        <v>2.8957137588934208E-2</v>
      </c>
      <c r="V325" t="s">
        <v>157</v>
      </c>
    </row>
    <row r="326" spans="9:22" x14ac:dyDescent="0.45">
      <c r="I326" t="s">
        <v>192</v>
      </c>
      <c r="J326" t="s">
        <v>156</v>
      </c>
      <c r="K326">
        <v>1.1760879644748473E-2</v>
      </c>
      <c r="L326" t="s">
        <v>157</v>
      </c>
      <c r="N326" t="s">
        <v>303</v>
      </c>
      <c r="O326" t="s">
        <v>156</v>
      </c>
      <c r="P326">
        <v>0.1116934453896663</v>
      </c>
      <c r="Q326" t="s">
        <v>157</v>
      </c>
      <c r="S326" t="s">
        <v>414</v>
      </c>
      <c r="T326" t="s">
        <v>156</v>
      </c>
      <c r="U326">
        <v>0.14499044494248034</v>
      </c>
      <c r="V326" t="s">
        <v>157</v>
      </c>
    </row>
    <row r="327" spans="9:22" x14ac:dyDescent="0.45">
      <c r="I327" t="s">
        <v>192</v>
      </c>
      <c r="J327" t="s">
        <v>158</v>
      </c>
      <c r="K327">
        <v>0.39134072328674047</v>
      </c>
      <c r="L327" t="s">
        <v>157</v>
      </c>
      <c r="N327" t="s">
        <v>303</v>
      </c>
      <c r="O327" t="s">
        <v>158</v>
      </c>
      <c r="P327">
        <v>0.19706633820135394</v>
      </c>
      <c r="Q327" t="s">
        <v>157</v>
      </c>
      <c r="S327" t="s">
        <v>414</v>
      </c>
      <c r="T327" t="s">
        <v>158</v>
      </c>
      <c r="U327">
        <v>0.21033845849584784</v>
      </c>
      <c r="V327" t="s">
        <v>157</v>
      </c>
    </row>
    <row r="328" spans="9:22" x14ac:dyDescent="0.45">
      <c r="I328" t="s">
        <v>192</v>
      </c>
      <c r="J328" t="s">
        <v>159</v>
      </c>
      <c r="K328">
        <v>2.9271405703361238E-2</v>
      </c>
      <c r="L328" t="s">
        <v>157</v>
      </c>
      <c r="N328" t="s">
        <v>303</v>
      </c>
      <c r="O328" t="s">
        <v>159</v>
      </c>
      <c r="P328">
        <v>1.9866646819596434E-2</v>
      </c>
      <c r="Q328" t="s">
        <v>157</v>
      </c>
      <c r="S328" t="s">
        <v>414</v>
      </c>
      <c r="T328" t="s">
        <v>159</v>
      </c>
      <c r="U328">
        <v>2.1176068705031668E-2</v>
      </c>
      <c r="V328" t="s">
        <v>157</v>
      </c>
    </row>
    <row r="329" spans="9:22" x14ac:dyDescent="0.45">
      <c r="I329" t="s">
        <v>192</v>
      </c>
      <c r="J329" t="s">
        <v>160</v>
      </c>
      <c r="K329">
        <v>2.0417269328995871E-2</v>
      </c>
      <c r="L329" t="s">
        <v>157</v>
      </c>
      <c r="N329" t="s">
        <v>303</v>
      </c>
      <c r="O329" t="s">
        <v>160</v>
      </c>
      <c r="P329">
        <v>1.8344336150607609E-2</v>
      </c>
      <c r="Q329" t="s">
        <v>157</v>
      </c>
      <c r="S329" t="s">
        <v>414</v>
      </c>
      <c r="T329" t="s">
        <v>160</v>
      </c>
      <c r="U329">
        <v>2.1096687448048403E-2</v>
      </c>
      <c r="V329" t="s">
        <v>157</v>
      </c>
    </row>
    <row r="330" spans="9:22" x14ac:dyDescent="0.45">
      <c r="I330" t="s">
        <v>192</v>
      </c>
      <c r="J330" t="s">
        <v>161</v>
      </c>
      <c r="K330">
        <v>9.6634155257705346E-3</v>
      </c>
      <c r="L330" t="s">
        <v>157</v>
      </c>
      <c r="N330" t="s">
        <v>303</v>
      </c>
      <c r="O330" t="s">
        <v>161</v>
      </c>
      <c r="P330">
        <v>7.8397217061877633E-2</v>
      </c>
      <c r="Q330" t="s">
        <v>157</v>
      </c>
      <c r="S330" t="s">
        <v>414</v>
      </c>
      <c r="T330" t="s">
        <v>161</v>
      </c>
      <c r="U330">
        <v>0.10376678881287139</v>
      </c>
      <c r="V330" t="s">
        <v>157</v>
      </c>
    </row>
    <row r="331" spans="9:22" x14ac:dyDescent="0.45">
      <c r="I331" t="s">
        <v>192</v>
      </c>
      <c r="J331" t="s">
        <v>162</v>
      </c>
      <c r="K331">
        <v>5.6937276154243868E-3</v>
      </c>
      <c r="L331" t="s">
        <v>157</v>
      </c>
      <c r="N331" t="s">
        <v>303</v>
      </c>
      <c r="O331" t="s">
        <v>162</v>
      </c>
      <c r="P331">
        <v>0.12006024273402696</v>
      </c>
      <c r="Q331" t="s">
        <v>157</v>
      </c>
      <c r="S331" t="s">
        <v>414</v>
      </c>
      <c r="T331" t="s">
        <v>162</v>
      </c>
      <c r="U331">
        <v>9.8175271366283859E-2</v>
      </c>
      <c r="V331" t="s">
        <v>157</v>
      </c>
    </row>
    <row r="332" spans="9:22" x14ac:dyDescent="0.45">
      <c r="I332" t="s">
        <v>192</v>
      </c>
      <c r="J332" t="s">
        <v>163</v>
      </c>
      <c r="K332">
        <v>0.2519125114878572</v>
      </c>
      <c r="L332" t="s">
        <v>157</v>
      </c>
      <c r="N332" t="s">
        <v>303</v>
      </c>
      <c r="O332" t="s">
        <v>163</v>
      </c>
      <c r="P332">
        <v>0.20382181670762622</v>
      </c>
      <c r="Q332" t="s">
        <v>157</v>
      </c>
      <c r="S332" t="s">
        <v>414</v>
      </c>
      <c r="T332" t="s">
        <v>163</v>
      </c>
      <c r="U332">
        <v>0.14427072816902201</v>
      </c>
      <c r="V332" t="s">
        <v>157</v>
      </c>
    </row>
    <row r="333" spans="9:22" x14ac:dyDescent="0.45">
      <c r="I333" t="s">
        <v>192</v>
      </c>
      <c r="J333" t="s">
        <v>164</v>
      </c>
      <c r="K333">
        <v>1.6791087272851838E-2</v>
      </c>
      <c r="L333" t="s">
        <v>157</v>
      </c>
      <c r="N333" t="s">
        <v>303</v>
      </c>
      <c r="O333" t="s">
        <v>164</v>
      </c>
      <c r="P333">
        <v>1.9679232616818476E-2</v>
      </c>
      <c r="Q333" t="s">
        <v>157</v>
      </c>
      <c r="S333" t="s">
        <v>414</v>
      </c>
      <c r="T333" t="s">
        <v>164</v>
      </c>
      <c r="U333">
        <v>1.4599695641131024E-2</v>
      </c>
      <c r="V333" t="s">
        <v>157</v>
      </c>
    </row>
    <row r="334" spans="9:22" x14ac:dyDescent="0.45">
      <c r="I334" t="s">
        <v>192</v>
      </c>
      <c r="J334" t="s">
        <v>165</v>
      </c>
      <c r="K334">
        <v>6.9202647828137563E-3</v>
      </c>
      <c r="L334" t="s">
        <v>157</v>
      </c>
      <c r="N334" t="s">
        <v>303</v>
      </c>
      <c r="O334" t="s">
        <v>165</v>
      </c>
      <c r="P334">
        <v>1.8960231723983648E-2</v>
      </c>
      <c r="Q334" t="s">
        <v>157</v>
      </c>
      <c r="S334" t="s">
        <v>414</v>
      </c>
      <c r="T334" t="s">
        <v>165</v>
      </c>
      <c r="U334">
        <v>1.4506229847887363E-2</v>
      </c>
      <c r="V334" t="s">
        <v>157</v>
      </c>
    </row>
    <row r="335" spans="9:22" x14ac:dyDescent="0.45">
      <c r="I335" t="s">
        <v>192</v>
      </c>
      <c r="J335" t="s">
        <v>166</v>
      </c>
      <c r="K335">
        <v>0</v>
      </c>
      <c r="L335" t="s">
        <v>157</v>
      </c>
      <c r="N335" t="s">
        <v>303</v>
      </c>
      <c r="O335" t="s">
        <v>166</v>
      </c>
      <c r="P335">
        <v>8.4522685099392383E-2</v>
      </c>
      <c r="Q335" t="s">
        <v>157</v>
      </c>
      <c r="S335" t="s">
        <v>414</v>
      </c>
      <c r="T335" t="s">
        <v>166</v>
      </c>
      <c r="U335">
        <v>7.160792676875298E-2</v>
      </c>
      <c r="V335" t="s">
        <v>157</v>
      </c>
    </row>
    <row r="336" spans="9:22" x14ac:dyDescent="0.45">
      <c r="I336" t="s">
        <v>192</v>
      </c>
      <c r="J336" t="s">
        <v>167</v>
      </c>
      <c r="K336">
        <v>2.0083471913884415E-2</v>
      </c>
      <c r="L336" t="s">
        <v>157</v>
      </c>
      <c r="N336" t="s">
        <v>303</v>
      </c>
      <c r="O336" t="s">
        <v>167</v>
      </c>
      <c r="P336">
        <v>2.7347793472980182E-2</v>
      </c>
      <c r="Q336" t="s">
        <v>157</v>
      </c>
      <c r="S336" t="s">
        <v>414</v>
      </c>
      <c r="T336" t="s">
        <v>167</v>
      </c>
      <c r="U336">
        <v>4.5869468096764447E-2</v>
      </c>
      <c r="V336" t="s">
        <v>157</v>
      </c>
    </row>
    <row r="337" spans="9:22" x14ac:dyDescent="0.45">
      <c r="I337" t="s">
        <v>192</v>
      </c>
      <c r="J337" t="s">
        <v>168</v>
      </c>
      <c r="K337">
        <v>0.20257786834254354</v>
      </c>
      <c r="L337" t="s">
        <v>157</v>
      </c>
      <c r="N337" t="s">
        <v>303</v>
      </c>
      <c r="O337" t="s">
        <v>168</v>
      </c>
      <c r="P337">
        <v>6.6509595176833192E-2</v>
      </c>
      <c r="Q337" t="s">
        <v>157</v>
      </c>
      <c r="S337" t="s">
        <v>414</v>
      </c>
      <c r="T337" t="s">
        <v>168</v>
      </c>
      <c r="U337">
        <v>6.6904944775789149E-2</v>
      </c>
      <c r="V337" t="s">
        <v>157</v>
      </c>
    </row>
    <row r="338" spans="9:22" x14ac:dyDescent="0.45">
      <c r="I338" t="s">
        <v>192</v>
      </c>
      <c r="J338" t="s">
        <v>169</v>
      </c>
      <c r="K338">
        <v>1.4527289284515698E-2</v>
      </c>
      <c r="L338" t="s">
        <v>157</v>
      </c>
      <c r="N338" t="s">
        <v>303</v>
      </c>
      <c r="O338" t="s">
        <v>169</v>
      </c>
      <c r="P338">
        <v>6.7248231733821112E-3</v>
      </c>
      <c r="Q338" t="s">
        <v>157</v>
      </c>
      <c r="S338" t="s">
        <v>414</v>
      </c>
      <c r="T338" t="s">
        <v>169</v>
      </c>
      <c r="U338">
        <v>6.1051466384588454E-3</v>
      </c>
      <c r="V338" t="s">
        <v>157</v>
      </c>
    </row>
    <row r="339" spans="9:22" x14ac:dyDescent="0.45">
      <c r="I339" t="s">
        <v>192</v>
      </c>
      <c r="J339" t="s">
        <v>170</v>
      </c>
      <c r="K339">
        <v>1.2060688747477422E-2</v>
      </c>
      <c r="L339" t="s">
        <v>157</v>
      </c>
      <c r="N339" t="s">
        <v>303</v>
      </c>
      <c r="O339" t="s">
        <v>170</v>
      </c>
      <c r="P339">
        <v>5.7999792558509492E-3</v>
      </c>
      <c r="Q339" t="s">
        <v>157</v>
      </c>
      <c r="S339" t="s">
        <v>414</v>
      </c>
      <c r="T339" t="s">
        <v>170</v>
      </c>
      <c r="U339">
        <v>5.9724271690316114E-3</v>
      </c>
      <c r="V339" t="s">
        <v>157</v>
      </c>
    </row>
    <row r="340" spans="9:22" x14ac:dyDescent="0.45">
      <c r="I340" t="s">
        <v>192</v>
      </c>
      <c r="J340" t="s">
        <v>171</v>
      </c>
      <c r="K340">
        <v>6.9793970630151799E-3</v>
      </c>
      <c r="L340" t="s">
        <v>157</v>
      </c>
      <c r="N340" t="s">
        <v>303</v>
      </c>
      <c r="O340" t="s">
        <v>171</v>
      </c>
      <c r="P340">
        <v>2.1205616416003919E-2</v>
      </c>
      <c r="Q340" t="s">
        <v>157</v>
      </c>
      <c r="S340" t="s">
        <v>414</v>
      </c>
      <c r="T340" t="s">
        <v>171</v>
      </c>
      <c r="U340">
        <v>3.0619713122599042E-2</v>
      </c>
      <c r="V340" t="s">
        <v>157</v>
      </c>
    </row>
    <row r="341" spans="9:22" x14ac:dyDescent="0.45">
      <c r="I341" t="s">
        <v>193</v>
      </c>
      <c r="J341" t="s">
        <v>156</v>
      </c>
      <c r="K341">
        <v>1.1619419169373778E-2</v>
      </c>
      <c r="L341" t="s">
        <v>157</v>
      </c>
      <c r="N341" t="s">
        <v>304</v>
      </c>
      <c r="O341" t="s">
        <v>156</v>
      </c>
      <c r="P341">
        <v>9.4376056213404863E-2</v>
      </c>
      <c r="Q341" t="s">
        <v>157</v>
      </c>
      <c r="S341" t="s">
        <v>415</v>
      </c>
      <c r="T341" t="s">
        <v>156</v>
      </c>
      <c r="U341">
        <v>0.14418033774175174</v>
      </c>
      <c r="V341" t="s">
        <v>157</v>
      </c>
    </row>
    <row r="342" spans="9:22" x14ac:dyDescent="0.45">
      <c r="I342" t="s">
        <v>193</v>
      </c>
      <c r="J342" t="s">
        <v>158</v>
      </c>
      <c r="K342">
        <v>0.39866347192009327</v>
      </c>
      <c r="L342" t="s">
        <v>157</v>
      </c>
      <c r="N342" t="s">
        <v>304</v>
      </c>
      <c r="O342" t="s">
        <v>158</v>
      </c>
      <c r="P342">
        <v>0.20763870237792639</v>
      </c>
      <c r="Q342" t="s">
        <v>157</v>
      </c>
      <c r="S342" t="s">
        <v>415</v>
      </c>
      <c r="T342" t="s">
        <v>158</v>
      </c>
      <c r="U342">
        <v>0.20909242408006223</v>
      </c>
      <c r="V342" t="s">
        <v>157</v>
      </c>
    </row>
    <row r="343" spans="9:22" x14ac:dyDescent="0.45">
      <c r="I343" t="s">
        <v>193</v>
      </c>
      <c r="J343" t="s">
        <v>159</v>
      </c>
      <c r="K343">
        <v>3.0390433582876367E-2</v>
      </c>
      <c r="L343" t="s">
        <v>157</v>
      </c>
      <c r="N343" t="s">
        <v>304</v>
      </c>
      <c r="O343" t="s">
        <v>159</v>
      </c>
      <c r="P343">
        <v>2.0736321859516075E-2</v>
      </c>
      <c r="Q343" t="s">
        <v>157</v>
      </c>
      <c r="S343" t="s">
        <v>415</v>
      </c>
      <c r="T343" t="s">
        <v>159</v>
      </c>
      <c r="U343">
        <v>2.1277247217346133E-2</v>
      </c>
      <c r="V343" t="s">
        <v>157</v>
      </c>
    </row>
    <row r="344" spans="9:22" x14ac:dyDescent="0.45">
      <c r="I344" t="s">
        <v>193</v>
      </c>
      <c r="J344" t="s">
        <v>160</v>
      </c>
      <c r="K344">
        <v>2.1726182704132631E-2</v>
      </c>
      <c r="L344" t="s">
        <v>157</v>
      </c>
      <c r="N344" t="s">
        <v>304</v>
      </c>
      <c r="O344" t="s">
        <v>160</v>
      </c>
      <c r="P344">
        <v>1.8143268938743531E-2</v>
      </c>
      <c r="Q344" t="s">
        <v>157</v>
      </c>
      <c r="S344" t="s">
        <v>415</v>
      </c>
      <c r="T344" t="s">
        <v>160</v>
      </c>
      <c r="U344">
        <v>2.1131675910939573E-2</v>
      </c>
      <c r="V344" t="s">
        <v>157</v>
      </c>
    </row>
    <row r="345" spans="9:22" x14ac:dyDescent="0.45">
      <c r="I345" t="s">
        <v>193</v>
      </c>
      <c r="J345" t="s">
        <v>161</v>
      </c>
      <c r="K345">
        <v>1.0284274000362571E-2</v>
      </c>
      <c r="L345" t="s">
        <v>157</v>
      </c>
      <c r="N345" t="s">
        <v>304</v>
      </c>
      <c r="O345" t="s">
        <v>161</v>
      </c>
      <c r="P345">
        <v>7.0735204270537186E-2</v>
      </c>
      <c r="Q345" t="s">
        <v>157</v>
      </c>
      <c r="S345" t="s">
        <v>415</v>
      </c>
      <c r="T345" t="s">
        <v>161</v>
      </c>
      <c r="U345">
        <v>0.10265003241788152</v>
      </c>
      <c r="V345" t="s">
        <v>157</v>
      </c>
    </row>
    <row r="346" spans="9:22" x14ac:dyDescent="0.45">
      <c r="I346" t="s">
        <v>193</v>
      </c>
      <c r="J346" t="s">
        <v>162</v>
      </c>
      <c r="K346">
        <v>4.5951633967374764E-3</v>
      </c>
      <c r="L346" t="s">
        <v>157</v>
      </c>
      <c r="N346" t="s">
        <v>304</v>
      </c>
      <c r="O346" t="s">
        <v>162</v>
      </c>
      <c r="P346">
        <v>0.114596391608354</v>
      </c>
      <c r="Q346" t="s">
        <v>157</v>
      </c>
      <c r="S346" t="s">
        <v>415</v>
      </c>
      <c r="T346" t="s">
        <v>162</v>
      </c>
      <c r="U346">
        <v>9.9018748037142348E-2</v>
      </c>
      <c r="V346" t="s">
        <v>157</v>
      </c>
    </row>
    <row r="347" spans="9:22" x14ac:dyDescent="0.45">
      <c r="I347" t="s">
        <v>193</v>
      </c>
      <c r="J347" t="s">
        <v>163</v>
      </c>
      <c r="K347">
        <v>0.24288235169956029</v>
      </c>
      <c r="L347" t="s">
        <v>157</v>
      </c>
      <c r="N347" t="s">
        <v>304</v>
      </c>
      <c r="O347" t="s">
        <v>163</v>
      </c>
      <c r="P347">
        <v>0.22389410671774085</v>
      </c>
      <c r="Q347" t="s">
        <v>157</v>
      </c>
      <c r="S347" t="s">
        <v>415</v>
      </c>
      <c r="T347" t="s">
        <v>163</v>
      </c>
      <c r="U347">
        <v>0.14632984308884861</v>
      </c>
      <c r="V347" t="s">
        <v>157</v>
      </c>
    </row>
    <row r="348" spans="9:22" x14ac:dyDescent="0.45">
      <c r="I348" t="s">
        <v>193</v>
      </c>
      <c r="J348" t="s">
        <v>164</v>
      </c>
      <c r="K348">
        <v>1.6668117436320705E-2</v>
      </c>
      <c r="L348" t="s">
        <v>157</v>
      </c>
      <c r="N348" t="s">
        <v>304</v>
      </c>
      <c r="O348" t="s">
        <v>164</v>
      </c>
      <c r="P348">
        <v>1.9609577796095064E-2</v>
      </c>
      <c r="Q348" t="s">
        <v>157</v>
      </c>
      <c r="S348" t="s">
        <v>415</v>
      </c>
      <c r="T348" t="s">
        <v>164</v>
      </c>
      <c r="U348">
        <v>1.4850269616421273E-2</v>
      </c>
      <c r="V348" t="s">
        <v>157</v>
      </c>
    </row>
    <row r="349" spans="9:22" x14ac:dyDescent="0.45">
      <c r="I349" t="s">
        <v>193</v>
      </c>
      <c r="J349" t="s">
        <v>165</v>
      </c>
      <c r="K349">
        <v>6.7723793872167337E-3</v>
      </c>
      <c r="L349" t="s">
        <v>157</v>
      </c>
      <c r="N349" t="s">
        <v>304</v>
      </c>
      <c r="O349" t="s">
        <v>165</v>
      </c>
      <c r="P349">
        <v>1.840639399227862E-2</v>
      </c>
      <c r="Q349" t="s">
        <v>157</v>
      </c>
      <c r="S349" t="s">
        <v>415</v>
      </c>
      <c r="T349" t="s">
        <v>165</v>
      </c>
      <c r="U349">
        <v>1.4675341331271678E-2</v>
      </c>
      <c r="V349" t="s">
        <v>157</v>
      </c>
    </row>
    <row r="350" spans="9:22" x14ac:dyDescent="0.45">
      <c r="I350" t="s">
        <v>193</v>
      </c>
      <c r="J350" t="s">
        <v>166</v>
      </c>
      <c r="K350">
        <v>0</v>
      </c>
      <c r="L350" t="s">
        <v>157</v>
      </c>
      <c r="N350" t="s">
        <v>304</v>
      </c>
      <c r="O350" t="s">
        <v>166</v>
      </c>
      <c r="P350">
        <v>8.2658064710115636E-2</v>
      </c>
      <c r="Q350" t="s">
        <v>157</v>
      </c>
      <c r="S350" t="s">
        <v>415</v>
      </c>
      <c r="T350" t="s">
        <v>166</v>
      </c>
      <c r="U350">
        <v>7.154675218765949E-2</v>
      </c>
      <c r="V350" t="s">
        <v>157</v>
      </c>
    </row>
    <row r="351" spans="9:22" x14ac:dyDescent="0.45">
      <c r="I351" t="s">
        <v>193</v>
      </c>
      <c r="J351" t="s">
        <v>167</v>
      </c>
      <c r="K351">
        <v>1.9254114077779647E-2</v>
      </c>
      <c r="L351" t="s">
        <v>157</v>
      </c>
      <c r="N351" t="s">
        <v>304</v>
      </c>
      <c r="O351" t="s">
        <v>167</v>
      </c>
      <c r="P351">
        <v>1.9928339682503599E-2</v>
      </c>
      <c r="Q351" t="s">
        <v>157</v>
      </c>
      <c r="S351" t="s">
        <v>415</v>
      </c>
      <c r="T351" t="s">
        <v>167</v>
      </c>
      <c r="U351">
        <v>4.6181411542003142E-2</v>
      </c>
      <c r="V351" t="s">
        <v>157</v>
      </c>
    </row>
    <row r="352" spans="9:22" x14ac:dyDescent="0.45">
      <c r="I352" t="s">
        <v>193</v>
      </c>
      <c r="J352" t="s">
        <v>168</v>
      </c>
      <c r="K352">
        <v>0.20173932876847514</v>
      </c>
      <c r="L352" t="s">
        <v>157</v>
      </c>
      <c r="N352" t="s">
        <v>304</v>
      </c>
      <c r="O352" t="s">
        <v>168</v>
      </c>
      <c r="P352">
        <v>7.8102330783208565E-2</v>
      </c>
      <c r="Q352" t="s">
        <v>157</v>
      </c>
      <c r="S352" t="s">
        <v>415</v>
      </c>
      <c r="T352" t="s">
        <v>168</v>
      </c>
      <c r="U352">
        <v>6.6874517771542519E-2</v>
      </c>
      <c r="V352" t="s">
        <v>157</v>
      </c>
    </row>
    <row r="353" spans="9:22" x14ac:dyDescent="0.45">
      <c r="I353" t="s">
        <v>193</v>
      </c>
      <c r="J353" t="s">
        <v>169</v>
      </c>
      <c r="K353">
        <v>1.5060248272962146E-2</v>
      </c>
      <c r="L353" t="s">
        <v>157</v>
      </c>
      <c r="N353" t="s">
        <v>304</v>
      </c>
      <c r="O353" t="s">
        <v>169</v>
      </c>
      <c r="P353">
        <v>7.2038962785602907E-3</v>
      </c>
      <c r="Q353" t="s">
        <v>157</v>
      </c>
      <c r="S353" t="s">
        <v>415</v>
      </c>
      <c r="T353" t="s">
        <v>169</v>
      </c>
      <c r="U353">
        <v>6.1175405721854556E-3</v>
      </c>
      <c r="V353" t="s">
        <v>157</v>
      </c>
    </row>
    <row r="354" spans="9:22" x14ac:dyDescent="0.45">
      <c r="I354" t="s">
        <v>193</v>
      </c>
      <c r="J354" t="s">
        <v>170</v>
      </c>
      <c r="K354">
        <v>1.2859235871270773E-2</v>
      </c>
      <c r="L354" t="s">
        <v>157</v>
      </c>
      <c r="N354" t="s">
        <v>304</v>
      </c>
      <c r="O354" t="s">
        <v>170</v>
      </c>
      <c r="P354">
        <v>5.8164713872246344E-3</v>
      </c>
      <c r="Q354" t="s">
        <v>157</v>
      </c>
      <c r="S354" t="s">
        <v>415</v>
      </c>
      <c r="T354" t="s">
        <v>170</v>
      </c>
      <c r="U354">
        <v>5.9884838303680583E-3</v>
      </c>
      <c r="V354" t="s">
        <v>157</v>
      </c>
    </row>
    <row r="355" spans="9:22" x14ac:dyDescent="0.45">
      <c r="I355" t="s">
        <v>193</v>
      </c>
      <c r="J355" t="s">
        <v>171</v>
      </c>
      <c r="K355">
        <v>7.4852797128385183E-3</v>
      </c>
      <c r="L355" t="s">
        <v>157</v>
      </c>
      <c r="N355" t="s">
        <v>304</v>
      </c>
      <c r="O355" t="s">
        <v>171</v>
      </c>
      <c r="P355">
        <v>1.8154873383790605E-2</v>
      </c>
      <c r="Q355" t="s">
        <v>157</v>
      </c>
      <c r="S355" t="s">
        <v>415</v>
      </c>
      <c r="T355" t="s">
        <v>171</v>
      </c>
      <c r="U355">
        <v>3.0085374654576291E-2</v>
      </c>
      <c r="V355" t="s">
        <v>157</v>
      </c>
    </row>
    <row r="356" spans="9:22" x14ac:dyDescent="0.45">
      <c r="I356" t="s">
        <v>194</v>
      </c>
      <c r="J356" t="s">
        <v>156</v>
      </c>
      <c r="K356">
        <v>7.5706101151419491E-3</v>
      </c>
      <c r="L356" t="s">
        <v>157</v>
      </c>
      <c r="N356" t="s">
        <v>305</v>
      </c>
      <c r="O356" t="s">
        <v>156</v>
      </c>
      <c r="P356">
        <v>0.1320412194437558</v>
      </c>
      <c r="Q356" t="s">
        <v>157</v>
      </c>
      <c r="S356" t="s">
        <v>416</v>
      </c>
      <c r="T356" t="s">
        <v>156</v>
      </c>
      <c r="U356">
        <v>0.1431739035743145</v>
      </c>
      <c r="V356" t="s">
        <v>157</v>
      </c>
    </row>
    <row r="357" spans="9:22" x14ac:dyDescent="0.45">
      <c r="I357" t="s">
        <v>194</v>
      </c>
      <c r="J357" t="s">
        <v>158</v>
      </c>
      <c r="K357">
        <v>0.39356002861791689</v>
      </c>
      <c r="L357" t="s">
        <v>157</v>
      </c>
      <c r="N357" t="s">
        <v>305</v>
      </c>
      <c r="O357" t="s">
        <v>158</v>
      </c>
      <c r="P357">
        <v>0.21481417322285476</v>
      </c>
      <c r="Q357" t="s">
        <v>157</v>
      </c>
      <c r="S357" t="s">
        <v>416</v>
      </c>
      <c r="T357" t="s">
        <v>158</v>
      </c>
      <c r="U357">
        <v>0.20722573141117981</v>
      </c>
      <c r="V357" t="s">
        <v>157</v>
      </c>
    </row>
    <row r="358" spans="9:22" x14ac:dyDescent="0.45">
      <c r="I358" t="s">
        <v>194</v>
      </c>
      <c r="J358" t="s">
        <v>159</v>
      </c>
      <c r="K358">
        <v>3.0627333503933374E-2</v>
      </c>
      <c r="L358" t="s">
        <v>157</v>
      </c>
      <c r="N358" t="s">
        <v>305</v>
      </c>
      <c r="O358" t="s">
        <v>159</v>
      </c>
      <c r="P358">
        <v>2.1706691385730972E-2</v>
      </c>
      <c r="Q358" t="s">
        <v>157</v>
      </c>
      <c r="S358" t="s">
        <v>416</v>
      </c>
      <c r="T358" t="s">
        <v>159</v>
      </c>
      <c r="U358">
        <v>2.1388865216001855E-2</v>
      </c>
      <c r="V358" t="s">
        <v>157</v>
      </c>
    </row>
    <row r="359" spans="9:22" x14ac:dyDescent="0.45">
      <c r="I359" t="s">
        <v>194</v>
      </c>
      <c r="J359" t="s">
        <v>160</v>
      </c>
      <c r="K359">
        <v>2.1651841935295499E-2</v>
      </c>
      <c r="L359" t="s">
        <v>157</v>
      </c>
      <c r="N359" t="s">
        <v>305</v>
      </c>
      <c r="O359" t="s">
        <v>160</v>
      </c>
      <c r="P359">
        <v>2.0503293212040825E-2</v>
      </c>
      <c r="Q359" t="s">
        <v>157</v>
      </c>
      <c r="S359" t="s">
        <v>416</v>
      </c>
      <c r="T359" t="s">
        <v>160</v>
      </c>
      <c r="U359">
        <v>2.1148961950948297E-2</v>
      </c>
      <c r="V359" t="s">
        <v>157</v>
      </c>
    </row>
    <row r="360" spans="9:22" x14ac:dyDescent="0.45">
      <c r="I360" t="s">
        <v>194</v>
      </c>
      <c r="J360" t="s">
        <v>161</v>
      </c>
      <c r="K360">
        <v>1.1182754475738705E-2</v>
      </c>
      <c r="L360" t="s">
        <v>157</v>
      </c>
      <c r="N360" t="s">
        <v>305</v>
      </c>
      <c r="O360" t="s">
        <v>161</v>
      </c>
      <c r="P360">
        <v>9.4988051966665696E-2</v>
      </c>
      <c r="Q360" t="s">
        <v>157</v>
      </c>
      <c r="S360" t="s">
        <v>416</v>
      </c>
      <c r="T360" t="s">
        <v>161</v>
      </c>
      <c r="U360">
        <v>0.10173007511063377</v>
      </c>
      <c r="V360" t="s">
        <v>157</v>
      </c>
    </row>
    <row r="361" spans="9:22" x14ac:dyDescent="0.45">
      <c r="I361" t="s">
        <v>194</v>
      </c>
      <c r="J361" t="s">
        <v>162</v>
      </c>
      <c r="K361">
        <v>2.9954420455747467E-3</v>
      </c>
      <c r="L361" t="s">
        <v>157</v>
      </c>
      <c r="N361" t="s">
        <v>305</v>
      </c>
      <c r="O361" t="s">
        <v>162</v>
      </c>
      <c r="P361">
        <v>0.10874602911781366</v>
      </c>
      <c r="Q361" t="s">
        <v>157</v>
      </c>
      <c r="S361" t="s">
        <v>416</v>
      </c>
      <c r="T361" t="s">
        <v>162</v>
      </c>
      <c r="U361">
        <v>0.10064284604379507</v>
      </c>
      <c r="V361" t="s">
        <v>157</v>
      </c>
    </row>
    <row r="362" spans="9:22" x14ac:dyDescent="0.45">
      <c r="I362" t="s">
        <v>194</v>
      </c>
      <c r="J362" t="s">
        <v>163</v>
      </c>
      <c r="K362">
        <v>0.22272597064761679</v>
      </c>
      <c r="L362" t="s">
        <v>157</v>
      </c>
      <c r="N362" t="s">
        <v>305</v>
      </c>
      <c r="O362" t="s">
        <v>163</v>
      </c>
      <c r="P362">
        <v>0.16877064737039948</v>
      </c>
      <c r="Q362" t="s">
        <v>157</v>
      </c>
      <c r="S362" t="s">
        <v>416</v>
      </c>
      <c r="T362" t="s">
        <v>163</v>
      </c>
      <c r="U362">
        <v>0.14838372534789415</v>
      </c>
      <c r="V362" t="s">
        <v>157</v>
      </c>
    </row>
    <row r="363" spans="9:22" x14ac:dyDescent="0.45">
      <c r="I363" t="s">
        <v>194</v>
      </c>
      <c r="J363" t="s">
        <v>164</v>
      </c>
      <c r="K363">
        <v>1.6620896360520668E-2</v>
      </c>
      <c r="L363" t="s">
        <v>157</v>
      </c>
      <c r="N363" t="s">
        <v>305</v>
      </c>
      <c r="O363" t="s">
        <v>164</v>
      </c>
      <c r="P363">
        <v>1.6433863296640788E-2</v>
      </c>
      <c r="Q363" t="s">
        <v>157</v>
      </c>
      <c r="S363" t="s">
        <v>416</v>
      </c>
      <c r="T363" t="s">
        <v>164</v>
      </c>
      <c r="U363">
        <v>1.4852631354155068E-2</v>
      </c>
      <c r="V363" t="s">
        <v>157</v>
      </c>
    </row>
    <row r="364" spans="9:22" x14ac:dyDescent="0.45">
      <c r="I364" t="s">
        <v>194</v>
      </c>
      <c r="J364" t="s">
        <v>165</v>
      </c>
      <c r="K364">
        <v>7.4439008162770059E-3</v>
      </c>
      <c r="L364" t="s">
        <v>157</v>
      </c>
      <c r="N364" t="s">
        <v>305</v>
      </c>
      <c r="O364" t="s">
        <v>165</v>
      </c>
      <c r="P364">
        <v>1.5655386344426186E-2</v>
      </c>
      <c r="Q364" t="s">
        <v>157</v>
      </c>
      <c r="S364" t="s">
        <v>416</v>
      </c>
      <c r="T364" t="s">
        <v>165</v>
      </c>
      <c r="U364">
        <v>1.4620121589825312E-2</v>
      </c>
      <c r="V364" t="s">
        <v>157</v>
      </c>
    </row>
    <row r="365" spans="9:22" x14ac:dyDescent="0.45">
      <c r="I365" t="s">
        <v>194</v>
      </c>
      <c r="J365" t="s">
        <v>166</v>
      </c>
      <c r="K365">
        <v>1.0682330115555796E-4</v>
      </c>
      <c r="L365" t="s">
        <v>157</v>
      </c>
      <c r="N365" t="s">
        <v>305</v>
      </c>
      <c r="O365" t="s">
        <v>166</v>
      </c>
      <c r="P365">
        <v>7.3469711719649916E-2</v>
      </c>
      <c r="Q365" t="s">
        <v>157</v>
      </c>
      <c r="S365" t="s">
        <v>416</v>
      </c>
      <c r="T365" t="s">
        <v>166</v>
      </c>
      <c r="U365">
        <v>7.2050439790855819E-2</v>
      </c>
      <c r="V365" t="s">
        <v>157</v>
      </c>
    </row>
    <row r="366" spans="9:22" x14ac:dyDescent="0.45">
      <c r="I366" t="s">
        <v>194</v>
      </c>
      <c r="J366" t="s">
        <v>167</v>
      </c>
      <c r="K366">
        <v>1.7372407289811018E-2</v>
      </c>
      <c r="L366" t="s">
        <v>157</v>
      </c>
      <c r="N366" t="s">
        <v>305</v>
      </c>
      <c r="O366" t="s">
        <v>167</v>
      </c>
      <c r="P366">
        <v>3.2650912515227351E-2</v>
      </c>
      <c r="Q366" t="s">
        <v>157</v>
      </c>
      <c r="S366" t="s">
        <v>416</v>
      </c>
      <c r="T366" t="s">
        <v>167</v>
      </c>
      <c r="U366">
        <v>4.6087483667615385E-2</v>
      </c>
      <c r="V366" t="s">
        <v>157</v>
      </c>
    </row>
    <row r="367" spans="9:22" x14ac:dyDescent="0.45">
      <c r="I367" t="s">
        <v>194</v>
      </c>
      <c r="J367" t="s">
        <v>168</v>
      </c>
      <c r="K367">
        <v>0.22457071199164869</v>
      </c>
      <c r="L367" t="s">
        <v>157</v>
      </c>
      <c r="N367" t="s">
        <v>305</v>
      </c>
      <c r="O367" t="s">
        <v>168</v>
      </c>
      <c r="P367">
        <v>6.441921587654377E-2</v>
      </c>
      <c r="Q367" t="s">
        <v>157</v>
      </c>
      <c r="S367" t="s">
        <v>416</v>
      </c>
      <c r="T367" t="s">
        <v>168</v>
      </c>
      <c r="U367">
        <v>6.6804226516722839E-2</v>
      </c>
      <c r="V367" t="s">
        <v>157</v>
      </c>
    </row>
    <row r="368" spans="9:22" x14ac:dyDescent="0.45">
      <c r="I368" t="s">
        <v>194</v>
      </c>
      <c r="J368" t="s">
        <v>169</v>
      </c>
      <c r="K368">
        <v>1.8400270393615314E-2</v>
      </c>
      <c r="L368" t="s">
        <v>157</v>
      </c>
      <c r="N368" t="s">
        <v>305</v>
      </c>
      <c r="O368" t="s">
        <v>169</v>
      </c>
      <c r="P368">
        <v>6.0752208850010023E-3</v>
      </c>
      <c r="Q368" t="s">
        <v>157</v>
      </c>
      <c r="S368" t="s">
        <v>416</v>
      </c>
      <c r="T368" t="s">
        <v>169</v>
      </c>
      <c r="U368">
        <v>6.1209275662586346E-3</v>
      </c>
      <c r="V368" t="s">
        <v>157</v>
      </c>
    </row>
    <row r="369" spans="9:22" x14ac:dyDescent="0.45">
      <c r="I369" t="s">
        <v>194</v>
      </c>
      <c r="J369" t="s">
        <v>170</v>
      </c>
      <c r="K369">
        <v>1.4783398275862107E-2</v>
      </c>
      <c r="L369" t="s">
        <v>157</v>
      </c>
      <c r="N369" t="s">
        <v>305</v>
      </c>
      <c r="O369" t="s">
        <v>170</v>
      </c>
      <c r="P369">
        <v>5.5954376857124902E-3</v>
      </c>
      <c r="Q369" t="s">
        <v>157</v>
      </c>
      <c r="S369" t="s">
        <v>416</v>
      </c>
      <c r="T369" t="s">
        <v>170</v>
      </c>
      <c r="U369">
        <v>5.9999292922771714E-3</v>
      </c>
      <c r="V369" t="s">
        <v>157</v>
      </c>
    </row>
    <row r="370" spans="9:22" x14ac:dyDescent="0.45">
      <c r="I370" t="s">
        <v>194</v>
      </c>
      <c r="J370" t="s">
        <v>171</v>
      </c>
      <c r="K370">
        <v>1.0387610229891587E-2</v>
      </c>
      <c r="L370" t="s">
        <v>157</v>
      </c>
      <c r="N370" t="s">
        <v>305</v>
      </c>
      <c r="O370" t="s">
        <v>171</v>
      </c>
      <c r="P370">
        <v>2.4130145957537232E-2</v>
      </c>
      <c r="Q370" t="s">
        <v>157</v>
      </c>
      <c r="S370" t="s">
        <v>416</v>
      </c>
      <c r="T370" t="s">
        <v>171</v>
      </c>
      <c r="U370">
        <v>2.9770131567522399E-2</v>
      </c>
      <c r="V370" t="s">
        <v>157</v>
      </c>
    </row>
    <row r="371" spans="9:22" x14ac:dyDescent="0.45">
      <c r="I371" t="s">
        <v>195</v>
      </c>
      <c r="J371" t="s">
        <v>156</v>
      </c>
      <c r="K371">
        <v>1.1260014506633881E-2</v>
      </c>
      <c r="L371" t="s">
        <v>157</v>
      </c>
      <c r="N371" t="s">
        <v>306</v>
      </c>
      <c r="O371" t="s">
        <v>156</v>
      </c>
      <c r="P371">
        <v>7.7176920827958517E-2</v>
      </c>
      <c r="Q371" t="s">
        <v>157</v>
      </c>
      <c r="S371" t="s">
        <v>417</v>
      </c>
      <c r="T371" t="s">
        <v>156</v>
      </c>
      <c r="U371">
        <v>0.14310946295781621</v>
      </c>
      <c r="V371" t="s">
        <v>157</v>
      </c>
    </row>
    <row r="372" spans="9:22" x14ac:dyDescent="0.45">
      <c r="I372" t="s">
        <v>195</v>
      </c>
      <c r="J372" t="s">
        <v>158</v>
      </c>
      <c r="K372">
        <v>0.40479667967223376</v>
      </c>
      <c r="L372" t="s">
        <v>157</v>
      </c>
      <c r="N372" t="s">
        <v>306</v>
      </c>
      <c r="O372" t="s">
        <v>158</v>
      </c>
      <c r="P372">
        <v>0.22940089405383784</v>
      </c>
      <c r="Q372" t="s">
        <v>157</v>
      </c>
      <c r="S372" t="s">
        <v>417</v>
      </c>
      <c r="T372" t="s">
        <v>158</v>
      </c>
      <c r="U372">
        <v>0.20480392045810777</v>
      </c>
      <c r="V372" t="s">
        <v>157</v>
      </c>
    </row>
    <row r="373" spans="9:22" x14ac:dyDescent="0.45">
      <c r="I373" t="s">
        <v>195</v>
      </c>
      <c r="J373" t="s">
        <v>159</v>
      </c>
      <c r="K373">
        <v>3.105531816819156E-2</v>
      </c>
      <c r="L373" t="s">
        <v>157</v>
      </c>
      <c r="N373" t="s">
        <v>306</v>
      </c>
      <c r="O373" t="s">
        <v>159</v>
      </c>
      <c r="P373">
        <v>2.3274025104104406E-2</v>
      </c>
      <c r="Q373" t="s">
        <v>157</v>
      </c>
      <c r="S373" t="s">
        <v>417</v>
      </c>
      <c r="T373" t="s">
        <v>159</v>
      </c>
      <c r="U373">
        <v>2.1132983524743972E-2</v>
      </c>
      <c r="V373" t="s">
        <v>157</v>
      </c>
    </row>
    <row r="374" spans="9:22" x14ac:dyDescent="0.45">
      <c r="I374" t="s">
        <v>195</v>
      </c>
      <c r="J374" t="s">
        <v>160</v>
      </c>
      <c r="K374">
        <v>2.2174805744168875E-2</v>
      </c>
      <c r="L374" t="s">
        <v>157</v>
      </c>
      <c r="N374" t="s">
        <v>306</v>
      </c>
      <c r="O374" t="s">
        <v>160</v>
      </c>
      <c r="P374">
        <v>1.942723617613502E-2</v>
      </c>
      <c r="Q374" t="s">
        <v>157</v>
      </c>
      <c r="S374" t="s">
        <v>417</v>
      </c>
      <c r="T374" t="s">
        <v>160</v>
      </c>
      <c r="U374">
        <v>2.0967905353240522E-2</v>
      </c>
      <c r="V374" t="s">
        <v>157</v>
      </c>
    </row>
    <row r="375" spans="9:22" x14ac:dyDescent="0.45">
      <c r="I375" t="s">
        <v>195</v>
      </c>
      <c r="J375" t="s">
        <v>161</v>
      </c>
      <c r="K375">
        <v>1.0727873289920562E-2</v>
      </c>
      <c r="L375" t="s">
        <v>157</v>
      </c>
      <c r="N375" t="s">
        <v>306</v>
      </c>
      <c r="O375" t="s">
        <v>161</v>
      </c>
      <c r="P375">
        <v>6.8841516824727708E-2</v>
      </c>
      <c r="Q375" t="s">
        <v>157</v>
      </c>
      <c r="S375" t="s">
        <v>417</v>
      </c>
      <c r="T375" t="s">
        <v>161</v>
      </c>
      <c r="U375">
        <v>0.10075555181248277</v>
      </c>
      <c r="V375" t="s">
        <v>157</v>
      </c>
    </row>
    <row r="376" spans="9:22" x14ac:dyDescent="0.45">
      <c r="I376" t="s">
        <v>195</v>
      </c>
      <c r="J376" t="s">
        <v>162</v>
      </c>
      <c r="K376">
        <v>3.1226205144979204E-3</v>
      </c>
      <c r="L376" t="s">
        <v>157</v>
      </c>
      <c r="N376" t="s">
        <v>306</v>
      </c>
      <c r="O376" t="s">
        <v>162</v>
      </c>
      <c r="P376">
        <v>9.6428080952326342E-2</v>
      </c>
      <c r="Q376" t="s">
        <v>157</v>
      </c>
      <c r="S376" t="s">
        <v>417</v>
      </c>
      <c r="T376" t="s">
        <v>162</v>
      </c>
      <c r="U376">
        <v>0.10303591529981061</v>
      </c>
      <c r="V376" t="s">
        <v>157</v>
      </c>
    </row>
    <row r="377" spans="9:22" x14ac:dyDescent="0.45">
      <c r="I377" t="s">
        <v>195</v>
      </c>
      <c r="J377" t="s">
        <v>163</v>
      </c>
      <c r="K377">
        <v>0.234406719146109</v>
      </c>
      <c r="L377" t="s">
        <v>157</v>
      </c>
      <c r="N377" t="s">
        <v>306</v>
      </c>
      <c r="O377" t="s">
        <v>163</v>
      </c>
      <c r="P377">
        <v>0.22977540287776052</v>
      </c>
      <c r="Q377" t="s">
        <v>157</v>
      </c>
      <c r="S377" t="s">
        <v>417</v>
      </c>
      <c r="T377" t="s">
        <v>163</v>
      </c>
      <c r="U377">
        <v>0.14931790379646184</v>
      </c>
      <c r="V377" t="s">
        <v>157</v>
      </c>
    </row>
    <row r="378" spans="9:22" x14ac:dyDescent="0.45">
      <c r="I378" t="s">
        <v>195</v>
      </c>
      <c r="J378" t="s">
        <v>164</v>
      </c>
      <c r="K378">
        <v>1.6236135826151001E-2</v>
      </c>
      <c r="L378" t="s">
        <v>157</v>
      </c>
      <c r="N378" t="s">
        <v>306</v>
      </c>
      <c r="O378" t="s">
        <v>164</v>
      </c>
      <c r="P378">
        <v>1.8464560398228209E-2</v>
      </c>
      <c r="Q378" t="s">
        <v>157</v>
      </c>
      <c r="S378" t="s">
        <v>417</v>
      </c>
      <c r="T378" t="s">
        <v>164</v>
      </c>
      <c r="U378">
        <v>1.4486485277150815E-2</v>
      </c>
      <c r="V378" t="s">
        <v>157</v>
      </c>
    </row>
    <row r="379" spans="9:22" x14ac:dyDescent="0.45">
      <c r="I379" t="s">
        <v>195</v>
      </c>
      <c r="J379" t="s">
        <v>165</v>
      </c>
      <c r="K379">
        <v>6.49214897414276E-3</v>
      </c>
      <c r="L379" t="s">
        <v>157</v>
      </c>
      <c r="N379" t="s">
        <v>306</v>
      </c>
      <c r="O379" t="s">
        <v>165</v>
      </c>
      <c r="P379">
        <v>1.681091930519641E-2</v>
      </c>
      <c r="Q379" t="s">
        <v>157</v>
      </c>
      <c r="S379" t="s">
        <v>417</v>
      </c>
      <c r="T379" t="s">
        <v>165</v>
      </c>
      <c r="U379">
        <v>1.4429663161374668E-2</v>
      </c>
      <c r="V379" t="s">
        <v>157</v>
      </c>
    </row>
    <row r="380" spans="9:22" x14ac:dyDescent="0.45">
      <c r="I380" t="s">
        <v>195</v>
      </c>
      <c r="J380" t="s">
        <v>166</v>
      </c>
      <c r="K380">
        <v>0</v>
      </c>
      <c r="L380" t="s">
        <v>157</v>
      </c>
      <c r="N380" t="s">
        <v>306</v>
      </c>
      <c r="O380" t="s">
        <v>166</v>
      </c>
      <c r="P380">
        <v>7.7483587814974803E-2</v>
      </c>
      <c r="Q380" t="s">
        <v>157</v>
      </c>
      <c r="S380" t="s">
        <v>417</v>
      </c>
      <c r="T380" t="s">
        <v>166</v>
      </c>
      <c r="U380">
        <v>7.2866622564838487E-2</v>
      </c>
      <c r="V380" t="s">
        <v>157</v>
      </c>
    </row>
    <row r="381" spans="9:22" x14ac:dyDescent="0.45">
      <c r="I381" t="s">
        <v>195</v>
      </c>
      <c r="J381" t="s">
        <v>167</v>
      </c>
      <c r="K381">
        <v>1.811411281552407E-2</v>
      </c>
      <c r="L381" t="s">
        <v>157</v>
      </c>
      <c r="N381" t="s">
        <v>306</v>
      </c>
      <c r="O381" t="s">
        <v>167</v>
      </c>
      <c r="P381">
        <v>1.3564020694897864E-2</v>
      </c>
      <c r="Q381" t="s">
        <v>157</v>
      </c>
      <c r="S381" t="s">
        <v>417</v>
      </c>
      <c r="T381" t="s">
        <v>167</v>
      </c>
      <c r="U381">
        <v>4.5654834393861449E-2</v>
      </c>
      <c r="V381" t="s">
        <v>157</v>
      </c>
    </row>
    <row r="382" spans="9:22" x14ac:dyDescent="0.45">
      <c r="I382" t="s">
        <v>195</v>
      </c>
      <c r="J382" t="s">
        <v>168</v>
      </c>
      <c r="K382">
        <v>0.20384710458328256</v>
      </c>
      <c r="L382" t="s">
        <v>157</v>
      </c>
      <c r="N382" t="s">
        <v>306</v>
      </c>
      <c r="O382" t="s">
        <v>168</v>
      </c>
      <c r="P382">
        <v>9.8044249288842908E-2</v>
      </c>
      <c r="Q382" t="s">
        <v>157</v>
      </c>
      <c r="S382" t="s">
        <v>417</v>
      </c>
      <c r="T382" t="s">
        <v>168</v>
      </c>
      <c r="U382">
        <v>6.6749234869869611E-2</v>
      </c>
      <c r="V382" t="s">
        <v>157</v>
      </c>
    </row>
    <row r="383" spans="9:22" x14ac:dyDescent="0.45">
      <c r="I383" t="s">
        <v>195</v>
      </c>
      <c r="J383" t="s">
        <v>169</v>
      </c>
      <c r="K383">
        <v>1.5915447456627284E-2</v>
      </c>
      <c r="L383" t="s">
        <v>157</v>
      </c>
      <c r="N383" t="s">
        <v>306</v>
      </c>
      <c r="O383" t="s">
        <v>169</v>
      </c>
      <c r="P383">
        <v>8.5061930797505226E-3</v>
      </c>
      <c r="Q383" t="s">
        <v>157</v>
      </c>
      <c r="S383" t="s">
        <v>417</v>
      </c>
      <c r="T383" t="s">
        <v>169</v>
      </c>
      <c r="U383">
        <v>6.1911159043881057E-3</v>
      </c>
      <c r="V383" t="s">
        <v>157</v>
      </c>
    </row>
    <row r="384" spans="9:22" x14ac:dyDescent="0.45">
      <c r="I384" t="s">
        <v>195</v>
      </c>
      <c r="J384" t="s">
        <v>170</v>
      </c>
      <c r="K384">
        <v>1.3888172910120095E-2</v>
      </c>
      <c r="L384" t="s">
        <v>157</v>
      </c>
      <c r="N384" t="s">
        <v>306</v>
      </c>
      <c r="O384" t="s">
        <v>170</v>
      </c>
      <c r="P384">
        <v>6.34931141013896E-3</v>
      </c>
      <c r="Q384" t="s">
        <v>157</v>
      </c>
      <c r="S384" t="s">
        <v>417</v>
      </c>
      <c r="T384" t="s">
        <v>170</v>
      </c>
      <c r="U384">
        <v>6.1583299668683793E-3</v>
      </c>
      <c r="V384" t="s">
        <v>157</v>
      </c>
    </row>
    <row r="385" spans="9:22" x14ac:dyDescent="0.45">
      <c r="I385" t="s">
        <v>195</v>
      </c>
      <c r="J385" t="s">
        <v>171</v>
      </c>
      <c r="K385">
        <v>7.9628463923966161E-3</v>
      </c>
      <c r="L385" t="s">
        <v>157</v>
      </c>
      <c r="N385" t="s">
        <v>306</v>
      </c>
      <c r="O385" t="s">
        <v>171</v>
      </c>
      <c r="P385">
        <v>1.6453081191120027E-2</v>
      </c>
      <c r="Q385" t="s">
        <v>157</v>
      </c>
      <c r="S385" t="s">
        <v>417</v>
      </c>
      <c r="T385" t="s">
        <v>171</v>
      </c>
      <c r="U385">
        <v>3.0340070658984804E-2</v>
      </c>
      <c r="V385" t="s">
        <v>157</v>
      </c>
    </row>
    <row r="386" spans="9:22" x14ac:dyDescent="0.45">
      <c r="I386" t="s">
        <v>196</v>
      </c>
      <c r="J386" t="s">
        <v>156</v>
      </c>
      <c r="K386">
        <v>1.0696089170073642E-2</v>
      </c>
      <c r="L386" t="s">
        <v>157</v>
      </c>
      <c r="N386" t="s">
        <v>307</v>
      </c>
      <c r="O386" t="s">
        <v>156</v>
      </c>
      <c r="P386">
        <v>0.10615091018451665</v>
      </c>
      <c r="Q386" t="s">
        <v>157</v>
      </c>
      <c r="S386" t="s">
        <v>418</v>
      </c>
      <c r="T386" t="s">
        <v>156</v>
      </c>
      <c r="U386">
        <v>0.14288285806679279</v>
      </c>
      <c r="V386" t="s">
        <v>157</v>
      </c>
    </row>
    <row r="387" spans="9:22" x14ac:dyDescent="0.45">
      <c r="I387" t="s">
        <v>196</v>
      </c>
      <c r="J387" t="s">
        <v>158</v>
      </c>
      <c r="K387">
        <v>0.40955726233040451</v>
      </c>
      <c r="L387" t="s">
        <v>157</v>
      </c>
      <c r="N387" t="s">
        <v>307</v>
      </c>
      <c r="O387" t="s">
        <v>158</v>
      </c>
      <c r="P387">
        <v>0.22728817226003034</v>
      </c>
      <c r="Q387" t="s">
        <v>157</v>
      </c>
      <c r="S387" t="s">
        <v>418</v>
      </c>
      <c r="T387" t="s">
        <v>158</v>
      </c>
      <c r="U387">
        <v>0.20290831145390684</v>
      </c>
      <c r="V387" t="s">
        <v>157</v>
      </c>
    </row>
    <row r="388" spans="9:22" x14ac:dyDescent="0.45">
      <c r="I388" t="s">
        <v>196</v>
      </c>
      <c r="J388" t="s">
        <v>159</v>
      </c>
      <c r="K388">
        <v>3.0867316449449619E-2</v>
      </c>
      <c r="L388" t="s">
        <v>157</v>
      </c>
      <c r="N388" t="s">
        <v>307</v>
      </c>
      <c r="O388" t="s">
        <v>159</v>
      </c>
      <c r="P388">
        <v>2.2819440304408824E-2</v>
      </c>
      <c r="Q388" t="s">
        <v>157</v>
      </c>
      <c r="S388" t="s">
        <v>418</v>
      </c>
      <c r="T388" t="s">
        <v>159</v>
      </c>
      <c r="U388">
        <v>2.0884105509012187E-2</v>
      </c>
      <c r="V388" t="s">
        <v>157</v>
      </c>
    </row>
    <row r="389" spans="9:22" x14ac:dyDescent="0.45">
      <c r="I389" t="s">
        <v>196</v>
      </c>
      <c r="J389" t="s">
        <v>160</v>
      </c>
      <c r="K389">
        <v>2.1750756175387978E-2</v>
      </c>
      <c r="L389" t="s">
        <v>157</v>
      </c>
      <c r="N389" t="s">
        <v>307</v>
      </c>
      <c r="O389" t="s">
        <v>160</v>
      </c>
      <c r="P389">
        <v>1.9272600807391505E-2</v>
      </c>
      <c r="Q389" t="s">
        <v>157</v>
      </c>
      <c r="S389" t="s">
        <v>418</v>
      </c>
      <c r="T389" t="s">
        <v>160</v>
      </c>
      <c r="U389">
        <v>2.0701215137520608E-2</v>
      </c>
      <c r="V389" t="s">
        <v>157</v>
      </c>
    </row>
    <row r="390" spans="9:22" x14ac:dyDescent="0.45">
      <c r="I390" t="s">
        <v>196</v>
      </c>
      <c r="J390" t="s">
        <v>161</v>
      </c>
      <c r="K390">
        <v>1.0323879096344094E-2</v>
      </c>
      <c r="L390" t="s">
        <v>157</v>
      </c>
      <c r="N390" t="s">
        <v>307</v>
      </c>
      <c r="O390" t="s">
        <v>161</v>
      </c>
      <c r="P390">
        <v>7.9905150616221929E-2</v>
      </c>
      <c r="Q390" t="s">
        <v>157</v>
      </c>
      <c r="S390" t="s">
        <v>418</v>
      </c>
      <c r="T390" t="s">
        <v>161</v>
      </c>
      <c r="U390">
        <v>0.10007244083760593</v>
      </c>
      <c r="V390" t="s">
        <v>157</v>
      </c>
    </row>
    <row r="391" spans="9:22" x14ac:dyDescent="0.45">
      <c r="I391" t="s">
        <v>196</v>
      </c>
      <c r="J391" t="s">
        <v>162</v>
      </c>
      <c r="K391">
        <v>2.4520113707223851E-3</v>
      </c>
      <c r="L391" t="s">
        <v>157</v>
      </c>
      <c r="N391" t="s">
        <v>307</v>
      </c>
      <c r="O391" t="s">
        <v>162</v>
      </c>
      <c r="P391">
        <v>0.10732795759225693</v>
      </c>
      <c r="Q391" t="s">
        <v>157</v>
      </c>
      <c r="S391" t="s">
        <v>418</v>
      </c>
      <c r="T391" t="s">
        <v>162</v>
      </c>
      <c r="U391">
        <v>0.10571735137168475</v>
      </c>
      <c r="V391" t="s">
        <v>157</v>
      </c>
    </row>
    <row r="392" spans="9:22" x14ac:dyDescent="0.45">
      <c r="I392" t="s">
        <v>196</v>
      </c>
      <c r="J392" t="s">
        <v>163</v>
      </c>
      <c r="K392">
        <v>0.22743657269961925</v>
      </c>
      <c r="L392" t="s">
        <v>157</v>
      </c>
      <c r="N392" t="s">
        <v>307</v>
      </c>
      <c r="O392" t="s">
        <v>163</v>
      </c>
      <c r="P392">
        <v>0.20795930320943404</v>
      </c>
      <c r="Q392" t="s">
        <v>157</v>
      </c>
      <c r="S392" t="s">
        <v>418</v>
      </c>
      <c r="T392" t="s">
        <v>163</v>
      </c>
      <c r="U392">
        <v>0.14984633611064405</v>
      </c>
      <c r="V392" t="s">
        <v>157</v>
      </c>
    </row>
    <row r="393" spans="9:22" x14ac:dyDescent="0.45">
      <c r="I393" t="s">
        <v>196</v>
      </c>
      <c r="J393" t="s">
        <v>164</v>
      </c>
      <c r="K393">
        <v>1.5199166951100785E-2</v>
      </c>
      <c r="L393" t="s">
        <v>157</v>
      </c>
      <c r="N393" t="s">
        <v>307</v>
      </c>
      <c r="O393" t="s">
        <v>164</v>
      </c>
      <c r="P393">
        <v>1.634118092227984E-2</v>
      </c>
      <c r="Q393" t="s">
        <v>157</v>
      </c>
      <c r="S393" t="s">
        <v>418</v>
      </c>
      <c r="T393" t="s">
        <v>164</v>
      </c>
      <c r="U393">
        <v>1.4606300927084252E-2</v>
      </c>
      <c r="V393" t="s">
        <v>157</v>
      </c>
    </row>
    <row r="394" spans="9:22" x14ac:dyDescent="0.45">
      <c r="I394" t="s">
        <v>196</v>
      </c>
      <c r="J394" t="s">
        <v>165</v>
      </c>
      <c r="K394">
        <v>5.7877468607749893E-3</v>
      </c>
      <c r="L394" t="s">
        <v>157</v>
      </c>
      <c r="N394" t="s">
        <v>307</v>
      </c>
      <c r="O394" t="s">
        <v>165</v>
      </c>
      <c r="P394">
        <v>1.5465004739885945E-2</v>
      </c>
      <c r="Q394" t="s">
        <v>157</v>
      </c>
      <c r="S394" t="s">
        <v>418</v>
      </c>
      <c r="T394" t="s">
        <v>165</v>
      </c>
      <c r="U394">
        <v>1.435367890979455E-2</v>
      </c>
      <c r="V394" t="s">
        <v>157</v>
      </c>
    </row>
    <row r="395" spans="9:22" x14ac:dyDescent="0.45">
      <c r="I395" t="s">
        <v>196</v>
      </c>
      <c r="J395" t="s">
        <v>166</v>
      </c>
      <c r="K395">
        <v>0</v>
      </c>
      <c r="L395" t="s">
        <v>157</v>
      </c>
      <c r="N395" t="s">
        <v>307</v>
      </c>
      <c r="O395" t="s">
        <v>166</v>
      </c>
      <c r="P395">
        <v>7.886198271173496E-2</v>
      </c>
      <c r="Q395" t="s">
        <v>157</v>
      </c>
      <c r="S395" t="s">
        <v>418</v>
      </c>
      <c r="T395" t="s">
        <v>166</v>
      </c>
      <c r="U395">
        <v>7.268171610793886E-2</v>
      </c>
      <c r="V395" t="s">
        <v>157</v>
      </c>
    </row>
    <row r="396" spans="9:22" x14ac:dyDescent="0.45">
      <c r="I396" t="s">
        <v>196</v>
      </c>
      <c r="J396" t="s">
        <v>167</v>
      </c>
      <c r="K396">
        <v>1.7964887121801939E-2</v>
      </c>
      <c r="L396" t="s">
        <v>157</v>
      </c>
      <c r="N396" t="s">
        <v>307</v>
      </c>
      <c r="O396" t="s">
        <v>167</v>
      </c>
      <c r="P396">
        <v>1.5926146635974907E-2</v>
      </c>
      <c r="Q396" t="s">
        <v>157</v>
      </c>
      <c r="S396" t="s">
        <v>418</v>
      </c>
      <c r="T396" t="s">
        <v>167</v>
      </c>
      <c r="U396">
        <v>4.5540362197593186E-2</v>
      </c>
      <c r="V396" t="s">
        <v>157</v>
      </c>
    </row>
    <row r="397" spans="9:22" x14ac:dyDescent="0.45">
      <c r="I397" t="s">
        <v>196</v>
      </c>
      <c r="J397" t="s">
        <v>168</v>
      </c>
      <c r="K397">
        <v>0.20798155797901163</v>
      </c>
      <c r="L397" t="s">
        <v>157</v>
      </c>
      <c r="N397" t="s">
        <v>307</v>
      </c>
      <c r="O397" t="s">
        <v>168</v>
      </c>
      <c r="P397">
        <v>7.8454745052285571E-2</v>
      </c>
      <c r="Q397" t="s">
        <v>157</v>
      </c>
      <c r="S397" t="s">
        <v>418</v>
      </c>
      <c r="T397" t="s">
        <v>168</v>
      </c>
      <c r="U397">
        <v>6.6767756027289682E-2</v>
      </c>
      <c r="V397" t="s">
        <v>157</v>
      </c>
    </row>
    <row r="398" spans="9:22" x14ac:dyDescent="0.45">
      <c r="I398" t="s">
        <v>196</v>
      </c>
      <c r="J398" t="s">
        <v>169</v>
      </c>
      <c r="K398">
        <v>1.6827158849219669E-2</v>
      </c>
      <c r="L398" t="s">
        <v>157</v>
      </c>
      <c r="N398" t="s">
        <v>307</v>
      </c>
      <c r="O398" t="s">
        <v>169</v>
      </c>
      <c r="P398">
        <v>6.8904228761555459E-3</v>
      </c>
      <c r="Q398" t="s">
        <v>157</v>
      </c>
      <c r="S398" t="s">
        <v>418</v>
      </c>
      <c r="T398" t="s">
        <v>169</v>
      </c>
      <c r="U398">
        <v>6.2938687338334317E-3</v>
      </c>
      <c r="V398" t="s">
        <v>157</v>
      </c>
    </row>
    <row r="399" spans="9:22" x14ac:dyDescent="0.45">
      <c r="I399" t="s">
        <v>196</v>
      </c>
      <c r="J399" t="s">
        <v>170</v>
      </c>
      <c r="K399">
        <v>1.4704691178778163E-2</v>
      </c>
      <c r="L399" t="s">
        <v>157</v>
      </c>
      <c r="N399" t="s">
        <v>307</v>
      </c>
      <c r="O399" t="s">
        <v>170</v>
      </c>
      <c r="P399">
        <v>4.8758885120787961E-3</v>
      </c>
      <c r="Q399" t="s">
        <v>157</v>
      </c>
      <c r="S399" t="s">
        <v>418</v>
      </c>
      <c r="T399" t="s">
        <v>170</v>
      </c>
      <c r="U399">
        <v>6.2279762014795879E-3</v>
      </c>
      <c r="V399" t="s">
        <v>157</v>
      </c>
    </row>
    <row r="400" spans="9:22" x14ac:dyDescent="0.45">
      <c r="I400" t="s">
        <v>196</v>
      </c>
      <c r="J400" t="s">
        <v>171</v>
      </c>
      <c r="K400">
        <v>8.4509037673113265E-3</v>
      </c>
      <c r="L400" t="s">
        <v>157</v>
      </c>
      <c r="N400" t="s">
        <v>307</v>
      </c>
      <c r="O400" t="s">
        <v>171</v>
      </c>
      <c r="P400">
        <v>1.2461093575344181E-2</v>
      </c>
      <c r="Q400" t="s">
        <v>157</v>
      </c>
      <c r="S400" t="s">
        <v>418</v>
      </c>
      <c r="T400" t="s">
        <v>171</v>
      </c>
      <c r="U400">
        <v>3.0515722407819256E-2</v>
      </c>
      <c r="V400" t="s">
        <v>157</v>
      </c>
    </row>
    <row r="401" spans="9:22" x14ac:dyDescent="0.45">
      <c r="I401" t="s">
        <v>197</v>
      </c>
      <c r="J401" t="s">
        <v>156</v>
      </c>
      <c r="K401">
        <v>1.0288836328940808E-2</v>
      </c>
      <c r="L401" t="s">
        <v>157</v>
      </c>
      <c r="N401" t="s">
        <v>308</v>
      </c>
      <c r="O401" t="s">
        <v>156</v>
      </c>
      <c r="P401">
        <v>0.12857508264467946</v>
      </c>
      <c r="Q401" t="s">
        <v>157</v>
      </c>
      <c r="S401" t="s">
        <v>419</v>
      </c>
      <c r="T401" t="s">
        <v>156</v>
      </c>
      <c r="U401">
        <v>0.14118291317261739</v>
      </c>
      <c r="V401" t="s">
        <v>157</v>
      </c>
    </row>
    <row r="402" spans="9:22" x14ac:dyDescent="0.45">
      <c r="I402" t="s">
        <v>197</v>
      </c>
      <c r="J402" t="s">
        <v>158</v>
      </c>
      <c r="K402">
        <v>0.41270854938622803</v>
      </c>
      <c r="L402" t="s">
        <v>157</v>
      </c>
      <c r="N402" t="s">
        <v>308</v>
      </c>
      <c r="O402" t="s">
        <v>158</v>
      </c>
      <c r="P402">
        <v>0.20412934078734374</v>
      </c>
      <c r="Q402" t="s">
        <v>157</v>
      </c>
      <c r="S402" t="s">
        <v>419</v>
      </c>
      <c r="T402" t="s">
        <v>158</v>
      </c>
      <c r="U402">
        <v>0.20144350345500392</v>
      </c>
      <c r="V402" t="s">
        <v>157</v>
      </c>
    </row>
    <row r="403" spans="9:22" x14ac:dyDescent="0.45">
      <c r="I403" t="s">
        <v>197</v>
      </c>
      <c r="J403" t="s">
        <v>159</v>
      </c>
      <c r="K403">
        <v>3.0596608788915226E-2</v>
      </c>
      <c r="L403" t="s">
        <v>157</v>
      </c>
      <c r="N403" t="s">
        <v>308</v>
      </c>
      <c r="O403" t="s">
        <v>159</v>
      </c>
      <c r="P403">
        <v>2.1833964301837989E-2</v>
      </c>
      <c r="Q403" t="s">
        <v>157</v>
      </c>
      <c r="S403" t="s">
        <v>419</v>
      </c>
      <c r="T403" t="s">
        <v>159</v>
      </c>
      <c r="U403">
        <v>2.0714862964683396E-2</v>
      </c>
      <c r="V403" t="s">
        <v>157</v>
      </c>
    </row>
    <row r="404" spans="9:22" x14ac:dyDescent="0.45">
      <c r="I404" t="s">
        <v>197</v>
      </c>
      <c r="J404" t="s">
        <v>160</v>
      </c>
      <c r="K404">
        <v>2.1236580092930619E-2</v>
      </c>
      <c r="L404" t="s">
        <v>157</v>
      </c>
      <c r="N404" t="s">
        <v>308</v>
      </c>
      <c r="O404" t="s">
        <v>160</v>
      </c>
      <c r="P404">
        <v>2.022722917861549E-2</v>
      </c>
      <c r="Q404" t="s">
        <v>157</v>
      </c>
      <c r="S404" t="s">
        <v>419</v>
      </c>
      <c r="T404" t="s">
        <v>160</v>
      </c>
      <c r="U404">
        <v>2.0573780471596539E-2</v>
      </c>
      <c r="V404" t="s">
        <v>157</v>
      </c>
    </row>
    <row r="405" spans="9:22" x14ac:dyDescent="0.45">
      <c r="I405" t="s">
        <v>197</v>
      </c>
      <c r="J405" t="s">
        <v>161</v>
      </c>
      <c r="K405">
        <v>9.6149844290487081E-3</v>
      </c>
      <c r="L405" t="s">
        <v>157</v>
      </c>
      <c r="N405" t="s">
        <v>308</v>
      </c>
      <c r="O405" t="s">
        <v>161</v>
      </c>
      <c r="P405">
        <v>8.9591682536151393E-2</v>
      </c>
      <c r="Q405" t="s">
        <v>157</v>
      </c>
      <c r="S405" t="s">
        <v>419</v>
      </c>
      <c r="T405" t="s">
        <v>161</v>
      </c>
      <c r="U405">
        <v>9.9824533110204172E-2</v>
      </c>
      <c r="V405" t="s">
        <v>157</v>
      </c>
    </row>
    <row r="406" spans="9:22" x14ac:dyDescent="0.45">
      <c r="I406" t="s">
        <v>197</v>
      </c>
      <c r="J406" t="s">
        <v>162</v>
      </c>
      <c r="K406">
        <v>2.9423705191669656E-3</v>
      </c>
      <c r="L406" t="s">
        <v>157</v>
      </c>
      <c r="N406" t="s">
        <v>308</v>
      </c>
      <c r="O406" t="s">
        <v>162</v>
      </c>
      <c r="P406">
        <v>0.10960740387652582</v>
      </c>
      <c r="Q406" t="s">
        <v>157</v>
      </c>
      <c r="S406" t="s">
        <v>419</v>
      </c>
      <c r="T406" t="s">
        <v>162</v>
      </c>
      <c r="U406">
        <v>0.10739209576968294</v>
      </c>
      <c r="V406" t="s">
        <v>157</v>
      </c>
    </row>
    <row r="407" spans="9:22" x14ac:dyDescent="0.45">
      <c r="I407" t="s">
        <v>197</v>
      </c>
      <c r="J407" t="s">
        <v>163</v>
      </c>
      <c r="K407">
        <v>0.21919087593734232</v>
      </c>
      <c r="L407" t="s">
        <v>157</v>
      </c>
      <c r="N407" t="s">
        <v>308</v>
      </c>
      <c r="O407" t="s">
        <v>163</v>
      </c>
      <c r="P407">
        <v>0.17016117158502414</v>
      </c>
      <c r="Q407" t="s">
        <v>157</v>
      </c>
      <c r="S407" t="s">
        <v>419</v>
      </c>
      <c r="T407" t="s">
        <v>163</v>
      </c>
      <c r="U407">
        <v>0.14961202629407833</v>
      </c>
      <c r="V407" t="s">
        <v>157</v>
      </c>
    </row>
    <row r="408" spans="9:22" x14ac:dyDescent="0.45">
      <c r="I408" t="s">
        <v>197</v>
      </c>
      <c r="J408" t="s">
        <v>164</v>
      </c>
      <c r="K408">
        <v>1.4117991498370154E-2</v>
      </c>
      <c r="L408" t="s">
        <v>157</v>
      </c>
      <c r="N408" t="s">
        <v>308</v>
      </c>
      <c r="O408" t="s">
        <v>164</v>
      </c>
      <c r="P408">
        <v>1.6092099237453576E-2</v>
      </c>
      <c r="Q408" t="s">
        <v>157</v>
      </c>
      <c r="S408" t="s">
        <v>419</v>
      </c>
      <c r="T408" t="s">
        <v>164</v>
      </c>
      <c r="U408">
        <v>1.4660735676311817E-2</v>
      </c>
      <c r="V408" t="s">
        <v>157</v>
      </c>
    </row>
    <row r="409" spans="9:22" x14ac:dyDescent="0.45">
      <c r="I409" t="s">
        <v>197</v>
      </c>
      <c r="J409" t="s">
        <v>165</v>
      </c>
      <c r="K409">
        <v>4.9559353055888362E-3</v>
      </c>
      <c r="L409" t="s">
        <v>157</v>
      </c>
      <c r="N409" t="s">
        <v>308</v>
      </c>
      <c r="O409" t="s">
        <v>165</v>
      </c>
      <c r="P409">
        <v>1.5762139146729314E-2</v>
      </c>
      <c r="Q409" t="s">
        <v>157</v>
      </c>
      <c r="S409" t="s">
        <v>419</v>
      </c>
      <c r="T409" t="s">
        <v>165</v>
      </c>
      <c r="U409">
        <v>1.4527580534092617E-2</v>
      </c>
      <c r="V409" t="s">
        <v>157</v>
      </c>
    </row>
    <row r="410" spans="9:22" x14ac:dyDescent="0.45">
      <c r="I410" t="s">
        <v>197</v>
      </c>
      <c r="J410" t="s">
        <v>166</v>
      </c>
      <c r="K410">
        <v>0</v>
      </c>
      <c r="L410" t="s">
        <v>157</v>
      </c>
      <c r="N410" t="s">
        <v>308</v>
      </c>
      <c r="O410" t="s">
        <v>166</v>
      </c>
      <c r="P410">
        <v>7.947336207265808E-2</v>
      </c>
      <c r="Q410" t="s">
        <v>157</v>
      </c>
      <c r="S410" t="s">
        <v>419</v>
      </c>
      <c r="T410" t="s">
        <v>166</v>
      </c>
      <c r="U410">
        <v>7.3417642731632066E-2</v>
      </c>
      <c r="V410" t="s">
        <v>157</v>
      </c>
    </row>
    <row r="411" spans="9:22" x14ac:dyDescent="0.45">
      <c r="I411" t="s">
        <v>197</v>
      </c>
      <c r="J411" t="s">
        <v>167</v>
      </c>
      <c r="K411">
        <v>1.8986891227201003E-2</v>
      </c>
      <c r="L411" t="s">
        <v>157</v>
      </c>
      <c r="N411" t="s">
        <v>308</v>
      </c>
      <c r="O411" t="s">
        <v>167</v>
      </c>
      <c r="P411">
        <v>3.3626010499807596E-2</v>
      </c>
      <c r="Q411" t="s">
        <v>157</v>
      </c>
      <c r="S411" t="s">
        <v>419</v>
      </c>
      <c r="T411" t="s">
        <v>167</v>
      </c>
      <c r="U411">
        <v>4.6020685924269389E-2</v>
      </c>
      <c r="V411" t="s">
        <v>157</v>
      </c>
    </row>
    <row r="412" spans="9:22" x14ac:dyDescent="0.45">
      <c r="I412" t="s">
        <v>197</v>
      </c>
      <c r="J412" t="s">
        <v>168</v>
      </c>
      <c r="K412">
        <v>0.21356186475470429</v>
      </c>
      <c r="L412" t="s">
        <v>157</v>
      </c>
      <c r="N412" t="s">
        <v>308</v>
      </c>
      <c r="O412" t="s">
        <v>168</v>
      </c>
      <c r="P412">
        <v>7.0066918887236457E-2</v>
      </c>
      <c r="Q412" t="s">
        <v>157</v>
      </c>
      <c r="S412" t="s">
        <v>419</v>
      </c>
      <c r="T412" t="s">
        <v>168</v>
      </c>
      <c r="U412">
        <v>6.6879092331556561E-2</v>
      </c>
      <c r="V412" t="s">
        <v>157</v>
      </c>
    </row>
    <row r="413" spans="9:22" x14ac:dyDescent="0.45">
      <c r="I413" t="s">
        <v>197</v>
      </c>
      <c r="J413" t="s">
        <v>169</v>
      </c>
      <c r="K413">
        <v>1.7927859856613652E-2</v>
      </c>
      <c r="L413" t="s">
        <v>157</v>
      </c>
      <c r="N413" t="s">
        <v>308</v>
      </c>
      <c r="O413" t="s">
        <v>169</v>
      </c>
      <c r="P413">
        <v>7.6004053998737888E-3</v>
      </c>
      <c r="Q413" t="s">
        <v>157</v>
      </c>
      <c r="S413" t="s">
        <v>419</v>
      </c>
      <c r="T413" t="s">
        <v>169</v>
      </c>
      <c r="U413">
        <v>6.3323377397225345E-3</v>
      </c>
      <c r="V413" t="s">
        <v>157</v>
      </c>
    </row>
    <row r="414" spans="9:22" x14ac:dyDescent="0.45">
      <c r="I414" t="s">
        <v>197</v>
      </c>
      <c r="J414" t="s">
        <v>170</v>
      </c>
      <c r="K414">
        <v>1.5105030803991174E-2</v>
      </c>
      <c r="L414" t="s">
        <v>157</v>
      </c>
      <c r="N414" t="s">
        <v>308</v>
      </c>
      <c r="O414" t="s">
        <v>170</v>
      </c>
      <c r="P414">
        <v>6.8928896397001237E-3</v>
      </c>
      <c r="Q414" t="s">
        <v>157</v>
      </c>
      <c r="S414" t="s">
        <v>419</v>
      </c>
      <c r="T414" t="s">
        <v>170</v>
      </c>
      <c r="U414">
        <v>6.2272258661109593E-3</v>
      </c>
      <c r="V414" t="s">
        <v>157</v>
      </c>
    </row>
    <row r="415" spans="9:22" x14ac:dyDescent="0.45">
      <c r="I415" t="s">
        <v>197</v>
      </c>
      <c r="J415" t="s">
        <v>171</v>
      </c>
      <c r="K415">
        <v>8.7656210709581937E-3</v>
      </c>
      <c r="L415" t="s">
        <v>157</v>
      </c>
      <c r="N415" t="s">
        <v>308</v>
      </c>
      <c r="O415" t="s">
        <v>171</v>
      </c>
      <c r="P415">
        <v>2.6360300206363148E-2</v>
      </c>
      <c r="Q415" t="s">
        <v>157</v>
      </c>
      <c r="S415" t="s">
        <v>419</v>
      </c>
      <c r="T415" t="s">
        <v>171</v>
      </c>
      <c r="U415">
        <v>3.1190983958437432E-2</v>
      </c>
      <c r="V415" t="s">
        <v>157</v>
      </c>
    </row>
    <row r="416" spans="9:22" x14ac:dyDescent="0.45">
      <c r="I416" t="s">
        <v>198</v>
      </c>
      <c r="J416" t="s">
        <v>156</v>
      </c>
      <c r="K416">
        <v>1.3086489363191543E-2</v>
      </c>
      <c r="L416" t="s">
        <v>157</v>
      </c>
      <c r="N416" t="s">
        <v>309</v>
      </c>
      <c r="O416" t="s">
        <v>156</v>
      </c>
      <c r="P416">
        <v>0.12729394187670495</v>
      </c>
      <c r="Q416" t="s">
        <v>157</v>
      </c>
      <c r="S416" t="s">
        <v>420</v>
      </c>
      <c r="T416" t="s">
        <v>156</v>
      </c>
      <c r="U416">
        <v>0.13970324247068483</v>
      </c>
      <c r="V416" t="s">
        <v>157</v>
      </c>
    </row>
    <row r="417" spans="9:22" x14ac:dyDescent="0.45">
      <c r="I417" t="s">
        <v>198</v>
      </c>
      <c r="J417" t="s">
        <v>158</v>
      </c>
      <c r="K417">
        <v>0.38986123990096466</v>
      </c>
      <c r="L417" t="s">
        <v>157</v>
      </c>
      <c r="N417" t="s">
        <v>309</v>
      </c>
      <c r="O417" t="s">
        <v>158</v>
      </c>
      <c r="P417">
        <v>0.19501433766133613</v>
      </c>
      <c r="Q417" t="s">
        <v>157</v>
      </c>
      <c r="S417" t="s">
        <v>420</v>
      </c>
      <c r="T417" t="s">
        <v>158</v>
      </c>
      <c r="U417">
        <v>0.20063663196121087</v>
      </c>
      <c r="V417" t="s">
        <v>157</v>
      </c>
    </row>
    <row r="418" spans="9:22" x14ac:dyDescent="0.45">
      <c r="I418" t="s">
        <v>198</v>
      </c>
      <c r="J418" t="s">
        <v>159</v>
      </c>
      <c r="K418">
        <v>2.7628565079564404E-2</v>
      </c>
      <c r="L418" t="s">
        <v>157</v>
      </c>
      <c r="N418" t="s">
        <v>309</v>
      </c>
      <c r="O418" t="s">
        <v>159</v>
      </c>
      <c r="P418">
        <v>1.885340437767535E-2</v>
      </c>
      <c r="Q418" t="s">
        <v>157</v>
      </c>
      <c r="S418" t="s">
        <v>420</v>
      </c>
      <c r="T418" t="s">
        <v>159</v>
      </c>
      <c r="U418">
        <v>2.0591890086778562E-2</v>
      </c>
      <c r="V418" t="s">
        <v>157</v>
      </c>
    </row>
    <row r="419" spans="9:22" x14ac:dyDescent="0.45">
      <c r="I419" t="s">
        <v>198</v>
      </c>
      <c r="J419" t="s">
        <v>160</v>
      </c>
      <c r="K419">
        <v>1.7609868450762303E-2</v>
      </c>
      <c r="L419" t="s">
        <v>157</v>
      </c>
      <c r="N419" t="s">
        <v>309</v>
      </c>
      <c r="O419" t="s">
        <v>160</v>
      </c>
      <c r="P419">
        <v>1.8657009079503597E-2</v>
      </c>
      <c r="Q419" t="s">
        <v>157</v>
      </c>
      <c r="S419" t="s">
        <v>420</v>
      </c>
      <c r="T419" t="s">
        <v>160</v>
      </c>
      <c r="U419">
        <v>2.0408630493631348E-2</v>
      </c>
      <c r="V419" t="s">
        <v>157</v>
      </c>
    </row>
    <row r="420" spans="9:22" x14ac:dyDescent="0.45">
      <c r="I420" t="s">
        <v>198</v>
      </c>
      <c r="J420" t="s">
        <v>161</v>
      </c>
      <c r="K420">
        <v>8.0525632086524881E-3</v>
      </c>
      <c r="L420" t="s">
        <v>157</v>
      </c>
      <c r="N420" t="s">
        <v>309</v>
      </c>
      <c r="O420" t="s">
        <v>161</v>
      </c>
      <c r="P420">
        <v>9.0457004944580824E-2</v>
      </c>
      <c r="Q420" t="s">
        <v>157</v>
      </c>
      <c r="S420" t="s">
        <v>420</v>
      </c>
      <c r="T420" t="s">
        <v>161</v>
      </c>
      <c r="U420">
        <v>9.9552573889937782E-2</v>
      </c>
      <c r="V420" t="s">
        <v>157</v>
      </c>
    </row>
    <row r="421" spans="9:22" x14ac:dyDescent="0.45">
      <c r="I421" t="s">
        <v>198</v>
      </c>
      <c r="J421" t="s">
        <v>162</v>
      </c>
      <c r="K421">
        <v>7.1189533663181329E-3</v>
      </c>
      <c r="L421" t="s">
        <v>157</v>
      </c>
      <c r="N421" t="s">
        <v>309</v>
      </c>
      <c r="O421" t="s">
        <v>162</v>
      </c>
      <c r="P421">
        <v>0.10988297324205401</v>
      </c>
      <c r="Q421" t="s">
        <v>157</v>
      </c>
      <c r="S421" t="s">
        <v>420</v>
      </c>
      <c r="T421" t="s">
        <v>162</v>
      </c>
      <c r="U421">
        <v>0.10843431446630504</v>
      </c>
      <c r="V421" t="s">
        <v>157</v>
      </c>
    </row>
    <row r="422" spans="9:22" x14ac:dyDescent="0.45">
      <c r="I422" t="s">
        <v>198</v>
      </c>
      <c r="J422" t="s">
        <v>163</v>
      </c>
      <c r="K422">
        <v>0.25391867329077311</v>
      </c>
      <c r="L422" t="s">
        <v>157</v>
      </c>
      <c r="N422" t="s">
        <v>309</v>
      </c>
      <c r="O422" t="s">
        <v>163</v>
      </c>
      <c r="P422">
        <v>0.17412674321433996</v>
      </c>
      <c r="Q422" t="s">
        <v>157</v>
      </c>
      <c r="S422" t="s">
        <v>420</v>
      </c>
      <c r="T422" t="s">
        <v>163</v>
      </c>
      <c r="U422">
        <v>0.14916260872698386</v>
      </c>
      <c r="V422" t="s">
        <v>157</v>
      </c>
    </row>
    <row r="423" spans="9:22" x14ac:dyDescent="0.45">
      <c r="I423" t="s">
        <v>198</v>
      </c>
      <c r="J423" t="s">
        <v>164</v>
      </c>
      <c r="K423">
        <v>1.5170021586071246E-2</v>
      </c>
      <c r="L423" t="s">
        <v>157</v>
      </c>
      <c r="N423" t="s">
        <v>309</v>
      </c>
      <c r="O423" t="s">
        <v>164</v>
      </c>
      <c r="P423">
        <v>1.8046116913142108E-2</v>
      </c>
      <c r="Q423" t="s">
        <v>157</v>
      </c>
      <c r="S423" t="s">
        <v>420</v>
      </c>
      <c r="T423" t="s">
        <v>164</v>
      </c>
      <c r="U423">
        <v>1.4652775660039143E-2</v>
      </c>
      <c r="V423" t="s">
        <v>157</v>
      </c>
    </row>
    <row r="424" spans="9:22" x14ac:dyDescent="0.45">
      <c r="I424" t="s">
        <v>198</v>
      </c>
      <c r="J424" t="s">
        <v>165</v>
      </c>
      <c r="K424">
        <v>5.9995088944093536E-3</v>
      </c>
      <c r="L424" t="s">
        <v>157</v>
      </c>
      <c r="N424" t="s">
        <v>309</v>
      </c>
      <c r="O424" t="s">
        <v>165</v>
      </c>
      <c r="P424">
        <v>1.7535599057295782E-2</v>
      </c>
      <c r="Q424" t="s">
        <v>157</v>
      </c>
      <c r="S424" t="s">
        <v>420</v>
      </c>
      <c r="T424" t="s">
        <v>165</v>
      </c>
      <c r="U424">
        <v>1.4449671098933905E-2</v>
      </c>
      <c r="V424" t="s">
        <v>157</v>
      </c>
    </row>
    <row r="425" spans="9:22" x14ac:dyDescent="0.45">
      <c r="I425" t="s">
        <v>198</v>
      </c>
      <c r="J425" t="s">
        <v>166</v>
      </c>
      <c r="K425">
        <v>0</v>
      </c>
      <c r="L425" t="s">
        <v>157</v>
      </c>
      <c r="N425" t="s">
        <v>309</v>
      </c>
      <c r="O425" t="s">
        <v>166</v>
      </c>
      <c r="P425">
        <v>8.2135088953082483E-2</v>
      </c>
      <c r="Q425" t="s">
        <v>157</v>
      </c>
      <c r="S425" t="s">
        <v>420</v>
      </c>
      <c r="T425" t="s">
        <v>166</v>
      </c>
      <c r="U425">
        <v>7.4106178099504039E-2</v>
      </c>
      <c r="V425" t="s">
        <v>157</v>
      </c>
    </row>
    <row r="426" spans="9:22" x14ac:dyDescent="0.45">
      <c r="I426" t="s">
        <v>198</v>
      </c>
      <c r="J426" t="s">
        <v>167</v>
      </c>
      <c r="K426">
        <v>2.0764506808631896E-2</v>
      </c>
      <c r="L426" t="s">
        <v>157</v>
      </c>
      <c r="N426" t="s">
        <v>309</v>
      </c>
      <c r="O426" t="s">
        <v>167</v>
      </c>
      <c r="P426">
        <v>3.5855702427055304E-2</v>
      </c>
      <c r="Q426" t="s">
        <v>157</v>
      </c>
      <c r="S426" t="s">
        <v>420</v>
      </c>
      <c r="T426" t="s">
        <v>167</v>
      </c>
      <c r="U426">
        <v>4.6515564749220355E-2</v>
      </c>
      <c r="V426" t="s">
        <v>157</v>
      </c>
    </row>
    <row r="427" spans="9:22" x14ac:dyDescent="0.45">
      <c r="I427" t="s">
        <v>198</v>
      </c>
      <c r="J427" t="s">
        <v>168</v>
      </c>
      <c r="K427">
        <v>0.20867834314294068</v>
      </c>
      <c r="L427" t="s">
        <v>157</v>
      </c>
      <c r="N427" t="s">
        <v>309</v>
      </c>
      <c r="O427" t="s">
        <v>168</v>
      </c>
      <c r="P427">
        <v>6.8674521421662818E-2</v>
      </c>
      <c r="Q427" t="s">
        <v>157</v>
      </c>
      <c r="S427" t="s">
        <v>420</v>
      </c>
      <c r="T427" t="s">
        <v>168</v>
      </c>
      <c r="U427">
        <v>6.702460862300659E-2</v>
      </c>
      <c r="V427" t="s">
        <v>157</v>
      </c>
    </row>
    <row r="428" spans="9:22" x14ac:dyDescent="0.45">
      <c r="I428" t="s">
        <v>198</v>
      </c>
      <c r="J428" t="s">
        <v>169</v>
      </c>
      <c r="K428">
        <v>1.4932304853245882E-2</v>
      </c>
      <c r="L428" t="s">
        <v>157</v>
      </c>
      <c r="N428" t="s">
        <v>309</v>
      </c>
      <c r="O428" t="s">
        <v>169</v>
      </c>
      <c r="P428">
        <v>7.286888619708211E-3</v>
      </c>
      <c r="Q428" t="s">
        <v>157</v>
      </c>
      <c r="S428" t="s">
        <v>420</v>
      </c>
      <c r="T428" t="s">
        <v>169</v>
      </c>
      <c r="U428">
        <v>6.3130223841306628E-3</v>
      </c>
      <c r="V428" t="s">
        <v>157</v>
      </c>
    </row>
    <row r="429" spans="9:22" x14ac:dyDescent="0.45">
      <c r="I429" t="s">
        <v>198</v>
      </c>
      <c r="J429" t="s">
        <v>170</v>
      </c>
      <c r="K429">
        <v>1.09985470331148E-2</v>
      </c>
      <c r="L429" t="s">
        <v>157</v>
      </c>
      <c r="N429" t="s">
        <v>309</v>
      </c>
      <c r="O429" t="s">
        <v>170</v>
      </c>
      <c r="P429">
        <v>6.7288981562281767E-3</v>
      </c>
      <c r="Q429" t="s">
        <v>157</v>
      </c>
      <c r="S429" t="s">
        <v>420</v>
      </c>
      <c r="T429" t="s">
        <v>170</v>
      </c>
      <c r="U429">
        <v>6.2829501317484149E-3</v>
      </c>
      <c r="V429" t="s">
        <v>157</v>
      </c>
    </row>
    <row r="430" spans="9:22" x14ac:dyDescent="0.45">
      <c r="I430" t="s">
        <v>198</v>
      </c>
      <c r="J430" t="s">
        <v>171</v>
      </c>
      <c r="K430">
        <v>6.1804150213595086E-3</v>
      </c>
      <c r="L430" t="s">
        <v>157</v>
      </c>
      <c r="N430" t="s">
        <v>309</v>
      </c>
      <c r="O430" t="s">
        <v>171</v>
      </c>
      <c r="P430">
        <v>2.9451770055630273E-2</v>
      </c>
      <c r="Q430" t="s">
        <v>157</v>
      </c>
      <c r="S430" t="s">
        <v>420</v>
      </c>
      <c r="T430" t="s">
        <v>171</v>
      </c>
      <c r="U430">
        <v>3.2165337157884548E-2</v>
      </c>
      <c r="V430" t="s">
        <v>157</v>
      </c>
    </row>
    <row r="431" spans="9:22" x14ac:dyDescent="0.45">
      <c r="I431" t="s">
        <v>199</v>
      </c>
      <c r="J431" t="s">
        <v>156</v>
      </c>
      <c r="K431">
        <v>1.3949907599495447E-2</v>
      </c>
      <c r="L431" t="s">
        <v>157</v>
      </c>
      <c r="N431" t="s">
        <v>310</v>
      </c>
      <c r="O431" t="s">
        <v>156</v>
      </c>
      <c r="P431">
        <v>0.11098759484547623</v>
      </c>
      <c r="Q431" t="s">
        <v>157</v>
      </c>
      <c r="S431" t="s">
        <v>421</v>
      </c>
      <c r="T431" t="s">
        <v>156</v>
      </c>
      <c r="U431">
        <v>0.13921428405725003</v>
      </c>
      <c r="V431" t="s">
        <v>157</v>
      </c>
    </row>
    <row r="432" spans="9:22" x14ac:dyDescent="0.45">
      <c r="I432" t="s">
        <v>199</v>
      </c>
      <c r="J432" t="s">
        <v>158</v>
      </c>
      <c r="K432">
        <v>0.39550884114163398</v>
      </c>
      <c r="L432" t="s">
        <v>157</v>
      </c>
      <c r="N432" t="s">
        <v>310</v>
      </c>
      <c r="O432" t="s">
        <v>158</v>
      </c>
      <c r="P432">
        <v>0.20271082115152542</v>
      </c>
      <c r="Q432" t="s">
        <v>157</v>
      </c>
      <c r="S432" t="s">
        <v>421</v>
      </c>
      <c r="T432" t="s">
        <v>158</v>
      </c>
      <c r="U432">
        <v>0.20096528773546421</v>
      </c>
      <c r="V432" t="s">
        <v>157</v>
      </c>
    </row>
    <row r="433" spans="9:22" x14ac:dyDescent="0.45">
      <c r="I433" t="s">
        <v>199</v>
      </c>
      <c r="J433" t="s">
        <v>159</v>
      </c>
      <c r="K433">
        <v>2.7933145965660561E-2</v>
      </c>
      <c r="L433" t="s">
        <v>157</v>
      </c>
      <c r="N433" t="s">
        <v>310</v>
      </c>
      <c r="O433" t="s">
        <v>159</v>
      </c>
      <c r="P433">
        <v>1.8921854386251439E-2</v>
      </c>
      <c r="Q433" t="s">
        <v>157</v>
      </c>
      <c r="S433" t="s">
        <v>421</v>
      </c>
      <c r="T433" t="s">
        <v>159</v>
      </c>
      <c r="U433">
        <v>2.0483750562802355E-2</v>
      </c>
      <c r="V433" t="s">
        <v>157</v>
      </c>
    </row>
    <row r="434" spans="9:22" x14ac:dyDescent="0.45">
      <c r="I434" t="s">
        <v>199</v>
      </c>
      <c r="J434" t="s">
        <v>160</v>
      </c>
      <c r="K434">
        <v>1.8454232144482437E-2</v>
      </c>
      <c r="L434" t="s">
        <v>157</v>
      </c>
      <c r="N434" t="s">
        <v>310</v>
      </c>
      <c r="O434" t="s">
        <v>160</v>
      </c>
      <c r="P434">
        <v>1.7394937241624511E-2</v>
      </c>
      <c r="Q434" t="s">
        <v>157</v>
      </c>
      <c r="S434" t="s">
        <v>421</v>
      </c>
      <c r="T434" t="s">
        <v>160</v>
      </c>
      <c r="U434">
        <v>2.0247468001405127E-2</v>
      </c>
      <c r="V434" t="s">
        <v>157</v>
      </c>
    </row>
    <row r="435" spans="9:22" x14ac:dyDescent="0.45">
      <c r="I435" t="s">
        <v>199</v>
      </c>
      <c r="J435" t="s">
        <v>161</v>
      </c>
      <c r="K435">
        <v>8.255124391965029E-3</v>
      </c>
      <c r="L435" t="s">
        <v>157</v>
      </c>
      <c r="N435" t="s">
        <v>310</v>
      </c>
      <c r="O435" t="s">
        <v>161</v>
      </c>
      <c r="P435">
        <v>8.0035322537736583E-2</v>
      </c>
      <c r="Q435" t="s">
        <v>157</v>
      </c>
      <c r="S435" t="s">
        <v>421</v>
      </c>
      <c r="T435" t="s">
        <v>161</v>
      </c>
      <c r="U435">
        <v>9.9321989490347568E-2</v>
      </c>
      <c r="V435" t="s">
        <v>157</v>
      </c>
    </row>
    <row r="436" spans="9:22" x14ac:dyDescent="0.45">
      <c r="I436" t="s">
        <v>199</v>
      </c>
      <c r="J436" t="s">
        <v>162</v>
      </c>
      <c r="K436">
        <v>6.9731080442191904E-3</v>
      </c>
      <c r="L436" t="s">
        <v>157</v>
      </c>
      <c r="N436" t="s">
        <v>310</v>
      </c>
      <c r="O436" t="s">
        <v>162</v>
      </c>
      <c r="P436">
        <v>0.11009102853022341</v>
      </c>
      <c r="Q436" t="s">
        <v>157</v>
      </c>
      <c r="S436" t="s">
        <v>421</v>
      </c>
      <c r="T436" t="s">
        <v>162</v>
      </c>
      <c r="U436">
        <v>0.10827874301808246</v>
      </c>
      <c r="V436" t="s">
        <v>157</v>
      </c>
    </row>
    <row r="437" spans="9:22" x14ac:dyDescent="0.45">
      <c r="I437" t="s">
        <v>199</v>
      </c>
      <c r="J437" t="s">
        <v>163</v>
      </c>
      <c r="K437">
        <v>0.2559400214551445</v>
      </c>
      <c r="L437" t="s">
        <v>157</v>
      </c>
      <c r="N437" t="s">
        <v>310</v>
      </c>
      <c r="O437" t="s">
        <v>163</v>
      </c>
      <c r="P437">
        <v>0.20066535068911706</v>
      </c>
      <c r="Q437" t="s">
        <v>157</v>
      </c>
      <c r="S437" t="s">
        <v>421</v>
      </c>
      <c r="T437" t="s">
        <v>163</v>
      </c>
      <c r="U437">
        <v>0.14887875082622834</v>
      </c>
      <c r="V437" t="s">
        <v>157</v>
      </c>
    </row>
    <row r="438" spans="9:22" x14ac:dyDescent="0.45">
      <c r="I438" t="s">
        <v>199</v>
      </c>
      <c r="J438" t="s">
        <v>164</v>
      </c>
      <c r="K438">
        <v>1.6198622205629811E-2</v>
      </c>
      <c r="L438" t="s">
        <v>157</v>
      </c>
      <c r="N438" t="s">
        <v>310</v>
      </c>
      <c r="O438" t="s">
        <v>164</v>
      </c>
      <c r="P438">
        <v>1.970477631126168E-2</v>
      </c>
      <c r="Q438" t="s">
        <v>157</v>
      </c>
      <c r="S438" t="s">
        <v>421</v>
      </c>
      <c r="T438" t="s">
        <v>164</v>
      </c>
      <c r="U438">
        <v>1.4580894627225302E-2</v>
      </c>
      <c r="V438" t="s">
        <v>157</v>
      </c>
    </row>
    <row r="439" spans="9:22" x14ac:dyDescent="0.45">
      <c r="I439" t="s">
        <v>199</v>
      </c>
      <c r="J439" t="s">
        <v>165</v>
      </c>
      <c r="K439">
        <v>6.0020420237959409E-3</v>
      </c>
      <c r="L439" t="s">
        <v>157</v>
      </c>
      <c r="N439" t="s">
        <v>310</v>
      </c>
      <c r="O439" t="s">
        <v>165</v>
      </c>
      <c r="P439">
        <v>1.8998036160406049E-2</v>
      </c>
      <c r="Q439" t="s">
        <v>157</v>
      </c>
      <c r="S439" t="s">
        <v>421</v>
      </c>
      <c r="T439" t="s">
        <v>165</v>
      </c>
      <c r="U439">
        <v>1.4472533874255024E-2</v>
      </c>
      <c r="V439" t="s">
        <v>157</v>
      </c>
    </row>
    <row r="440" spans="9:22" x14ac:dyDescent="0.45">
      <c r="I440" t="s">
        <v>199</v>
      </c>
      <c r="J440" t="s">
        <v>166</v>
      </c>
      <c r="K440">
        <v>0</v>
      </c>
      <c r="L440" t="s">
        <v>157</v>
      </c>
      <c r="N440" t="s">
        <v>310</v>
      </c>
      <c r="O440" t="s">
        <v>166</v>
      </c>
      <c r="P440">
        <v>8.6189671076704832E-2</v>
      </c>
      <c r="Q440" t="s">
        <v>157</v>
      </c>
      <c r="S440" t="s">
        <v>421</v>
      </c>
      <c r="T440" t="s">
        <v>166</v>
      </c>
      <c r="U440">
        <v>7.3849053129055764E-2</v>
      </c>
      <c r="V440" t="s">
        <v>157</v>
      </c>
    </row>
    <row r="441" spans="9:22" x14ac:dyDescent="0.45">
      <c r="I441" t="s">
        <v>199</v>
      </c>
      <c r="J441" t="s">
        <v>167</v>
      </c>
      <c r="K441">
        <v>2.1137900808353642E-2</v>
      </c>
      <c r="L441" t="s">
        <v>157</v>
      </c>
      <c r="N441" t="s">
        <v>310</v>
      </c>
      <c r="O441" t="s">
        <v>167</v>
      </c>
      <c r="P441">
        <v>2.8894546924973723E-2</v>
      </c>
      <c r="Q441" t="s">
        <v>157</v>
      </c>
      <c r="S441" t="s">
        <v>421</v>
      </c>
      <c r="T441" t="s">
        <v>167</v>
      </c>
      <c r="U441">
        <v>4.6642060432687621E-2</v>
      </c>
      <c r="V441" t="s">
        <v>157</v>
      </c>
    </row>
    <row r="442" spans="9:22" x14ac:dyDescent="0.45">
      <c r="I442" t="s">
        <v>199</v>
      </c>
      <c r="J442" t="s">
        <v>168</v>
      </c>
      <c r="K442">
        <v>0.19799294685937713</v>
      </c>
      <c r="L442" t="s">
        <v>157</v>
      </c>
      <c r="N442" t="s">
        <v>310</v>
      </c>
      <c r="O442" t="s">
        <v>168</v>
      </c>
      <c r="P442">
        <v>6.9144738476151532E-2</v>
      </c>
      <c r="Q442" t="s">
        <v>157</v>
      </c>
      <c r="S442" t="s">
        <v>421</v>
      </c>
      <c r="T442" t="s">
        <v>168</v>
      </c>
      <c r="U442">
        <v>6.734340508829581E-2</v>
      </c>
      <c r="V442" t="s">
        <v>157</v>
      </c>
    </row>
    <row r="443" spans="9:22" x14ac:dyDescent="0.45">
      <c r="I443" t="s">
        <v>199</v>
      </c>
      <c r="J443" t="s">
        <v>169</v>
      </c>
      <c r="K443">
        <v>1.4343671217290611E-2</v>
      </c>
      <c r="L443" t="s">
        <v>157</v>
      </c>
      <c r="N443" t="s">
        <v>310</v>
      </c>
      <c r="O443" t="s">
        <v>169</v>
      </c>
      <c r="P443">
        <v>6.8130417852145849E-3</v>
      </c>
      <c r="Q443" t="s">
        <v>157</v>
      </c>
      <c r="S443" t="s">
        <v>421</v>
      </c>
      <c r="T443" t="s">
        <v>169</v>
      </c>
      <c r="U443">
        <v>6.4673046299755683E-3</v>
      </c>
      <c r="V443" t="s">
        <v>157</v>
      </c>
    </row>
    <row r="444" spans="9:22" x14ac:dyDescent="0.45">
      <c r="I444" t="s">
        <v>199</v>
      </c>
      <c r="J444" t="s">
        <v>170</v>
      </c>
      <c r="K444">
        <v>1.0953701199362002E-2</v>
      </c>
      <c r="L444" t="s">
        <v>157</v>
      </c>
      <c r="N444" t="s">
        <v>310</v>
      </c>
      <c r="O444" t="s">
        <v>170</v>
      </c>
      <c r="P444">
        <v>5.9059134945995424E-3</v>
      </c>
      <c r="Q444" t="s">
        <v>157</v>
      </c>
      <c r="S444" t="s">
        <v>421</v>
      </c>
      <c r="T444" t="s">
        <v>170</v>
      </c>
      <c r="U444">
        <v>6.4171602047674702E-3</v>
      </c>
      <c r="V444" t="s">
        <v>157</v>
      </c>
    </row>
    <row r="445" spans="9:22" x14ac:dyDescent="0.45">
      <c r="I445" t="s">
        <v>199</v>
      </c>
      <c r="J445" t="s">
        <v>171</v>
      </c>
      <c r="K445">
        <v>6.3567349435897317E-3</v>
      </c>
      <c r="L445" t="s">
        <v>157</v>
      </c>
      <c r="N445" t="s">
        <v>310</v>
      </c>
      <c r="O445" t="s">
        <v>171</v>
      </c>
      <c r="P445">
        <v>2.3542366388733447E-2</v>
      </c>
      <c r="Q445" t="s">
        <v>157</v>
      </c>
      <c r="S445" t="s">
        <v>421</v>
      </c>
      <c r="T445" t="s">
        <v>171</v>
      </c>
      <c r="U445">
        <v>3.2837314322157467E-2</v>
      </c>
      <c r="V445" t="s">
        <v>157</v>
      </c>
    </row>
    <row r="446" spans="9:22" x14ac:dyDescent="0.45">
      <c r="I446" t="s">
        <v>200</v>
      </c>
      <c r="J446" t="s">
        <v>156</v>
      </c>
      <c r="K446">
        <v>1.4337269115356224E-2</v>
      </c>
      <c r="L446" t="s">
        <v>157</v>
      </c>
      <c r="N446" t="s">
        <v>311</v>
      </c>
      <c r="O446" t="s">
        <v>156</v>
      </c>
      <c r="P446">
        <v>9.2667807116548567E-2</v>
      </c>
      <c r="Q446" t="s">
        <v>157</v>
      </c>
      <c r="S446" t="s">
        <v>422</v>
      </c>
      <c r="T446" t="s">
        <v>156</v>
      </c>
      <c r="U446">
        <v>0.13989300717613221</v>
      </c>
      <c r="V446" t="s">
        <v>157</v>
      </c>
    </row>
    <row r="447" spans="9:22" x14ac:dyDescent="0.45">
      <c r="I447" t="s">
        <v>200</v>
      </c>
      <c r="J447" t="s">
        <v>158</v>
      </c>
      <c r="K447">
        <v>0.40010378769154392</v>
      </c>
      <c r="L447" t="s">
        <v>157</v>
      </c>
      <c r="N447" t="s">
        <v>311</v>
      </c>
      <c r="O447" t="s">
        <v>158</v>
      </c>
      <c r="P447">
        <v>0.20743654540356926</v>
      </c>
      <c r="Q447" t="s">
        <v>157</v>
      </c>
      <c r="S447" t="s">
        <v>422</v>
      </c>
      <c r="T447" t="s">
        <v>158</v>
      </c>
      <c r="U447">
        <v>0.20255709421619056</v>
      </c>
      <c r="V447" t="s">
        <v>157</v>
      </c>
    </row>
    <row r="448" spans="9:22" x14ac:dyDescent="0.45">
      <c r="I448" t="s">
        <v>200</v>
      </c>
      <c r="J448" t="s">
        <v>159</v>
      </c>
      <c r="K448">
        <v>2.8929005017079762E-2</v>
      </c>
      <c r="L448" t="s">
        <v>157</v>
      </c>
      <c r="N448" t="s">
        <v>311</v>
      </c>
      <c r="O448" t="s">
        <v>159</v>
      </c>
      <c r="P448">
        <v>2.002948922622793E-2</v>
      </c>
      <c r="Q448" t="s">
        <v>157</v>
      </c>
      <c r="S448" t="s">
        <v>422</v>
      </c>
      <c r="T448" t="s">
        <v>159</v>
      </c>
      <c r="U448">
        <v>2.0515818014105805E-2</v>
      </c>
      <c r="V448" t="s">
        <v>157</v>
      </c>
    </row>
    <row r="449" spans="9:22" x14ac:dyDescent="0.45">
      <c r="I449" t="s">
        <v>200</v>
      </c>
      <c r="J449" t="s">
        <v>160</v>
      </c>
      <c r="K449">
        <v>1.9588235380661446E-2</v>
      </c>
      <c r="L449" t="s">
        <v>157</v>
      </c>
      <c r="N449" t="s">
        <v>311</v>
      </c>
      <c r="O449" t="s">
        <v>160</v>
      </c>
      <c r="P449">
        <v>1.7292622248817464E-2</v>
      </c>
      <c r="Q449" t="s">
        <v>157</v>
      </c>
      <c r="S449" t="s">
        <v>422</v>
      </c>
      <c r="T449" t="s">
        <v>160</v>
      </c>
      <c r="U449">
        <v>2.0291385107826913E-2</v>
      </c>
      <c r="V449" t="s">
        <v>157</v>
      </c>
    </row>
    <row r="450" spans="9:22" x14ac:dyDescent="0.45">
      <c r="I450" t="s">
        <v>200</v>
      </c>
      <c r="J450" t="s">
        <v>161</v>
      </c>
      <c r="K450">
        <v>9.0350617193567673E-3</v>
      </c>
      <c r="L450" t="s">
        <v>157</v>
      </c>
      <c r="N450" t="s">
        <v>311</v>
      </c>
      <c r="O450" t="s">
        <v>161</v>
      </c>
      <c r="P450">
        <v>7.1862672521426654E-2</v>
      </c>
      <c r="Q450" t="s">
        <v>157</v>
      </c>
      <c r="S450" t="s">
        <v>422</v>
      </c>
      <c r="T450" t="s">
        <v>161</v>
      </c>
      <c r="U450">
        <v>9.945489353540643E-2</v>
      </c>
      <c r="V450" t="s">
        <v>157</v>
      </c>
    </row>
    <row r="451" spans="9:22" x14ac:dyDescent="0.45">
      <c r="I451" t="s">
        <v>200</v>
      </c>
      <c r="J451" t="s">
        <v>162</v>
      </c>
      <c r="K451">
        <v>6.1614053145328807E-3</v>
      </c>
      <c r="L451" t="s">
        <v>157</v>
      </c>
      <c r="N451" t="s">
        <v>311</v>
      </c>
      <c r="O451" t="s">
        <v>162</v>
      </c>
      <c r="P451">
        <v>0.11242022608955909</v>
      </c>
      <c r="Q451" t="s">
        <v>157</v>
      </c>
      <c r="S451" t="s">
        <v>422</v>
      </c>
      <c r="T451" t="s">
        <v>162</v>
      </c>
      <c r="U451">
        <v>0.10709421407575567</v>
      </c>
      <c r="V451" t="s">
        <v>157</v>
      </c>
    </row>
    <row r="452" spans="9:22" x14ac:dyDescent="0.45">
      <c r="I452" t="s">
        <v>200</v>
      </c>
      <c r="J452" t="s">
        <v>163</v>
      </c>
      <c r="K452">
        <v>0.24952413896009992</v>
      </c>
      <c r="L452" t="s">
        <v>157</v>
      </c>
      <c r="N452" t="s">
        <v>311</v>
      </c>
      <c r="O452" t="s">
        <v>163</v>
      </c>
      <c r="P452">
        <v>0.22646700185411184</v>
      </c>
      <c r="Q452" t="s">
        <v>157</v>
      </c>
      <c r="S452" t="s">
        <v>422</v>
      </c>
      <c r="T452" t="s">
        <v>163</v>
      </c>
      <c r="U452">
        <v>0.14821003565124791</v>
      </c>
      <c r="V452" t="s">
        <v>157</v>
      </c>
    </row>
    <row r="453" spans="9:22" x14ac:dyDescent="0.45">
      <c r="I453" t="s">
        <v>200</v>
      </c>
      <c r="J453" t="s">
        <v>164</v>
      </c>
      <c r="K453">
        <v>1.6939230328386269E-2</v>
      </c>
      <c r="L453" t="s">
        <v>157</v>
      </c>
      <c r="N453" t="s">
        <v>311</v>
      </c>
      <c r="O453" t="s">
        <v>164</v>
      </c>
      <c r="P453">
        <v>2.1209563246457813E-2</v>
      </c>
      <c r="Q453" t="s">
        <v>157</v>
      </c>
      <c r="S453" t="s">
        <v>422</v>
      </c>
      <c r="T453" t="s">
        <v>164</v>
      </c>
      <c r="U453">
        <v>1.45064505835624E-2</v>
      </c>
      <c r="V453" t="s">
        <v>157</v>
      </c>
    </row>
    <row r="454" spans="9:22" x14ac:dyDescent="0.45">
      <c r="I454" t="s">
        <v>200</v>
      </c>
      <c r="J454" t="s">
        <v>165</v>
      </c>
      <c r="K454">
        <v>6.2670678633179513E-3</v>
      </c>
      <c r="L454" t="s">
        <v>157</v>
      </c>
      <c r="N454" t="s">
        <v>311</v>
      </c>
      <c r="O454" t="s">
        <v>165</v>
      </c>
      <c r="P454">
        <v>1.9958810339973578E-2</v>
      </c>
      <c r="Q454" t="s">
        <v>157</v>
      </c>
      <c r="S454" t="s">
        <v>422</v>
      </c>
      <c r="T454" t="s">
        <v>165</v>
      </c>
      <c r="U454">
        <v>1.4552051722619065E-2</v>
      </c>
      <c r="V454" t="s">
        <v>157</v>
      </c>
    </row>
    <row r="455" spans="9:22" x14ac:dyDescent="0.45">
      <c r="I455" t="s">
        <v>200</v>
      </c>
      <c r="J455" t="s">
        <v>166</v>
      </c>
      <c r="K455">
        <v>0</v>
      </c>
      <c r="L455" t="s">
        <v>157</v>
      </c>
      <c r="N455" t="s">
        <v>311</v>
      </c>
      <c r="O455" t="s">
        <v>166</v>
      </c>
      <c r="P455">
        <v>8.980958003849894E-2</v>
      </c>
      <c r="Q455" t="s">
        <v>157</v>
      </c>
      <c r="S455" t="s">
        <v>422</v>
      </c>
      <c r="T455" t="s">
        <v>166</v>
      </c>
      <c r="U455">
        <v>7.3005046194774575E-2</v>
      </c>
      <c r="V455" t="s">
        <v>157</v>
      </c>
    </row>
    <row r="456" spans="9:22" x14ac:dyDescent="0.45">
      <c r="I456" t="s">
        <v>200</v>
      </c>
      <c r="J456" t="s">
        <v>167</v>
      </c>
      <c r="K456">
        <v>2.0818951334655427E-2</v>
      </c>
      <c r="L456" t="s">
        <v>157</v>
      </c>
      <c r="N456" t="s">
        <v>311</v>
      </c>
      <c r="O456" t="s">
        <v>167</v>
      </c>
      <c r="P456">
        <v>2.1096707011386523E-2</v>
      </c>
      <c r="Q456" t="s">
        <v>157</v>
      </c>
      <c r="S456" t="s">
        <v>422</v>
      </c>
      <c r="T456" t="s">
        <v>167</v>
      </c>
      <c r="U456">
        <v>4.6371301684668513E-2</v>
      </c>
      <c r="V456" t="s">
        <v>157</v>
      </c>
    </row>
    <row r="457" spans="9:22" x14ac:dyDescent="0.45">
      <c r="I457" t="s">
        <v>200</v>
      </c>
      <c r="J457" t="s">
        <v>168</v>
      </c>
      <c r="K457">
        <v>0.19529620143166157</v>
      </c>
      <c r="L457" t="s">
        <v>157</v>
      </c>
      <c r="N457" t="s">
        <v>311</v>
      </c>
      <c r="O457" t="s">
        <v>168</v>
      </c>
      <c r="P457">
        <v>6.8559596152360874E-2</v>
      </c>
      <c r="Q457" t="s">
        <v>157</v>
      </c>
      <c r="S457" t="s">
        <v>422</v>
      </c>
      <c r="T457" t="s">
        <v>168</v>
      </c>
      <c r="U457">
        <v>6.7475976437842741E-2</v>
      </c>
      <c r="V457" t="s">
        <v>157</v>
      </c>
    </row>
    <row r="458" spans="9:22" x14ac:dyDescent="0.45">
      <c r="I458" t="s">
        <v>200</v>
      </c>
      <c r="J458" t="s">
        <v>169</v>
      </c>
      <c r="K458">
        <v>1.4581112372841647E-2</v>
      </c>
      <c r="L458" t="s">
        <v>157</v>
      </c>
      <c r="N458" t="s">
        <v>311</v>
      </c>
      <c r="O458" t="s">
        <v>169</v>
      </c>
      <c r="P458">
        <v>6.4998139736483973E-3</v>
      </c>
      <c r="Q458" t="s">
        <v>157</v>
      </c>
      <c r="S458" t="s">
        <v>422</v>
      </c>
      <c r="T458" t="s">
        <v>169</v>
      </c>
      <c r="U458">
        <v>6.605865589139605E-3</v>
      </c>
      <c r="V458" t="s">
        <v>157</v>
      </c>
    </row>
    <row r="459" spans="9:22" x14ac:dyDescent="0.45">
      <c r="I459" t="s">
        <v>200</v>
      </c>
      <c r="J459" t="s">
        <v>170</v>
      </c>
      <c r="K459">
        <v>1.1637005678786814E-2</v>
      </c>
      <c r="L459" t="s">
        <v>157</v>
      </c>
      <c r="N459" t="s">
        <v>311</v>
      </c>
      <c r="O459" t="s">
        <v>170</v>
      </c>
      <c r="P459">
        <v>5.5820153393577503E-3</v>
      </c>
      <c r="Q459" t="s">
        <v>157</v>
      </c>
      <c r="S459" t="s">
        <v>422</v>
      </c>
      <c r="T459" t="s">
        <v>170</v>
      </c>
      <c r="U459">
        <v>6.5616328970271379E-3</v>
      </c>
      <c r="V459" t="s">
        <v>157</v>
      </c>
    </row>
    <row r="460" spans="9:22" x14ac:dyDescent="0.45">
      <c r="I460" t="s">
        <v>200</v>
      </c>
      <c r="J460" t="s">
        <v>171</v>
      </c>
      <c r="K460">
        <v>6.7815277917193271E-3</v>
      </c>
      <c r="L460" t="s">
        <v>157</v>
      </c>
      <c r="N460" t="s">
        <v>311</v>
      </c>
      <c r="O460" t="s">
        <v>171</v>
      </c>
      <c r="P460">
        <v>1.9107549438055291E-2</v>
      </c>
      <c r="Q460" t="s">
        <v>157</v>
      </c>
      <c r="S460" t="s">
        <v>422</v>
      </c>
      <c r="T460" t="s">
        <v>171</v>
      </c>
      <c r="U460">
        <v>3.2905227113700468E-2</v>
      </c>
      <c r="V460" t="s">
        <v>157</v>
      </c>
    </row>
    <row r="461" spans="9:22" x14ac:dyDescent="0.45">
      <c r="I461" t="s">
        <v>201</v>
      </c>
      <c r="J461" t="s">
        <v>156</v>
      </c>
      <c r="K461">
        <v>1.4038317546223573E-2</v>
      </c>
      <c r="L461" t="s">
        <v>157</v>
      </c>
      <c r="N461" t="s">
        <v>312</v>
      </c>
      <c r="O461" t="s">
        <v>156</v>
      </c>
      <c r="P461">
        <v>7.651188820274861E-2</v>
      </c>
      <c r="Q461" t="s">
        <v>157</v>
      </c>
      <c r="S461" t="s">
        <v>423</v>
      </c>
      <c r="T461" t="s">
        <v>156</v>
      </c>
      <c r="U461">
        <v>0.14127803610695766</v>
      </c>
      <c r="V461" t="s">
        <v>157</v>
      </c>
    </row>
    <row r="462" spans="9:22" x14ac:dyDescent="0.45">
      <c r="I462" t="s">
        <v>201</v>
      </c>
      <c r="J462" t="s">
        <v>158</v>
      </c>
      <c r="K462">
        <v>0.40298755160002031</v>
      </c>
      <c r="L462" t="s">
        <v>157</v>
      </c>
      <c r="N462" t="s">
        <v>312</v>
      </c>
      <c r="O462" t="s">
        <v>158</v>
      </c>
      <c r="P462">
        <v>0.21728865626795074</v>
      </c>
      <c r="Q462" t="s">
        <v>157</v>
      </c>
      <c r="S462" t="s">
        <v>423</v>
      </c>
      <c r="T462" t="s">
        <v>158</v>
      </c>
      <c r="U462">
        <v>0.20474615096856991</v>
      </c>
      <c r="V462" t="s">
        <v>157</v>
      </c>
    </row>
    <row r="463" spans="9:22" x14ac:dyDescent="0.45">
      <c r="I463" t="s">
        <v>201</v>
      </c>
      <c r="J463" t="s">
        <v>159</v>
      </c>
      <c r="K463">
        <v>3.0149614899849929E-2</v>
      </c>
      <c r="L463" t="s">
        <v>157</v>
      </c>
      <c r="N463" t="s">
        <v>312</v>
      </c>
      <c r="O463" t="s">
        <v>159</v>
      </c>
      <c r="P463">
        <v>2.2002369856667994E-2</v>
      </c>
      <c r="Q463" t="s">
        <v>157</v>
      </c>
      <c r="S463" t="s">
        <v>423</v>
      </c>
      <c r="T463" t="s">
        <v>159</v>
      </c>
      <c r="U463">
        <v>2.0801489369337737E-2</v>
      </c>
      <c r="V463" t="s">
        <v>157</v>
      </c>
    </row>
    <row r="464" spans="9:22" x14ac:dyDescent="0.45">
      <c r="I464" t="s">
        <v>201</v>
      </c>
      <c r="J464" t="s">
        <v>160</v>
      </c>
      <c r="K464">
        <v>2.0325256213238534E-2</v>
      </c>
      <c r="L464" t="s">
        <v>157</v>
      </c>
      <c r="N464" t="s">
        <v>312</v>
      </c>
      <c r="O464" t="s">
        <v>160</v>
      </c>
      <c r="P464">
        <v>1.8107492645955774E-2</v>
      </c>
      <c r="Q464" t="s">
        <v>157</v>
      </c>
      <c r="S464" t="s">
        <v>423</v>
      </c>
      <c r="T464" t="s">
        <v>160</v>
      </c>
      <c r="U464">
        <v>2.057250447124068E-2</v>
      </c>
      <c r="V464" t="s">
        <v>157</v>
      </c>
    </row>
    <row r="465" spans="9:22" x14ac:dyDescent="0.45">
      <c r="I465" t="s">
        <v>201</v>
      </c>
      <c r="J465" t="s">
        <v>161</v>
      </c>
      <c r="K465">
        <v>9.8009132963852909E-3</v>
      </c>
      <c r="L465" t="s">
        <v>157</v>
      </c>
      <c r="N465" t="s">
        <v>312</v>
      </c>
      <c r="O465" t="s">
        <v>161</v>
      </c>
      <c r="P465">
        <v>6.6031911526821738E-2</v>
      </c>
      <c r="Q465" t="s">
        <v>157</v>
      </c>
      <c r="S465" t="s">
        <v>423</v>
      </c>
      <c r="T465" t="s">
        <v>161</v>
      </c>
      <c r="U465">
        <v>0.10013152131338099</v>
      </c>
      <c r="V465" t="s">
        <v>157</v>
      </c>
    </row>
    <row r="466" spans="9:22" x14ac:dyDescent="0.45">
      <c r="I466" t="s">
        <v>201</v>
      </c>
      <c r="J466" t="s">
        <v>162</v>
      </c>
      <c r="K466">
        <v>4.8869420516698828E-3</v>
      </c>
      <c r="L466" t="s">
        <v>157</v>
      </c>
      <c r="N466" t="s">
        <v>312</v>
      </c>
      <c r="O466" t="s">
        <v>162</v>
      </c>
      <c r="P466">
        <v>0.10761124696972396</v>
      </c>
      <c r="Q466" t="s">
        <v>157</v>
      </c>
      <c r="S466" t="s">
        <v>423</v>
      </c>
      <c r="T466" t="s">
        <v>162</v>
      </c>
      <c r="U466">
        <v>0.10508496969072879</v>
      </c>
      <c r="V466" t="s">
        <v>157</v>
      </c>
    </row>
    <row r="467" spans="9:22" x14ac:dyDescent="0.45">
      <c r="I467" t="s">
        <v>201</v>
      </c>
      <c r="J467" t="s">
        <v>163</v>
      </c>
      <c r="K467">
        <v>0.24112610384920249</v>
      </c>
      <c r="L467" t="s">
        <v>157</v>
      </c>
      <c r="N467" t="s">
        <v>312</v>
      </c>
      <c r="O467" t="s">
        <v>163</v>
      </c>
      <c r="P467">
        <v>0.24045236080542151</v>
      </c>
      <c r="Q467" t="s">
        <v>157</v>
      </c>
      <c r="S467" t="s">
        <v>423</v>
      </c>
      <c r="T467" t="s">
        <v>163</v>
      </c>
      <c r="U467">
        <v>0.14684901329143593</v>
      </c>
      <c r="V467" t="s">
        <v>157</v>
      </c>
    </row>
    <row r="468" spans="9:22" x14ac:dyDescent="0.45">
      <c r="I468" t="s">
        <v>201</v>
      </c>
      <c r="J468" t="s">
        <v>164</v>
      </c>
      <c r="K468">
        <v>1.6889980155530011E-2</v>
      </c>
      <c r="L468" t="s">
        <v>157</v>
      </c>
      <c r="N468" t="s">
        <v>312</v>
      </c>
      <c r="O468" t="s">
        <v>164</v>
      </c>
      <c r="P468">
        <v>2.0935843607238817E-2</v>
      </c>
      <c r="Q468" t="s">
        <v>157</v>
      </c>
      <c r="S468" t="s">
        <v>423</v>
      </c>
      <c r="T468" t="s">
        <v>164</v>
      </c>
      <c r="U468">
        <v>1.4458674029251209E-2</v>
      </c>
      <c r="V468" t="s">
        <v>157</v>
      </c>
    </row>
    <row r="469" spans="9:22" x14ac:dyDescent="0.45">
      <c r="I469" t="s">
        <v>201</v>
      </c>
      <c r="J469" t="s">
        <v>165</v>
      </c>
      <c r="K469">
        <v>6.4390796983528004E-3</v>
      </c>
      <c r="L469" t="s">
        <v>157</v>
      </c>
      <c r="N469" t="s">
        <v>312</v>
      </c>
      <c r="O469" t="s">
        <v>165</v>
      </c>
      <c r="P469">
        <v>1.9577585775079093E-2</v>
      </c>
      <c r="Q469" t="s">
        <v>157</v>
      </c>
      <c r="S469" t="s">
        <v>423</v>
      </c>
      <c r="T469" t="s">
        <v>165</v>
      </c>
      <c r="U469">
        <v>1.4578008950633204E-2</v>
      </c>
      <c r="V469" t="s">
        <v>157</v>
      </c>
    </row>
    <row r="470" spans="9:22" x14ac:dyDescent="0.45">
      <c r="I470" t="s">
        <v>201</v>
      </c>
      <c r="J470" t="s">
        <v>166</v>
      </c>
      <c r="K470">
        <v>0</v>
      </c>
      <c r="L470" t="s">
        <v>157</v>
      </c>
      <c r="N470" t="s">
        <v>312</v>
      </c>
      <c r="O470" t="s">
        <v>166</v>
      </c>
      <c r="P470">
        <v>8.7383696962659754E-2</v>
      </c>
      <c r="Q470" t="s">
        <v>157</v>
      </c>
      <c r="S470" t="s">
        <v>423</v>
      </c>
      <c r="T470" t="s">
        <v>166</v>
      </c>
      <c r="U470">
        <v>7.2175761434064095E-2</v>
      </c>
      <c r="V470" t="s">
        <v>157</v>
      </c>
    </row>
    <row r="471" spans="9:22" x14ac:dyDescent="0.45">
      <c r="I471" t="s">
        <v>201</v>
      </c>
      <c r="J471" t="s">
        <v>167</v>
      </c>
      <c r="K471">
        <v>1.9654342901070078E-2</v>
      </c>
      <c r="L471" t="s">
        <v>157</v>
      </c>
      <c r="N471" t="s">
        <v>312</v>
      </c>
      <c r="O471" t="s">
        <v>167</v>
      </c>
      <c r="P471">
        <v>1.397793473288401E-2</v>
      </c>
      <c r="Q471" t="s">
        <v>157</v>
      </c>
      <c r="S471" t="s">
        <v>423</v>
      </c>
      <c r="T471" t="s">
        <v>167</v>
      </c>
      <c r="U471">
        <v>4.6001715586335562E-2</v>
      </c>
      <c r="V471" t="s">
        <v>157</v>
      </c>
    </row>
    <row r="472" spans="9:22" x14ac:dyDescent="0.45">
      <c r="I472" t="s">
        <v>201</v>
      </c>
      <c r="J472" t="s">
        <v>168</v>
      </c>
      <c r="K472">
        <v>0.1983953112089174</v>
      </c>
      <c r="L472" t="s">
        <v>157</v>
      </c>
      <c r="N472" t="s">
        <v>312</v>
      </c>
      <c r="O472" t="s">
        <v>168</v>
      </c>
      <c r="P472">
        <v>8.0442463164047157E-2</v>
      </c>
      <c r="Q472" t="s">
        <v>157</v>
      </c>
      <c r="S472" t="s">
        <v>423</v>
      </c>
      <c r="T472" t="s">
        <v>168</v>
      </c>
      <c r="U472">
        <v>6.732544067430539E-2</v>
      </c>
      <c r="V472" t="s">
        <v>157</v>
      </c>
    </row>
    <row r="473" spans="9:22" x14ac:dyDescent="0.45">
      <c r="I473" t="s">
        <v>201</v>
      </c>
      <c r="J473" t="s">
        <v>169</v>
      </c>
      <c r="K473">
        <v>1.5224674335371596E-2</v>
      </c>
      <c r="L473" t="s">
        <v>157</v>
      </c>
      <c r="N473" t="s">
        <v>312</v>
      </c>
      <c r="O473" t="s">
        <v>169</v>
      </c>
      <c r="P473">
        <v>7.5201795726976819E-3</v>
      </c>
      <c r="Q473" t="s">
        <v>157</v>
      </c>
      <c r="S473" t="s">
        <v>423</v>
      </c>
      <c r="T473" t="s">
        <v>169</v>
      </c>
      <c r="U473">
        <v>6.6841717597792725E-3</v>
      </c>
      <c r="V473" t="s">
        <v>157</v>
      </c>
    </row>
    <row r="474" spans="9:22" x14ac:dyDescent="0.45">
      <c r="I474" t="s">
        <v>201</v>
      </c>
      <c r="J474" t="s">
        <v>170</v>
      </c>
      <c r="K474">
        <v>1.2682685160985776E-2</v>
      </c>
      <c r="L474" t="s">
        <v>157</v>
      </c>
      <c r="N474" t="s">
        <v>312</v>
      </c>
      <c r="O474" t="s">
        <v>170</v>
      </c>
      <c r="P474">
        <v>5.8322634091413023E-3</v>
      </c>
      <c r="Q474" t="s">
        <v>157</v>
      </c>
      <c r="S474" t="s">
        <v>423</v>
      </c>
      <c r="T474" t="s">
        <v>170</v>
      </c>
      <c r="U474">
        <v>6.6824338417304265E-3</v>
      </c>
      <c r="V474" t="s">
        <v>157</v>
      </c>
    </row>
    <row r="475" spans="9:22" x14ac:dyDescent="0.45">
      <c r="I475" t="s">
        <v>201</v>
      </c>
      <c r="J475" t="s">
        <v>171</v>
      </c>
      <c r="K475">
        <v>7.399227083182261E-3</v>
      </c>
      <c r="L475" t="s">
        <v>157</v>
      </c>
      <c r="N475" t="s">
        <v>312</v>
      </c>
      <c r="O475" t="s">
        <v>171</v>
      </c>
      <c r="P475">
        <v>1.6324106500961867E-2</v>
      </c>
      <c r="Q475" t="s">
        <v>157</v>
      </c>
      <c r="S475" t="s">
        <v>423</v>
      </c>
      <c r="T475" t="s">
        <v>171</v>
      </c>
      <c r="U475">
        <v>3.2630108512249116E-2</v>
      </c>
      <c r="V475" t="s">
        <v>157</v>
      </c>
    </row>
    <row r="476" spans="9:22" x14ac:dyDescent="0.45">
      <c r="I476" t="s">
        <v>202</v>
      </c>
      <c r="J476" t="s">
        <v>156</v>
      </c>
      <c r="K476">
        <v>1.3115483285974333E-2</v>
      </c>
      <c r="L476" t="s">
        <v>157</v>
      </c>
      <c r="N476" t="s">
        <v>313</v>
      </c>
      <c r="O476" t="s">
        <v>156</v>
      </c>
      <c r="P476">
        <v>8.6985329584590959E-2</v>
      </c>
      <c r="Q476" t="s">
        <v>157</v>
      </c>
      <c r="S476" t="s">
        <v>424</v>
      </c>
      <c r="T476" t="s">
        <v>156</v>
      </c>
      <c r="U476">
        <v>0.14290960460458058</v>
      </c>
      <c r="V476" t="s">
        <v>157</v>
      </c>
    </row>
    <row r="477" spans="9:22" x14ac:dyDescent="0.45">
      <c r="I477" t="s">
        <v>202</v>
      </c>
      <c r="J477" t="s">
        <v>158</v>
      </c>
      <c r="K477">
        <v>0.40517531011096697</v>
      </c>
      <c r="L477" t="s">
        <v>157</v>
      </c>
      <c r="N477" t="s">
        <v>313</v>
      </c>
      <c r="O477" t="s">
        <v>158</v>
      </c>
      <c r="P477">
        <v>0.21094992976743984</v>
      </c>
      <c r="Q477" t="s">
        <v>157</v>
      </c>
      <c r="S477" t="s">
        <v>424</v>
      </c>
      <c r="T477" t="s">
        <v>158</v>
      </c>
      <c r="U477">
        <v>0.20688247788264935</v>
      </c>
      <c r="V477" t="s">
        <v>157</v>
      </c>
    </row>
    <row r="478" spans="9:22" x14ac:dyDescent="0.45">
      <c r="I478" t="s">
        <v>202</v>
      </c>
      <c r="J478" t="s">
        <v>159</v>
      </c>
      <c r="K478">
        <v>3.0313314076878508E-2</v>
      </c>
      <c r="L478" t="s">
        <v>157</v>
      </c>
      <c r="N478" t="s">
        <v>313</v>
      </c>
      <c r="O478" t="s">
        <v>159</v>
      </c>
      <c r="P478">
        <v>2.1491545833907708E-2</v>
      </c>
      <c r="Q478" t="s">
        <v>157</v>
      </c>
      <c r="S478" t="s">
        <v>424</v>
      </c>
      <c r="T478" t="s">
        <v>159</v>
      </c>
      <c r="U478">
        <v>2.1311867942540481E-2</v>
      </c>
      <c r="V478" t="s">
        <v>157</v>
      </c>
    </row>
    <row r="479" spans="9:22" x14ac:dyDescent="0.45">
      <c r="I479" t="s">
        <v>202</v>
      </c>
      <c r="J479" t="s">
        <v>160</v>
      </c>
      <c r="K479">
        <v>2.0333085813808723E-2</v>
      </c>
      <c r="L479" t="s">
        <v>157</v>
      </c>
      <c r="N479" t="s">
        <v>313</v>
      </c>
      <c r="O479" t="s">
        <v>160</v>
      </c>
      <c r="P479">
        <v>1.8024079158642122E-2</v>
      </c>
      <c r="Q479" t="s">
        <v>157</v>
      </c>
      <c r="S479" t="s">
        <v>424</v>
      </c>
      <c r="T479" t="s">
        <v>160</v>
      </c>
      <c r="U479">
        <v>2.1011193120607993E-2</v>
      </c>
      <c r="V479" t="s">
        <v>157</v>
      </c>
    </row>
    <row r="480" spans="9:22" x14ac:dyDescent="0.45">
      <c r="I480" t="s">
        <v>202</v>
      </c>
      <c r="J480" t="s">
        <v>161</v>
      </c>
      <c r="K480">
        <v>9.9098113704405317E-3</v>
      </c>
      <c r="L480" t="s">
        <v>157</v>
      </c>
      <c r="N480" t="s">
        <v>313</v>
      </c>
      <c r="O480" t="s">
        <v>161</v>
      </c>
      <c r="P480">
        <v>7.0341520771741439E-2</v>
      </c>
      <c r="Q480" t="s">
        <v>157</v>
      </c>
      <c r="S480" t="s">
        <v>424</v>
      </c>
      <c r="T480" t="s">
        <v>161</v>
      </c>
      <c r="U480">
        <v>0.10139264697497724</v>
      </c>
      <c r="V480" t="s">
        <v>157</v>
      </c>
    </row>
    <row r="481" spans="9:22" x14ac:dyDescent="0.45">
      <c r="I481" t="s">
        <v>202</v>
      </c>
      <c r="J481" t="s">
        <v>162</v>
      </c>
      <c r="K481">
        <v>3.6937376359403085E-3</v>
      </c>
      <c r="L481" t="s">
        <v>157</v>
      </c>
      <c r="N481" t="s">
        <v>313</v>
      </c>
      <c r="O481" t="s">
        <v>162</v>
      </c>
      <c r="P481">
        <v>0.11688077310831585</v>
      </c>
      <c r="Q481" t="s">
        <v>157</v>
      </c>
      <c r="S481" t="s">
        <v>424</v>
      </c>
      <c r="T481" t="s">
        <v>162</v>
      </c>
      <c r="U481">
        <v>0.10243781026756474</v>
      </c>
      <c r="V481" t="s">
        <v>157</v>
      </c>
    </row>
    <row r="482" spans="9:22" x14ac:dyDescent="0.45">
      <c r="I482" t="s">
        <v>202</v>
      </c>
      <c r="J482" t="s">
        <v>163</v>
      </c>
      <c r="K482">
        <v>0.23830241624717799</v>
      </c>
      <c r="L482" t="s">
        <v>157</v>
      </c>
      <c r="N482" t="s">
        <v>313</v>
      </c>
      <c r="O482" t="s">
        <v>163</v>
      </c>
      <c r="P482">
        <v>0.22140421961668383</v>
      </c>
      <c r="Q482" t="s">
        <v>157</v>
      </c>
      <c r="S482" t="s">
        <v>424</v>
      </c>
      <c r="T482" t="s">
        <v>163</v>
      </c>
      <c r="U482">
        <v>0.14526267369902537</v>
      </c>
      <c r="V482" t="s">
        <v>157</v>
      </c>
    </row>
    <row r="483" spans="9:22" x14ac:dyDescent="0.45">
      <c r="I483" t="s">
        <v>202</v>
      </c>
      <c r="J483" t="s">
        <v>164</v>
      </c>
      <c r="K483">
        <v>1.5674048872257269E-2</v>
      </c>
      <c r="L483" t="s">
        <v>157</v>
      </c>
      <c r="N483" t="s">
        <v>313</v>
      </c>
      <c r="O483" t="s">
        <v>164</v>
      </c>
      <c r="P483">
        <v>1.8686639263231684E-2</v>
      </c>
      <c r="Q483" t="s">
        <v>157</v>
      </c>
      <c r="S483" t="s">
        <v>424</v>
      </c>
      <c r="T483" t="s">
        <v>164</v>
      </c>
      <c r="U483">
        <v>1.4401810835214199E-2</v>
      </c>
      <c r="V483" t="s">
        <v>157</v>
      </c>
    </row>
    <row r="484" spans="9:22" x14ac:dyDescent="0.45">
      <c r="I484" t="s">
        <v>202</v>
      </c>
      <c r="J484" t="s">
        <v>165</v>
      </c>
      <c r="K484">
        <v>5.7550787472522534E-3</v>
      </c>
      <c r="L484" t="s">
        <v>157</v>
      </c>
      <c r="N484" t="s">
        <v>313</v>
      </c>
      <c r="O484" t="s">
        <v>165</v>
      </c>
      <c r="P484">
        <v>1.8713294394086349E-2</v>
      </c>
      <c r="Q484" t="s">
        <v>157</v>
      </c>
      <c r="S484" t="s">
        <v>424</v>
      </c>
      <c r="T484" t="s">
        <v>165</v>
      </c>
      <c r="U484">
        <v>1.4487305954195839E-2</v>
      </c>
      <c r="V484" t="s">
        <v>157</v>
      </c>
    </row>
    <row r="485" spans="9:22" x14ac:dyDescent="0.45">
      <c r="I485" t="s">
        <v>202</v>
      </c>
      <c r="J485" t="s">
        <v>166</v>
      </c>
      <c r="K485">
        <v>0</v>
      </c>
      <c r="L485" t="s">
        <v>157</v>
      </c>
      <c r="N485" t="s">
        <v>313</v>
      </c>
      <c r="O485" t="s">
        <v>166</v>
      </c>
      <c r="P485">
        <v>8.923876132875623E-2</v>
      </c>
      <c r="Q485" t="s">
        <v>157</v>
      </c>
      <c r="S485" t="s">
        <v>424</v>
      </c>
      <c r="T485" t="s">
        <v>166</v>
      </c>
      <c r="U485">
        <v>7.121991075966945E-2</v>
      </c>
      <c r="V485" t="s">
        <v>157</v>
      </c>
    </row>
    <row r="486" spans="9:22" x14ac:dyDescent="0.45">
      <c r="I486" t="s">
        <v>202</v>
      </c>
      <c r="J486" t="s">
        <v>167</v>
      </c>
      <c r="K486">
        <v>1.7770493177557405E-2</v>
      </c>
      <c r="L486" t="s">
        <v>157</v>
      </c>
      <c r="N486" t="s">
        <v>313</v>
      </c>
      <c r="O486" t="s">
        <v>167</v>
      </c>
      <c r="P486">
        <v>1.6431577714678347E-2</v>
      </c>
      <c r="Q486" t="s">
        <v>157</v>
      </c>
      <c r="S486" t="s">
        <v>424</v>
      </c>
      <c r="T486" t="s">
        <v>167</v>
      </c>
      <c r="U486">
        <v>4.5791379541381579E-2</v>
      </c>
      <c r="V486" t="s">
        <v>157</v>
      </c>
    </row>
    <row r="487" spans="9:22" x14ac:dyDescent="0.45">
      <c r="I487" t="s">
        <v>202</v>
      </c>
      <c r="J487" t="s">
        <v>168</v>
      </c>
      <c r="K487">
        <v>0.2028700230082448</v>
      </c>
      <c r="L487" t="s">
        <v>157</v>
      </c>
      <c r="N487" t="s">
        <v>313</v>
      </c>
      <c r="O487" t="s">
        <v>168</v>
      </c>
      <c r="P487">
        <v>8.4794887551414219E-2</v>
      </c>
      <c r="Q487" t="s">
        <v>157</v>
      </c>
      <c r="S487" t="s">
        <v>424</v>
      </c>
      <c r="T487" t="s">
        <v>168</v>
      </c>
      <c r="U487">
        <v>6.6826571489101372E-2</v>
      </c>
      <c r="V487" t="s">
        <v>157</v>
      </c>
    </row>
    <row r="488" spans="9:22" x14ac:dyDescent="0.45">
      <c r="I488" t="s">
        <v>202</v>
      </c>
      <c r="J488" t="s">
        <v>169</v>
      </c>
      <c r="K488">
        <v>1.5830621304175334E-2</v>
      </c>
      <c r="L488" t="s">
        <v>157</v>
      </c>
      <c r="N488" t="s">
        <v>313</v>
      </c>
      <c r="O488" t="s">
        <v>169</v>
      </c>
      <c r="P488">
        <v>7.6869488220110806E-3</v>
      </c>
      <c r="Q488" t="s">
        <v>157</v>
      </c>
      <c r="S488" t="s">
        <v>424</v>
      </c>
      <c r="T488" t="s">
        <v>169</v>
      </c>
      <c r="U488">
        <v>6.7659058957304022E-3</v>
      </c>
      <c r="V488" t="s">
        <v>157</v>
      </c>
    </row>
    <row r="489" spans="9:22" x14ac:dyDescent="0.45">
      <c r="I489" t="s">
        <v>202</v>
      </c>
      <c r="J489" t="s">
        <v>170</v>
      </c>
      <c r="K489">
        <v>1.3415005787938201E-2</v>
      </c>
      <c r="L489" t="s">
        <v>157</v>
      </c>
      <c r="N489" t="s">
        <v>313</v>
      </c>
      <c r="O489" t="s">
        <v>170</v>
      </c>
      <c r="P489">
        <v>5.0055666805036573E-3</v>
      </c>
      <c r="Q489" t="s">
        <v>157</v>
      </c>
      <c r="S489" t="s">
        <v>424</v>
      </c>
      <c r="T489" t="s">
        <v>170</v>
      </c>
      <c r="U489">
        <v>6.7453149794504319E-3</v>
      </c>
      <c r="V489" t="s">
        <v>157</v>
      </c>
    </row>
    <row r="490" spans="9:22" x14ac:dyDescent="0.45">
      <c r="I490" t="s">
        <v>202</v>
      </c>
      <c r="J490" t="s">
        <v>171</v>
      </c>
      <c r="K490">
        <v>7.8415705613873992E-3</v>
      </c>
      <c r="L490" t="s">
        <v>157</v>
      </c>
      <c r="N490" t="s">
        <v>313</v>
      </c>
      <c r="O490" t="s">
        <v>171</v>
      </c>
      <c r="P490">
        <v>1.3364926403996719E-2</v>
      </c>
      <c r="Q490" t="s">
        <v>157</v>
      </c>
      <c r="S490" t="s">
        <v>424</v>
      </c>
      <c r="T490" t="s">
        <v>171</v>
      </c>
      <c r="U490">
        <v>3.2553526053311049E-2</v>
      </c>
      <c r="V490" t="s">
        <v>157</v>
      </c>
    </row>
    <row r="491" spans="9:22" x14ac:dyDescent="0.45">
      <c r="I491" t="s">
        <v>203</v>
      </c>
      <c r="J491" t="s">
        <v>156</v>
      </c>
      <c r="K491">
        <v>1.230116302982787E-2</v>
      </c>
      <c r="L491" t="s">
        <v>157</v>
      </c>
      <c r="N491" t="s">
        <v>314</v>
      </c>
      <c r="O491" t="s">
        <v>156</v>
      </c>
      <c r="P491">
        <v>0.12164143346052018</v>
      </c>
      <c r="Q491" t="s">
        <v>157</v>
      </c>
      <c r="S491" t="s">
        <v>425</v>
      </c>
      <c r="T491" t="s">
        <v>156</v>
      </c>
      <c r="U491">
        <v>0.1449510173750323</v>
      </c>
      <c r="V491" t="s">
        <v>157</v>
      </c>
    </row>
    <row r="492" spans="9:22" x14ac:dyDescent="0.45">
      <c r="I492" t="s">
        <v>203</v>
      </c>
      <c r="J492" t="s">
        <v>158</v>
      </c>
      <c r="K492">
        <v>0.40808525756152114</v>
      </c>
      <c r="L492" t="s">
        <v>157</v>
      </c>
      <c r="N492" t="s">
        <v>314</v>
      </c>
      <c r="O492" t="s">
        <v>158</v>
      </c>
      <c r="P492">
        <v>0.18869082895748571</v>
      </c>
      <c r="Q492" t="s">
        <v>157</v>
      </c>
      <c r="S492" t="s">
        <v>425</v>
      </c>
      <c r="T492" t="s">
        <v>158</v>
      </c>
      <c r="U492">
        <v>0.20898838881853402</v>
      </c>
      <c r="V492" t="s">
        <v>157</v>
      </c>
    </row>
    <row r="493" spans="9:22" x14ac:dyDescent="0.45">
      <c r="I493" t="s">
        <v>203</v>
      </c>
      <c r="J493" t="s">
        <v>159</v>
      </c>
      <c r="K493">
        <v>2.9785329396383405E-2</v>
      </c>
      <c r="L493" t="s">
        <v>157</v>
      </c>
      <c r="N493" t="s">
        <v>314</v>
      </c>
      <c r="O493" t="s">
        <v>159</v>
      </c>
      <c r="P493">
        <v>1.9207318674300363E-2</v>
      </c>
      <c r="Q493" t="s">
        <v>157</v>
      </c>
      <c r="S493" t="s">
        <v>425</v>
      </c>
      <c r="T493" t="s">
        <v>159</v>
      </c>
      <c r="U493">
        <v>2.1869832521511166E-2</v>
      </c>
      <c r="V493" t="s">
        <v>157</v>
      </c>
    </row>
    <row r="494" spans="9:22" x14ac:dyDescent="0.45">
      <c r="I494" t="s">
        <v>203</v>
      </c>
      <c r="J494" t="s">
        <v>160</v>
      </c>
      <c r="K494">
        <v>2.0048251769559537E-2</v>
      </c>
      <c r="L494" t="s">
        <v>157</v>
      </c>
      <c r="N494" t="s">
        <v>314</v>
      </c>
      <c r="O494" t="s">
        <v>160</v>
      </c>
      <c r="P494">
        <v>1.7623267725326578E-2</v>
      </c>
      <c r="Q494" t="s">
        <v>157</v>
      </c>
      <c r="S494" t="s">
        <v>425</v>
      </c>
      <c r="T494" t="s">
        <v>160</v>
      </c>
      <c r="U494">
        <v>2.1664449013657029E-2</v>
      </c>
      <c r="V494" t="s">
        <v>157</v>
      </c>
    </row>
    <row r="495" spans="9:22" x14ac:dyDescent="0.45">
      <c r="I495" t="s">
        <v>203</v>
      </c>
      <c r="J495" t="s">
        <v>161</v>
      </c>
      <c r="K495">
        <v>9.5234886896994539E-3</v>
      </c>
      <c r="L495" t="s">
        <v>157</v>
      </c>
      <c r="N495" t="s">
        <v>314</v>
      </c>
      <c r="O495" t="s">
        <v>161</v>
      </c>
      <c r="P495">
        <v>8.2403061951293113E-2</v>
      </c>
      <c r="Q495" t="s">
        <v>157</v>
      </c>
      <c r="S495" t="s">
        <v>425</v>
      </c>
      <c r="T495" t="s">
        <v>161</v>
      </c>
      <c r="U495">
        <v>0.10340248753664895</v>
      </c>
      <c r="V495" t="s">
        <v>157</v>
      </c>
    </row>
    <row r="496" spans="9:22" x14ac:dyDescent="0.45">
      <c r="I496" t="s">
        <v>203</v>
      </c>
      <c r="J496" t="s">
        <v>162</v>
      </c>
      <c r="K496">
        <v>3.190482330960219E-3</v>
      </c>
      <c r="L496" t="s">
        <v>157</v>
      </c>
      <c r="N496" t="s">
        <v>314</v>
      </c>
      <c r="O496" t="s">
        <v>162</v>
      </c>
      <c r="P496">
        <v>0.13511145828482615</v>
      </c>
      <c r="Q496" t="s">
        <v>157</v>
      </c>
      <c r="S496" t="s">
        <v>425</v>
      </c>
      <c r="T496" t="s">
        <v>162</v>
      </c>
      <c r="U496">
        <v>0.10002647910756145</v>
      </c>
      <c r="V496" t="s">
        <v>157</v>
      </c>
    </row>
    <row r="497" spans="9:22" x14ac:dyDescent="0.45">
      <c r="I497" t="s">
        <v>203</v>
      </c>
      <c r="J497" t="s">
        <v>163</v>
      </c>
      <c r="K497">
        <v>0.23574138504872336</v>
      </c>
      <c r="L497" t="s">
        <v>157</v>
      </c>
      <c r="N497" t="s">
        <v>314</v>
      </c>
      <c r="O497" t="s">
        <v>163</v>
      </c>
      <c r="P497">
        <v>0.18776595884696523</v>
      </c>
      <c r="Q497" t="s">
        <v>157</v>
      </c>
      <c r="S497" t="s">
        <v>425</v>
      </c>
      <c r="T497" t="s">
        <v>163</v>
      </c>
      <c r="U497">
        <v>0.14407745251163551</v>
      </c>
      <c r="V497" t="s">
        <v>157</v>
      </c>
    </row>
    <row r="498" spans="9:22" x14ac:dyDescent="0.45">
      <c r="I498" t="s">
        <v>203</v>
      </c>
      <c r="J498" t="s">
        <v>164</v>
      </c>
      <c r="K498">
        <v>1.3959468689073587E-2</v>
      </c>
      <c r="L498" t="s">
        <v>157</v>
      </c>
      <c r="N498" t="s">
        <v>314</v>
      </c>
      <c r="O498" t="s">
        <v>164</v>
      </c>
      <c r="P498">
        <v>1.7479556002246186E-2</v>
      </c>
      <c r="Q498" t="s">
        <v>157</v>
      </c>
      <c r="S498" t="s">
        <v>425</v>
      </c>
      <c r="T498" t="s">
        <v>164</v>
      </c>
      <c r="U498">
        <v>1.4316570244548013E-2</v>
      </c>
      <c r="V498" t="s">
        <v>157</v>
      </c>
    </row>
    <row r="499" spans="9:22" x14ac:dyDescent="0.45">
      <c r="I499" t="s">
        <v>203</v>
      </c>
      <c r="J499" t="s">
        <v>165</v>
      </c>
      <c r="K499">
        <v>4.5337157625332221E-3</v>
      </c>
      <c r="L499" t="s">
        <v>157</v>
      </c>
      <c r="N499" t="s">
        <v>314</v>
      </c>
      <c r="O499" t="s">
        <v>165</v>
      </c>
      <c r="P499">
        <v>1.7615822787508239E-2</v>
      </c>
      <c r="Q499" t="s">
        <v>157</v>
      </c>
      <c r="S499" t="s">
        <v>425</v>
      </c>
      <c r="T499" t="s">
        <v>165</v>
      </c>
      <c r="U499">
        <v>1.4121491783302962E-2</v>
      </c>
      <c r="V499" t="s">
        <v>157</v>
      </c>
    </row>
    <row r="500" spans="9:22" x14ac:dyDescent="0.45">
      <c r="I500" t="s">
        <v>203</v>
      </c>
      <c r="J500" t="s">
        <v>166</v>
      </c>
      <c r="K500">
        <v>0</v>
      </c>
      <c r="L500" t="s">
        <v>157</v>
      </c>
      <c r="N500" t="s">
        <v>314</v>
      </c>
      <c r="O500" t="s">
        <v>166</v>
      </c>
      <c r="P500">
        <v>9.1507998943091126E-2</v>
      </c>
      <c r="Q500" t="s">
        <v>157</v>
      </c>
      <c r="S500" t="s">
        <v>425</v>
      </c>
      <c r="T500" t="s">
        <v>166</v>
      </c>
      <c r="U500">
        <v>6.9669191363999031E-2</v>
      </c>
      <c r="V500" t="s">
        <v>157</v>
      </c>
    </row>
    <row r="501" spans="9:22" x14ac:dyDescent="0.45">
      <c r="I501" t="s">
        <v>203</v>
      </c>
      <c r="J501" t="s">
        <v>167</v>
      </c>
      <c r="K501">
        <v>1.693785741430592E-2</v>
      </c>
      <c r="L501" t="s">
        <v>157</v>
      </c>
      <c r="N501" t="s">
        <v>314</v>
      </c>
      <c r="O501" t="s">
        <v>167</v>
      </c>
      <c r="P501">
        <v>2.7718120513965466E-2</v>
      </c>
      <c r="Q501" t="s">
        <v>157</v>
      </c>
      <c r="S501" t="s">
        <v>425</v>
      </c>
      <c r="T501" t="s">
        <v>167</v>
      </c>
      <c r="U501">
        <v>4.560560909930949E-2</v>
      </c>
      <c r="V501" t="s">
        <v>157</v>
      </c>
    </row>
    <row r="502" spans="9:22" x14ac:dyDescent="0.45">
      <c r="I502" t="s">
        <v>203</v>
      </c>
      <c r="J502" t="s">
        <v>168</v>
      </c>
      <c r="K502">
        <v>0.20785089735283377</v>
      </c>
      <c r="L502" t="s">
        <v>157</v>
      </c>
      <c r="N502" t="s">
        <v>314</v>
      </c>
      <c r="O502" t="s">
        <v>168</v>
      </c>
      <c r="P502">
        <v>6.3552251920337935E-2</v>
      </c>
      <c r="Q502" t="s">
        <v>157</v>
      </c>
      <c r="S502" t="s">
        <v>425</v>
      </c>
      <c r="T502" t="s">
        <v>168</v>
      </c>
      <c r="U502">
        <v>6.5351680013116892E-2</v>
      </c>
      <c r="V502" t="s">
        <v>157</v>
      </c>
    </row>
    <row r="503" spans="9:22" x14ac:dyDescent="0.45">
      <c r="I503" t="s">
        <v>203</v>
      </c>
      <c r="J503" t="s">
        <v>169</v>
      </c>
      <c r="K503">
        <v>1.6512854845964948E-2</v>
      </c>
      <c r="L503" t="s">
        <v>157</v>
      </c>
      <c r="N503" t="s">
        <v>314</v>
      </c>
      <c r="O503" t="s">
        <v>169</v>
      </c>
      <c r="P503">
        <v>6.1714663835659572E-3</v>
      </c>
      <c r="Q503" t="s">
        <v>157</v>
      </c>
      <c r="S503" t="s">
        <v>425</v>
      </c>
      <c r="T503" t="s">
        <v>169</v>
      </c>
      <c r="U503">
        <v>6.5780190938815267E-3</v>
      </c>
      <c r="V503" t="s">
        <v>157</v>
      </c>
    </row>
    <row r="504" spans="9:22" x14ac:dyDescent="0.45">
      <c r="I504" t="s">
        <v>203</v>
      </c>
      <c r="J504" t="s">
        <v>170</v>
      </c>
      <c r="K504">
        <v>1.3681797384212532E-2</v>
      </c>
      <c r="L504" t="s">
        <v>157</v>
      </c>
      <c r="N504" t="s">
        <v>314</v>
      </c>
      <c r="O504" t="s">
        <v>170</v>
      </c>
      <c r="P504">
        <v>5.0246993541497326E-3</v>
      </c>
      <c r="Q504" t="s">
        <v>157</v>
      </c>
      <c r="S504" t="s">
        <v>425</v>
      </c>
      <c r="T504" t="s">
        <v>170</v>
      </c>
      <c r="U504">
        <v>6.6329304689981879E-3</v>
      </c>
      <c r="V504" t="s">
        <v>157</v>
      </c>
    </row>
    <row r="505" spans="9:22" x14ac:dyDescent="0.45">
      <c r="I505" t="s">
        <v>203</v>
      </c>
      <c r="J505" t="s">
        <v>171</v>
      </c>
      <c r="K505">
        <v>7.8480507244010188E-3</v>
      </c>
      <c r="L505" t="s">
        <v>157</v>
      </c>
      <c r="N505" t="s">
        <v>314</v>
      </c>
      <c r="O505" t="s">
        <v>171</v>
      </c>
      <c r="P505">
        <v>1.8486756194417992E-2</v>
      </c>
      <c r="Q505" t="s">
        <v>157</v>
      </c>
      <c r="S505" t="s">
        <v>425</v>
      </c>
      <c r="T505" t="s">
        <v>171</v>
      </c>
      <c r="U505">
        <v>3.2744401048263483E-2</v>
      </c>
      <c r="V505" t="s">
        <v>157</v>
      </c>
    </row>
    <row r="506" spans="9:22" x14ac:dyDescent="0.45">
      <c r="I506" t="s">
        <v>204</v>
      </c>
      <c r="J506" t="s">
        <v>156</v>
      </c>
      <c r="K506">
        <v>1.2341470464008431E-2</v>
      </c>
      <c r="L506" t="s">
        <v>157</v>
      </c>
      <c r="N506" t="s">
        <v>315</v>
      </c>
      <c r="O506" t="s">
        <v>156</v>
      </c>
      <c r="P506">
        <v>0.12520297639221284</v>
      </c>
      <c r="Q506" t="s">
        <v>157</v>
      </c>
      <c r="S506" t="s">
        <v>426</v>
      </c>
      <c r="T506" t="s">
        <v>156</v>
      </c>
      <c r="U506">
        <v>0.14663105440688956</v>
      </c>
      <c r="V506" t="s">
        <v>157</v>
      </c>
    </row>
    <row r="507" spans="9:22" x14ac:dyDescent="0.45">
      <c r="I507" t="s">
        <v>204</v>
      </c>
      <c r="J507" t="s">
        <v>158</v>
      </c>
      <c r="K507">
        <v>0.41201400271540661</v>
      </c>
      <c r="L507" t="s">
        <v>157</v>
      </c>
      <c r="N507" t="s">
        <v>315</v>
      </c>
      <c r="O507" t="s">
        <v>158</v>
      </c>
      <c r="P507">
        <v>0.19697014876657659</v>
      </c>
      <c r="Q507" t="s">
        <v>157</v>
      </c>
      <c r="S507" t="s">
        <v>426</v>
      </c>
      <c r="T507" t="s">
        <v>158</v>
      </c>
      <c r="U507">
        <v>0.20834935339401314</v>
      </c>
      <c r="V507" t="s">
        <v>157</v>
      </c>
    </row>
    <row r="508" spans="9:22" x14ac:dyDescent="0.45">
      <c r="I508" t="s">
        <v>204</v>
      </c>
      <c r="J508" t="s">
        <v>159</v>
      </c>
      <c r="K508">
        <v>3.044625846296789E-2</v>
      </c>
      <c r="L508" t="s">
        <v>157</v>
      </c>
      <c r="N508" t="s">
        <v>315</v>
      </c>
      <c r="O508" t="s">
        <v>159</v>
      </c>
      <c r="P508">
        <v>2.0935314572412038E-2</v>
      </c>
      <c r="Q508" t="s">
        <v>157</v>
      </c>
      <c r="S508" t="s">
        <v>426</v>
      </c>
      <c r="T508" t="s">
        <v>159</v>
      </c>
      <c r="U508">
        <v>2.2215286334692854E-2</v>
      </c>
      <c r="V508" t="s">
        <v>157</v>
      </c>
    </row>
    <row r="509" spans="9:22" x14ac:dyDescent="0.45">
      <c r="I509" t="s">
        <v>204</v>
      </c>
      <c r="J509" t="s">
        <v>160</v>
      </c>
      <c r="K509">
        <v>2.0239384618159276E-2</v>
      </c>
      <c r="L509" t="s">
        <v>157</v>
      </c>
      <c r="N509" t="s">
        <v>315</v>
      </c>
      <c r="O509" t="s">
        <v>160</v>
      </c>
      <c r="P509">
        <v>1.914976324608168E-2</v>
      </c>
      <c r="Q509" t="s">
        <v>157</v>
      </c>
      <c r="S509" t="s">
        <v>426</v>
      </c>
      <c r="T509" t="s">
        <v>160</v>
      </c>
      <c r="U509">
        <v>2.2281186092176823E-2</v>
      </c>
      <c r="V509" t="s">
        <v>157</v>
      </c>
    </row>
    <row r="510" spans="9:22" x14ac:dyDescent="0.45">
      <c r="I510" t="s">
        <v>204</v>
      </c>
      <c r="J510" t="s">
        <v>161</v>
      </c>
      <c r="K510">
        <v>9.424957952777405E-3</v>
      </c>
      <c r="L510" t="s">
        <v>157</v>
      </c>
      <c r="N510" t="s">
        <v>315</v>
      </c>
      <c r="O510" t="s">
        <v>161</v>
      </c>
      <c r="P510">
        <v>8.3907430545025932E-2</v>
      </c>
      <c r="Q510" t="s">
        <v>157</v>
      </c>
      <c r="S510" t="s">
        <v>426</v>
      </c>
      <c r="T510" t="s">
        <v>161</v>
      </c>
      <c r="U510">
        <v>0.10634898116507861</v>
      </c>
      <c r="V510" t="s">
        <v>157</v>
      </c>
    </row>
    <row r="511" spans="9:22" x14ac:dyDescent="0.45">
      <c r="I511" t="s">
        <v>204</v>
      </c>
      <c r="J511" t="s">
        <v>162</v>
      </c>
      <c r="K511">
        <v>3.3957671894548334E-3</v>
      </c>
      <c r="L511" t="s">
        <v>157</v>
      </c>
      <c r="N511" t="s">
        <v>315</v>
      </c>
      <c r="O511" t="s">
        <v>162</v>
      </c>
      <c r="P511">
        <v>0.11574732250394396</v>
      </c>
      <c r="Q511" t="s">
        <v>157</v>
      </c>
      <c r="S511" t="s">
        <v>426</v>
      </c>
      <c r="T511" t="s">
        <v>162</v>
      </c>
      <c r="U511">
        <v>9.8613020800171564E-2</v>
      </c>
      <c r="V511" t="s">
        <v>157</v>
      </c>
    </row>
    <row r="512" spans="9:22" x14ac:dyDescent="0.45">
      <c r="I512" t="s">
        <v>204</v>
      </c>
      <c r="J512" t="s">
        <v>163</v>
      </c>
      <c r="K512">
        <v>0.22202667491573488</v>
      </c>
      <c r="L512" t="s">
        <v>157</v>
      </c>
      <c r="N512" t="s">
        <v>315</v>
      </c>
      <c r="O512" t="s">
        <v>163</v>
      </c>
      <c r="P512">
        <v>0.17756536942666076</v>
      </c>
      <c r="Q512" t="s">
        <v>157</v>
      </c>
      <c r="S512" t="s">
        <v>426</v>
      </c>
      <c r="T512" t="s">
        <v>163</v>
      </c>
      <c r="U512">
        <v>0.14338517504301812</v>
      </c>
      <c r="V512" t="s">
        <v>157</v>
      </c>
    </row>
    <row r="513" spans="9:22" x14ac:dyDescent="0.45">
      <c r="I513" t="s">
        <v>204</v>
      </c>
      <c r="J513" t="s">
        <v>164</v>
      </c>
      <c r="K513">
        <v>1.3137165070994505E-2</v>
      </c>
      <c r="L513" t="s">
        <v>157</v>
      </c>
      <c r="N513" t="s">
        <v>315</v>
      </c>
      <c r="O513" t="s">
        <v>164</v>
      </c>
      <c r="P513">
        <v>1.6993751837795695E-2</v>
      </c>
      <c r="Q513" t="s">
        <v>157</v>
      </c>
      <c r="S513" t="s">
        <v>426</v>
      </c>
      <c r="T513" t="s">
        <v>164</v>
      </c>
      <c r="U513">
        <v>1.43433816918566E-2</v>
      </c>
      <c r="V513" t="s">
        <v>157</v>
      </c>
    </row>
    <row r="514" spans="9:22" x14ac:dyDescent="0.45">
      <c r="I514" t="s">
        <v>204</v>
      </c>
      <c r="J514" t="s">
        <v>165</v>
      </c>
      <c r="K514">
        <v>4.1014054333628931E-3</v>
      </c>
      <c r="L514" t="s">
        <v>157</v>
      </c>
      <c r="N514" t="s">
        <v>315</v>
      </c>
      <c r="O514" t="s">
        <v>165</v>
      </c>
      <c r="P514">
        <v>1.6235153374764302E-2</v>
      </c>
      <c r="Q514" t="s">
        <v>157</v>
      </c>
      <c r="S514" t="s">
        <v>426</v>
      </c>
      <c r="T514" t="s">
        <v>165</v>
      </c>
      <c r="U514">
        <v>1.4191318565413287E-2</v>
      </c>
      <c r="V514" t="s">
        <v>157</v>
      </c>
    </row>
    <row r="515" spans="9:22" x14ac:dyDescent="0.45">
      <c r="I515" t="s">
        <v>204</v>
      </c>
      <c r="J515" t="s">
        <v>166</v>
      </c>
      <c r="K515">
        <v>0</v>
      </c>
      <c r="L515" t="s">
        <v>157</v>
      </c>
      <c r="N515" t="s">
        <v>315</v>
      </c>
      <c r="O515" t="s">
        <v>166</v>
      </c>
      <c r="P515">
        <v>8.1032822213821298E-2</v>
      </c>
      <c r="Q515" t="s">
        <v>157</v>
      </c>
      <c r="S515" t="s">
        <v>426</v>
      </c>
      <c r="T515" t="s">
        <v>166</v>
      </c>
      <c r="U515">
        <v>6.9619734939622605E-2</v>
      </c>
      <c r="V515" t="s">
        <v>157</v>
      </c>
    </row>
    <row r="516" spans="9:22" x14ac:dyDescent="0.45">
      <c r="I516" t="s">
        <v>204</v>
      </c>
      <c r="J516" t="s">
        <v>167</v>
      </c>
      <c r="K516">
        <v>1.8907610567480818E-2</v>
      </c>
      <c r="L516" t="s">
        <v>157</v>
      </c>
      <c r="N516" t="s">
        <v>315</v>
      </c>
      <c r="O516" t="s">
        <v>167</v>
      </c>
      <c r="P516">
        <v>3.3598478661062532E-2</v>
      </c>
      <c r="Q516" t="s">
        <v>157</v>
      </c>
      <c r="S516" t="s">
        <v>426</v>
      </c>
      <c r="T516" t="s">
        <v>167</v>
      </c>
      <c r="U516">
        <v>4.5426531511412134E-2</v>
      </c>
      <c r="V516" t="s">
        <v>157</v>
      </c>
    </row>
    <row r="517" spans="9:22" x14ac:dyDescent="0.45">
      <c r="I517" t="s">
        <v>204</v>
      </c>
      <c r="J517" t="s">
        <v>168</v>
      </c>
      <c r="K517">
        <v>0.21488670164684678</v>
      </c>
      <c r="L517" t="s">
        <v>157</v>
      </c>
      <c r="N517" t="s">
        <v>315</v>
      </c>
      <c r="O517" t="s">
        <v>168</v>
      </c>
      <c r="P517">
        <v>7.0140709450464064E-2</v>
      </c>
      <c r="Q517" t="s">
        <v>157</v>
      </c>
      <c r="S517" t="s">
        <v>426</v>
      </c>
      <c r="T517" t="s">
        <v>168</v>
      </c>
      <c r="U517">
        <v>6.3966638306819951E-2</v>
      </c>
      <c r="V517" t="s">
        <v>157</v>
      </c>
    </row>
    <row r="518" spans="9:22" x14ac:dyDescent="0.45">
      <c r="I518" t="s">
        <v>204</v>
      </c>
      <c r="J518" t="s">
        <v>169</v>
      </c>
      <c r="K518">
        <v>1.7628517477980003E-2</v>
      </c>
      <c r="L518" t="s">
        <v>157</v>
      </c>
      <c r="N518" t="s">
        <v>315</v>
      </c>
      <c r="O518" t="s">
        <v>169</v>
      </c>
      <c r="P518">
        <v>7.5810022246232166E-3</v>
      </c>
      <c r="Q518" t="s">
        <v>157</v>
      </c>
      <c r="S518" t="s">
        <v>426</v>
      </c>
      <c r="T518" t="s">
        <v>169</v>
      </c>
      <c r="U518">
        <v>6.5143021933765878E-3</v>
      </c>
      <c r="V518" t="s">
        <v>157</v>
      </c>
    </row>
    <row r="519" spans="9:22" x14ac:dyDescent="0.45">
      <c r="I519" t="s">
        <v>204</v>
      </c>
      <c r="J519" t="s">
        <v>170</v>
      </c>
      <c r="K519">
        <v>1.3956509158408218E-2</v>
      </c>
      <c r="L519" t="s">
        <v>157</v>
      </c>
      <c r="N519" t="s">
        <v>315</v>
      </c>
      <c r="O519" t="s">
        <v>170</v>
      </c>
      <c r="P519">
        <v>7.1338345088354559E-3</v>
      </c>
      <c r="Q519" t="s">
        <v>157</v>
      </c>
      <c r="S519" t="s">
        <v>426</v>
      </c>
      <c r="T519" t="s">
        <v>170</v>
      </c>
      <c r="U519">
        <v>6.4334777533264532E-3</v>
      </c>
      <c r="V519" t="s">
        <v>157</v>
      </c>
    </row>
    <row r="520" spans="9:22" x14ac:dyDescent="0.45">
      <c r="I520" t="s">
        <v>204</v>
      </c>
      <c r="J520" t="s">
        <v>171</v>
      </c>
      <c r="K520">
        <v>7.4935743264175113E-3</v>
      </c>
      <c r="L520" t="s">
        <v>157</v>
      </c>
      <c r="N520" t="s">
        <v>315</v>
      </c>
      <c r="O520" t="s">
        <v>171</v>
      </c>
      <c r="P520">
        <v>2.7805922275719614E-2</v>
      </c>
      <c r="Q520" t="s">
        <v>157</v>
      </c>
      <c r="S520" t="s">
        <v>426</v>
      </c>
      <c r="T520" t="s">
        <v>171</v>
      </c>
      <c r="U520">
        <v>3.1680557802131741E-2</v>
      </c>
      <c r="V520" t="s">
        <v>157</v>
      </c>
    </row>
    <row r="521" spans="9:22" x14ac:dyDescent="0.45">
      <c r="I521" t="s">
        <v>205</v>
      </c>
      <c r="J521" t="s">
        <v>156</v>
      </c>
      <c r="K521">
        <v>7.452339632472633E-3</v>
      </c>
      <c r="L521" t="s">
        <v>157</v>
      </c>
      <c r="N521" t="s">
        <v>316</v>
      </c>
      <c r="O521" t="s">
        <v>156</v>
      </c>
      <c r="P521">
        <v>0.13689689267674288</v>
      </c>
      <c r="Q521" t="s">
        <v>157</v>
      </c>
      <c r="S521" t="s">
        <v>427</v>
      </c>
      <c r="T521" t="s">
        <v>156</v>
      </c>
      <c r="U521">
        <v>0.1462236597133888</v>
      </c>
      <c r="V521" t="s">
        <v>157</v>
      </c>
    </row>
    <row r="522" spans="9:22" x14ac:dyDescent="0.45">
      <c r="I522" t="s">
        <v>205</v>
      </c>
      <c r="J522" t="s">
        <v>158</v>
      </c>
      <c r="K522">
        <v>0.39353087596161229</v>
      </c>
      <c r="L522" t="s">
        <v>157</v>
      </c>
      <c r="N522" t="s">
        <v>316</v>
      </c>
      <c r="O522" t="s">
        <v>158</v>
      </c>
      <c r="P522">
        <v>0.20474695999020714</v>
      </c>
      <c r="Q522" t="s">
        <v>157</v>
      </c>
      <c r="S522" t="s">
        <v>427</v>
      </c>
      <c r="T522" t="s">
        <v>158</v>
      </c>
      <c r="U522">
        <v>0.20755172370566374</v>
      </c>
      <c r="V522" t="s">
        <v>157</v>
      </c>
    </row>
    <row r="523" spans="9:22" x14ac:dyDescent="0.45">
      <c r="I523" t="s">
        <v>205</v>
      </c>
      <c r="J523" t="s">
        <v>159</v>
      </c>
      <c r="K523">
        <v>3.0873546704891567E-2</v>
      </c>
      <c r="L523" t="s">
        <v>157</v>
      </c>
      <c r="N523" t="s">
        <v>316</v>
      </c>
      <c r="O523" t="s">
        <v>159</v>
      </c>
      <c r="P523">
        <v>2.1156150977558758E-2</v>
      </c>
      <c r="Q523" t="s">
        <v>157</v>
      </c>
      <c r="S523" t="s">
        <v>427</v>
      </c>
      <c r="T523" t="s">
        <v>159</v>
      </c>
      <c r="U523">
        <v>2.2129090347472305E-2</v>
      </c>
      <c r="V523" t="s">
        <v>157</v>
      </c>
    </row>
    <row r="524" spans="9:22" x14ac:dyDescent="0.45">
      <c r="I524" t="s">
        <v>205</v>
      </c>
      <c r="J524" t="s">
        <v>160</v>
      </c>
      <c r="K524">
        <v>2.1392345271677778E-2</v>
      </c>
      <c r="L524" t="s">
        <v>157</v>
      </c>
      <c r="N524" t="s">
        <v>316</v>
      </c>
      <c r="O524" t="s">
        <v>160</v>
      </c>
      <c r="P524">
        <v>2.0488540383619167E-2</v>
      </c>
      <c r="Q524" t="s">
        <v>157</v>
      </c>
      <c r="S524" t="s">
        <v>427</v>
      </c>
      <c r="T524" t="s">
        <v>160</v>
      </c>
      <c r="U524">
        <v>2.2644129359759183E-2</v>
      </c>
      <c r="V524" t="s">
        <v>157</v>
      </c>
    </row>
    <row r="525" spans="9:22" x14ac:dyDescent="0.45">
      <c r="I525" t="s">
        <v>205</v>
      </c>
      <c r="J525" t="s">
        <v>161</v>
      </c>
      <c r="K525">
        <v>1.0353544169754449E-2</v>
      </c>
      <c r="L525" t="s">
        <v>157</v>
      </c>
      <c r="N525" t="s">
        <v>316</v>
      </c>
      <c r="O525" t="s">
        <v>161</v>
      </c>
      <c r="P525">
        <v>9.704336269219882E-2</v>
      </c>
      <c r="Q525" t="s">
        <v>157</v>
      </c>
      <c r="S525" t="s">
        <v>427</v>
      </c>
      <c r="T525" t="s">
        <v>161</v>
      </c>
      <c r="U525">
        <v>0.11021264557611361</v>
      </c>
      <c r="V525" t="s">
        <v>157</v>
      </c>
    </row>
    <row r="526" spans="9:22" x14ac:dyDescent="0.45">
      <c r="I526" t="s">
        <v>205</v>
      </c>
      <c r="J526" t="s">
        <v>162</v>
      </c>
      <c r="K526">
        <v>2.9901133166753808E-3</v>
      </c>
      <c r="L526" t="s">
        <v>157</v>
      </c>
      <c r="N526" t="s">
        <v>316</v>
      </c>
      <c r="O526" t="s">
        <v>162</v>
      </c>
      <c r="P526">
        <v>0.10903371953478649</v>
      </c>
      <c r="Q526" t="s">
        <v>157</v>
      </c>
      <c r="S526" t="s">
        <v>427</v>
      </c>
      <c r="T526" t="s">
        <v>162</v>
      </c>
      <c r="U526">
        <v>9.6710574580555694E-2</v>
      </c>
      <c r="V526" t="s">
        <v>157</v>
      </c>
    </row>
    <row r="527" spans="9:22" x14ac:dyDescent="0.45">
      <c r="I527" t="s">
        <v>205</v>
      </c>
      <c r="J527" t="s">
        <v>163</v>
      </c>
      <c r="K527">
        <v>0.22036710766981127</v>
      </c>
      <c r="L527" t="s">
        <v>157</v>
      </c>
      <c r="N527" t="s">
        <v>316</v>
      </c>
      <c r="O527" t="s">
        <v>163</v>
      </c>
      <c r="P527">
        <v>0.16065248908206156</v>
      </c>
      <c r="Q527" t="s">
        <v>157</v>
      </c>
      <c r="S527" t="s">
        <v>427</v>
      </c>
      <c r="T527" t="s">
        <v>163</v>
      </c>
      <c r="U527">
        <v>0.14390715568358167</v>
      </c>
      <c r="V527" t="s">
        <v>157</v>
      </c>
    </row>
    <row r="528" spans="9:22" x14ac:dyDescent="0.45">
      <c r="I528" t="s">
        <v>205</v>
      </c>
      <c r="J528" t="s">
        <v>164</v>
      </c>
      <c r="K528">
        <v>1.6940884128498583E-2</v>
      </c>
      <c r="L528" t="s">
        <v>157</v>
      </c>
      <c r="N528" t="s">
        <v>316</v>
      </c>
      <c r="O528" t="s">
        <v>164</v>
      </c>
      <c r="P528">
        <v>1.6312126151643239E-2</v>
      </c>
      <c r="Q528" t="s">
        <v>157</v>
      </c>
      <c r="S528" t="s">
        <v>427</v>
      </c>
      <c r="T528" t="s">
        <v>164</v>
      </c>
      <c r="U528">
        <v>1.4553781133599536E-2</v>
      </c>
      <c r="V528" t="s">
        <v>157</v>
      </c>
    </row>
    <row r="529" spans="9:22" x14ac:dyDescent="0.45">
      <c r="I529" t="s">
        <v>205</v>
      </c>
      <c r="J529" t="s">
        <v>165</v>
      </c>
      <c r="K529">
        <v>7.5760750113702891E-3</v>
      </c>
      <c r="L529" t="s">
        <v>157</v>
      </c>
      <c r="N529" t="s">
        <v>316</v>
      </c>
      <c r="O529" t="s">
        <v>165</v>
      </c>
      <c r="P529">
        <v>1.5638378503717743E-2</v>
      </c>
      <c r="Q529" t="s">
        <v>157</v>
      </c>
      <c r="S529" t="s">
        <v>427</v>
      </c>
      <c r="T529" t="s">
        <v>165</v>
      </c>
      <c r="U529">
        <v>1.4153022523877415E-2</v>
      </c>
      <c r="V529" t="s">
        <v>157</v>
      </c>
    </row>
    <row r="530" spans="9:22" x14ac:dyDescent="0.45">
      <c r="I530" t="s">
        <v>205</v>
      </c>
      <c r="J530" t="s">
        <v>166</v>
      </c>
      <c r="K530">
        <v>7.1226524505866405E-5</v>
      </c>
      <c r="L530" t="s">
        <v>157</v>
      </c>
      <c r="N530" t="s">
        <v>316</v>
      </c>
      <c r="O530" t="s">
        <v>166</v>
      </c>
      <c r="P530">
        <v>7.4631038531532898E-2</v>
      </c>
      <c r="Q530" t="s">
        <v>157</v>
      </c>
      <c r="S530" t="s">
        <v>427</v>
      </c>
      <c r="T530" t="s">
        <v>166</v>
      </c>
      <c r="U530">
        <v>6.914334705234422E-2</v>
      </c>
      <c r="V530" t="s">
        <v>157</v>
      </c>
    </row>
    <row r="531" spans="9:22" x14ac:dyDescent="0.45">
      <c r="I531" t="s">
        <v>205</v>
      </c>
      <c r="J531" t="s">
        <v>167</v>
      </c>
      <c r="K531">
        <v>1.7750224970568693E-2</v>
      </c>
      <c r="L531" t="s">
        <v>157</v>
      </c>
      <c r="N531" t="s">
        <v>316</v>
      </c>
      <c r="O531" t="s">
        <v>167</v>
      </c>
      <c r="P531">
        <v>3.7228201419690486E-2</v>
      </c>
      <c r="Q531" t="s">
        <v>157</v>
      </c>
      <c r="S531" t="s">
        <v>427</v>
      </c>
      <c r="T531" t="s">
        <v>167</v>
      </c>
      <c r="U531">
        <v>4.4141300535097946E-2</v>
      </c>
      <c r="V531" t="s">
        <v>157</v>
      </c>
    </row>
    <row r="532" spans="9:22" x14ac:dyDescent="0.45">
      <c r="I532" t="s">
        <v>205</v>
      </c>
      <c r="J532" t="s">
        <v>168</v>
      </c>
      <c r="K532">
        <v>0.22472319380182271</v>
      </c>
      <c r="L532" t="s">
        <v>157</v>
      </c>
      <c r="N532" t="s">
        <v>316</v>
      </c>
      <c r="O532" t="s">
        <v>168</v>
      </c>
      <c r="P532">
        <v>6.4954111153570304E-2</v>
      </c>
      <c r="Q532" t="s">
        <v>157</v>
      </c>
      <c r="S532" t="s">
        <v>427</v>
      </c>
      <c r="T532" t="s">
        <v>168</v>
      </c>
      <c r="U532">
        <v>6.4454544143088544E-2</v>
      </c>
      <c r="V532" t="s">
        <v>157</v>
      </c>
    </row>
    <row r="533" spans="9:22" x14ac:dyDescent="0.45">
      <c r="I533" t="s">
        <v>205</v>
      </c>
      <c r="J533" t="s">
        <v>169</v>
      </c>
      <c r="K533">
        <v>1.9401970590471447E-2</v>
      </c>
      <c r="L533" t="s">
        <v>157</v>
      </c>
      <c r="N533" t="s">
        <v>316</v>
      </c>
      <c r="O533" t="s">
        <v>169</v>
      </c>
      <c r="P533">
        <v>6.7058949130388394E-3</v>
      </c>
      <c r="Q533" t="s">
        <v>157</v>
      </c>
      <c r="S533" t="s">
        <v>427</v>
      </c>
      <c r="T533" t="s">
        <v>169</v>
      </c>
      <c r="U533">
        <v>6.5256860381864871E-3</v>
      </c>
      <c r="V533" t="s">
        <v>157</v>
      </c>
    </row>
    <row r="534" spans="9:22" x14ac:dyDescent="0.45">
      <c r="I534" t="s">
        <v>205</v>
      </c>
      <c r="J534" t="s">
        <v>170</v>
      </c>
      <c r="K534">
        <v>1.5913609175254948E-2</v>
      </c>
      <c r="L534" t="s">
        <v>157</v>
      </c>
      <c r="N534" t="s">
        <v>316</v>
      </c>
      <c r="O534" t="s">
        <v>170</v>
      </c>
      <c r="P534">
        <v>6.26776167916792E-3</v>
      </c>
      <c r="Q534" t="s">
        <v>157</v>
      </c>
      <c r="S534" t="s">
        <v>427</v>
      </c>
      <c r="T534" t="s">
        <v>170</v>
      </c>
      <c r="U534">
        <v>6.434474271154793E-3</v>
      </c>
      <c r="V534" t="s">
        <v>157</v>
      </c>
    </row>
    <row r="535" spans="9:22" x14ac:dyDescent="0.45">
      <c r="I535" t="s">
        <v>205</v>
      </c>
      <c r="J535" t="s">
        <v>171</v>
      </c>
      <c r="K535">
        <v>1.0662943070612049E-2</v>
      </c>
      <c r="L535" t="s">
        <v>157</v>
      </c>
      <c r="N535" t="s">
        <v>316</v>
      </c>
      <c r="O535" t="s">
        <v>171</v>
      </c>
      <c r="P535">
        <v>2.8244372310463749E-2</v>
      </c>
      <c r="Q535" t="s">
        <v>157</v>
      </c>
      <c r="S535" t="s">
        <v>427</v>
      </c>
      <c r="T535" t="s">
        <v>171</v>
      </c>
      <c r="U535">
        <v>3.1214865336116004E-2</v>
      </c>
      <c r="V535" t="s">
        <v>157</v>
      </c>
    </row>
    <row r="536" spans="9:22" x14ac:dyDescent="0.45">
      <c r="I536" t="s">
        <v>206</v>
      </c>
      <c r="J536" t="s">
        <v>156</v>
      </c>
      <c r="K536">
        <v>1.4856981022359743E-2</v>
      </c>
      <c r="L536" t="s">
        <v>157</v>
      </c>
      <c r="N536" t="s">
        <v>317</v>
      </c>
      <c r="O536" t="s">
        <v>156</v>
      </c>
      <c r="P536">
        <v>0.12280767131777992</v>
      </c>
      <c r="Q536" t="s">
        <v>157</v>
      </c>
      <c r="S536" t="s">
        <v>428</v>
      </c>
      <c r="T536" t="s">
        <v>156</v>
      </c>
      <c r="U536">
        <v>0.14005630709503847</v>
      </c>
      <c r="V536" t="s">
        <v>157</v>
      </c>
    </row>
    <row r="537" spans="9:22" x14ac:dyDescent="0.45">
      <c r="I537" t="s">
        <v>206</v>
      </c>
      <c r="J537" t="s">
        <v>158</v>
      </c>
      <c r="K537">
        <v>0.39893210043399335</v>
      </c>
      <c r="L537" t="s">
        <v>157</v>
      </c>
      <c r="N537" t="s">
        <v>317</v>
      </c>
      <c r="O537" t="s">
        <v>158</v>
      </c>
      <c r="P537">
        <v>0.20755610438870686</v>
      </c>
      <c r="Q537" t="s">
        <v>157</v>
      </c>
      <c r="S537" t="s">
        <v>428</v>
      </c>
      <c r="T537" t="s">
        <v>158</v>
      </c>
      <c r="U537">
        <v>0.20981186497533549</v>
      </c>
      <c r="V537" t="s">
        <v>157</v>
      </c>
    </row>
    <row r="538" spans="9:22" x14ac:dyDescent="0.45">
      <c r="I538" t="s">
        <v>206</v>
      </c>
      <c r="J538" t="s">
        <v>159</v>
      </c>
      <c r="K538">
        <v>2.6993861935206389E-2</v>
      </c>
      <c r="L538" t="s">
        <v>157</v>
      </c>
      <c r="N538" t="s">
        <v>317</v>
      </c>
      <c r="O538" t="s">
        <v>159</v>
      </c>
      <c r="P538">
        <v>2.1739034180790248E-2</v>
      </c>
      <c r="Q538" t="s">
        <v>157</v>
      </c>
      <c r="S538" t="s">
        <v>428</v>
      </c>
      <c r="T538" t="s">
        <v>159</v>
      </c>
      <c r="U538">
        <v>2.2038326130601638E-2</v>
      </c>
      <c r="V538" t="s">
        <v>157</v>
      </c>
    </row>
    <row r="539" spans="9:22" x14ac:dyDescent="0.45">
      <c r="I539" t="s">
        <v>206</v>
      </c>
      <c r="J539" t="s">
        <v>160</v>
      </c>
      <c r="K539">
        <v>1.709630286851618E-2</v>
      </c>
      <c r="L539" t="s">
        <v>157</v>
      </c>
      <c r="N539" t="s">
        <v>317</v>
      </c>
      <c r="O539" t="s">
        <v>160</v>
      </c>
      <c r="P539">
        <v>2.1003470089619832E-2</v>
      </c>
      <c r="Q539" t="s">
        <v>157</v>
      </c>
      <c r="S539" t="s">
        <v>428</v>
      </c>
      <c r="T539" t="s">
        <v>160</v>
      </c>
      <c r="U539">
        <v>2.1936848844646417E-2</v>
      </c>
      <c r="V539" t="s">
        <v>157</v>
      </c>
    </row>
    <row r="540" spans="9:22" x14ac:dyDescent="0.45">
      <c r="I540" t="s">
        <v>206</v>
      </c>
      <c r="J540" t="s">
        <v>161</v>
      </c>
      <c r="K540">
        <v>7.0033557471865931E-3</v>
      </c>
      <c r="L540" t="s">
        <v>157</v>
      </c>
      <c r="N540" t="s">
        <v>317</v>
      </c>
      <c r="O540" t="s">
        <v>161</v>
      </c>
      <c r="P540">
        <v>9.8809612482298401E-2</v>
      </c>
      <c r="Q540" t="s">
        <v>157</v>
      </c>
      <c r="S540" t="s">
        <v>428</v>
      </c>
      <c r="T540" t="s">
        <v>161</v>
      </c>
      <c r="U540">
        <v>0.10489230495225453</v>
      </c>
      <c r="V540" t="s">
        <v>157</v>
      </c>
    </row>
    <row r="541" spans="9:22" x14ac:dyDescent="0.45">
      <c r="I541" t="s">
        <v>206</v>
      </c>
      <c r="J541" t="s">
        <v>162</v>
      </c>
      <c r="K541">
        <v>8.3823863348543217E-3</v>
      </c>
      <c r="L541" t="s">
        <v>157</v>
      </c>
      <c r="N541" t="s">
        <v>317</v>
      </c>
      <c r="O541" t="s">
        <v>162</v>
      </c>
      <c r="P541">
        <v>9.6418799539147185E-2</v>
      </c>
      <c r="Q541" t="s">
        <v>157</v>
      </c>
      <c r="S541" t="s">
        <v>428</v>
      </c>
      <c r="T541" t="s">
        <v>162</v>
      </c>
      <c r="U541">
        <v>0.10447213230966435</v>
      </c>
      <c r="V541" t="s">
        <v>157</v>
      </c>
    </row>
    <row r="542" spans="9:22" x14ac:dyDescent="0.45">
      <c r="I542" t="s">
        <v>206</v>
      </c>
      <c r="J542" t="s">
        <v>163</v>
      </c>
      <c r="K542">
        <v>0.25309842549262518</v>
      </c>
      <c r="L542" t="s">
        <v>157</v>
      </c>
      <c r="N542" t="s">
        <v>317</v>
      </c>
      <c r="O542" t="s">
        <v>163</v>
      </c>
      <c r="P542">
        <v>0.156577620137859</v>
      </c>
      <c r="Q542" t="s">
        <v>157</v>
      </c>
      <c r="S542" t="s">
        <v>428</v>
      </c>
      <c r="T542" t="s">
        <v>163</v>
      </c>
      <c r="U542">
        <v>0.15512667554010998</v>
      </c>
      <c r="V542" t="s">
        <v>157</v>
      </c>
    </row>
    <row r="543" spans="9:22" x14ac:dyDescent="0.45">
      <c r="I543" t="s">
        <v>206</v>
      </c>
      <c r="J543" t="s">
        <v>164</v>
      </c>
      <c r="K543">
        <v>1.5169805816775421E-2</v>
      </c>
      <c r="L543" t="s">
        <v>157</v>
      </c>
      <c r="N543" t="s">
        <v>317</v>
      </c>
      <c r="O543" t="s">
        <v>164</v>
      </c>
      <c r="P543">
        <v>1.6933863788988677E-2</v>
      </c>
      <c r="Q543" t="s">
        <v>157</v>
      </c>
      <c r="S543" t="s">
        <v>428</v>
      </c>
      <c r="T543" t="s">
        <v>164</v>
      </c>
      <c r="U543">
        <v>1.5213080795836002E-2</v>
      </c>
      <c r="V543" t="s">
        <v>157</v>
      </c>
    </row>
    <row r="544" spans="9:22" x14ac:dyDescent="0.45">
      <c r="I544" t="s">
        <v>206</v>
      </c>
      <c r="J544" t="s">
        <v>165</v>
      </c>
      <c r="K544">
        <v>4.9837000186418821E-3</v>
      </c>
      <c r="L544" t="s">
        <v>157</v>
      </c>
      <c r="N544" t="s">
        <v>317</v>
      </c>
      <c r="O544" t="s">
        <v>165</v>
      </c>
      <c r="P544">
        <v>1.6631787231386023E-2</v>
      </c>
      <c r="Q544" t="s">
        <v>157</v>
      </c>
      <c r="S544" t="s">
        <v>428</v>
      </c>
      <c r="T544" t="s">
        <v>165</v>
      </c>
      <c r="U544">
        <v>1.4908905974049834E-2</v>
      </c>
      <c r="V544" t="s">
        <v>157</v>
      </c>
    </row>
    <row r="545" spans="9:22" x14ac:dyDescent="0.45">
      <c r="I545" t="s">
        <v>206</v>
      </c>
      <c r="J545" t="s">
        <v>166</v>
      </c>
      <c r="K545">
        <v>0</v>
      </c>
      <c r="L545" t="s">
        <v>157</v>
      </c>
      <c r="N545" t="s">
        <v>317</v>
      </c>
      <c r="O545" t="s">
        <v>166</v>
      </c>
      <c r="P545">
        <v>7.6992693513284582E-2</v>
      </c>
      <c r="Q545" t="s">
        <v>157</v>
      </c>
      <c r="S545" t="s">
        <v>428</v>
      </c>
      <c r="T545" t="s">
        <v>166</v>
      </c>
      <c r="U545">
        <v>7.1256688049019579E-2</v>
      </c>
      <c r="V545" t="s">
        <v>157</v>
      </c>
    </row>
    <row r="546" spans="9:22" x14ac:dyDescent="0.45">
      <c r="I546" t="s">
        <v>206</v>
      </c>
      <c r="J546" t="s">
        <v>167</v>
      </c>
      <c r="K546">
        <v>2.0400282056781047E-2</v>
      </c>
      <c r="L546" t="s">
        <v>157</v>
      </c>
      <c r="N546" t="s">
        <v>317</v>
      </c>
      <c r="O546" t="s">
        <v>167</v>
      </c>
      <c r="P546">
        <v>3.9414067992502674E-2</v>
      </c>
      <c r="Q546" t="s">
        <v>157</v>
      </c>
      <c r="S546" t="s">
        <v>428</v>
      </c>
      <c r="T546" t="s">
        <v>167</v>
      </c>
      <c r="U546">
        <v>3.9298814252352196E-2</v>
      </c>
      <c r="V546" t="s">
        <v>157</v>
      </c>
    </row>
    <row r="547" spans="9:22" x14ac:dyDescent="0.45">
      <c r="I547" t="s">
        <v>206</v>
      </c>
      <c r="J547" t="s">
        <v>168</v>
      </c>
      <c r="K547">
        <v>0.20277738954399085</v>
      </c>
      <c r="L547" t="s">
        <v>157</v>
      </c>
      <c r="N547" t="s">
        <v>317</v>
      </c>
      <c r="O547" t="s">
        <v>168</v>
      </c>
      <c r="P547">
        <v>7.4689695305755907E-2</v>
      </c>
      <c r="Q547" t="s">
        <v>157</v>
      </c>
      <c r="S547" t="s">
        <v>428</v>
      </c>
      <c r="T547" t="s">
        <v>168</v>
      </c>
      <c r="U547">
        <v>6.1170808020596941E-2</v>
      </c>
      <c r="V547" t="s">
        <v>157</v>
      </c>
    </row>
    <row r="548" spans="9:22" x14ac:dyDescent="0.45">
      <c r="I548" t="s">
        <v>206</v>
      </c>
      <c r="J548" t="s">
        <v>169</v>
      </c>
      <c r="K548">
        <v>1.4602929437430761E-2</v>
      </c>
      <c r="L548" t="s">
        <v>157</v>
      </c>
      <c r="N548" t="s">
        <v>317</v>
      </c>
      <c r="O548" t="s">
        <v>169</v>
      </c>
      <c r="P548">
        <v>8.381903331904245E-3</v>
      </c>
      <c r="Q548" t="s">
        <v>157</v>
      </c>
      <c r="S548" t="s">
        <v>428</v>
      </c>
      <c r="T548" t="s">
        <v>169</v>
      </c>
      <c r="U548">
        <v>6.088951742069337E-3</v>
      </c>
      <c r="V548" t="s">
        <v>157</v>
      </c>
    </row>
    <row r="549" spans="9:22" x14ac:dyDescent="0.45">
      <c r="I549" t="s">
        <v>206</v>
      </c>
      <c r="J549" t="s">
        <v>170</v>
      </c>
      <c r="K549">
        <v>1.0397388974525263E-2</v>
      </c>
      <c r="L549" t="s">
        <v>157</v>
      </c>
      <c r="N549" t="s">
        <v>317</v>
      </c>
      <c r="O549" t="s">
        <v>170</v>
      </c>
      <c r="P549">
        <v>7.943872611835677E-3</v>
      </c>
      <c r="Q549" t="s">
        <v>157</v>
      </c>
      <c r="S549" t="s">
        <v>428</v>
      </c>
      <c r="T549" t="s">
        <v>170</v>
      </c>
      <c r="U549">
        <v>5.7762200623291942E-3</v>
      </c>
      <c r="V549" t="s">
        <v>157</v>
      </c>
    </row>
    <row r="550" spans="9:22" x14ac:dyDescent="0.45">
      <c r="I550" t="s">
        <v>206</v>
      </c>
      <c r="J550" t="s">
        <v>171</v>
      </c>
      <c r="K550">
        <v>5.3050903171129428E-3</v>
      </c>
      <c r="L550" t="s">
        <v>157</v>
      </c>
      <c r="N550" t="s">
        <v>317</v>
      </c>
      <c r="O550" t="s">
        <v>171</v>
      </c>
      <c r="P550">
        <v>3.4099804088140742E-2</v>
      </c>
      <c r="Q550" t="s">
        <v>157</v>
      </c>
      <c r="S550" t="s">
        <v>428</v>
      </c>
      <c r="T550" t="s">
        <v>171</v>
      </c>
      <c r="U550">
        <v>2.7952071256095973E-2</v>
      </c>
      <c r="V550" t="s">
        <v>157</v>
      </c>
    </row>
    <row r="551" spans="9:22" x14ac:dyDescent="0.45">
      <c r="I551" t="s">
        <v>207</v>
      </c>
      <c r="J551" t="s">
        <v>156</v>
      </c>
      <c r="K551">
        <v>1.5830157317532012E-2</v>
      </c>
      <c r="L551" t="s">
        <v>157</v>
      </c>
      <c r="N551" t="s">
        <v>318</v>
      </c>
      <c r="O551" t="s">
        <v>156</v>
      </c>
      <c r="P551">
        <v>0.12074070533845746</v>
      </c>
      <c r="Q551" t="s">
        <v>157</v>
      </c>
      <c r="S551" t="s">
        <v>429</v>
      </c>
      <c r="T551" t="s">
        <v>156</v>
      </c>
      <c r="U551">
        <v>0.13841211376912363</v>
      </c>
      <c r="V551" t="s">
        <v>157</v>
      </c>
    </row>
    <row r="552" spans="9:22" x14ac:dyDescent="0.45">
      <c r="I552" t="s">
        <v>207</v>
      </c>
      <c r="J552" t="s">
        <v>158</v>
      </c>
      <c r="K552">
        <v>0.40143744710976803</v>
      </c>
      <c r="L552" t="s">
        <v>157</v>
      </c>
      <c r="N552" t="s">
        <v>318</v>
      </c>
      <c r="O552" t="s">
        <v>158</v>
      </c>
      <c r="P552">
        <v>0.20974997518880317</v>
      </c>
      <c r="Q552" t="s">
        <v>157</v>
      </c>
      <c r="S552" t="s">
        <v>429</v>
      </c>
      <c r="T552" t="s">
        <v>158</v>
      </c>
      <c r="U552">
        <v>0.21025359934035176</v>
      </c>
      <c r="V552" t="s">
        <v>157</v>
      </c>
    </row>
    <row r="553" spans="9:22" x14ac:dyDescent="0.45">
      <c r="I553" t="s">
        <v>207</v>
      </c>
      <c r="J553" t="s">
        <v>159</v>
      </c>
      <c r="K553">
        <v>2.7355258958561206E-2</v>
      </c>
      <c r="L553" t="s">
        <v>157</v>
      </c>
      <c r="N553" t="s">
        <v>318</v>
      </c>
      <c r="O553" t="s">
        <v>159</v>
      </c>
      <c r="P553">
        <v>2.2596374029333982E-2</v>
      </c>
      <c r="Q553" t="s">
        <v>157</v>
      </c>
      <c r="S553" t="s">
        <v>429</v>
      </c>
      <c r="T553" t="s">
        <v>159</v>
      </c>
      <c r="U553">
        <v>2.1759816466469503E-2</v>
      </c>
      <c r="V553" t="s">
        <v>157</v>
      </c>
    </row>
    <row r="554" spans="9:22" x14ac:dyDescent="0.45">
      <c r="I554" t="s">
        <v>207</v>
      </c>
      <c r="J554" t="s">
        <v>160</v>
      </c>
      <c r="K554">
        <v>1.7178861917072897E-2</v>
      </c>
      <c r="L554" t="s">
        <v>157</v>
      </c>
      <c r="N554" t="s">
        <v>318</v>
      </c>
      <c r="O554" t="s">
        <v>160</v>
      </c>
      <c r="P554">
        <v>2.0951344645403183E-2</v>
      </c>
      <c r="Q554" t="s">
        <v>157</v>
      </c>
      <c r="S554" t="s">
        <v>429</v>
      </c>
      <c r="T554" t="s">
        <v>160</v>
      </c>
      <c r="U554">
        <v>2.1042108060671996E-2</v>
      </c>
      <c r="V554" t="s">
        <v>157</v>
      </c>
    </row>
    <row r="555" spans="9:22" x14ac:dyDescent="0.45">
      <c r="I555" t="s">
        <v>207</v>
      </c>
      <c r="J555" t="s">
        <v>161</v>
      </c>
      <c r="K555">
        <v>7.5129487721472448E-3</v>
      </c>
      <c r="L555" t="s">
        <v>157</v>
      </c>
      <c r="N555" t="s">
        <v>318</v>
      </c>
      <c r="O555" t="s">
        <v>161</v>
      </c>
      <c r="P555">
        <v>9.3241858301874064E-2</v>
      </c>
      <c r="Q555" t="s">
        <v>157</v>
      </c>
      <c r="S555" t="s">
        <v>429</v>
      </c>
      <c r="T555" t="s">
        <v>161</v>
      </c>
      <c r="U555">
        <v>9.9039780689832921E-2</v>
      </c>
      <c r="V555" t="s">
        <v>157</v>
      </c>
    </row>
    <row r="556" spans="9:22" x14ac:dyDescent="0.45">
      <c r="I556" t="s">
        <v>207</v>
      </c>
      <c r="J556" t="s">
        <v>162</v>
      </c>
      <c r="K556">
        <v>7.9981901402689654E-3</v>
      </c>
      <c r="L556" t="s">
        <v>157</v>
      </c>
      <c r="N556" t="s">
        <v>318</v>
      </c>
      <c r="O556" t="s">
        <v>162</v>
      </c>
      <c r="P556">
        <v>0.10765088605438697</v>
      </c>
      <c r="Q556" t="s">
        <v>157</v>
      </c>
      <c r="S556" t="s">
        <v>429</v>
      </c>
      <c r="T556" t="s">
        <v>162</v>
      </c>
      <c r="U556">
        <v>0.10819325425070508</v>
      </c>
      <c r="V556" t="s">
        <v>157</v>
      </c>
    </row>
    <row r="557" spans="9:22" x14ac:dyDescent="0.45">
      <c r="I557" t="s">
        <v>207</v>
      </c>
      <c r="J557" t="s">
        <v>163</v>
      </c>
      <c r="K557">
        <v>0.25564865068789128</v>
      </c>
      <c r="L557" t="s">
        <v>157</v>
      </c>
      <c r="N557" t="s">
        <v>318</v>
      </c>
      <c r="O557" t="s">
        <v>163</v>
      </c>
      <c r="P557">
        <v>0.16591683322658657</v>
      </c>
      <c r="Q557" t="s">
        <v>157</v>
      </c>
      <c r="S557" t="s">
        <v>429</v>
      </c>
      <c r="T557" t="s">
        <v>163</v>
      </c>
      <c r="U557">
        <v>0.15917499927383549</v>
      </c>
      <c r="V557" t="s">
        <v>157</v>
      </c>
    </row>
    <row r="558" spans="9:22" x14ac:dyDescent="0.45">
      <c r="I558" t="s">
        <v>207</v>
      </c>
      <c r="J558" t="s">
        <v>164</v>
      </c>
      <c r="K558">
        <v>1.5698656443972902E-2</v>
      </c>
      <c r="L558" t="s">
        <v>157</v>
      </c>
      <c r="N558" t="s">
        <v>318</v>
      </c>
      <c r="O558" t="s">
        <v>164</v>
      </c>
      <c r="P558">
        <v>1.7529006351436033E-2</v>
      </c>
      <c r="Q558" t="s">
        <v>157</v>
      </c>
      <c r="S558" t="s">
        <v>429</v>
      </c>
      <c r="T558" t="s">
        <v>164</v>
      </c>
      <c r="U558">
        <v>1.5919960767907956E-2</v>
      </c>
      <c r="V558" t="s">
        <v>157</v>
      </c>
    </row>
    <row r="559" spans="9:22" x14ac:dyDescent="0.45">
      <c r="I559" t="s">
        <v>207</v>
      </c>
      <c r="J559" t="s">
        <v>165</v>
      </c>
      <c r="K559">
        <v>5.3401440760491086E-3</v>
      </c>
      <c r="L559" t="s">
        <v>157</v>
      </c>
      <c r="N559" t="s">
        <v>318</v>
      </c>
      <c r="O559" t="s">
        <v>165</v>
      </c>
      <c r="P559">
        <v>1.7371615091075494E-2</v>
      </c>
      <c r="Q559" t="s">
        <v>157</v>
      </c>
      <c r="S559" t="s">
        <v>429</v>
      </c>
      <c r="T559" t="s">
        <v>165</v>
      </c>
      <c r="U559">
        <v>1.5588318411119602E-2</v>
      </c>
      <c r="V559" t="s">
        <v>157</v>
      </c>
    </row>
    <row r="560" spans="9:22" x14ac:dyDescent="0.45">
      <c r="I560" t="s">
        <v>207</v>
      </c>
      <c r="J560" t="s">
        <v>166</v>
      </c>
      <c r="K560">
        <v>0</v>
      </c>
      <c r="L560" t="s">
        <v>157</v>
      </c>
      <c r="N560" t="s">
        <v>318</v>
      </c>
      <c r="O560" t="s">
        <v>166</v>
      </c>
      <c r="P560">
        <v>8.0769861909936694E-2</v>
      </c>
      <c r="Q560" t="s">
        <v>157</v>
      </c>
      <c r="S560" t="s">
        <v>429</v>
      </c>
      <c r="T560" t="s">
        <v>166</v>
      </c>
      <c r="U560">
        <v>7.5317296867407957E-2</v>
      </c>
      <c r="V560" t="s">
        <v>157</v>
      </c>
    </row>
    <row r="561" spans="9:22" x14ac:dyDescent="0.45">
      <c r="I561" t="s">
        <v>207</v>
      </c>
      <c r="J561" t="s">
        <v>167</v>
      </c>
      <c r="K561">
        <v>2.0398325314890827E-2</v>
      </c>
      <c r="L561" t="s">
        <v>157</v>
      </c>
      <c r="N561" t="s">
        <v>318</v>
      </c>
      <c r="O561" t="s">
        <v>167</v>
      </c>
      <c r="P561">
        <v>3.3042827334531559E-2</v>
      </c>
      <c r="Q561" t="s">
        <v>157</v>
      </c>
      <c r="S561" t="s">
        <v>429</v>
      </c>
      <c r="T561" t="s">
        <v>167</v>
      </c>
      <c r="U561">
        <v>3.6100901404302575E-2</v>
      </c>
      <c r="V561" t="s">
        <v>157</v>
      </c>
    </row>
    <row r="562" spans="9:22" x14ac:dyDescent="0.45">
      <c r="I562" t="s">
        <v>207</v>
      </c>
      <c r="J562" t="s">
        <v>168</v>
      </c>
      <c r="K562">
        <v>0.19561351688942391</v>
      </c>
      <c r="L562" t="s">
        <v>157</v>
      </c>
      <c r="N562" t="s">
        <v>318</v>
      </c>
      <c r="O562" t="s">
        <v>168</v>
      </c>
      <c r="P562">
        <v>6.6521091119463208E-2</v>
      </c>
      <c r="Q562" t="s">
        <v>157</v>
      </c>
      <c r="S562" t="s">
        <v>429</v>
      </c>
      <c r="T562" t="s">
        <v>168</v>
      </c>
      <c r="U562">
        <v>6.1162691246299916E-2</v>
      </c>
      <c r="V562" t="s">
        <v>157</v>
      </c>
    </row>
    <row r="563" spans="9:22" x14ac:dyDescent="0.45">
      <c r="I563" t="s">
        <v>207</v>
      </c>
      <c r="J563" t="s">
        <v>169</v>
      </c>
      <c r="K563">
        <v>1.4344662171394669E-2</v>
      </c>
      <c r="L563" t="s">
        <v>157</v>
      </c>
      <c r="N563" t="s">
        <v>318</v>
      </c>
      <c r="O563" t="s">
        <v>169</v>
      </c>
      <c r="P563">
        <v>7.3618208690584318E-3</v>
      </c>
      <c r="Q563" t="s">
        <v>157</v>
      </c>
      <c r="S563" t="s">
        <v>429</v>
      </c>
      <c r="T563" t="s">
        <v>169</v>
      </c>
      <c r="U563">
        <v>5.9462241131077835E-3</v>
      </c>
      <c r="V563" t="s">
        <v>157</v>
      </c>
    </row>
    <row r="564" spans="9:22" x14ac:dyDescent="0.45">
      <c r="I564" t="s">
        <v>207</v>
      </c>
      <c r="J564" t="s">
        <v>170</v>
      </c>
      <c r="K564">
        <v>1.0302610794122908E-2</v>
      </c>
      <c r="L564" t="s">
        <v>157</v>
      </c>
      <c r="N564" t="s">
        <v>318</v>
      </c>
      <c r="O564" t="s">
        <v>170</v>
      </c>
      <c r="P564">
        <v>7.1331664291385058E-3</v>
      </c>
      <c r="Q564" t="s">
        <v>157</v>
      </c>
      <c r="S564" t="s">
        <v>429</v>
      </c>
      <c r="T564" t="s">
        <v>170</v>
      </c>
      <c r="U564">
        <v>5.6475537778741753E-3</v>
      </c>
      <c r="V564" t="s">
        <v>157</v>
      </c>
    </row>
    <row r="565" spans="9:22" x14ac:dyDescent="0.45">
      <c r="I565" t="s">
        <v>207</v>
      </c>
      <c r="J565" t="s">
        <v>171</v>
      </c>
      <c r="K565">
        <v>5.3405694069041023E-3</v>
      </c>
      <c r="L565" t="s">
        <v>157</v>
      </c>
      <c r="N565" t="s">
        <v>318</v>
      </c>
      <c r="O565" t="s">
        <v>171</v>
      </c>
      <c r="P565">
        <v>2.9422634110514649E-2</v>
      </c>
      <c r="Q565" t="s">
        <v>157</v>
      </c>
      <c r="S565" t="s">
        <v>429</v>
      </c>
      <c r="T565" t="s">
        <v>171</v>
      </c>
      <c r="U565">
        <v>2.6441381560989671E-2</v>
      </c>
      <c r="V565" t="s">
        <v>157</v>
      </c>
    </row>
    <row r="566" spans="9:22" x14ac:dyDescent="0.45">
      <c r="I566" t="s">
        <v>208</v>
      </c>
      <c r="J566" t="s">
        <v>156</v>
      </c>
      <c r="K566">
        <v>1.5865535185703366E-2</v>
      </c>
      <c r="L566" t="s">
        <v>157</v>
      </c>
      <c r="N566" t="s">
        <v>319</v>
      </c>
      <c r="O566" t="s">
        <v>156</v>
      </c>
      <c r="P566">
        <v>0.11450300016037145</v>
      </c>
      <c r="Q566" t="s">
        <v>157</v>
      </c>
      <c r="S566" t="s">
        <v>430</v>
      </c>
      <c r="T566" t="s">
        <v>156</v>
      </c>
      <c r="U566">
        <v>0.14104215182872329</v>
      </c>
      <c r="V566" t="s">
        <v>157</v>
      </c>
    </row>
    <row r="567" spans="9:22" x14ac:dyDescent="0.45">
      <c r="I567" t="s">
        <v>208</v>
      </c>
      <c r="J567" t="s">
        <v>158</v>
      </c>
      <c r="K567">
        <v>0.40018292660466004</v>
      </c>
      <c r="L567" t="s">
        <v>157</v>
      </c>
      <c r="N567" t="s">
        <v>319</v>
      </c>
      <c r="O567" t="s">
        <v>158</v>
      </c>
      <c r="P567">
        <v>0.20208950269731377</v>
      </c>
      <c r="Q567" t="s">
        <v>157</v>
      </c>
      <c r="S567" t="s">
        <v>430</v>
      </c>
      <c r="T567" t="s">
        <v>158</v>
      </c>
      <c r="U567">
        <v>0.20318806991388061</v>
      </c>
      <c r="V567" t="s">
        <v>157</v>
      </c>
    </row>
    <row r="568" spans="9:22" x14ac:dyDescent="0.45">
      <c r="I568" t="s">
        <v>208</v>
      </c>
      <c r="J568" t="s">
        <v>159</v>
      </c>
      <c r="K568">
        <v>2.836237809492409E-2</v>
      </c>
      <c r="L568" t="s">
        <v>157</v>
      </c>
      <c r="N568" t="s">
        <v>319</v>
      </c>
      <c r="O568" t="s">
        <v>159</v>
      </c>
      <c r="P568">
        <v>2.1977039356345124E-2</v>
      </c>
      <c r="Q568" t="s">
        <v>157</v>
      </c>
      <c r="S568" t="s">
        <v>430</v>
      </c>
      <c r="T568" t="s">
        <v>159</v>
      </c>
      <c r="U568">
        <v>2.1342918321908835E-2</v>
      </c>
      <c r="V568" t="s">
        <v>157</v>
      </c>
    </row>
    <row r="569" spans="9:22" x14ac:dyDescent="0.45">
      <c r="I569" t="s">
        <v>208</v>
      </c>
      <c r="J569" t="s">
        <v>160</v>
      </c>
      <c r="K569">
        <v>1.8137002640731901E-2</v>
      </c>
      <c r="L569" t="s">
        <v>157</v>
      </c>
      <c r="N569" t="s">
        <v>319</v>
      </c>
      <c r="O569" t="s">
        <v>160</v>
      </c>
      <c r="P569">
        <v>2.0198153886219049E-2</v>
      </c>
      <c r="Q569" t="s">
        <v>157</v>
      </c>
      <c r="S569" t="s">
        <v>430</v>
      </c>
      <c r="T569" t="s">
        <v>160</v>
      </c>
      <c r="U569">
        <v>2.0837080143229415E-2</v>
      </c>
      <c r="V569" t="s">
        <v>157</v>
      </c>
    </row>
    <row r="570" spans="9:22" x14ac:dyDescent="0.45">
      <c r="I570" t="s">
        <v>208</v>
      </c>
      <c r="J570" t="s">
        <v>161</v>
      </c>
      <c r="K570">
        <v>8.5019296372650984E-3</v>
      </c>
      <c r="L570" t="s">
        <v>157</v>
      </c>
      <c r="N570" t="s">
        <v>319</v>
      </c>
      <c r="O570" t="s">
        <v>161</v>
      </c>
      <c r="P570">
        <v>8.4853227514581409E-2</v>
      </c>
      <c r="Q570" t="s">
        <v>157</v>
      </c>
      <c r="S570" t="s">
        <v>430</v>
      </c>
      <c r="T570" t="s">
        <v>161</v>
      </c>
      <c r="U570">
        <v>9.9788683111189727E-2</v>
      </c>
      <c r="V570" t="s">
        <v>157</v>
      </c>
    </row>
    <row r="571" spans="9:22" x14ac:dyDescent="0.45">
      <c r="I571" t="s">
        <v>208</v>
      </c>
      <c r="J571" t="s">
        <v>162</v>
      </c>
      <c r="K571">
        <v>7.1355076450711225E-3</v>
      </c>
      <c r="L571" t="s">
        <v>157</v>
      </c>
      <c r="N571" t="s">
        <v>319</v>
      </c>
      <c r="O571" t="s">
        <v>162</v>
      </c>
      <c r="P571">
        <v>0.1196896681417146</v>
      </c>
      <c r="Q571" t="s">
        <v>157</v>
      </c>
      <c r="S571" t="s">
        <v>430</v>
      </c>
      <c r="T571" t="s">
        <v>162</v>
      </c>
      <c r="U571">
        <v>0.10887937592415542</v>
      </c>
      <c r="V571" t="s">
        <v>157</v>
      </c>
    </row>
    <row r="572" spans="9:22" x14ac:dyDescent="0.45">
      <c r="I572" t="s">
        <v>208</v>
      </c>
      <c r="J572" t="s">
        <v>163</v>
      </c>
      <c r="K572">
        <v>0.25257113619971128</v>
      </c>
      <c r="L572" t="s">
        <v>157</v>
      </c>
      <c r="N572" t="s">
        <v>319</v>
      </c>
      <c r="O572" t="s">
        <v>163</v>
      </c>
      <c r="P572">
        <v>0.18829177130273875</v>
      </c>
      <c r="Q572" t="s">
        <v>157</v>
      </c>
      <c r="S572" t="s">
        <v>430</v>
      </c>
      <c r="T572" t="s">
        <v>163</v>
      </c>
      <c r="U572">
        <v>0.15637439364784292</v>
      </c>
      <c r="V572" t="s">
        <v>157</v>
      </c>
    </row>
    <row r="573" spans="9:22" x14ac:dyDescent="0.45">
      <c r="I573" t="s">
        <v>208</v>
      </c>
      <c r="J573" t="s">
        <v>164</v>
      </c>
      <c r="K573">
        <v>1.5794007906065805E-2</v>
      </c>
      <c r="L573" t="s">
        <v>157</v>
      </c>
      <c r="N573" t="s">
        <v>319</v>
      </c>
      <c r="O573" t="s">
        <v>164</v>
      </c>
      <c r="P573">
        <v>1.9413815621319989E-2</v>
      </c>
      <c r="Q573" t="s">
        <v>157</v>
      </c>
      <c r="S573" t="s">
        <v>430</v>
      </c>
      <c r="T573" t="s">
        <v>164</v>
      </c>
      <c r="U573">
        <v>1.6037091484472792E-2</v>
      </c>
      <c r="V573" t="s">
        <v>157</v>
      </c>
    </row>
    <row r="574" spans="9:22" x14ac:dyDescent="0.45">
      <c r="I574" t="s">
        <v>208</v>
      </c>
      <c r="J574" t="s">
        <v>165</v>
      </c>
      <c r="K574">
        <v>5.7490566301919895E-3</v>
      </c>
      <c r="L574" t="s">
        <v>157</v>
      </c>
      <c r="N574" t="s">
        <v>319</v>
      </c>
      <c r="O574" t="s">
        <v>165</v>
      </c>
      <c r="P574">
        <v>1.8983781305612589E-2</v>
      </c>
      <c r="Q574" t="s">
        <v>157</v>
      </c>
      <c r="S574" t="s">
        <v>430</v>
      </c>
      <c r="T574" t="s">
        <v>165</v>
      </c>
      <c r="U574">
        <v>1.5561670807234638E-2</v>
      </c>
      <c r="V574" t="s">
        <v>157</v>
      </c>
    </row>
    <row r="575" spans="9:22" x14ac:dyDescent="0.45">
      <c r="I575" t="s">
        <v>208</v>
      </c>
      <c r="J575" t="s">
        <v>166</v>
      </c>
      <c r="K575">
        <v>0</v>
      </c>
      <c r="L575" t="s">
        <v>157</v>
      </c>
      <c r="N575" t="s">
        <v>319</v>
      </c>
      <c r="O575" t="s">
        <v>166</v>
      </c>
      <c r="P575">
        <v>8.7587706426976927E-2</v>
      </c>
      <c r="Q575" t="s">
        <v>157</v>
      </c>
      <c r="S575" t="s">
        <v>430</v>
      </c>
      <c r="T575" t="s">
        <v>166</v>
      </c>
      <c r="U575">
        <v>7.5505318482929351E-2</v>
      </c>
      <c r="V575" t="s">
        <v>157</v>
      </c>
    </row>
    <row r="576" spans="9:22" x14ac:dyDescent="0.45">
      <c r="I576" t="s">
        <v>208</v>
      </c>
      <c r="J576" t="s">
        <v>167</v>
      </c>
      <c r="K576">
        <v>1.9305290076849755E-2</v>
      </c>
      <c r="L576" t="s">
        <v>157</v>
      </c>
      <c r="N576" t="s">
        <v>319</v>
      </c>
      <c r="O576" t="s">
        <v>167</v>
      </c>
      <c r="P576">
        <v>2.6337515060497283E-2</v>
      </c>
      <c r="Q576" t="s">
        <v>157</v>
      </c>
      <c r="S576" t="s">
        <v>430</v>
      </c>
      <c r="T576" t="s">
        <v>167</v>
      </c>
      <c r="U576">
        <v>3.809165108308097E-2</v>
      </c>
      <c r="V576" t="s">
        <v>157</v>
      </c>
    </row>
    <row r="577" spans="9:22" x14ac:dyDescent="0.45">
      <c r="I577" t="s">
        <v>208</v>
      </c>
      <c r="J577" t="s">
        <v>168</v>
      </c>
      <c r="K577">
        <v>0.19700264691027033</v>
      </c>
      <c r="L577" t="s">
        <v>157</v>
      </c>
      <c r="N577" t="s">
        <v>319</v>
      </c>
      <c r="O577" t="s">
        <v>168</v>
      </c>
      <c r="P577">
        <v>5.771349016016767E-2</v>
      </c>
      <c r="Q577" t="s">
        <v>157</v>
      </c>
      <c r="S577" t="s">
        <v>430</v>
      </c>
      <c r="T577" t="s">
        <v>168</v>
      </c>
      <c r="U577">
        <v>6.2122491323560444E-2</v>
      </c>
      <c r="V577" t="s">
        <v>157</v>
      </c>
    </row>
    <row r="578" spans="9:22" x14ac:dyDescent="0.45">
      <c r="I578" t="s">
        <v>208</v>
      </c>
      <c r="J578" t="s">
        <v>169</v>
      </c>
      <c r="K578">
        <v>1.4581007632975309E-2</v>
      </c>
      <c r="L578" t="s">
        <v>157</v>
      </c>
      <c r="N578" t="s">
        <v>319</v>
      </c>
      <c r="O578" t="s">
        <v>169</v>
      </c>
      <c r="P578">
        <v>6.4775209342832684E-3</v>
      </c>
      <c r="Q578" t="s">
        <v>157</v>
      </c>
      <c r="S578" t="s">
        <v>430</v>
      </c>
      <c r="T578" t="s">
        <v>169</v>
      </c>
      <c r="U578">
        <v>6.4473342771396167E-3</v>
      </c>
      <c r="V578" t="s">
        <v>157</v>
      </c>
    </row>
    <row r="579" spans="9:22" x14ac:dyDescent="0.45">
      <c r="I579" t="s">
        <v>208</v>
      </c>
      <c r="J579" t="s">
        <v>170</v>
      </c>
      <c r="K579">
        <v>1.1119833317347954E-2</v>
      </c>
      <c r="L579" t="s">
        <v>157</v>
      </c>
      <c r="N579" t="s">
        <v>319</v>
      </c>
      <c r="O579" t="s">
        <v>170</v>
      </c>
      <c r="P579">
        <v>6.4204752386625673E-3</v>
      </c>
      <c r="Q579" t="s">
        <v>157</v>
      </c>
      <c r="S579" t="s">
        <v>430</v>
      </c>
      <c r="T579" t="s">
        <v>170</v>
      </c>
      <c r="U579">
        <v>6.1358636062817983E-3</v>
      </c>
      <c r="V579" t="s">
        <v>157</v>
      </c>
    </row>
    <row r="580" spans="9:22" x14ac:dyDescent="0.45">
      <c r="I580" t="s">
        <v>208</v>
      </c>
      <c r="J580" t="s">
        <v>171</v>
      </c>
      <c r="K580">
        <v>5.6917415182319514E-3</v>
      </c>
      <c r="L580" t="s">
        <v>157</v>
      </c>
      <c r="N580" t="s">
        <v>319</v>
      </c>
      <c r="O580" t="s">
        <v>171</v>
      </c>
      <c r="P580">
        <v>2.5463332193195555E-2</v>
      </c>
      <c r="Q580" t="s">
        <v>157</v>
      </c>
      <c r="S580" t="s">
        <v>430</v>
      </c>
      <c r="T580" t="s">
        <v>171</v>
      </c>
      <c r="U580">
        <v>2.8645906044370097E-2</v>
      </c>
      <c r="V580" t="s">
        <v>157</v>
      </c>
    </row>
    <row r="581" spans="9:22" x14ac:dyDescent="0.45">
      <c r="I581" t="s">
        <v>209</v>
      </c>
      <c r="J581" t="s">
        <v>156</v>
      </c>
      <c r="K581">
        <v>1.5465733647568569E-2</v>
      </c>
      <c r="L581" t="s">
        <v>157</v>
      </c>
      <c r="N581" t="s">
        <v>320</v>
      </c>
      <c r="O581" t="s">
        <v>156</v>
      </c>
      <c r="P581">
        <v>9.6807656073966949E-2</v>
      </c>
      <c r="Q581" t="s">
        <v>157</v>
      </c>
      <c r="S581" t="s">
        <v>431</v>
      </c>
      <c r="T581" t="s">
        <v>156</v>
      </c>
      <c r="U581">
        <v>0.14189998705524917</v>
      </c>
      <c r="V581" t="s">
        <v>157</v>
      </c>
    </row>
    <row r="582" spans="9:22" x14ac:dyDescent="0.45">
      <c r="I582" t="s">
        <v>209</v>
      </c>
      <c r="J582" t="s">
        <v>158</v>
      </c>
      <c r="K582">
        <v>0.40094771446197031</v>
      </c>
      <c r="L582" t="s">
        <v>157</v>
      </c>
      <c r="N582" t="s">
        <v>320</v>
      </c>
      <c r="O582" t="s">
        <v>158</v>
      </c>
      <c r="P582">
        <v>0.18583659700393357</v>
      </c>
      <c r="Q582" t="s">
        <v>157</v>
      </c>
      <c r="S582" t="s">
        <v>431</v>
      </c>
      <c r="T582" t="s">
        <v>158</v>
      </c>
      <c r="U582">
        <v>0.19875029470799369</v>
      </c>
      <c r="V582" t="s">
        <v>157</v>
      </c>
    </row>
    <row r="583" spans="9:22" x14ac:dyDescent="0.45">
      <c r="I583" t="s">
        <v>209</v>
      </c>
      <c r="J583" t="s">
        <v>159</v>
      </c>
      <c r="K583">
        <v>2.870508559927085E-2</v>
      </c>
      <c r="L583" t="s">
        <v>157</v>
      </c>
      <c r="N583" t="s">
        <v>320</v>
      </c>
      <c r="O583" t="s">
        <v>159</v>
      </c>
      <c r="P583">
        <v>1.9585712457376139E-2</v>
      </c>
      <c r="Q583" t="s">
        <v>157</v>
      </c>
      <c r="S583" t="s">
        <v>431</v>
      </c>
      <c r="T583" t="s">
        <v>159</v>
      </c>
      <c r="U583">
        <v>2.0829765444277237E-2</v>
      </c>
      <c r="V583" t="s">
        <v>157</v>
      </c>
    </row>
    <row r="584" spans="9:22" x14ac:dyDescent="0.45">
      <c r="I584" t="s">
        <v>209</v>
      </c>
      <c r="J584" t="s">
        <v>160</v>
      </c>
      <c r="K584">
        <v>1.8895660117950932E-2</v>
      </c>
      <c r="L584" t="s">
        <v>157</v>
      </c>
      <c r="N584" t="s">
        <v>320</v>
      </c>
      <c r="O584" t="s">
        <v>160</v>
      </c>
      <c r="P584">
        <v>1.8327147050232723E-2</v>
      </c>
      <c r="Q584" t="s">
        <v>157</v>
      </c>
      <c r="S584" t="s">
        <v>431</v>
      </c>
      <c r="T584" t="s">
        <v>160</v>
      </c>
      <c r="U584">
        <v>2.0579221656090801E-2</v>
      </c>
      <c r="V584" t="s">
        <v>157</v>
      </c>
    </row>
    <row r="585" spans="9:22" x14ac:dyDescent="0.45">
      <c r="I585" t="s">
        <v>209</v>
      </c>
      <c r="J585" t="s">
        <v>161</v>
      </c>
      <c r="K585">
        <v>9.1592174178632985E-3</v>
      </c>
      <c r="L585" t="s">
        <v>157</v>
      </c>
      <c r="N585" t="s">
        <v>320</v>
      </c>
      <c r="O585" t="s">
        <v>161</v>
      </c>
      <c r="P585">
        <v>7.3357022005016342E-2</v>
      </c>
      <c r="Q585" t="s">
        <v>157</v>
      </c>
      <c r="S585" t="s">
        <v>431</v>
      </c>
      <c r="T585" t="s">
        <v>161</v>
      </c>
      <c r="U585">
        <v>0.10037893889214394</v>
      </c>
      <c r="V585" t="s">
        <v>157</v>
      </c>
    </row>
    <row r="586" spans="9:22" x14ac:dyDescent="0.45">
      <c r="I586" t="s">
        <v>209</v>
      </c>
      <c r="J586" t="s">
        <v>162</v>
      </c>
      <c r="K586">
        <v>5.9752776310277459E-3</v>
      </c>
      <c r="L586" t="s">
        <v>157</v>
      </c>
      <c r="N586" t="s">
        <v>320</v>
      </c>
      <c r="O586" t="s">
        <v>162</v>
      </c>
      <c r="P586">
        <v>0.13036428634327415</v>
      </c>
      <c r="Q586" t="s">
        <v>157</v>
      </c>
      <c r="S586" t="s">
        <v>431</v>
      </c>
      <c r="T586" t="s">
        <v>162</v>
      </c>
      <c r="U586">
        <v>0.10834394809383294</v>
      </c>
      <c r="V586" t="s">
        <v>157</v>
      </c>
    </row>
    <row r="587" spans="9:22" x14ac:dyDescent="0.45">
      <c r="I587" t="s">
        <v>209</v>
      </c>
      <c r="J587" t="s">
        <v>163</v>
      </c>
      <c r="K587">
        <v>0.24878162939817533</v>
      </c>
      <c r="L587" t="s">
        <v>157</v>
      </c>
      <c r="N587" t="s">
        <v>320</v>
      </c>
      <c r="O587" t="s">
        <v>163</v>
      </c>
      <c r="P587">
        <v>0.22219176010457967</v>
      </c>
      <c r="Q587" t="s">
        <v>157</v>
      </c>
      <c r="S587" t="s">
        <v>431</v>
      </c>
      <c r="T587" t="s">
        <v>163</v>
      </c>
      <c r="U587">
        <v>0.15570432780764651</v>
      </c>
      <c r="V587" t="s">
        <v>157</v>
      </c>
    </row>
    <row r="588" spans="9:22" x14ac:dyDescent="0.45">
      <c r="I588" t="s">
        <v>209</v>
      </c>
      <c r="J588" t="s">
        <v>164</v>
      </c>
      <c r="K588">
        <v>1.5557491912883132E-2</v>
      </c>
      <c r="L588" t="s">
        <v>157</v>
      </c>
      <c r="N588" t="s">
        <v>320</v>
      </c>
      <c r="O588" t="s">
        <v>164</v>
      </c>
      <c r="P588">
        <v>2.2197142260082542E-2</v>
      </c>
      <c r="Q588" t="s">
        <v>157</v>
      </c>
      <c r="S588" t="s">
        <v>431</v>
      </c>
      <c r="T588" t="s">
        <v>164</v>
      </c>
      <c r="U588">
        <v>1.5885146848705765E-2</v>
      </c>
      <c r="V588" t="s">
        <v>157</v>
      </c>
    </row>
    <row r="589" spans="9:22" x14ac:dyDescent="0.45">
      <c r="I589" t="s">
        <v>209</v>
      </c>
      <c r="J589" t="s">
        <v>165</v>
      </c>
      <c r="K589">
        <v>5.6038742847028004E-3</v>
      </c>
      <c r="L589" t="s">
        <v>157</v>
      </c>
      <c r="N589" t="s">
        <v>320</v>
      </c>
      <c r="O589" t="s">
        <v>165</v>
      </c>
      <c r="P589">
        <v>2.1771518811502799E-2</v>
      </c>
      <c r="Q589" t="s">
        <v>157</v>
      </c>
      <c r="S589" t="s">
        <v>431</v>
      </c>
      <c r="T589" t="s">
        <v>165</v>
      </c>
      <c r="U589">
        <v>1.5481087518540118E-2</v>
      </c>
      <c r="V589" t="s">
        <v>157</v>
      </c>
    </row>
    <row r="590" spans="9:22" x14ac:dyDescent="0.45">
      <c r="I590" t="s">
        <v>209</v>
      </c>
      <c r="J590" t="s">
        <v>166</v>
      </c>
      <c r="K590">
        <v>0</v>
      </c>
      <c r="L590" t="s">
        <v>157</v>
      </c>
      <c r="N590" t="s">
        <v>320</v>
      </c>
      <c r="O590" t="s">
        <v>166</v>
      </c>
      <c r="P590">
        <v>0.10112859294918562</v>
      </c>
      <c r="Q590" t="s">
        <v>157</v>
      </c>
      <c r="S590" t="s">
        <v>431</v>
      </c>
      <c r="T590" t="s">
        <v>166</v>
      </c>
      <c r="U590">
        <v>7.4867482459254425E-2</v>
      </c>
      <c r="V590" t="s">
        <v>157</v>
      </c>
    </row>
    <row r="591" spans="9:22" x14ac:dyDescent="0.45">
      <c r="I591" t="s">
        <v>209</v>
      </c>
      <c r="J591" t="s">
        <v>167</v>
      </c>
      <c r="K591">
        <v>1.8316798780379145E-2</v>
      </c>
      <c r="L591" t="s">
        <v>157</v>
      </c>
      <c r="N591" t="s">
        <v>320</v>
      </c>
      <c r="O591" t="s">
        <v>167</v>
      </c>
      <c r="P591">
        <v>1.9352028252867012E-2</v>
      </c>
      <c r="Q591" t="s">
        <v>157</v>
      </c>
      <c r="S591" t="s">
        <v>431</v>
      </c>
      <c r="T591" t="s">
        <v>167</v>
      </c>
      <c r="U591">
        <v>4.0310740205990549E-2</v>
      </c>
      <c r="V591" t="s">
        <v>157</v>
      </c>
    </row>
    <row r="592" spans="9:22" x14ac:dyDescent="0.45">
      <c r="I592" t="s">
        <v>209</v>
      </c>
      <c r="J592" t="s">
        <v>168</v>
      </c>
      <c r="K592">
        <v>0.20011861205589088</v>
      </c>
      <c r="L592" t="s">
        <v>157</v>
      </c>
      <c r="N592" t="s">
        <v>320</v>
      </c>
      <c r="O592" t="s">
        <v>168</v>
      </c>
      <c r="P592">
        <v>5.5591381064126366E-2</v>
      </c>
      <c r="Q592" t="s">
        <v>157</v>
      </c>
      <c r="S592" t="s">
        <v>431</v>
      </c>
      <c r="T592" t="s">
        <v>168</v>
      </c>
      <c r="U592">
        <v>6.3020436217432488E-2</v>
      </c>
      <c r="V592" t="s">
        <v>157</v>
      </c>
    </row>
    <row r="593" spans="9:22" x14ac:dyDescent="0.45">
      <c r="I593" t="s">
        <v>209</v>
      </c>
      <c r="J593" t="s">
        <v>169</v>
      </c>
      <c r="K593">
        <v>1.457676988173397E-2</v>
      </c>
      <c r="L593" t="s">
        <v>157</v>
      </c>
      <c r="N593" t="s">
        <v>320</v>
      </c>
      <c r="O593" t="s">
        <v>169</v>
      </c>
      <c r="P593">
        <v>6.7105575148605464E-3</v>
      </c>
      <c r="Q593" t="s">
        <v>157</v>
      </c>
      <c r="S593" t="s">
        <v>431</v>
      </c>
      <c r="T593" t="s">
        <v>169</v>
      </c>
      <c r="U593">
        <v>6.7101788583033683E-3</v>
      </c>
      <c r="V593" t="s">
        <v>157</v>
      </c>
    </row>
    <row r="594" spans="9:22" x14ac:dyDescent="0.45">
      <c r="I594" t="s">
        <v>209</v>
      </c>
      <c r="J594" t="s">
        <v>170</v>
      </c>
      <c r="K594">
        <v>1.1921988578471925E-2</v>
      </c>
      <c r="L594" t="s">
        <v>157</v>
      </c>
      <c r="N594" t="s">
        <v>320</v>
      </c>
      <c r="O594" t="s">
        <v>170</v>
      </c>
      <c r="P594">
        <v>6.1651431886987993E-3</v>
      </c>
      <c r="Q594" t="s">
        <v>157</v>
      </c>
      <c r="S594" t="s">
        <v>431</v>
      </c>
      <c r="T594" t="s">
        <v>170</v>
      </c>
      <c r="U594">
        <v>6.4957070313980958E-3</v>
      </c>
      <c r="V594" t="s">
        <v>157</v>
      </c>
    </row>
    <row r="595" spans="9:22" x14ac:dyDescent="0.45">
      <c r="I595" t="s">
        <v>209</v>
      </c>
      <c r="J595" t="s">
        <v>171</v>
      </c>
      <c r="K595">
        <v>5.9741462321111971E-3</v>
      </c>
      <c r="L595" t="s">
        <v>157</v>
      </c>
      <c r="N595" t="s">
        <v>320</v>
      </c>
      <c r="O595" t="s">
        <v>171</v>
      </c>
      <c r="P595">
        <v>2.0613454920296783E-2</v>
      </c>
      <c r="Q595" t="s">
        <v>157</v>
      </c>
      <c r="S595" t="s">
        <v>431</v>
      </c>
      <c r="T595" t="s">
        <v>171</v>
      </c>
      <c r="U595">
        <v>3.0742737203140986E-2</v>
      </c>
      <c r="V595" t="s">
        <v>157</v>
      </c>
    </row>
    <row r="596" spans="9:22" x14ac:dyDescent="0.45">
      <c r="I596" t="s">
        <v>210</v>
      </c>
      <c r="J596" t="s">
        <v>156</v>
      </c>
      <c r="K596">
        <v>1.4698615548792942E-2</v>
      </c>
      <c r="L596" t="s">
        <v>157</v>
      </c>
      <c r="N596" t="s">
        <v>321</v>
      </c>
      <c r="O596" t="s">
        <v>156</v>
      </c>
      <c r="P596">
        <v>0.10863476704456893</v>
      </c>
      <c r="Q596" t="s">
        <v>157</v>
      </c>
      <c r="S596" t="s">
        <v>432</v>
      </c>
      <c r="T596" t="s">
        <v>156</v>
      </c>
      <c r="U596">
        <v>0.14509419940708496</v>
      </c>
      <c r="V596" t="s">
        <v>157</v>
      </c>
    </row>
    <row r="597" spans="9:22" x14ac:dyDescent="0.45">
      <c r="I597" t="s">
        <v>210</v>
      </c>
      <c r="J597" t="s">
        <v>158</v>
      </c>
      <c r="K597">
        <v>0.4046510712646279</v>
      </c>
      <c r="L597" t="s">
        <v>157</v>
      </c>
      <c r="N597" t="s">
        <v>321</v>
      </c>
      <c r="O597" t="s">
        <v>158</v>
      </c>
      <c r="P597">
        <v>0.17387699217367902</v>
      </c>
      <c r="Q597" t="s">
        <v>157</v>
      </c>
      <c r="S597" t="s">
        <v>432</v>
      </c>
      <c r="T597" t="s">
        <v>158</v>
      </c>
      <c r="U597">
        <v>0.21032136824961811</v>
      </c>
      <c r="V597" t="s">
        <v>157</v>
      </c>
    </row>
    <row r="598" spans="9:22" x14ac:dyDescent="0.45">
      <c r="I598" t="s">
        <v>210</v>
      </c>
      <c r="J598" t="s">
        <v>159</v>
      </c>
      <c r="K598">
        <v>2.7785197225297636E-2</v>
      </c>
      <c r="L598" t="s">
        <v>157</v>
      </c>
      <c r="N598" t="s">
        <v>321</v>
      </c>
      <c r="O598" t="s">
        <v>159</v>
      </c>
      <c r="P598">
        <v>1.853905498593993E-2</v>
      </c>
      <c r="Q598" t="s">
        <v>157</v>
      </c>
      <c r="S598" t="s">
        <v>432</v>
      </c>
      <c r="T598" t="s">
        <v>159</v>
      </c>
      <c r="U598">
        <v>2.1253864624271104E-2</v>
      </c>
      <c r="V598" t="s">
        <v>157</v>
      </c>
    </row>
    <row r="599" spans="9:22" x14ac:dyDescent="0.45">
      <c r="I599" t="s">
        <v>210</v>
      </c>
      <c r="J599" t="s">
        <v>160</v>
      </c>
      <c r="K599">
        <v>1.8454655517420038E-2</v>
      </c>
      <c r="L599" t="s">
        <v>157</v>
      </c>
      <c r="N599" t="s">
        <v>321</v>
      </c>
      <c r="O599" t="s">
        <v>160</v>
      </c>
      <c r="P599">
        <v>1.7990778923683285E-2</v>
      </c>
      <c r="Q599" t="s">
        <v>157</v>
      </c>
      <c r="S599" t="s">
        <v>432</v>
      </c>
      <c r="T599" t="s">
        <v>160</v>
      </c>
      <c r="U599">
        <v>2.1172787822575919E-2</v>
      </c>
      <c r="V599" t="s">
        <v>157</v>
      </c>
    </row>
    <row r="600" spans="9:22" x14ac:dyDescent="0.45">
      <c r="I600" t="s">
        <v>210</v>
      </c>
      <c r="J600" t="s">
        <v>161</v>
      </c>
      <c r="K600">
        <v>8.8797673068989613E-3</v>
      </c>
      <c r="L600" t="s">
        <v>157</v>
      </c>
      <c r="N600" t="s">
        <v>321</v>
      </c>
      <c r="O600" t="s">
        <v>161</v>
      </c>
      <c r="P600">
        <v>7.7662607413346518E-2</v>
      </c>
      <c r="Q600" t="s">
        <v>157</v>
      </c>
      <c r="S600" t="s">
        <v>432</v>
      </c>
      <c r="T600" t="s">
        <v>161</v>
      </c>
      <c r="U600">
        <v>0.10396859014023375</v>
      </c>
      <c r="V600" t="s">
        <v>157</v>
      </c>
    </row>
    <row r="601" spans="9:22" x14ac:dyDescent="0.45">
      <c r="I601" t="s">
        <v>210</v>
      </c>
      <c r="J601" t="s">
        <v>162</v>
      </c>
      <c r="K601">
        <v>4.7222512001233547E-3</v>
      </c>
      <c r="L601" t="s">
        <v>157</v>
      </c>
      <c r="N601" t="s">
        <v>321</v>
      </c>
      <c r="O601" t="s">
        <v>162</v>
      </c>
      <c r="P601">
        <v>0.14711060997440359</v>
      </c>
      <c r="Q601" t="s">
        <v>157</v>
      </c>
      <c r="S601" t="s">
        <v>432</v>
      </c>
      <c r="T601" t="s">
        <v>162</v>
      </c>
      <c r="U601">
        <v>9.8539868341189427E-2</v>
      </c>
      <c r="V601" t="s">
        <v>157</v>
      </c>
    </row>
    <row r="602" spans="9:22" x14ac:dyDescent="0.45">
      <c r="I602" t="s">
        <v>210</v>
      </c>
      <c r="J602" t="s">
        <v>163</v>
      </c>
      <c r="K602">
        <v>0.25053829718130088</v>
      </c>
      <c r="L602" t="s">
        <v>157</v>
      </c>
      <c r="N602" t="s">
        <v>321</v>
      </c>
      <c r="O602" t="s">
        <v>163</v>
      </c>
      <c r="P602">
        <v>0.20663164849930585</v>
      </c>
      <c r="Q602" t="s">
        <v>157</v>
      </c>
      <c r="S602" t="s">
        <v>432</v>
      </c>
      <c r="T602" t="s">
        <v>163</v>
      </c>
      <c r="U602">
        <v>0.14449673908038829</v>
      </c>
      <c r="V602" t="s">
        <v>157</v>
      </c>
    </row>
    <row r="603" spans="9:22" x14ac:dyDescent="0.45">
      <c r="I603" t="s">
        <v>210</v>
      </c>
      <c r="J603" t="s">
        <v>164</v>
      </c>
      <c r="K603">
        <v>1.4814991406587418E-2</v>
      </c>
      <c r="L603" t="s">
        <v>157</v>
      </c>
      <c r="N603" t="s">
        <v>321</v>
      </c>
      <c r="O603" t="s">
        <v>164</v>
      </c>
      <c r="P603">
        <v>1.9607709752043199E-2</v>
      </c>
      <c r="Q603" t="s">
        <v>157</v>
      </c>
      <c r="S603" t="s">
        <v>432</v>
      </c>
      <c r="T603" t="s">
        <v>164</v>
      </c>
      <c r="U603">
        <v>1.4541042193452662E-2</v>
      </c>
      <c r="V603" t="s">
        <v>157</v>
      </c>
    </row>
    <row r="604" spans="9:22" x14ac:dyDescent="0.45">
      <c r="I604" t="s">
        <v>210</v>
      </c>
      <c r="J604" t="s">
        <v>165</v>
      </c>
      <c r="K604">
        <v>4.7346052202474143E-3</v>
      </c>
      <c r="L604" t="s">
        <v>157</v>
      </c>
      <c r="N604" t="s">
        <v>321</v>
      </c>
      <c r="O604" t="s">
        <v>165</v>
      </c>
      <c r="P604">
        <v>2.0251104960006806E-2</v>
      </c>
      <c r="Q604" t="s">
        <v>157</v>
      </c>
      <c r="S604" t="s">
        <v>432</v>
      </c>
      <c r="T604" t="s">
        <v>165</v>
      </c>
      <c r="U604">
        <v>1.4461823773880821E-2</v>
      </c>
      <c r="V604" t="s">
        <v>157</v>
      </c>
    </row>
    <row r="605" spans="9:22" x14ac:dyDescent="0.45">
      <c r="I605" t="s">
        <v>210</v>
      </c>
      <c r="J605" t="s">
        <v>166</v>
      </c>
      <c r="K605">
        <v>0</v>
      </c>
      <c r="L605" t="s">
        <v>157</v>
      </c>
      <c r="N605" t="s">
        <v>321</v>
      </c>
      <c r="O605" t="s">
        <v>166</v>
      </c>
      <c r="P605">
        <v>0.10488674055683123</v>
      </c>
      <c r="Q605" t="s">
        <v>157</v>
      </c>
      <c r="S605" t="s">
        <v>432</v>
      </c>
      <c r="T605" t="s">
        <v>166</v>
      </c>
      <c r="U605">
        <v>7.0857814523638929E-2</v>
      </c>
      <c r="V605" t="s">
        <v>157</v>
      </c>
    </row>
    <row r="606" spans="9:22" x14ac:dyDescent="0.45">
      <c r="I606" t="s">
        <v>210</v>
      </c>
      <c r="J606" t="s">
        <v>167</v>
      </c>
      <c r="K606">
        <v>1.7729512098870085E-2</v>
      </c>
      <c r="L606" t="s">
        <v>157</v>
      </c>
      <c r="N606" t="s">
        <v>321</v>
      </c>
      <c r="O606" t="s">
        <v>167</v>
      </c>
      <c r="P606">
        <v>2.2745022310466975E-2</v>
      </c>
      <c r="Q606" t="s">
        <v>157</v>
      </c>
      <c r="S606" t="s">
        <v>432</v>
      </c>
      <c r="T606" t="s">
        <v>167</v>
      </c>
      <c r="U606">
        <v>4.5302365823653906E-2</v>
      </c>
      <c r="V606" t="s">
        <v>157</v>
      </c>
    </row>
    <row r="607" spans="9:22" x14ac:dyDescent="0.45">
      <c r="I607" t="s">
        <v>210</v>
      </c>
      <c r="J607" t="s">
        <v>168</v>
      </c>
      <c r="K607">
        <v>0.20081667240399262</v>
      </c>
      <c r="L607" t="s">
        <v>157</v>
      </c>
      <c r="N607" t="s">
        <v>321</v>
      </c>
      <c r="O607" t="s">
        <v>168</v>
      </c>
      <c r="P607">
        <v>5.4963596029272477E-2</v>
      </c>
      <c r="Q607" t="s">
        <v>157</v>
      </c>
      <c r="S607" t="s">
        <v>432</v>
      </c>
      <c r="T607" t="s">
        <v>168</v>
      </c>
      <c r="U607">
        <v>6.7726208285056363E-2</v>
      </c>
      <c r="V607" t="s">
        <v>157</v>
      </c>
    </row>
    <row r="608" spans="9:22" x14ac:dyDescent="0.45">
      <c r="I608" t="s">
        <v>210</v>
      </c>
      <c r="J608" t="s">
        <v>169</v>
      </c>
      <c r="K608">
        <v>1.431566245707855E-2</v>
      </c>
      <c r="L608" t="s">
        <v>157</v>
      </c>
      <c r="N608" t="s">
        <v>321</v>
      </c>
      <c r="O608" t="s">
        <v>169</v>
      </c>
      <c r="P608">
        <v>5.8596612317558892E-3</v>
      </c>
      <c r="Q608" t="s">
        <v>157</v>
      </c>
      <c r="S608" t="s">
        <v>432</v>
      </c>
      <c r="T608" t="s">
        <v>169</v>
      </c>
      <c r="U608">
        <v>6.2299022552049161E-3</v>
      </c>
      <c r="V608" t="s">
        <v>157</v>
      </c>
    </row>
    <row r="609" spans="9:22" x14ac:dyDescent="0.45">
      <c r="I609" t="s">
        <v>210</v>
      </c>
      <c r="J609" t="s">
        <v>170</v>
      </c>
      <c r="K609">
        <v>1.1994262939240104E-2</v>
      </c>
      <c r="L609" t="s">
        <v>157</v>
      </c>
      <c r="N609" t="s">
        <v>321</v>
      </c>
      <c r="O609" t="s">
        <v>170</v>
      </c>
      <c r="P609">
        <v>4.8575692097326652E-3</v>
      </c>
      <c r="Q609" t="s">
        <v>157</v>
      </c>
      <c r="S609" t="s">
        <v>432</v>
      </c>
      <c r="T609" t="s">
        <v>170</v>
      </c>
      <c r="U609">
        <v>6.0588978817314914E-3</v>
      </c>
      <c r="V609" t="s">
        <v>157</v>
      </c>
    </row>
    <row r="610" spans="9:22" x14ac:dyDescent="0.45">
      <c r="I610" t="s">
        <v>210</v>
      </c>
      <c r="J610" t="s">
        <v>171</v>
      </c>
      <c r="K610">
        <v>5.8644382295221023E-3</v>
      </c>
      <c r="L610" t="s">
        <v>157</v>
      </c>
      <c r="N610" t="s">
        <v>321</v>
      </c>
      <c r="O610" t="s">
        <v>171</v>
      </c>
      <c r="P610">
        <v>1.6382136934963692E-2</v>
      </c>
      <c r="Q610" t="s">
        <v>157</v>
      </c>
      <c r="S610" t="s">
        <v>432</v>
      </c>
      <c r="T610" t="s">
        <v>171</v>
      </c>
      <c r="U610">
        <v>2.9974527598019308E-2</v>
      </c>
      <c r="V610" t="s">
        <v>157</v>
      </c>
    </row>
    <row r="611" spans="9:22" x14ac:dyDescent="0.45">
      <c r="I611" t="s">
        <v>211</v>
      </c>
      <c r="J611" t="s">
        <v>156</v>
      </c>
      <c r="K611">
        <v>1.3379866652739335E-2</v>
      </c>
      <c r="L611" t="s">
        <v>157</v>
      </c>
      <c r="N611" t="s">
        <v>322</v>
      </c>
      <c r="O611" t="s">
        <v>156</v>
      </c>
      <c r="P611">
        <v>0.12640590937466062</v>
      </c>
      <c r="Q611" t="s">
        <v>157</v>
      </c>
      <c r="S611" t="s">
        <v>433</v>
      </c>
      <c r="T611" t="s">
        <v>156</v>
      </c>
      <c r="U611">
        <v>0.14423346282357263</v>
      </c>
      <c r="V611" t="s">
        <v>157</v>
      </c>
    </row>
    <row r="612" spans="9:22" x14ac:dyDescent="0.45">
      <c r="I612" t="s">
        <v>211</v>
      </c>
      <c r="J612" t="s">
        <v>158</v>
      </c>
      <c r="K612">
        <v>0.4091606410920538</v>
      </c>
      <c r="L612" t="s">
        <v>157</v>
      </c>
      <c r="N612" t="s">
        <v>322</v>
      </c>
      <c r="O612" t="s">
        <v>158</v>
      </c>
      <c r="P612">
        <v>0.18457875743128319</v>
      </c>
      <c r="Q612" t="s">
        <v>157</v>
      </c>
      <c r="S612" t="s">
        <v>433</v>
      </c>
      <c r="T612" t="s">
        <v>158</v>
      </c>
      <c r="U612">
        <v>0.20854614021490867</v>
      </c>
      <c r="V612" t="s">
        <v>157</v>
      </c>
    </row>
    <row r="613" spans="9:22" x14ac:dyDescent="0.45">
      <c r="I613" t="s">
        <v>211</v>
      </c>
      <c r="J613" t="s">
        <v>159</v>
      </c>
      <c r="K613">
        <v>2.7130047613428066E-2</v>
      </c>
      <c r="L613" t="s">
        <v>157</v>
      </c>
      <c r="N613" t="s">
        <v>322</v>
      </c>
      <c r="O613" t="s">
        <v>159</v>
      </c>
      <c r="P613">
        <v>1.8493129246510056E-2</v>
      </c>
      <c r="Q613" t="s">
        <v>157</v>
      </c>
      <c r="S613" t="s">
        <v>433</v>
      </c>
      <c r="T613" t="s">
        <v>159</v>
      </c>
      <c r="U613">
        <v>2.1394063606163975E-2</v>
      </c>
      <c r="V613" t="s">
        <v>157</v>
      </c>
    </row>
    <row r="614" spans="9:22" x14ac:dyDescent="0.45">
      <c r="I614" t="s">
        <v>211</v>
      </c>
      <c r="J614" t="s">
        <v>160</v>
      </c>
      <c r="K614">
        <v>1.7456612863973285E-2</v>
      </c>
      <c r="L614" t="s">
        <v>157</v>
      </c>
      <c r="N614" t="s">
        <v>322</v>
      </c>
      <c r="O614" t="s">
        <v>160</v>
      </c>
      <c r="P614">
        <v>1.7977750843541824E-2</v>
      </c>
      <c r="Q614" t="s">
        <v>157</v>
      </c>
      <c r="S614" t="s">
        <v>433</v>
      </c>
      <c r="T614" t="s">
        <v>160</v>
      </c>
      <c r="U614">
        <v>2.1244367168381621E-2</v>
      </c>
      <c r="V614" t="s">
        <v>157</v>
      </c>
    </row>
    <row r="615" spans="9:22" x14ac:dyDescent="0.45">
      <c r="I615" t="s">
        <v>211</v>
      </c>
      <c r="J615" t="s">
        <v>161</v>
      </c>
      <c r="K615">
        <v>8.1572406711029003E-3</v>
      </c>
      <c r="L615" t="s">
        <v>157</v>
      </c>
      <c r="N615" t="s">
        <v>322</v>
      </c>
      <c r="O615" t="s">
        <v>161</v>
      </c>
      <c r="P615">
        <v>8.2084421972512492E-2</v>
      </c>
      <c r="Q615" t="s">
        <v>157</v>
      </c>
      <c r="S615" t="s">
        <v>433</v>
      </c>
      <c r="T615" t="s">
        <v>161</v>
      </c>
      <c r="U615">
        <v>0.10292595997975071</v>
      </c>
      <c r="V615" t="s">
        <v>157</v>
      </c>
    </row>
    <row r="616" spans="9:22" x14ac:dyDescent="0.45">
      <c r="I616" t="s">
        <v>211</v>
      </c>
      <c r="J616" t="s">
        <v>162</v>
      </c>
      <c r="K616">
        <v>3.6628779088719249E-3</v>
      </c>
      <c r="L616" t="s">
        <v>157</v>
      </c>
      <c r="N616" t="s">
        <v>322</v>
      </c>
      <c r="O616" t="s">
        <v>162</v>
      </c>
      <c r="P616">
        <v>0.13974365627302654</v>
      </c>
      <c r="Q616" t="s">
        <v>157</v>
      </c>
      <c r="S616" t="s">
        <v>433</v>
      </c>
      <c r="T616" t="s">
        <v>162</v>
      </c>
      <c r="U616">
        <v>9.937549700344199E-2</v>
      </c>
      <c r="V616" t="s">
        <v>157</v>
      </c>
    </row>
    <row r="617" spans="9:22" x14ac:dyDescent="0.45">
      <c r="I617" t="s">
        <v>211</v>
      </c>
      <c r="J617" t="s">
        <v>163</v>
      </c>
      <c r="K617">
        <v>0.25037242999411718</v>
      </c>
      <c r="L617" t="s">
        <v>157</v>
      </c>
      <c r="N617" t="s">
        <v>322</v>
      </c>
      <c r="O617" t="s">
        <v>163</v>
      </c>
      <c r="P617">
        <v>0.18966987308608102</v>
      </c>
      <c r="Q617" t="s">
        <v>157</v>
      </c>
      <c r="S617" t="s">
        <v>433</v>
      </c>
      <c r="T617" t="s">
        <v>163</v>
      </c>
      <c r="U617">
        <v>0.14673622611133966</v>
      </c>
      <c r="V617" t="s">
        <v>157</v>
      </c>
    </row>
    <row r="618" spans="9:22" x14ac:dyDescent="0.45">
      <c r="I618" t="s">
        <v>211</v>
      </c>
      <c r="J618" t="s">
        <v>164</v>
      </c>
      <c r="K618">
        <v>1.3257418647436504E-2</v>
      </c>
      <c r="L618" t="s">
        <v>157</v>
      </c>
      <c r="N618" t="s">
        <v>322</v>
      </c>
      <c r="O618" t="s">
        <v>164</v>
      </c>
      <c r="P618">
        <v>1.8583250694903474E-2</v>
      </c>
      <c r="Q618" t="s">
        <v>157</v>
      </c>
      <c r="S618" t="s">
        <v>433</v>
      </c>
      <c r="T618" t="s">
        <v>164</v>
      </c>
      <c r="U618">
        <v>1.4752339179472539E-2</v>
      </c>
      <c r="V618" t="s">
        <v>157</v>
      </c>
    </row>
    <row r="619" spans="9:22" x14ac:dyDescent="0.45">
      <c r="I619" t="s">
        <v>211</v>
      </c>
      <c r="J619" t="s">
        <v>165</v>
      </c>
      <c r="K619">
        <v>3.6990164173090344E-3</v>
      </c>
      <c r="L619" t="s">
        <v>157</v>
      </c>
      <c r="N619" t="s">
        <v>322</v>
      </c>
      <c r="O619" t="s">
        <v>165</v>
      </c>
      <c r="P619">
        <v>1.8248469478702147E-2</v>
      </c>
      <c r="Q619" t="s">
        <v>157</v>
      </c>
      <c r="S619" t="s">
        <v>433</v>
      </c>
      <c r="T619" t="s">
        <v>165</v>
      </c>
      <c r="U619">
        <v>1.4545640482560754E-2</v>
      </c>
      <c r="V619" t="s">
        <v>157</v>
      </c>
    </row>
    <row r="620" spans="9:22" x14ac:dyDescent="0.45">
      <c r="I620" t="s">
        <v>211</v>
      </c>
      <c r="J620" t="s">
        <v>166</v>
      </c>
      <c r="K620">
        <v>0</v>
      </c>
      <c r="L620" t="s">
        <v>157</v>
      </c>
      <c r="N620" t="s">
        <v>322</v>
      </c>
      <c r="O620" t="s">
        <v>166</v>
      </c>
      <c r="P620">
        <v>8.9726649979880682E-2</v>
      </c>
      <c r="Q620" t="s">
        <v>157</v>
      </c>
      <c r="S620" t="s">
        <v>433</v>
      </c>
      <c r="T620" t="s">
        <v>166</v>
      </c>
      <c r="U620">
        <v>7.1059240389099707E-2</v>
      </c>
      <c r="V620" t="s">
        <v>157</v>
      </c>
    </row>
    <row r="621" spans="9:22" x14ac:dyDescent="0.45">
      <c r="I621" t="s">
        <v>211</v>
      </c>
      <c r="J621" t="s">
        <v>167</v>
      </c>
      <c r="K621">
        <v>1.7115436503032697E-2</v>
      </c>
      <c r="L621" t="s">
        <v>157</v>
      </c>
      <c r="N621" t="s">
        <v>322</v>
      </c>
      <c r="O621" t="s">
        <v>167</v>
      </c>
      <c r="P621">
        <v>2.9987536731709546E-2</v>
      </c>
      <c r="Q621" t="s">
        <v>157</v>
      </c>
      <c r="S621" t="s">
        <v>433</v>
      </c>
      <c r="T621" t="s">
        <v>167</v>
      </c>
      <c r="U621">
        <v>4.5325416348855098E-2</v>
      </c>
      <c r="V621" t="s">
        <v>157</v>
      </c>
    </row>
    <row r="622" spans="9:22" x14ac:dyDescent="0.45">
      <c r="I622" t="s">
        <v>211</v>
      </c>
      <c r="J622" t="s">
        <v>168</v>
      </c>
      <c r="K622">
        <v>0.2044917447559331</v>
      </c>
      <c r="L622" t="s">
        <v>157</v>
      </c>
      <c r="N622" t="s">
        <v>322</v>
      </c>
      <c r="O622" t="s">
        <v>168</v>
      </c>
      <c r="P622">
        <v>5.5487342038899823E-2</v>
      </c>
      <c r="Q622" t="s">
        <v>157</v>
      </c>
      <c r="S622" t="s">
        <v>433</v>
      </c>
      <c r="T622" t="s">
        <v>168</v>
      </c>
      <c r="U622">
        <v>6.7784161672012302E-2</v>
      </c>
      <c r="V622" t="s">
        <v>157</v>
      </c>
    </row>
    <row r="623" spans="9:22" x14ac:dyDescent="0.45">
      <c r="I623" t="s">
        <v>211</v>
      </c>
      <c r="J623" t="s">
        <v>169</v>
      </c>
      <c r="K623">
        <v>1.4785948696851176E-2</v>
      </c>
      <c r="L623" t="s">
        <v>157</v>
      </c>
      <c r="N623" t="s">
        <v>322</v>
      </c>
      <c r="O623" t="s">
        <v>169</v>
      </c>
      <c r="P623">
        <v>4.7665423448076784E-3</v>
      </c>
      <c r="Q623" t="s">
        <v>157</v>
      </c>
      <c r="S623" t="s">
        <v>433</v>
      </c>
      <c r="T623" t="s">
        <v>169</v>
      </c>
      <c r="U623">
        <v>6.2334290744957095E-3</v>
      </c>
      <c r="V623" t="s">
        <v>157</v>
      </c>
    </row>
    <row r="624" spans="9:22" x14ac:dyDescent="0.45">
      <c r="I624" t="s">
        <v>211</v>
      </c>
      <c r="J624" t="s">
        <v>170</v>
      </c>
      <c r="K624">
        <v>1.1742776526265025E-2</v>
      </c>
      <c r="L624" t="s">
        <v>157</v>
      </c>
      <c r="N624" t="s">
        <v>322</v>
      </c>
      <c r="O624" t="s">
        <v>170</v>
      </c>
      <c r="P624">
        <v>4.2199982115342155E-3</v>
      </c>
      <c r="Q624" t="s">
        <v>157</v>
      </c>
      <c r="S624" t="s">
        <v>433</v>
      </c>
      <c r="T624" t="s">
        <v>170</v>
      </c>
      <c r="U624">
        <v>6.0876661817092963E-3</v>
      </c>
      <c r="V624" t="s">
        <v>157</v>
      </c>
    </row>
    <row r="625" spans="9:22" x14ac:dyDescent="0.45">
      <c r="I625" t="s">
        <v>211</v>
      </c>
      <c r="J625" t="s">
        <v>171</v>
      </c>
      <c r="K625">
        <v>5.5879416568859622E-3</v>
      </c>
      <c r="L625" t="s">
        <v>157</v>
      </c>
      <c r="N625" t="s">
        <v>322</v>
      </c>
      <c r="O625" t="s">
        <v>171</v>
      </c>
      <c r="P625">
        <v>2.002671229194674E-2</v>
      </c>
      <c r="Q625" t="s">
        <v>157</v>
      </c>
      <c r="S625" t="s">
        <v>433</v>
      </c>
      <c r="T625" t="s">
        <v>171</v>
      </c>
      <c r="U625">
        <v>2.9756389764235329E-2</v>
      </c>
      <c r="V625" t="s">
        <v>157</v>
      </c>
    </row>
    <row r="626" spans="9:22" x14ac:dyDescent="0.45">
      <c r="I626" t="s">
        <v>212</v>
      </c>
      <c r="J626" t="s">
        <v>156</v>
      </c>
      <c r="K626">
        <v>1.2645986305465998E-2</v>
      </c>
      <c r="L626" t="s">
        <v>157</v>
      </c>
      <c r="N626" t="s">
        <v>323</v>
      </c>
      <c r="O626" t="s">
        <v>156</v>
      </c>
      <c r="P626">
        <v>0.1216367015125749</v>
      </c>
      <c r="Q626" t="s">
        <v>157</v>
      </c>
      <c r="S626" t="s">
        <v>434</v>
      </c>
      <c r="T626" t="s">
        <v>156</v>
      </c>
      <c r="U626">
        <v>0.14323877837739671</v>
      </c>
      <c r="V626" t="s">
        <v>157</v>
      </c>
    </row>
    <row r="627" spans="9:22" x14ac:dyDescent="0.45">
      <c r="I627" t="s">
        <v>212</v>
      </c>
      <c r="J627" t="s">
        <v>158</v>
      </c>
      <c r="K627">
        <v>0.42622379794216692</v>
      </c>
      <c r="L627" t="s">
        <v>157</v>
      </c>
      <c r="N627" t="s">
        <v>323</v>
      </c>
      <c r="O627" t="s">
        <v>158</v>
      </c>
      <c r="P627">
        <v>0.20789185754889755</v>
      </c>
      <c r="Q627" t="s">
        <v>157</v>
      </c>
      <c r="S627" t="s">
        <v>434</v>
      </c>
      <c r="T627" t="s">
        <v>158</v>
      </c>
      <c r="U627">
        <v>0.20634418208975888</v>
      </c>
      <c r="V627" t="s">
        <v>157</v>
      </c>
    </row>
    <row r="628" spans="9:22" x14ac:dyDescent="0.45">
      <c r="I628" t="s">
        <v>212</v>
      </c>
      <c r="J628" t="s">
        <v>159</v>
      </c>
      <c r="K628">
        <v>2.9510038406232036E-2</v>
      </c>
      <c r="L628" t="s">
        <v>157</v>
      </c>
      <c r="N628" t="s">
        <v>323</v>
      </c>
      <c r="O628" t="s">
        <v>159</v>
      </c>
      <c r="P628">
        <v>2.2179886603317538E-2</v>
      </c>
      <c r="Q628" t="s">
        <v>157</v>
      </c>
      <c r="S628" t="s">
        <v>434</v>
      </c>
      <c r="T628" t="s">
        <v>159</v>
      </c>
      <c r="U628">
        <v>2.1373737217703293E-2</v>
      </c>
      <c r="V628" t="s">
        <v>157</v>
      </c>
    </row>
    <row r="629" spans="9:22" x14ac:dyDescent="0.45">
      <c r="I629" t="s">
        <v>212</v>
      </c>
      <c r="J629" t="s">
        <v>160</v>
      </c>
      <c r="K629">
        <v>1.8525976756424822E-2</v>
      </c>
      <c r="L629" t="s">
        <v>157</v>
      </c>
      <c r="N629" t="s">
        <v>323</v>
      </c>
      <c r="O629" t="s">
        <v>160</v>
      </c>
      <c r="P629">
        <v>2.0062521871070563E-2</v>
      </c>
      <c r="Q629" t="s">
        <v>157</v>
      </c>
      <c r="S629" t="s">
        <v>434</v>
      </c>
      <c r="T629" t="s">
        <v>160</v>
      </c>
      <c r="U629">
        <v>2.1193741038154319E-2</v>
      </c>
      <c r="V629" t="s">
        <v>157</v>
      </c>
    </row>
    <row r="630" spans="9:22" x14ac:dyDescent="0.45">
      <c r="I630" t="s">
        <v>212</v>
      </c>
      <c r="J630" t="s">
        <v>161</v>
      </c>
      <c r="K630">
        <v>8.2819857651443736E-3</v>
      </c>
      <c r="L630" t="s">
        <v>157</v>
      </c>
      <c r="N630" t="s">
        <v>323</v>
      </c>
      <c r="O630" t="s">
        <v>161</v>
      </c>
      <c r="P630">
        <v>7.8122770828480056E-2</v>
      </c>
      <c r="Q630" t="s">
        <v>157</v>
      </c>
      <c r="S630" t="s">
        <v>434</v>
      </c>
      <c r="T630" t="s">
        <v>161</v>
      </c>
      <c r="U630">
        <v>0.10188863252669662</v>
      </c>
      <c r="V630" t="s">
        <v>157</v>
      </c>
    </row>
    <row r="631" spans="9:22" x14ac:dyDescent="0.45">
      <c r="I631" t="s">
        <v>212</v>
      </c>
      <c r="J631" t="s">
        <v>162</v>
      </c>
      <c r="K631">
        <v>3.2430989000342123E-3</v>
      </c>
      <c r="L631" t="s">
        <v>157</v>
      </c>
      <c r="N631" t="s">
        <v>323</v>
      </c>
      <c r="O631" t="s">
        <v>162</v>
      </c>
      <c r="P631">
        <v>0.11462573030362574</v>
      </c>
      <c r="Q631" t="s">
        <v>157</v>
      </c>
      <c r="S631" t="s">
        <v>434</v>
      </c>
      <c r="T631" t="s">
        <v>162</v>
      </c>
      <c r="U631">
        <v>0.10114104648936371</v>
      </c>
      <c r="V631" t="s">
        <v>157</v>
      </c>
    </row>
    <row r="632" spans="9:22" x14ac:dyDescent="0.45">
      <c r="I632" t="s">
        <v>212</v>
      </c>
      <c r="J632" t="s">
        <v>163</v>
      </c>
      <c r="K632">
        <v>0.2143424506092789</v>
      </c>
      <c r="L632" t="s">
        <v>157</v>
      </c>
      <c r="N632" t="s">
        <v>323</v>
      </c>
      <c r="O632" t="s">
        <v>163</v>
      </c>
      <c r="P632">
        <v>0.18640002218613105</v>
      </c>
      <c r="Q632" t="s">
        <v>157</v>
      </c>
      <c r="S632" t="s">
        <v>434</v>
      </c>
      <c r="T632" t="s">
        <v>163</v>
      </c>
      <c r="U632">
        <v>0.14886636703932302</v>
      </c>
      <c r="V632" t="s">
        <v>157</v>
      </c>
    </row>
    <row r="633" spans="9:22" x14ac:dyDescent="0.45">
      <c r="I633" t="s">
        <v>212</v>
      </c>
      <c r="J633" t="s">
        <v>164</v>
      </c>
      <c r="K633">
        <v>1.1707218429388188E-2</v>
      </c>
      <c r="L633" t="s">
        <v>157</v>
      </c>
      <c r="N633" t="s">
        <v>323</v>
      </c>
      <c r="O633" t="s">
        <v>164</v>
      </c>
      <c r="P633">
        <v>1.9520525907673586E-2</v>
      </c>
      <c r="Q633" t="s">
        <v>157</v>
      </c>
      <c r="S633" t="s">
        <v>434</v>
      </c>
      <c r="T633" t="s">
        <v>164</v>
      </c>
      <c r="U633">
        <v>1.4728538256403257E-2</v>
      </c>
      <c r="V633" t="s">
        <v>157</v>
      </c>
    </row>
    <row r="634" spans="9:22" x14ac:dyDescent="0.45">
      <c r="I634" t="s">
        <v>212</v>
      </c>
      <c r="J634" t="s">
        <v>165</v>
      </c>
      <c r="K634">
        <v>3.1559429712516014E-3</v>
      </c>
      <c r="L634" t="s">
        <v>157</v>
      </c>
      <c r="N634" t="s">
        <v>323</v>
      </c>
      <c r="O634" t="s">
        <v>165</v>
      </c>
      <c r="P634">
        <v>1.7572856412281432E-2</v>
      </c>
      <c r="Q634" t="s">
        <v>157</v>
      </c>
      <c r="S634" t="s">
        <v>434</v>
      </c>
      <c r="T634" t="s">
        <v>165</v>
      </c>
      <c r="U634">
        <v>1.4384242907459899E-2</v>
      </c>
      <c r="V634" t="s">
        <v>157</v>
      </c>
    </row>
    <row r="635" spans="9:22" x14ac:dyDescent="0.45">
      <c r="I635" t="s">
        <v>212</v>
      </c>
      <c r="J635" t="s">
        <v>166</v>
      </c>
      <c r="K635">
        <v>0</v>
      </c>
      <c r="L635" t="s">
        <v>157</v>
      </c>
      <c r="N635" t="s">
        <v>323</v>
      </c>
      <c r="O635" t="s">
        <v>166</v>
      </c>
      <c r="P635">
        <v>8.0224744405159143E-2</v>
      </c>
      <c r="Q635" t="s">
        <v>157</v>
      </c>
      <c r="S635" t="s">
        <v>434</v>
      </c>
      <c r="T635" t="s">
        <v>166</v>
      </c>
      <c r="U635">
        <v>7.2002593858331812E-2</v>
      </c>
      <c r="V635" t="s">
        <v>157</v>
      </c>
    </row>
    <row r="636" spans="9:22" x14ac:dyDescent="0.45">
      <c r="I636" t="s">
        <v>212</v>
      </c>
      <c r="J636" t="s">
        <v>167</v>
      </c>
      <c r="K636">
        <v>1.8843208781081821E-2</v>
      </c>
      <c r="L636" t="s">
        <v>157</v>
      </c>
      <c r="N636" t="s">
        <v>323</v>
      </c>
      <c r="O636" t="s">
        <v>167</v>
      </c>
      <c r="P636">
        <v>2.9213863712223859E-2</v>
      </c>
      <c r="Q636" t="s">
        <v>157</v>
      </c>
      <c r="S636" t="s">
        <v>434</v>
      </c>
      <c r="T636" t="s">
        <v>167</v>
      </c>
      <c r="U636">
        <v>4.5041424413647571E-2</v>
      </c>
      <c r="V636" t="s">
        <v>157</v>
      </c>
    </row>
    <row r="637" spans="9:22" x14ac:dyDescent="0.45">
      <c r="I637" t="s">
        <v>212</v>
      </c>
      <c r="J637" t="s">
        <v>168</v>
      </c>
      <c r="K637">
        <v>0.21877748205759606</v>
      </c>
      <c r="L637" t="s">
        <v>157</v>
      </c>
      <c r="N637" t="s">
        <v>323</v>
      </c>
      <c r="O637" t="s">
        <v>168</v>
      </c>
      <c r="P637">
        <v>6.4938423841106763E-2</v>
      </c>
      <c r="Q637" t="s">
        <v>157</v>
      </c>
      <c r="S637" t="s">
        <v>434</v>
      </c>
      <c r="T637" t="s">
        <v>168</v>
      </c>
      <c r="U637">
        <v>6.7416551995209142E-2</v>
      </c>
      <c r="V637" t="s">
        <v>157</v>
      </c>
    </row>
    <row r="638" spans="9:22" x14ac:dyDescent="0.45">
      <c r="I638" t="s">
        <v>212</v>
      </c>
      <c r="J638" t="s">
        <v>169</v>
      </c>
      <c r="K638">
        <v>1.6612331752397524E-2</v>
      </c>
      <c r="L638" t="s">
        <v>157</v>
      </c>
      <c r="N638" t="s">
        <v>323</v>
      </c>
      <c r="O638" t="s">
        <v>169</v>
      </c>
      <c r="P638">
        <v>6.2969866522370049E-3</v>
      </c>
      <c r="Q638" t="s">
        <v>157</v>
      </c>
      <c r="S638" t="s">
        <v>434</v>
      </c>
      <c r="T638" t="s">
        <v>169</v>
      </c>
      <c r="U638">
        <v>6.2395363248782263E-3</v>
      </c>
      <c r="V638" t="s">
        <v>157</v>
      </c>
    </row>
    <row r="639" spans="9:22" x14ac:dyDescent="0.45">
      <c r="I639" t="s">
        <v>212</v>
      </c>
      <c r="J639" t="s">
        <v>170</v>
      </c>
      <c r="K639">
        <v>1.2465087131178873E-2</v>
      </c>
      <c r="L639" t="s">
        <v>157</v>
      </c>
      <c r="N639" t="s">
        <v>323</v>
      </c>
      <c r="O639" t="s">
        <v>170</v>
      </c>
      <c r="P639">
        <v>5.4284595475891798E-3</v>
      </c>
      <c r="Q639" t="s">
        <v>157</v>
      </c>
      <c r="S639" t="s">
        <v>434</v>
      </c>
      <c r="T639" t="s">
        <v>170</v>
      </c>
      <c r="U639">
        <v>6.1502658083580665E-3</v>
      </c>
      <c r="V639" t="s">
        <v>157</v>
      </c>
    </row>
    <row r="640" spans="9:22" x14ac:dyDescent="0.45">
      <c r="I640" t="s">
        <v>212</v>
      </c>
      <c r="J640" t="s">
        <v>171</v>
      </c>
      <c r="K640">
        <v>5.6653941923586601E-3</v>
      </c>
      <c r="L640" t="s">
        <v>157</v>
      </c>
      <c r="N640" t="s">
        <v>323</v>
      </c>
      <c r="O640" t="s">
        <v>171</v>
      </c>
      <c r="P640">
        <v>2.588464866763172E-2</v>
      </c>
      <c r="Q640" t="s">
        <v>157</v>
      </c>
      <c r="S640" t="s">
        <v>434</v>
      </c>
      <c r="T640" t="s">
        <v>171</v>
      </c>
      <c r="U640">
        <v>2.9990361657315518E-2</v>
      </c>
      <c r="V640" t="s">
        <v>157</v>
      </c>
    </row>
    <row r="641" spans="9:22" x14ac:dyDescent="0.45">
      <c r="I641" t="s">
        <v>213</v>
      </c>
      <c r="J641" t="s">
        <v>156</v>
      </c>
      <c r="K641">
        <v>1.5381521388479501E-2</v>
      </c>
      <c r="L641" t="s">
        <v>157</v>
      </c>
      <c r="N641" t="s">
        <v>324</v>
      </c>
      <c r="O641" t="s">
        <v>156</v>
      </c>
      <c r="P641">
        <v>0.11763961499098877</v>
      </c>
      <c r="Q641" t="s">
        <v>157</v>
      </c>
      <c r="S641" t="s">
        <v>435</v>
      </c>
      <c r="T641" t="s">
        <v>156</v>
      </c>
      <c r="U641">
        <v>0.14259639777231387</v>
      </c>
      <c r="V641" t="s">
        <v>157</v>
      </c>
    </row>
    <row r="642" spans="9:22" x14ac:dyDescent="0.45">
      <c r="I642" t="s">
        <v>213</v>
      </c>
      <c r="J642" t="s">
        <v>158</v>
      </c>
      <c r="K642">
        <v>0.39663717942211496</v>
      </c>
      <c r="L642" t="s">
        <v>157</v>
      </c>
      <c r="N642" t="s">
        <v>324</v>
      </c>
      <c r="O642" t="s">
        <v>158</v>
      </c>
      <c r="P642">
        <v>0.19021412950249666</v>
      </c>
      <c r="Q642" t="s">
        <v>157</v>
      </c>
      <c r="S642" t="s">
        <v>435</v>
      </c>
      <c r="T642" t="s">
        <v>158</v>
      </c>
      <c r="U642">
        <v>0.204662877990758</v>
      </c>
      <c r="V642" t="s">
        <v>157</v>
      </c>
    </row>
    <row r="643" spans="9:22" x14ac:dyDescent="0.45">
      <c r="I643" t="s">
        <v>213</v>
      </c>
      <c r="J643" t="s">
        <v>159</v>
      </c>
      <c r="K643">
        <v>2.8128809208686829E-2</v>
      </c>
      <c r="L643" t="s">
        <v>157</v>
      </c>
      <c r="N643" t="s">
        <v>324</v>
      </c>
      <c r="O643" t="s">
        <v>159</v>
      </c>
      <c r="P643">
        <v>2.5087805445289948E-2</v>
      </c>
      <c r="Q643" t="s">
        <v>157</v>
      </c>
      <c r="S643" t="s">
        <v>435</v>
      </c>
      <c r="T643" t="s">
        <v>159</v>
      </c>
      <c r="U643">
        <v>2.1017821650960382E-2</v>
      </c>
      <c r="V643" t="s">
        <v>157</v>
      </c>
    </row>
    <row r="644" spans="9:22" x14ac:dyDescent="0.45">
      <c r="I644" t="s">
        <v>213</v>
      </c>
      <c r="J644" t="s">
        <v>160</v>
      </c>
      <c r="K644">
        <v>1.8801352209340247E-2</v>
      </c>
      <c r="L644" t="s">
        <v>157</v>
      </c>
      <c r="N644" t="s">
        <v>324</v>
      </c>
      <c r="O644" t="s">
        <v>160</v>
      </c>
      <c r="P644">
        <v>2.4568363014624669E-2</v>
      </c>
      <c r="Q644" t="s">
        <v>157</v>
      </c>
      <c r="S644" t="s">
        <v>435</v>
      </c>
      <c r="T644" t="s">
        <v>160</v>
      </c>
      <c r="U644">
        <v>2.0953173474815911E-2</v>
      </c>
      <c r="V644" t="s">
        <v>157</v>
      </c>
    </row>
    <row r="645" spans="9:22" x14ac:dyDescent="0.45">
      <c r="I645" t="s">
        <v>213</v>
      </c>
      <c r="J645" t="s">
        <v>161</v>
      </c>
      <c r="K645">
        <v>8.1305576516947833E-3</v>
      </c>
      <c r="L645" t="s">
        <v>157</v>
      </c>
      <c r="N645" t="s">
        <v>324</v>
      </c>
      <c r="O645" t="s">
        <v>161</v>
      </c>
      <c r="P645">
        <v>0.10396754310506458</v>
      </c>
      <c r="Q645" t="s">
        <v>157</v>
      </c>
      <c r="S645" t="s">
        <v>435</v>
      </c>
      <c r="T645" t="s">
        <v>161</v>
      </c>
      <c r="U645">
        <v>0.1009059716642762</v>
      </c>
      <c r="V645" t="s">
        <v>157</v>
      </c>
    </row>
    <row r="646" spans="9:22" x14ac:dyDescent="0.45">
      <c r="I646" t="s">
        <v>213</v>
      </c>
      <c r="J646" t="s">
        <v>162</v>
      </c>
      <c r="K646">
        <v>6.9295936952052705E-3</v>
      </c>
      <c r="L646" t="s">
        <v>157</v>
      </c>
      <c r="N646" t="s">
        <v>324</v>
      </c>
      <c r="O646" t="s">
        <v>162</v>
      </c>
      <c r="P646">
        <v>0.10860425839441512</v>
      </c>
      <c r="Q646" t="s">
        <v>157</v>
      </c>
      <c r="S646" t="s">
        <v>435</v>
      </c>
      <c r="T646" t="s">
        <v>162</v>
      </c>
      <c r="U646">
        <v>0.10371601950595488</v>
      </c>
      <c r="V646" t="s">
        <v>157</v>
      </c>
    </row>
    <row r="647" spans="9:22" x14ac:dyDescent="0.45">
      <c r="I647" t="s">
        <v>213</v>
      </c>
      <c r="J647" t="s">
        <v>163</v>
      </c>
      <c r="K647">
        <v>0.25122300820547561</v>
      </c>
      <c r="L647" t="s">
        <v>157</v>
      </c>
      <c r="N647" t="s">
        <v>324</v>
      </c>
      <c r="O647" t="s">
        <v>163</v>
      </c>
      <c r="P647">
        <v>0.15116631027136271</v>
      </c>
      <c r="Q647" t="s">
        <v>157</v>
      </c>
      <c r="S647" t="s">
        <v>435</v>
      </c>
      <c r="T647" t="s">
        <v>163</v>
      </c>
      <c r="U647">
        <v>0.1502283605225441</v>
      </c>
      <c r="V647" t="s">
        <v>157</v>
      </c>
    </row>
    <row r="648" spans="9:22" x14ac:dyDescent="0.45">
      <c r="I648" t="s">
        <v>213</v>
      </c>
      <c r="J648" t="s">
        <v>164</v>
      </c>
      <c r="K648">
        <v>1.5354715538355143E-2</v>
      </c>
      <c r="L648" t="s">
        <v>157</v>
      </c>
      <c r="N648" t="s">
        <v>324</v>
      </c>
      <c r="O648" t="s">
        <v>164</v>
      </c>
      <c r="P648">
        <v>1.8636344202374887E-2</v>
      </c>
      <c r="Q648" t="s">
        <v>157</v>
      </c>
      <c r="S648" t="s">
        <v>435</v>
      </c>
      <c r="T648" t="s">
        <v>164</v>
      </c>
      <c r="U648">
        <v>1.4347245734370561E-2</v>
      </c>
      <c r="V648" t="s">
        <v>157</v>
      </c>
    </row>
    <row r="649" spans="9:22" x14ac:dyDescent="0.45">
      <c r="I649" t="s">
        <v>213</v>
      </c>
      <c r="J649" t="s">
        <v>165</v>
      </c>
      <c r="K649">
        <v>5.1293306185806629E-3</v>
      </c>
      <c r="L649" t="s">
        <v>157</v>
      </c>
      <c r="N649" t="s">
        <v>324</v>
      </c>
      <c r="O649" t="s">
        <v>165</v>
      </c>
      <c r="P649">
        <v>1.8719401721651759E-2</v>
      </c>
      <c r="Q649" t="s">
        <v>157</v>
      </c>
      <c r="S649" t="s">
        <v>435</v>
      </c>
      <c r="T649" t="s">
        <v>165</v>
      </c>
      <c r="U649">
        <v>1.4243262014678083E-2</v>
      </c>
      <c r="V649" t="s">
        <v>157</v>
      </c>
    </row>
    <row r="650" spans="9:22" x14ac:dyDescent="0.45">
      <c r="I650" t="s">
        <v>213</v>
      </c>
      <c r="J650" t="s">
        <v>166</v>
      </c>
      <c r="K650">
        <v>0</v>
      </c>
      <c r="L650" t="s">
        <v>157</v>
      </c>
      <c r="N650" t="s">
        <v>324</v>
      </c>
      <c r="O650" t="s">
        <v>166</v>
      </c>
      <c r="P650">
        <v>9.0610441808877312E-2</v>
      </c>
      <c r="Q650" t="s">
        <v>157</v>
      </c>
      <c r="S650" t="s">
        <v>435</v>
      </c>
      <c r="T650" t="s">
        <v>166</v>
      </c>
      <c r="U650">
        <v>7.2684668300564678E-2</v>
      </c>
      <c r="V650" t="s">
        <v>157</v>
      </c>
    </row>
    <row r="651" spans="9:22" x14ac:dyDescent="0.45">
      <c r="I651" t="s">
        <v>213</v>
      </c>
      <c r="J651" t="s">
        <v>167</v>
      </c>
      <c r="K651">
        <v>1.8878694190180404E-2</v>
      </c>
      <c r="L651" t="s">
        <v>157</v>
      </c>
      <c r="N651" t="s">
        <v>324</v>
      </c>
      <c r="O651" t="s">
        <v>167</v>
      </c>
      <c r="P651">
        <v>3.4338744552679504E-2</v>
      </c>
      <c r="Q651" t="s">
        <v>157</v>
      </c>
      <c r="S651" t="s">
        <v>435</v>
      </c>
      <c r="T651" t="s">
        <v>167</v>
      </c>
      <c r="U651">
        <v>4.4664131883271868E-2</v>
      </c>
      <c r="V651" t="s">
        <v>157</v>
      </c>
    </row>
    <row r="652" spans="9:22" x14ac:dyDescent="0.45">
      <c r="I652" t="s">
        <v>213</v>
      </c>
      <c r="J652" t="s">
        <v>168</v>
      </c>
      <c r="K652">
        <v>0.20375958140180095</v>
      </c>
      <c r="L652" t="s">
        <v>157</v>
      </c>
      <c r="N652" t="s">
        <v>324</v>
      </c>
      <c r="O652" t="s">
        <v>168</v>
      </c>
      <c r="P652">
        <v>6.087098383391757E-2</v>
      </c>
      <c r="Q652" t="s">
        <v>157</v>
      </c>
      <c r="S652" t="s">
        <v>435</v>
      </c>
      <c r="T652" t="s">
        <v>168</v>
      </c>
      <c r="U652">
        <v>6.7182019579119401E-2</v>
      </c>
      <c r="V652" t="s">
        <v>157</v>
      </c>
    </row>
    <row r="653" spans="9:22" x14ac:dyDescent="0.45">
      <c r="I653" t="s">
        <v>213</v>
      </c>
      <c r="J653" t="s">
        <v>169</v>
      </c>
      <c r="K653">
        <v>1.4745660445289778E-2</v>
      </c>
      <c r="L653" t="s">
        <v>157</v>
      </c>
      <c r="N653" t="s">
        <v>324</v>
      </c>
      <c r="O653" t="s">
        <v>169</v>
      </c>
      <c r="P653">
        <v>9.1999805949671085E-3</v>
      </c>
      <c r="Q653" t="s">
        <v>157</v>
      </c>
      <c r="S653" t="s">
        <v>435</v>
      </c>
      <c r="T653" t="s">
        <v>169</v>
      </c>
      <c r="U653">
        <v>6.2076755042636276E-3</v>
      </c>
      <c r="V653" t="s">
        <v>157</v>
      </c>
    </row>
    <row r="654" spans="9:22" x14ac:dyDescent="0.45">
      <c r="I654" t="s">
        <v>213</v>
      </c>
      <c r="J654" t="s">
        <v>170</v>
      </c>
      <c r="K654">
        <v>1.1614873080655737E-2</v>
      </c>
      <c r="L654" t="s">
        <v>157</v>
      </c>
      <c r="N654" t="s">
        <v>324</v>
      </c>
      <c r="O654" t="s">
        <v>170</v>
      </c>
      <c r="P654">
        <v>8.9238382914898461E-3</v>
      </c>
      <c r="Q654" t="s">
        <v>157</v>
      </c>
      <c r="S654" t="s">
        <v>435</v>
      </c>
      <c r="T654" t="s">
        <v>170</v>
      </c>
      <c r="U654">
        <v>6.1809029478725038E-3</v>
      </c>
      <c r="V654" t="s">
        <v>157</v>
      </c>
    </row>
    <row r="655" spans="9:22" x14ac:dyDescent="0.45">
      <c r="I655" t="s">
        <v>213</v>
      </c>
      <c r="J655" t="s">
        <v>171</v>
      </c>
      <c r="K655">
        <v>5.2851229441400732E-3</v>
      </c>
      <c r="L655" t="s">
        <v>157</v>
      </c>
      <c r="N655" t="s">
        <v>324</v>
      </c>
      <c r="O655" t="s">
        <v>171</v>
      </c>
      <c r="P655">
        <v>3.7452240269799507E-2</v>
      </c>
      <c r="Q655" t="s">
        <v>157</v>
      </c>
      <c r="S655" t="s">
        <v>435</v>
      </c>
      <c r="T655" t="s">
        <v>171</v>
      </c>
      <c r="U655">
        <v>3.0409471454235996E-2</v>
      </c>
      <c r="V655" t="s">
        <v>157</v>
      </c>
    </row>
    <row r="656" spans="9:22" x14ac:dyDescent="0.45">
      <c r="I656" t="s">
        <v>214</v>
      </c>
      <c r="J656" t="s">
        <v>156</v>
      </c>
      <c r="K656">
        <v>1.5537122272048223E-2</v>
      </c>
      <c r="L656" t="s">
        <v>157</v>
      </c>
      <c r="N656" t="s">
        <v>325</v>
      </c>
      <c r="O656" t="s">
        <v>156</v>
      </c>
      <c r="P656">
        <v>0.12370096157879863</v>
      </c>
      <c r="Q656" t="s">
        <v>157</v>
      </c>
      <c r="S656" t="s">
        <v>436</v>
      </c>
      <c r="T656" t="s">
        <v>156</v>
      </c>
      <c r="U656">
        <v>0.14208037853824279</v>
      </c>
      <c r="V656" t="s">
        <v>157</v>
      </c>
    </row>
    <row r="657" spans="9:22" x14ac:dyDescent="0.45">
      <c r="I657" t="s">
        <v>214</v>
      </c>
      <c r="J657" t="s">
        <v>158</v>
      </c>
      <c r="K657">
        <v>0.40346442590704201</v>
      </c>
      <c r="L657" t="s">
        <v>157</v>
      </c>
      <c r="N657" t="s">
        <v>325</v>
      </c>
      <c r="O657" t="s">
        <v>158</v>
      </c>
      <c r="P657">
        <v>0.17167379161287985</v>
      </c>
      <c r="Q657" t="s">
        <v>157</v>
      </c>
      <c r="S657" t="s">
        <v>436</v>
      </c>
      <c r="T657" t="s">
        <v>158</v>
      </c>
      <c r="U657">
        <v>0.20240370211530043</v>
      </c>
      <c r="V657" t="s">
        <v>157</v>
      </c>
    </row>
    <row r="658" spans="9:22" x14ac:dyDescent="0.45">
      <c r="I658" t="s">
        <v>214</v>
      </c>
      <c r="J658" t="s">
        <v>159</v>
      </c>
      <c r="K658">
        <v>2.7583557422856626E-2</v>
      </c>
      <c r="L658" t="s">
        <v>157</v>
      </c>
      <c r="N658" t="s">
        <v>325</v>
      </c>
      <c r="O658" t="s">
        <v>159</v>
      </c>
      <c r="P658">
        <v>2.1502395691931759E-2</v>
      </c>
      <c r="Q658" t="s">
        <v>157</v>
      </c>
      <c r="S658" t="s">
        <v>436</v>
      </c>
      <c r="T658" t="s">
        <v>159</v>
      </c>
      <c r="U658">
        <v>2.0901511945633243E-2</v>
      </c>
      <c r="V658" t="s">
        <v>157</v>
      </c>
    </row>
    <row r="659" spans="9:22" x14ac:dyDescent="0.45">
      <c r="I659" t="s">
        <v>214</v>
      </c>
      <c r="J659" t="s">
        <v>160</v>
      </c>
      <c r="K659">
        <v>1.828391238979139E-2</v>
      </c>
      <c r="L659" t="s">
        <v>157</v>
      </c>
      <c r="N659" t="s">
        <v>325</v>
      </c>
      <c r="O659" t="s">
        <v>160</v>
      </c>
      <c r="P659">
        <v>2.1242633625384186E-2</v>
      </c>
      <c r="Q659" t="s">
        <v>157</v>
      </c>
      <c r="S659" t="s">
        <v>436</v>
      </c>
      <c r="T659" t="s">
        <v>160</v>
      </c>
      <c r="U659">
        <v>2.0784352220168587E-2</v>
      </c>
      <c r="V659" t="s">
        <v>157</v>
      </c>
    </row>
    <row r="660" spans="9:22" x14ac:dyDescent="0.45">
      <c r="I660" t="s">
        <v>214</v>
      </c>
      <c r="J660" t="s">
        <v>161</v>
      </c>
      <c r="K660">
        <v>8.1226362896172199E-3</v>
      </c>
      <c r="L660" t="s">
        <v>157</v>
      </c>
      <c r="N660" t="s">
        <v>325</v>
      </c>
      <c r="O660" t="s">
        <v>161</v>
      </c>
      <c r="P660">
        <v>9.5617123642233154E-2</v>
      </c>
      <c r="Q660" t="s">
        <v>157</v>
      </c>
      <c r="S660" t="s">
        <v>436</v>
      </c>
      <c r="T660" t="s">
        <v>161</v>
      </c>
      <c r="U660">
        <v>0.10022524024211824</v>
      </c>
      <c r="V660" t="s">
        <v>157</v>
      </c>
    </row>
    <row r="661" spans="9:22" x14ac:dyDescent="0.45">
      <c r="I661" t="s">
        <v>214</v>
      </c>
      <c r="J661" t="s">
        <v>162</v>
      </c>
      <c r="K661">
        <v>5.856705931591418E-3</v>
      </c>
      <c r="L661" t="s">
        <v>157</v>
      </c>
      <c r="N661" t="s">
        <v>325</v>
      </c>
      <c r="O661" t="s">
        <v>162</v>
      </c>
      <c r="P661">
        <v>0.13763852334136834</v>
      </c>
      <c r="Q661" t="s">
        <v>157</v>
      </c>
      <c r="S661" t="s">
        <v>436</v>
      </c>
      <c r="T661" t="s">
        <v>162</v>
      </c>
      <c r="U661">
        <v>0.10663400642989201</v>
      </c>
      <c r="V661" t="s">
        <v>157</v>
      </c>
    </row>
    <row r="662" spans="9:22" x14ac:dyDescent="0.45">
      <c r="I662" t="s">
        <v>214</v>
      </c>
      <c r="J662" t="s">
        <v>163</v>
      </c>
      <c r="K662">
        <v>0.25246695116118928</v>
      </c>
      <c r="L662" t="s">
        <v>157</v>
      </c>
      <c r="N662" t="s">
        <v>325</v>
      </c>
      <c r="O662" t="s">
        <v>163</v>
      </c>
      <c r="P662">
        <v>0.16434715667429262</v>
      </c>
      <c r="Q662" t="s">
        <v>157</v>
      </c>
      <c r="S662" t="s">
        <v>436</v>
      </c>
      <c r="T662" t="s">
        <v>163</v>
      </c>
      <c r="U662">
        <v>0.15057891318627048</v>
      </c>
      <c r="V662" t="s">
        <v>157</v>
      </c>
    </row>
    <row r="663" spans="9:22" x14ac:dyDescent="0.45">
      <c r="I663" t="s">
        <v>214</v>
      </c>
      <c r="J663" t="s">
        <v>164</v>
      </c>
      <c r="K663">
        <v>1.5541113324977051E-2</v>
      </c>
      <c r="L663" t="s">
        <v>157</v>
      </c>
      <c r="N663" t="s">
        <v>325</v>
      </c>
      <c r="O663" t="s">
        <v>164</v>
      </c>
      <c r="P663">
        <v>1.8647899360243539E-2</v>
      </c>
      <c r="Q663" t="s">
        <v>157</v>
      </c>
      <c r="S663" t="s">
        <v>436</v>
      </c>
      <c r="T663" t="s">
        <v>164</v>
      </c>
      <c r="U663">
        <v>1.4542577694056301E-2</v>
      </c>
      <c r="V663" t="s">
        <v>157</v>
      </c>
    </row>
    <row r="664" spans="9:22" x14ac:dyDescent="0.45">
      <c r="I664" t="s">
        <v>214</v>
      </c>
      <c r="J664" t="s">
        <v>165</v>
      </c>
      <c r="K664">
        <v>4.8521762901482515E-3</v>
      </c>
      <c r="L664" t="s">
        <v>157</v>
      </c>
      <c r="N664" t="s">
        <v>325</v>
      </c>
      <c r="O664" t="s">
        <v>165</v>
      </c>
      <c r="P664">
        <v>1.9004092488299762E-2</v>
      </c>
      <c r="Q664" t="s">
        <v>157</v>
      </c>
      <c r="S664" t="s">
        <v>436</v>
      </c>
      <c r="T664" t="s">
        <v>165</v>
      </c>
      <c r="U664">
        <v>1.4380035832397102E-2</v>
      </c>
      <c r="V664" t="s">
        <v>157</v>
      </c>
    </row>
    <row r="665" spans="9:22" x14ac:dyDescent="0.45">
      <c r="I665" t="s">
        <v>214</v>
      </c>
      <c r="J665" t="s">
        <v>166</v>
      </c>
      <c r="K665">
        <v>0</v>
      </c>
      <c r="L665" t="s">
        <v>157</v>
      </c>
      <c r="N665" t="s">
        <v>325</v>
      </c>
      <c r="O665" t="s">
        <v>166</v>
      </c>
      <c r="P665">
        <v>0.1025378644373144</v>
      </c>
      <c r="Q665" t="s">
        <v>157</v>
      </c>
      <c r="S665" t="s">
        <v>436</v>
      </c>
      <c r="T665" t="s">
        <v>166</v>
      </c>
      <c r="U665">
        <v>7.2550885557638334E-2</v>
      </c>
      <c r="V665" t="s">
        <v>157</v>
      </c>
    </row>
    <row r="666" spans="9:22" x14ac:dyDescent="0.45">
      <c r="I666" t="s">
        <v>214</v>
      </c>
      <c r="J666" t="s">
        <v>167</v>
      </c>
      <c r="K666">
        <v>1.9162095812453463E-2</v>
      </c>
      <c r="L666" t="s">
        <v>157</v>
      </c>
      <c r="N666" t="s">
        <v>325</v>
      </c>
      <c r="O666" t="s">
        <v>167</v>
      </c>
      <c r="P666">
        <v>3.04326340294611E-2</v>
      </c>
      <c r="Q666" t="s">
        <v>157</v>
      </c>
      <c r="S666" t="s">
        <v>436</v>
      </c>
      <c r="T666" t="s">
        <v>167</v>
      </c>
      <c r="U666">
        <v>4.4787675764376651E-2</v>
      </c>
      <c r="V666" t="s">
        <v>157</v>
      </c>
    </row>
    <row r="667" spans="9:22" x14ac:dyDescent="0.45">
      <c r="I667" t="s">
        <v>214</v>
      </c>
      <c r="J667" t="s">
        <v>168</v>
      </c>
      <c r="K667">
        <v>0.19932868519284766</v>
      </c>
      <c r="L667" t="s">
        <v>157</v>
      </c>
      <c r="N667" t="s">
        <v>325</v>
      </c>
      <c r="O667" t="s">
        <v>168</v>
      </c>
      <c r="P667">
        <v>5.0297421116773662E-2</v>
      </c>
      <c r="Q667" t="s">
        <v>157</v>
      </c>
      <c r="S667" t="s">
        <v>436</v>
      </c>
      <c r="T667" t="s">
        <v>168</v>
      </c>
      <c r="U667">
        <v>6.7172894889683116E-2</v>
      </c>
      <c r="V667" t="s">
        <v>157</v>
      </c>
    </row>
    <row r="668" spans="9:22" x14ac:dyDescent="0.45">
      <c r="I668" t="s">
        <v>214</v>
      </c>
      <c r="J668" t="s">
        <v>169</v>
      </c>
      <c r="K668">
        <v>1.3658536471531479E-2</v>
      </c>
      <c r="L668" t="s">
        <v>157</v>
      </c>
      <c r="N668" t="s">
        <v>325</v>
      </c>
      <c r="O668" t="s">
        <v>169</v>
      </c>
      <c r="P668">
        <v>7.0327821252320431E-3</v>
      </c>
      <c r="Q668" t="s">
        <v>157</v>
      </c>
      <c r="S668" t="s">
        <v>436</v>
      </c>
      <c r="T668" t="s">
        <v>169</v>
      </c>
      <c r="U668">
        <v>6.246366424658977E-3</v>
      </c>
      <c r="V668" t="s">
        <v>157</v>
      </c>
    </row>
    <row r="669" spans="9:22" x14ac:dyDescent="0.45">
      <c r="I669" t="s">
        <v>214</v>
      </c>
      <c r="J669" t="s">
        <v>170</v>
      </c>
      <c r="K669">
        <v>1.1305102948012069E-2</v>
      </c>
      <c r="L669" t="s">
        <v>157</v>
      </c>
      <c r="N669" t="s">
        <v>325</v>
      </c>
      <c r="O669" t="s">
        <v>170</v>
      </c>
      <c r="P669">
        <v>6.7913457887168209E-3</v>
      </c>
      <c r="Q669" t="s">
        <v>157</v>
      </c>
      <c r="S669" t="s">
        <v>436</v>
      </c>
      <c r="T669" t="s">
        <v>170</v>
      </c>
      <c r="U669">
        <v>6.1870821346885641E-3</v>
      </c>
      <c r="V669" t="s">
        <v>157</v>
      </c>
    </row>
    <row r="670" spans="9:22" x14ac:dyDescent="0.45">
      <c r="I670" t="s">
        <v>214</v>
      </c>
      <c r="J670" t="s">
        <v>171</v>
      </c>
      <c r="K670">
        <v>4.8369785858939345E-3</v>
      </c>
      <c r="L670" t="s">
        <v>157</v>
      </c>
      <c r="N670" t="s">
        <v>325</v>
      </c>
      <c r="O670" t="s">
        <v>171</v>
      </c>
      <c r="P670">
        <v>2.9533374487070118E-2</v>
      </c>
      <c r="Q670" t="s">
        <v>157</v>
      </c>
      <c r="S670" t="s">
        <v>436</v>
      </c>
      <c r="T670" t="s">
        <v>171</v>
      </c>
      <c r="U670">
        <v>3.0524377024875284E-2</v>
      </c>
      <c r="V670" t="s">
        <v>157</v>
      </c>
    </row>
    <row r="671" spans="9:22" x14ac:dyDescent="0.45">
      <c r="I671" t="s">
        <v>215</v>
      </c>
      <c r="J671" t="s">
        <v>156</v>
      </c>
      <c r="K671">
        <v>1.4353263796686569E-2</v>
      </c>
      <c r="L671" t="s">
        <v>157</v>
      </c>
      <c r="N671" t="s">
        <v>326</v>
      </c>
      <c r="O671" t="s">
        <v>156</v>
      </c>
      <c r="P671">
        <v>0.13376064053621683</v>
      </c>
      <c r="Q671" t="s">
        <v>157</v>
      </c>
      <c r="S671" t="s">
        <v>437</v>
      </c>
      <c r="T671" t="s">
        <v>156</v>
      </c>
      <c r="U671">
        <v>0.14061503248567081</v>
      </c>
      <c r="V671" t="s">
        <v>157</v>
      </c>
    </row>
    <row r="672" spans="9:22" x14ac:dyDescent="0.45">
      <c r="I672" t="s">
        <v>215</v>
      </c>
      <c r="J672" t="s">
        <v>158</v>
      </c>
      <c r="K672">
        <v>0.41455386542949063</v>
      </c>
      <c r="L672" t="s">
        <v>157</v>
      </c>
      <c r="N672" t="s">
        <v>326</v>
      </c>
      <c r="O672" t="s">
        <v>158</v>
      </c>
      <c r="P672">
        <v>0.15604615449004006</v>
      </c>
      <c r="Q672" t="s">
        <v>157</v>
      </c>
      <c r="S672" t="s">
        <v>437</v>
      </c>
      <c r="T672" t="s">
        <v>158</v>
      </c>
      <c r="U672">
        <v>0.20130541405394103</v>
      </c>
      <c r="V672" t="s">
        <v>157</v>
      </c>
    </row>
    <row r="673" spans="9:22" x14ac:dyDescent="0.45">
      <c r="I673" t="s">
        <v>215</v>
      </c>
      <c r="J673" t="s">
        <v>159</v>
      </c>
      <c r="K673">
        <v>2.7612048275448754E-2</v>
      </c>
      <c r="L673" t="s">
        <v>157</v>
      </c>
      <c r="N673" t="s">
        <v>326</v>
      </c>
      <c r="O673" t="s">
        <v>159</v>
      </c>
      <c r="P673">
        <v>1.5601673068293447E-2</v>
      </c>
      <c r="Q673" t="s">
        <v>157</v>
      </c>
      <c r="S673" t="s">
        <v>437</v>
      </c>
      <c r="T673" t="s">
        <v>159</v>
      </c>
      <c r="U673">
        <v>2.0595605919666454E-2</v>
      </c>
      <c r="V673" t="s">
        <v>157</v>
      </c>
    </row>
    <row r="674" spans="9:22" x14ac:dyDescent="0.45">
      <c r="I674" t="s">
        <v>215</v>
      </c>
      <c r="J674" t="s">
        <v>160</v>
      </c>
      <c r="K674">
        <v>1.7883260472559066E-2</v>
      </c>
      <c r="L674" t="s">
        <v>157</v>
      </c>
      <c r="N674" t="s">
        <v>326</v>
      </c>
      <c r="O674" t="s">
        <v>160</v>
      </c>
      <c r="P674">
        <v>1.6072085973755434E-2</v>
      </c>
      <c r="Q674" t="s">
        <v>157</v>
      </c>
      <c r="S674" t="s">
        <v>437</v>
      </c>
      <c r="T674" t="s">
        <v>160</v>
      </c>
      <c r="U674">
        <v>2.0503136141859824E-2</v>
      </c>
      <c r="V674" t="s">
        <v>157</v>
      </c>
    </row>
    <row r="675" spans="9:22" x14ac:dyDescent="0.45">
      <c r="I675" t="s">
        <v>215</v>
      </c>
      <c r="J675" t="s">
        <v>161</v>
      </c>
      <c r="K675">
        <v>7.9205123339791857E-3</v>
      </c>
      <c r="L675" t="s">
        <v>157</v>
      </c>
      <c r="N675" t="s">
        <v>326</v>
      </c>
      <c r="O675" t="s">
        <v>161</v>
      </c>
      <c r="P675">
        <v>8.8438386995658938E-2</v>
      </c>
      <c r="Q675" t="s">
        <v>157</v>
      </c>
      <c r="S675" t="s">
        <v>437</v>
      </c>
      <c r="T675" t="s">
        <v>161</v>
      </c>
      <c r="U675">
        <v>0.1002265829942726</v>
      </c>
      <c r="V675" t="s">
        <v>157</v>
      </c>
    </row>
    <row r="676" spans="9:22" x14ac:dyDescent="0.45">
      <c r="I676" t="s">
        <v>215</v>
      </c>
      <c r="J676" t="s">
        <v>162</v>
      </c>
      <c r="K676">
        <v>4.2471318155395026E-3</v>
      </c>
      <c r="L676" t="s">
        <v>157</v>
      </c>
      <c r="N676" t="s">
        <v>326</v>
      </c>
      <c r="O676" t="s">
        <v>162</v>
      </c>
      <c r="P676">
        <v>0.15996498190667369</v>
      </c>
      <c r="Q676" t="s">
        <v>157</v>
      </c>
      <c r="S676" t="s">
        <v>437</v>
      </c>
      <c r="T676" t="s">
        <v>162</v>
      </c>
      <c r="U676">
        <v>0.10775357608474746</v>
      </c>
      <c r="V676" t="s">
        <v>157</v>
      </c>
    </row>
    <row r="677" spans="9:22" x14ac:dyDescent="0.45">
      <c r="I677" t="s">
        <v>215</v>
      </c>
      <c r="J677" t="s">
        <v>163</v>
      </c>
      <c r="K677">
        <v>0.24648981849971988</v>
      </c>
      <c r="L677" t="s">
        <v>157</v>
      </c>
      <c r="N677" t="s">
        <v>326</v>
      </c>
      <c r="O677" t="s">
        <v>163</v>
      </c>
      <c r="P677">
        <v>0.17941329359678318</v>
      </c>
      <c r="Q677" t="s">
        <v>157</v>
      </c>
      <c r="S677" t="s">
        <v>437</v>
      </c>
      <c r="T677" t="s">
        <v>163</v>
      </c>
      <c r="U677">
        <v>0.1503367068496673</v>
      </c>
      <c r="V677" t="s">
        <v>157</v>
      </c>
    </row>
    <row r="678" spans="9:22" x14ac:dyDescent="0.45">
      <c r="I678" t="s">
        <v>215</v>
      </c>
      <c r="J678" t="s">
        <v>164</v>
      </c>
      <c r="K678">
        <v>1.4447110411781294E-2</v>
      </c>
      <c r="L678" t="s">
        <v>157</v>
      </c>
      <c r="N678" t="s">
        <v>326</v>
      </c>
      <c r="O678" t="s">
        <v>164</v>
      </c>
      <c r="P678">
        <v>1.8395928557095625E-2</v>
      </c>
      <c r="Q678" t="s">
        <v>157</v>
      </c>
      <c r="S678" t="s">
        <v>437</v>
      </c>
      <c r="T678" t="s">
        <v>164</v>
      </c>
      <c r="U678">
        <v>1.4624344274818984E-2</v>
      </c>
      <c r="V678" t="s">
        <v>157</v>
      </c>
    </row>
    <row r="679" spans="9:22" x14ac:dyDescent="0.45">
      <c r="I679" t="s">
        <v>215</v>
      </c>
      <c r="J679" t="s">
        <v>165</v>
      </c>
      <c r="K679">
        <v>4.1398566289804414E-3</v>
      </c>
      <c r="L679" t="s">
        <v>157</v>
      </c>
      <c r="N679" t="s">
        <v>326</v>
      </c>
      <c r="O679" t="s">
        <v>165</v>
      </c>
      <c r="P679">
        <v>1.9134061643668269E-2</v>
      </c>
      <c r="Q679" t="s">
        <v>157</v>
      </c>
      <c r="S679" t="s">
        <v>437</v>
      </c>
      <c r="T679" t="s">
        <v>165</v>
      </c>
      <c r="U679">
        <v>1.4490803870220404E-2</v>
      </c>
      <c r="V679" t="s">
        <v>157</v>
      </c>
    </row>
    <row r="680" spans="9:22" x14ac:dyDescent="0.45">
      <c r="I680" t="s">
        <v>215</v>
      </c>
      <c r="J680" t="s">
        <v>166</v>
      </c>
      <c r="K680">
        <v>0</v>
      </c>
      <c r="L680" t="s">
        <v>157</v>
      </c>
      <c r="N680" t="s">
        <v>326</v>
      </c>
      <c r="O680" t="s">
        <v>166</v>
      </c>
      <c r="P680">
        <v>0.10525175599327563</v>
      </c>
      <c r="Q680" t="s">
        <v>157</v>
      </c>
      <c r="S680" t="s">
        <v>437</v>
      </c>
      <c r="T680" t="s">
        <v>166</v>
      </c>
      <c r="U680">
        <v>7.3196329286212586E-2</v>
      </c>
      <c r="V680" t="s">
        <v>157</v>
      </c>
    </row>
    <row r="681" spans="9:22" x14ac:dyDescent="0.45">
      <c r="I681" t="s">
        <v>215</v>
      </c>
      <c r="J681" t="s">
        <v>167</v>
      </c>
      <c r="K681">
        <v>1.7856134480885254E-2</v>
      </c>
      <c r="L681" t="s">
        <v>157</v>
      </c>
      <c r="N681" t="s">
        <v>326</v>
      </c>
      <c r="O681" t="s">
        <v>167</v>
      </c>
      <c r="P681">
        <v>3.3260583598283586E-2</v>
      </c>
      <c r="Q681" t="s">
        <v>157</v>
      </c>
      <c r="S681" t="s">
        <v>437</v>
      </c>
      <c r="T681" t="s">
        <v>167</v>
      </c>
      <c r="U681">
        <v>4.5516280098321496E-2</v>
      </c>
      <c r="V681" t="s">
        <v>157</v>
      </c>
    </row>
    <row r="682" spans="9:22" x14ac:dyDescent="0.45">
      <c r="I682" t="s">
        <v>215</v>
      </c>
      <c r="J682" t="s">
        <v>168</v>
      </c>
      <c r="K682">
        <v>0.20078407868981998</v>
      </c>
      <c r="L682" t="s">
        <v>157</v>
      </c>
      <c r="N682" t="s">
        <v>326</v>
      </c>
      <c r="O682" t="s">
        <v>168</v>
      </c>
      <c r="P682">
        <v>4.481599619900619E-2</v>
      </c>
      <c r="Q682" t="s">
        <v>157</v>
      </c>
      <c r="S682" t="s">
        <v>437</v>
      </c>
      <c r="T682" t="s">
        <v>168</v>
      </c>
      <c r="U682">
        <v>6.7030100776834467E-2</v>
      </c>
      <c r="V682" t="s">
        <v>157</v>
      </c>
    </row>
    <row r="683" spans="9:22" x14ac:dyDescent="0.45">
      <c r="I683" t="s">
        <v>215</v>
      </c>
      <c r="J683" t="s">
        <v>169</v>
      </c>
      <c r="K683">
        <v>1.3951783836473039E-2</v>
      </c>
      <c r="L683" t="s">
        <v>157</v>
      </c>
      <c r="N683" t="s">
        <v>326</v>
      </c>
      <c r="O683" t="s">
        <v>169</v>
      </c>
      <c r="P683">
        <v>3.919693404709588E-3</v>
      </c>
      <c r="Q683" t="s">
        <v>157</v>
      </c>
      <c r="S683" t="s">
        <v>437</v>
      </c>
      <c r="T683" t="s">
        <v>169</v>
      </c>
      <c r="U683">
        <v>6.2925539609452394E-3</v>
      </c>
      <c r="V683" t="s">
        <v>157</v>
      </c>
    </row>
    <row r="684" spans="9:22" x14ac:dyDescent="0.45">
      <c r="I684" t="s">
        <v>215</v>
      </c>
      <c r="J684" t="s">
        <v>170</v>
      </c>
      <c r="K684">
        <v>1.109319412536707E-2</v>
      </c>
      <c r="L684" t="s">
        <v>157</v>
      </c>
      <c r="N684" t="s">
        <v>326</v>
      </c>
      <c r="O684" t="s">
        <v>170</v>
      </c>
      <c r="P684">
        <v>3.8355624398266077E-3</v>
      </c>
      <c r="Q684" t="s">
        <v>157</v>
      </c>
      <c r="S684" t="s">
        <v>437</v>
      </c>
      <c r="T684" t="s">
        <v>170</v>
      </c>
      <c r="U684">
        <v>6.2140878031569594E-3</v>
      </c>
      <c r="V684" t="s">
        <v>157</v>
      </c>
    </row>
    <row r="685" spans="9:22" x14ac:dyDescent="0.45">
      <c r="I685" t="s">
        <v>215</v>
      </c>
      <c r="J685" t="s">
        <v>171</v>
      </c>
      <c r="K685">
        <v>4.6679412032693815E-3</v>
      </c>
      <c r="L685" t="s">
        <v>157</v>
      </c>
      <c r="N685" t="s">
        <v>326</v>
      </c>
      <c r="O685" t="s">
        <v>171</v>
      </c>
      <c r="P685">
        <v>2.2089201596712928E-2</v>
      </c>
      <c r="Q685" t="s">
        <v>157</v>
      </c>
      <c r="S685" t="s">
        <v>437</v>
      </c>
      <c r="T685" t="s">
        <v>171</v>
      </c>
      <c r="U685">
        <v>3.1299445399664436E-2</v>
      </c>
      <c r="V685" t="s">
        <v>157</v>
      </c>
    </row>
    <row r="686" spans="9:22" x14ac:dyDescent="0.45">
      <c r="I686" t="s">
        <v>216</v>
      </c>
      <c r="J686" t="s">
        <v>156</v>
      </c>
      <c r="K686">
        <v>1.1169127875938295E-2</v>
      </c>
      <c r="L686" t="s">
        <v>157</v>
      </c>
      <c r="N686" t="s">
        <v>327</v>
      </c>
      <c r="O686" t="s">
        <v>156</v>
      </c>
      <c r="P686">
        <v>0.14339499518959531</v>
      </c>
      <c r="Q686" t="s">
        <v>157</v>
      </c>
      <c r="S686" t="s">
        <v>438</v>
      </c>
      <c r="T686" t="s">
        <v>156</v>
      </c>
      <c r="U686">
        <v>0.13954236345895532</v>
      </c>
      <c r="V686" t="s">
        <v>157</v>
      </c>
    </row>
    <row r="687" spans="9:22" x14ac:dyDescent="0.45">
      <c r="I687" t="s">
        <v>216</v>
      </c>
      <c r="J687" t="s">
        <v>158</v>
      </c>
      <c r="K687">
        <v>0.37604502177552485</v>
      </c>
      <c r="L687" t="s">
        <v>157</v>
      </c>
      <c r="N687" t="s">
        <v>327</v>
      </c>
      <c r="O687" t="s">
        <v>158</v>
      </c>
      <c r="P687">
        <v>0.20675856143825691</v>
      </c>
      <c r="Q687" t="s">
        <v>157</v>
      </c>
      <c r="S687" t="s">
        <v>438</v>
      </c>
      <c r="T687" t="s">
        <v>158</v>
      </c>
      <c r="U687">
        <v>0.20132813611218445</v>
      </c>
      <c r="V687" t="s">
        <v>157</v>
      </c>
    </row>
    <row r="688" spans="9:22" x14ac:dyDescent="0.45">
      <c r="I688" t="s">
        <v>216</v>
      </c>
      <c r="J688" t="s">
        <v>159</v>
      </c>
      <c r="K688">
        <v>2.8105898669006729E-2</v>
      </c>
      <c r="L688" t="s">
        <v>157</v>
      </c>
      <c r="N688" t="s">
        <v>327</v>
      </c>
      <c r="O688" t="s">
        <v>159</v>
      </c>
      <c r="P688">
        <v>2.1941762139953452E-2</v>
      </c>
      <c r="Q688" t="s">
        <v>157</v>
      </c>
      <c r="S688" t="s">
        <v>438</v>
      </c>
      <c r="T688" t="s">
        <v>159</v>
      </c>
      <c r="U688">
        <v>2.0364203107291354E-2</v>
      </c>
      <c r="V688" t="s">
        <v>157</v>
      </c>
    </row>
    <row r="689" spans="9:22" x14ac:dyDescent="0.45">
      <c r="I689" t="s">
        <v>216</v>
      </c>
      <c r="J689" t="s">
        <v>160</v>
      </c>
      <c r="K689">
        <v>1.899638968588058E-2</v>
      </c>
      <c r="L689" t="s">
        <v>157</v>
      </c>
      <c r="N689" t="s">
        <v>327</v>
      </c>
      <c r="O689" t="s">
        <v>160</v>
      </c>
      <c r="P689">
        <v>2.202398379342491E-2</v>
      </c>
      <c r="Q689" t="s">
        <v>157</v>
      </c>
      <c r="S689" t="s">
        <v>438</v>
      </c>
      <c r="T689" t="s">
        <v>160</v>
      </c>
      <c r="U689">
        <v>2.0335883813753303E-2</v>
      </c>
      <c r="V689" t="s">
        <v>157</v>
      </c>
    </row>
    <row r="690" spans="9:22" x14ac:dyDescent="0.45">
      <c r="I690" t="s">
        <v>216</v>
      </c>
      <c r="J690" t="s">
        <v>161</v>
      </c>
      <c r="K690">
        <v>1.105601853324662E-2</v>
      </c>
      <c r="L690" t="s">
        <v>157</v>
      </c>
      <c r="N690" t="s">
        <v>327</v>
      </c>
      <c r="O690" t="s">
        <v>161</v>
      </c>
      <c r="P690">
        <v>0.10542794692613279</v>
      </c>
      <c r="Q690" t="s">
        <v>157</v>
      </c>
      <c r="S690" t="s">
        <v>438</v>
      </c>
      <c r="T690" t="s">
        <v>161</v>
      </c>
      <c r="U690">
        <v>9.9760948621695641E-2</v>
      </c>
      <c r="V690" t="s">
        <v>157</v>
      </c>
    </row>
    <row r="691" spans="9:22" x14ac:dyDescent="0.45">
      <c r="I691" t="s">
        <v>216</v>
      </c>
      <c r="J691" t="s">
        <v>162</v>
      </c>
      <c r="K691">
        <v>4.3441408465544869E-3</v>
      </c>
      <c r="L691" t="s">
        <v>157</v>
      </c>
      <c r="N691" t="s">
        <v>327</v>
      </c>
      <c r="O691" t="s">
        <v>162</v>
      </c>
      <c r="P691">
        <v>0.10287003484221977</v>
      </c>
      <c r="Q691" t="s">
        <v>157</v>
      </c>
      <c r="S691" t="s">
        <v>438</v>
      </c>
      <c r="T691" t="s">
        <v>162</v>
      </c>
      <c r="U691">
        <v>0.10827775539725837</v>
      </c>
      <c r="V691" t="s">
        <v>157</v>
      </c>
    </row>
    <row r="692" spans="9:22" x14ac:dyDescent="0.45">
      <c r="I692" t="s">
        <v>216</v>
      </c>
      <c r="J692" t="s">
        <v>163</v>
      </c>
      <c r="K692">
        <v>0.23207804694125864</v>
      </c>
      <c r="L692" t="s">
        <v>157</v>
      </c>
      <c r="N692" t="s">
        <v>327</v>
      </c>
      <c r="O692" t="s">
        <v>163</v>
      </c>
      <c r="P692">
        <v>0.14698686917533446</v>
      </c>
      <c r="Q692" t="s">
        <v>157</v>
      </c>
      <c r="S692" t="s">
        <v>438</v>
      </c>
      <c r="T692" t="s">
        <v>163</v>
      </c>
      <c r="U692">
        <v>0.14994997729917559</v>
      </c>
      <c r="V692" t="s">
        <v>157</v>
      </c>
    </row>
    <row r="693" spans="9:22" x14ac:dyDescent="0.45">
      <c r="I693" t="s">
        <v>216</v>
      </c>
      <c r="J693" t="s">
        <v>164</v>
      </c>
      <c r="K693">
        <v>1.7790914816579309E-2</v>
      </c>
      <c r="L693" t="s">
        <v>157</v>
      </c>
      <c r="N693" t="s">
        <v>327</v>
      </c>
      <c r="O693" t="s">
        <v>164</v>
      </c>
      <c r="P693">
        <v>1.4982941460938546E-2</v>
      </c>
      <c r="Q693" t="s">
        <v>157</v>
      </c>
      <c r="S693" t="s">
        <v>438</v>
      </c>
      <c r="T693" t="s">
        <v>164</v>
      </c>
      <c r="U693">
        <v>1.4644762981751601E-2</v>
      </c>
      <c r="V693" t="s">
        <v>157</v>
      </c>
    </row>
    <row r="694" spans="9:22" x14ac:dyDescent="0.45">
      <c r="I694" t="s">
        <v>216</v>
      </c>
      <c r="J694" t="s">
        <v>165</v>
      </c>
      <c r="K694">
        <v>8.1597106266977568E-3</v>
      </c>
      <c r="L694" t="s">
        <v>157</v>
      </c>
      <c r="N694" t="s">
        <v>327</v>
      </c>
      <c r="O694" t="s">
        <v>165</v>
      </c>
      <c r="P694">
        <v>1.4880896618504157E-2</v>
      </c>
      <c r="Q694" t="s">
        <v>157</v>
      </c>
      <c r="S694" t="s">
        <v>438</v>
      </c>
      <c r="T694" t="s">
        <v>165</v>
      </c>
      <c r="U694">
        <v>1.4450837649174889E-2</v>
      </c>
      <c r="V694" t="s">
        <v>157</v>
      </c>
    </row>
    <row r="695" spans="9:22" x14ac:dyDescent="0.45">
      <c r="I695" t="s">
        <v>216</v>
      </c>
      <c r="J695" t="s">
        <v>166</v>
      </c>
      <c r="K695">
        <v>2.1084490065954799E-4</v>
      </c>
      <c r="L695" t="s">
        <v>157</v>
      </c>
      <c r="N695" t="s">
        <v>327</v>
      </c>
      <c r="O695" t="s">
        <v>166</v>
      </c>
      <c r="P695">
        <v>7.3423526523565985E-2</v>
      </c>
      <c r="Q695" t="s">
        <v>157</v>
      </c>
      <c r="S695" t="s">
        <v>438</v>
      </c>
      <c r="T695" t="s">
        <v>166</v>
      </c>
      <c r="U695">
        <v>7.3641703882346837E-2</v>
      </c>
      <c r="V695" t="s">
        <v>157</v>
      </c>
    </row>
    <row r="696" spans="9:22" x14ac:dyDescent="0.45">
      <c r="I696" t="s">
        <v>216</v>
      </c>
      <c r="J696" t="s">
        <v>167</v>
      </c>
      <c r="K696">
        <v>1.9444229778894422E-2</v>
      </c>
      <c r="L696" t="s">
        <v>157</v>
      </c>
      <c r="N696" t="s">
        <v>327</v>
      </c>
      <c r="O696" t="s">
        <v>167</v>
      </c>
      <c r="P696">
        <v>4.3040129383321524E-2</v>
      </c>
      <c r="Q696" t="s">
        <v>157</v>
      </c>
      <c r="S696" t="s">
        <v>438</v>
      </c>
      <c r="T696" t="s">
        <v>167</v>
      </c>
      <c r="U696">
        <v>4.6247204521901182E-2</v>
      </c>
      <c r="V696" t="s">
        <v>157</v>
      </c>
    </row>
    <row r="697" spans="9:22" x14ac:dyDescent="0.45">
      <c r="I697" t="s">
        <v>216</v>
      </c>
      <c r="J697" t="s">
        <v>168</v>
      </c>
      <c r="K697">
        <v>0.22980766023372995</v>
      </c>
      <c r="L697" t="s">
        <v>157</v>
      </c>
      <c r="N697" t="s">
        <v>327</v>
      </c>
      <c r="O697" t="s">
        <v>168</v>
      </c>
      <c r="P697">
        <v>6.3306129390883648E-2</v>
      </c>
      <c r="Q697" t="s">
        <v>157</v>
      </c>
      <c r="S697" t="s">
        <v>438</v>
      </c>
      <c r="T697" t="s">
        <v>168</v>
      </c>
      <c r="U697">
        <v>6.6807061243447596E-2</v>
      </c>
      <c r="V697" t="s">
        <v>157</v>
      </c>
    </row>
    <row r="698" spans="9:22" x14ac:dyDescent="0.45">
      <c r="I698" t="s">
        <v>216</v>
      </c>
      <c r="J698" t="s">
        <v>169</v>
      </c>
      <c r="K698">
        <v>1.8319699915664636E-2</v>
      </c>
      <c r="L698" t="s">
        <v>157</v>
      </c>
      <c r="N698" t="s">
        <v>327</v>
      </c>
      <c r="O698" t="s">
        <v>169</v>
      </c>
      <c r="P698">
        <v>5.912714556936734E-3</v>
      </c>
      <c r="Q698" t="s">
        <v>157</v>
      </c>
      <c r="S698" t="s">
        <v>438</v>
      </c>
      <c r="T698" t="s">
        <v>169</v>
      </c>
      <c r="U698">
        <v>6.3284019078946232E-3</v>
      </c>
      <c r="V698" t="s">
        <v>157</v>
      </c>
    </row>
    <row r="699" spans="9:22" x14ac:dyDescent="0.45">
      <c r="I699" t="s">
        <v>216</v>
      </c>
      <c r="J699" t="s">
        <v>170</v>
      </c>
      <c r="K699">
        <v>1.4599473940356386E-2</v>
      </c>
      <c r="L699" t="s">
        <v>157</v>
      </c>
      <c r="N699" t="s">
        <v>327</v>
      </c>
      <c r="O699" t="s">
        <v>170</v>
      </c>
      <c r="P699">
        <v>5.8088977453007139E-3</v>
      </c>
      <c r="Q699" t="s">
        <v>157</v>
      </c>
      <c r="S699" t="s">
        <v>438</v>
      </c>
      <c r="T699" t="s">
        <v>170</v>
      </c>
      <c r="U699">
        <v>6.2606130530145328E-3</v>
      </c>
      <c r="V699" t="s">
        <v>157</v>
      </c>
    </row>
    <row r="700" spans="9:22" x14ac:dyDescent="0.45">
      <c r="I700" t="s">
        <v>216</v>
      </c>
      <c r="J700" t="s">
        <v>171</v>
      </c>
      <c r="K700">
        <v>9.87282146000781E-3</v>
      </c>
      <c r="L700" t="s">
        <v>157</v>
      </c>
      <c r="N700" t="s">
        <v>327</v>
      </c>
      <c r="O700" t="s">
        <v>171</v>
      </c>
      <c r="P700">
        <v>2.9240610815631042E-2</v>
      </c>
      <c r="Q700" t="s">
        <v>157</v>
      </c>
      <c r="S700" t="s">
        <v>438</v>
      </c>
      <c r="T700" t="s">
        <v>171</v>
      </c>
      <c r="U700">
        <v>3.2060146950154793E-2</v>
      </c>
      <c r="V700" t="s">
        <v>157</v>
      </c>
    </row>
    <row r="701" spans="9:22" x14ac:dyDescent="0.45">
      <c r="I701" t="s">
        <v>217</v>
      </c>
      <c r="J701" t="s">
        <v>156</v>
      </c>
      <c r="K701">
        <v>1.2615992651537808E-2</v>
      </c>
      <c r="L701" t="s">
        <v>157</v>
      </c>
      <c r="N701" t="s">
        <v>328</v>
      </c>
      <c r="O701" t="s">
        <v>156</v>
      </c>
      <c r="P701">
        <v>0.11300309827855594</v>
      </c>
      <c r="Q701" t="s">
        <v>157</v>
      </c>
      <c r="S701" t="s">
        <v>439</v>
      </c>
      <c r="T701" t="s">
        <v>156</v>
      </c>
      <c r="U701">
        <v>0.13939667384189655</v>
      </c>
      <c r="V701" t="s">
        <v>157</v>
      </c>
    </row>
    <row r="702" spans="9:22" x14ac:dyDescent="0.45">
      <c r="I702" t="s">
        <v>217</v>
      </c>
      <c r="J702" t="s">
        <v>158</v>
      </c>
      <c r="K702">
        <v>0.42530286548944579</v>
      </c>
      <c r="L702" t="s">
        <v>157</v>
      </c>
      <c r="N702" t="s">
        <v>328</v>
      </c>
      <c r="O702" t="s">
        <v>158</v>
      </c>
      <c r="P702">
        <v>0.19813968644957761</v>
      </c>
      <c r="Q702" t="s">
        <v>157</v>
      </c>
      <c r="S702" t="s">
        <v>439</v>
      </c>
      <c r="T702" t="s">
        <v>158</v>
      </c>
      <c r="U702">
        <v>0.20185134194828847</v>
      </c>
      <c r="V702" t="s">
        <v>157</v>
      </c>
    </row>
    <row r="703" spans="9:22" x14ac:dyDescent="0.45">
      <c r="I703" t="s">
        <v>217</v>
      </c>
      <c r="J703" t="s">
        <v>159</v>
      </c>
      <c r="K703">
        <v>2.8869205182591198E-2</v>
      </c>
      <c r="L703" t="s">
        <v>157</v>
      </c>
      <c r="N703" t="s">
        <v>328</v>
      </c>
      <c r="O703" t="s">
        <v>159</v>
      </c>
      <c r="P703">
        <v>1.9780275439385792E-2</v>
      </c>
      <c r="Q703" t="s">
        <v>157</v>
      </c>
      <c r="S703" t="s">
        <v>439</v>
      </c>
      <c r="T703" t="s">
        <v>159</v>
      </c>
      <c r="U703">
        <v>2.0531009205722536E-2</v>
      </c>
      <c r="V703" t="s">
        <v>157</v>
      </c>
    </row>
    <row r="704" spans="9:22" x14ac:dyDescent="0.45">
      <c r="I704" t="s">
        <v>217</v>
      </c>
      <c r="J704" t="s">
        <v>160</v>
      </c>
      <c r="K704">
        <v>1.8520803324980867E-2</v>
      </c>
      <c r="L704" t="s">
        <v>157</v>
      </c>
      <c r="N704" t="s">
        <v>328</v>
      </c>
      <c r="O704" t="s">
        <v>160</v>
      </c>
      <c r="P704">
        <v>1.82409141550441E-2</v>
      </c>
      <c r="Q704" t="s">
        <v>157</v>
      </c>
      <c r="S704" t="s">
        <v>439</v>
      </c>
      <c r="T704" t="s">
        <v>160</v>
      </c>
      <c r="U704">
        <v>2.0374541757234476E-2</v>
      </c>
      <c r="V704" t="s">
        <v>157</v>
      </c>
    </row>
    <row r="705" spans="9:22" x14ac:dyDescent="0.45">
      <c r="I705" t="s">
        <v>217</v>
      </c>
      <c r="J705" t="s">
        <v>161</v>
      </c>
      <c r="K705">
        <v>7.9233353899819652E-3</v>
      </c>
      <c r="L705" t="s">
        <v>157</v>
      </c>
      <c r="N705" t="s">
        <v>328</v>
      </c>
      <c r="O705" t="s">
        <v>161</v>
      </c>
      <c r="P705">
        <v>7.6653762908298936E-2</v>
      </c>
      <c r="Q705" t="s">
        <v>157</v>
      </c>
      <c r="S705" t="s">
        <v>439</v>
      </c>
      <c r="T705" t="s">
        <v>161</v>
      </c>
      <c r="U705">
        <v>9.942878220621662E-2</v>
      </c>
      <c r="V705" t="s">
        <v>157</v>
      </c>
    </row>
    <row r="706" spans="9:22" x14ac:dyDescent="0.45">
      <c r="I706" t="s">
        <v>217</v>
      </c>
      <c r="J706" t="s">
        <v>162</v>
      </c>
      <c r="K706">
        <v>3.064135626014642E-3</v>
      </c>
      <c r="L706" t="s">
        <v>157</v>
      </c>
      <c r="N706" t="s">
        <v>328</v>
      </c>
      <c r="O706" t="s">
        <v>162</v>
      </c>
      <c r="P706">
        <v>0.12167896766419328</v>
      </c>
      <c r="Q706" t="s">
        <v>157</v>
      </c>
      <c r="S706" t="s">
        <v>439</v>
      </c>
      <c r="T706" t="s">
        <v>162</v>
      </c>
      <c r="U706">
        <v>0.10796609766453197</v>
      </c>
      <c r="V706" t="s">
        <v>157</v>
      </c>
    </row>
    <row r="707" spans="9:22" x14ac:dyDescent="0.45">
      <c r="I707" t="s">
        <v>217</v>
      </c>
      <c r="J707" t="s">
        <v>163</v>
      </c>
      <c r="K707">
        <v>0.22709561600148384</v>
      </c>
      <c r="L707" t="s">
        <v>157</v>
      </c>
      <c r="N707" t="s">
        <v>328</v>
      </c>
      <c r="O707" t="s">
        <v>163</v>
      </c>
      <c r="P707">
        <v>0.20896124179574663</v>
      </c>
      <c r="Q707" t="s">
        <v>157</v>
      </c>
      <c r="S707" t="s">
        <v>439</v>
      </c>
      <c r="T707" t="s">
        <v>163</v>
      </c>
      <c r="U707">
        <v>0.14956132151390794</v>
      </c>
      <c r="V707" t="s">
        <v>157</v>
      </c>
    </row>
    <row r="708" spans="9:22" x14ac:dyDescent="0.45">
      <c r="I708" t="s">
        <v>217</v>
      </c>
      <c r="J708" t="s">
        <v>164</v>
      </c>
      <c r="K708">
        <v>1.3158254966649975E-2</v>
      </c>
      <c r="L708" t="s">
        <v>157</v>
      </c>
      <c r="N708" t="s">
        <v>328</v>
      </c>
      <c r="O708" t="s">
        <v>164</v>
      </c>
      <c r="P708">
        <v>1.9933054687722367E-2</v>
      </c>
      <c r="Q708" t="s">
        <v>157</v>
      </c>
      <c r="S708" t="s">
        <v>439</v>
      </c>
      <c r="T708" t="s">
        <v>164</v>
      </c>
      <c r="U708">
        <v>1.4487176938762921E-2</v>
      </c>
      <c r="V708" t="s">
        <v>157</v>
      </c>
    </row>
    <row r="709" spans="9:22" x14ac:dyDescent="0.45">
      <c r="I709" t="s">
        <v>217</v>
      </c>
      <c r="J709" t="s">
        <v>165</v>
      </c>
      <c r="K709">
        <v>3.4355357071558503E-3</v>
      </c>
      <c r="L709" t="s">
        <v>157</v>
      </c>
      <c r="N709" t="s">
        <v>328</v>
      </c>
      <c r="O709" t="s">
        <v>165</v>
      </c>
      <c r="P709">
        <v>1.9196841897984394E-2</v>
      </c>
      <c r="Q709" t="s">
        <v>157</v>
      </c>
      <c r="S709" t="s">
        <v>439</v>
      </c>
      <c r="T709" t="s">
        <v>165</v>
      </c>
      <c r="U709">
        <v>1.4454195779425333E-2</v>
      </c>
      <c r="V709" t="s">
        <v>157</v>
      </c>
    </row>
    <row r="710" spans="9:22" x14ac:dyDescent="0.45">
      <c r="I710" t="s">
        <v>217</v>
      </c>
      <c r="J710" t="s">
        <v>166</v>
      </c>
      <c r="K710">
        <v>0</v>
      </c>
      <c r="L710" t="s">
        <v>157</v>
      </c>
      <c r="N710" t="s">
        <v>328</v>
      </c>
      <c r="O710" t="s">
        <v>166</v>
      </c>
      <c r="P710">
        <v>8.3018379958927191E-2</v>
      </c>
      <c r="Q710" t="s">
        <v>157</v>
      </c>
      <c r="S710" t="s">
        <v>439</v>
      </c>
      <c r="T710" t="s">
        <v>166</v>
      </c>
      <c r="U710">
        <v>7.3369473869607571E-2</v>
      </c>
      <c r="V710" t="s">
        <v>157</v>
      </c>
    </row>
    <row r="711" spans="9:22" x14ac:dyDescent="0.45">
      <c r="I711" t="s">
        <v>217</v>
      </c>
      <c r="J711" t="s">
        <v>167</v>
      </c>
      <c r="K711">
        <v>1.7297591982040155E-2</v>
      </c>
      <c r="L711" t="s">
        <v>157</v>
      </c>
      <c r="N711" t="s">
        <v>328</v>
      </c>
      <c r="O711" t="s">
        <v>167</v>
      </c>
      <c r="P711">
        <v>2.4636564889917775E-2</v>
      </c>
      <c r="Q711" t="s">
        <v>157</v>
      </c>
      <c r="S711" t="s">
        <v>439</v>
      </c>
      <c r="T711" t="s">
        <v>167</v>
      </c>
      <c r="U711">
        <v>4.6371104946058235E-2</v>
      </c>
      <c r="V711" t="s">
        <v>157</v>
      </c>
    </row>
    <row r="712" spans="9:22" x14ac:dyDescent="0.45">
      <c r="I712" t="s">
        <v>217</v>
      </c>
      <c r="J712" t="s">
        <v>168</v>
      </c>
      <c r="K712">
        <v>0.21085005772133669</v>
      </c>
      <c r="L712" t="s">
        <v>157</v>
      </c>
      <c r="N712" t="s">
        <v>328</v>
      </c>
      <c r="O712" t="s">
        <v>168</v>
      </c>
      <c r="P712">
        <v>6.6819982354221624E-2</v>
      </c>
      <c r="Q712" t="s">
        <v>157</v>
      </c>
      <c r="S712" t="s">
        <v>439</v>
      </c>
      <c r="T712" t="s">
        <v>168</v>
      </c>
      <c r="U712">
        <v>6.7028292501056949E-2</v>
      </c>
      <c r="V712" t="s">
        <v>157</v>
      </c>
    </row>
    <row r="713" spans="9:22" x14ac:dyDescent="0.45">
      <c r="I713" t="s">
        <v>217</v>
      </c>
      <c r="J713" t="s">
        <v>169</v>
      </c>
      <c r="K713">
        <v>1.5613171963786162E-2</v>
      </c>
      <c r="L713" t="s">
        <v>157</v>
      </c>
      <c r="N713" t="s">
        <v>328</v>
      </c>
      <c r="O713" t="s">
        <v>169</v>
      </c>
      <c r="P713">
        <v>5.6277520362349375E-3</v>
      </c>
      <c r="Q713" t="s">
        <v>157</v>
      </c>
      <c r="S713" t="s">
        <v>439</v>
      </c>
      <c r="T713" t="s">
        <v>169</v>
      </c>
      <c r="U713">
        <v>6.4404937357462081E-3</v>
      </c>
      <c r="V713" t="s">
        <v>157</v>
      </c>
    </row>
    <row r="714" spans="9:22" x14ac:dyDescent="0.45">
      <c r="I714" t="s">
        <v>217</v>
      </c>
      <c r="J714" t="s">
        <v>170</v>
      </c>
      <c r="K714">
        <v>1.1475090491254043E-2</v>
      </c>
      <c r="L714" t="s">
        <v>157</v>
      </c>
      <c r="N714" t="s">
        <v>328</v>
      </c>
      <c r="O714" t="s">
        <v>170</v>
      </c>
      <c r="P714">
        <v>4.5917741190840185E-3</v>
      </c>
      <c r="Q714" t="s">
        <v>157</v>
      </c>
      <c r="S714" t="s">
        <v>439</v>
      </c>
      <c r="T714" t="s">
        <v>170</v>
      </c>
      <c r="U714">
        <v>6.35338549864717E-3</v>
      </c>
      <c r="V714" t="s">
        <v>157</v>
      </c>
    </row>
    <row r="715" spans="9:22" x14ac:dyDescent="0.45">
      <c r="I715" t="s">
        <v>217</v>
      </c>
      <c r="J715" t="s">
        <v>171</v>
      </c>
      <c r="K715">
        <v>4.7783435017410012E-3</v>
      </c>
      <c r="L715" t="s">
        <v>157</v>
      </c>
      <c r="N715" t="s">
        <v>328</v>
      </c>
      <c r="O715" t="s">
        <v>171</v>
      </c>
      <c r="P715">
        <v>1.971770336510547E-2</v>
      </c>
      <c r="Q715" t="s">
        <v>157</v>
      </c>
      <c r="S715" t="s">
        <v>439</v>
      </c>
      <c r="T715" t="s">
        <v>171</v>
      </c>
      <c r="U715">
        <v>3.2386108592896999E-2</v>
      </c>
      <c r="V715" t="s">
        <v>157</v>
      </c>
    </row>
    <row r="716" spans="9:22" x14ac:dyDescent="0.45">
      <c r="I716" t="s">
        <v>218</v>
      </c>
      <c r="J716" t="s">
        <v>156</v>
      </c>
      <c r="K716">
        <v>1.0761355702297382E-2</v>
      </c>
      <c r="L716" t="s">
        <v>157</v>
      </c>
      <c r="N716" t="s">
        <v>329</v>
      </c>
      <c r="O716" t="s">
        <v>156</v>
      </c>
      <c r="P716">
        <v>0.10841076156903712</v>
      </c>
      <c r="Q716" t="s">
        <v>157</v>
      </c>
      <c r="S716" t="s">
        <v>440</v>
      </c>
      <c r="T716" t="s">
        <v>156</v>
      </c>
      <c r="U716">
        <v>0.1403521508065651</v>
      </c>
      <c r="V716" t="s">
        <v>157</v>
      </c>
    </row>
    <row r="717" spans="9:22" x14ac:dyDescent="0.45">
      <c r="I717" t="s">
        <v>218</v>
      </c>
      <c r="J717" t="s">
        <v>158</v>
      </c>
      <c r="K717">
        <v>0.42261675382904534</v>
      </c>
      <c r="L717" t="s">
        <v>157</v>
      </c>
      <c r="N717" t="s">
        <v>329</v>
      </c>
      <c r="O717" t="s">
        <v>158</v>
      </c>
      <c r="P717">
        <v>0.20484046896799629</v>
      </c>
      <c r="Q717" t="s">
        <v>157</v>
      </c>
      <c r="S717" t="s">
        <v>440</v>
      </c>
      <c r="T717" t="s">
        <v>158</v>
      </c>
      <c r="U717">
        <v>0.20333492582098064</v>
      </c>
      <c r="V717" t="s">
        <v>157</v>
      </c>
    </row>
    <row r="718" spans="9:22" x14ac:dyDescent="0.45">
      <c r="I718" t="s">
        <v>218</v>
      </c>
      <c r="J718" t="s">
        <v>159</v>
      </c>
      <c r="K718">
        <v>3.0270060558915887E-2</v>
      </c>
      <c r="L718" t="s">
        <v>157</v>
      </c>
      <c r="N718" t="s">
        <v>329</v>
      </c>
      <c r="O718" t="s">
        <v>159</v>
      </c>
      <c r="P718">
        <v>2.1409185203033403E-2</v>
      </c>
      <c r="Q718" t="s">
        <v>157</v>
      </c>
      <c r="S718" t="s">
        <v>440</v>
      </c>
      <c r="T718" t="s">
        <v>159</v>
      </c>
      <c r="U718">
        <v>2.0800692150721157E-2</v>
      </c>
      <c r="V718" t="s">
        <v>157</v>
      </c>
    </row>
    <row r="719" spans="9:22" x14ac:dyDescent="0.45">
      <c r="I719" t="s">
        <v>218</v>
      </c>
      <c r="J719" t="s">
        <v>160</v>
      </c>
      <c r="K719">
        <v>1.9560781176158958E-2</v>
      </c>
      <c r="L719" t="s">
        <v>157</v>
      </c>
      <c r="N719" t="s">
        <v>329</v>
      </c>
      <c r="O719" t="s">
        <v>160</v>
      </c>
      <c r="P719">
        <v>1.8794605480640138E-2</v>
      </c>
      <c r="Q719" t="s">
        <v>157</v>
      </c>
      <c r="S719" t="s">
        <v>440</v>
      </c>
      <c r="T719" t="s">
        <v>160</v>
      </c>
      <c r="U719">
        <v>2.0524660275549788E-2</v>
      </c>
      <c r="V719" t="s">
        <v>157</v>
      </c>
    </row>
    <row r="720" spans="9:22" x14ac:dyDescent="0.45">
      <c r="I720" t="s">
        <v>218</v>
      </c>
      <c r="J720" t="s">
        <v>161</v>
      </c>
      <c r="K720">
        <v>7.9006049644992395E-3</v>
      </c>
      <c r="L720" t="s">
        <v>157</v>
      </c>
      <c r="N720" t="s">
        <v>329</v>
      </c>
      <c r="O720" t="s">
        <v>161</v>
      </c>
      <c r="P720">
        <v>7.3757742591133921E-2</v>
      </c>
      <c r="Q720" t="s">
        <v>157</v>
      </c>
      <c r="S720" t="s">
        <v>440</v>
      </c>
      <c r="T720" t="s">
        <v>161</v>
      </c>
      <c r="U720">
        <v>9.9583936276795071E-2</v>
      </c>
      <c r="V720" t="s">
        <v>157</v>
      </c>
    </row>
    <row r="721" spans="9:22" x14ac:dyDescent="0.45">
      <c r="I721" t="s">
        <v>218</v>
      </c>
      <c r="J721" t="s">
        <v>162</v>
      </c>
      <c r="K721">
        <v>3.2683912778929685E-3</v>
      </c>
      <c r="L721" t="s">
        <v>157</v>
      </c>
      <c r="N721" t="s">
        <v>329</v>
      </c>
      <c r="O721" t="s">
        <v>162</v>
      </c>
      <c r="P721">
        <v>0.10671656774278698</v>
      </c>
      <c r="Q721" t="s">
        <v>157</v>
      </c>
      <c r="S721" t="s">
        <v>440</v>
      </c>
      <c r="T721" t="s">
        <v>162</v>
      </c>
      <c r="U721">
        <v>0.10724411083180256</v>
      </c>
      <c r="V721" t="s">
        <v>157</v>
      </c>
    </row>
    <row r="722" spans="9:22" x14ac:dyDescent="0.45">
      <c r="I722" t="s">
        <v>218</v>
      </c>
      <c r="J722" t="s">
        <v>163</v>
      </c>
      <c r="K722">
        <v>0.21541259408031879</v>
      </c>
      <c r="L722" t="s">
        <v>157</v>
      </c>
      <c r="N722" t="s">
        <v>329</v>
      </c>
      <c r="O722" t="s">
        <v>163</v>
      </c>
      <c r="P722">
        <v>0.21098316465829051</v>
      </c>
      <c r="Q722" t="s">
        <v>157</v>
      </c>
      <c r="S722" t="s">
        <v>440</v>
      </c>
      <c r="T722" t="s">
        <v>163</v>
      </c>
      <c r="U722">
        <v>0.14831102548846847</v>
      </c>
      <c r="V722" t="s">
        <v>157</v>
      </c>
    </row>
    <row r="723" spans="9:22" x14ac:dyDescent="0.45">
      <c r="I723" t="s">
        <v>218</v>
      </c>
      <c r="J723" t="s">
        <v>164</v>
      </c>
      <c r="K723">
        <v>1.2979179761590891E-2</v>
      </c>
      <c r="L723" t="s">
        <v>157</v>
      </c>
      <c r="N723" t="s">
        <v>329</v>
      </c>
      <c r="O723" t="s">
        <v>164</v>
      </c>
      <c r="P723">
        <v>2.0632919893621923E-2</v>
      </c>
      <c r="Q723" t="s">
        <v>157</v>
      </c>
      <c r="S723" t="s">
        <v>440</v>
      </c>
      <c r="T723" t="s">
        <v>164</v>
      </c>
      <c r="U723">
        <v>1.4378785389969223E-2</v>
      </c>
      <c r="V723" t="s">
        <v>157</v>
      </c>
    </row>
    <row r="724" spans="9:22" x14ac:dyDescent="0.45">
      <c r="I724" t="s">
        <v>218</v>
      </c>
      <c r="J724" t="s">
        <v>165</v>
      </c>
      <c r="K724">
        <v>3.3325828508021533E-3</v>
      </c>
      <c r="L724" t="s">
        <v>157</v>
      </c>
      <c r="N724" t="s">
        <v>329</v>
      </c>
      <c r="O724" t="s">
        <v>165</v>
      </c>
      <c r="P724">
        <v>1.7752142118299653E-2</v>
      </c>
      <c r="Q724" t="s">
        <v>157</v>
      </c>
      <c r="S724" t="s">
        <v>440</v>
      </c>
      <c r="T724" t="s">
        <v>165</v>
      </c>
      <c r="U724">
        <v>1.4444285869229072E-2</v>
      </c>
      <c r="V724" t="s">
        <v>157</v>
      </c>
    </row>
    <row r="725" spans="9:22" x14ac:dyDescent="0.45">
      <c r="I725" t="s">
        <v>218</v>
      </c>
      <c r="J725" t="s">
        <v>166</v>
      </c>
      <c r="K725">
        <v>0</v>
      </c>
      <c r="L725" t="s">
        <v>157</v>
      </c>
      <c r="N725" t="s">
        <v>329</v>
      </c>
      <c r="O725" t="s">
        <v>166</v>
      </c>
      <c r="P725">
        <v>7.6450932410563402E-2</v>
      </c>
      <c r="Q725" t="s">
        <v>157</v>
      </c>
      <c r="S725" t="s">
        <v>440</v>
      </c>
      <c r="T725" t="s">
        <v>166</v>
      </c>
      <c r="U725">
        <v>7.2768942741016543E-2</v>
      </c>
      <c r="V725" t="s">
        <v>157</v>
      </c>
    </row>
    <row r="726" spans="9:22" x14ac:dyDescent="0.45">
      <c r="I726" t="s">
        <v>218</v>
      </c>
      <c r="J726" t="s">
        <v>167</v>
      </c>
      <c r="K726">
        <v>1.8944301168379335E-2</v>
      </c>
      <c r="L726" t="s">
        <v>157</v>
      </c>
      <c r="N726" t="s">
        <v>329</v>
      </c>
      <c r="O726" t="s">
        <v>167</v>
      </c>
      <c r="P726">
        <v>2.7339998216848644E-2</v>
      </c>
      <c r="Q726" t="s">
        <v>157</v>
      </c>
      <c r="S726" t="s">
        <v>440</v>
      </c>
      <c r="T726" t="s">
        <v>167</v>
      </c>
      <c r="U726">
        <v>4.5979523852020365E-2</v>
      </c>
      <c r="V726" t="s">
        <v>157</v>
      </c>
    </row>
    <row r="727" spans="9:22" x14ac:dyDescent="0.45">
      <c r="I727" t="s">
        <v>218</v>
      </c>
      <c r="J727" t="s">
        <v>168</v>
      </c>
      <c r="K727">
        <v>0.22017591827732771</v>
      </c>
      <c r="L727" t="s">
        <v>157</v>
      </c>
      <c r="N727" t="s">
        <v>329</v>
      </c>
      <c r="O727" t="s">
        <v>168</v>
      </c>
      <c r="P727">
        <v>7.6096185609402928E-2</v>
      </c>
      <c r="Q727" t="s">
        <v>157</v>
      </c>
      <c r="S727" t="s">
        <v>440</v>
      </c>
      <c r="T727" t="s">
        <v>168</v>
      </c>
      <c r="U727">
        <v>6.7019983033646965E-2</v>
      </c>
      <c r="V727" t="s">
        <v>157</v>
      </c>
    </row>
    <row r="728" spans="9:22" x14ac:dyDescent="0.45">
      <c r="I728" t="s">
        <v>218</v>
      </c>
      <c r="J728" t="s">
        <v>169</v>
      </c>
      <c r="K728">
        <v>1.7382241967468817E-2</v>
      </c>
      <c r="L728" t="s">
        <v>157</v>
      </c>
      <c r="N728" t="s">
        <v>329</v>
      </c>
      <c r="O728" t="s">
        <v>169</v>
      </c>
      <c r="P728">
        <v>7.1697661378452996E-3</v>
      </c>
      <c r="Q728" t="s">
        <v>157</v>
      </c>
      <c r="S728" t="s">
        <v>440</v>
      </c>
      <c r="T728" t="s">
        <v>169</v>
      </c>
      <c r="U728">
        <v>6.5210778410971807E-3</v>
      </c>
      <c r="V728" t="s">
        <v>157</v>
      </c>
    </row>
    <row r="729" spans="9:22" x14ac:dyDescent="0.45">
      <c r="I729" t="s">
        <v>218</v>
      </c>
      <c r="J729" t="s">
        <v>170</v>
      </c>
      <c r="K729">
        <v>1.2290715186484138E-2</v>
      </c>
      <c r="L729" t="s">
        <v>157</v>
      </c>
      <c r="N729" t="s">
        <v>329</v>
      </c>
      <c r="O729" t="s">
        <v>170</v>
      </c>
      <c r="P729">
        <v>6.2083227062895673E-3</v>
      </c>
      <c r="Q729" t="s">
        <v>157</v>
      </c>
      <c r="S729" t="s">
        <v>440</v>
      </c>
      <c r="T729" t="s">
        <v>170</v>
      </c>
      <c r="U729">
        <v>6.4807067674973609E-3</v>
      </c>
      <c r="V729" t="s">
        <v>157</v>
      </c>
    </row>
    <row r="730" spans="9:22" x14ac:dyDescent="0.45">
      <c r="I730" t="s">
        <v>218</v>
      </c>
      <c r="J730" t="s">
        <v>171</v>
      </c>
      <c r="K730">
        <v>5.1045191988183768E-3</v>
      </c>
      <c r="L730" t="s">
        <v>157</v>
      </c>
      <c r="N730" t="s">
        <v>329</v>
      </c>
      <c r="O730" t="s">
        <v>171</v>
      </c>
      <c r="P730">
        <v>2.3437236694210238E-2</v>
      </c>
      <c r="Q730" t="s">
        <v>157</v>
      </c>
      <c r="S730" t="s">
        <v>440</v>
      </c>
      <c r="T730" t="s">
        <v>171</v>
      </c>
      <c r="U730">
        <v>3.2255192854640562E-2</v>
      </c>
      <c r="V730" t="s">
        <v>157</v>
      </c>
    </row>
    <row r="731" spans="9:22" x14ac:dyDescent="0.45">
      <c r="I731" t="s">
        <v>219</v>
      </c>
      <c r="J731" t="s">
        <v>156</v>
      </c>
      <c r="K731">
        <v>1.0141383357351751E-2</v>
      </c>
      <c r="L731" t="s">
        <v>157</v>
      </c>
      <c r="N731" t="s">
        <v>330</v>
      </c>
      <c r="O731" t="s">
        <v>156</v>
      </c>
      <c r="P731">
        <v>0.11662440784686973</v>
      </c>
      <c r="Q731" t="s">
        <v>157</v>
      </c>
      <c r="S731" t="s">
        <v>441</v>
      </c>
      <c r="T731" t="s">
        <v>156</v>
      </c>
      <c r="U731">
        <v>0.14200464272671701</v>
      </c>
      <c r="V731" t="s">
        <v>157</v>
      </c>
    </row>
    <row r="732" spans="9:22" x14ac:dyDescent="0.45">
      <c r="I732" t="s">
        <v>219</v>
      </c>
      <c r="J732" t="s">
        <v>158</v>
      </c>
      <c r="K732">
        <v>0.4173526990621324</v>
      </c>
      <c r="L732" t="s">
        <v>157</v>
      </c>
      <c r="N732" t="s">
        <v>330</v>
      </c>
      <c r="O732" t="s">
        <v>158</v>
      </c>
      <c r="P732">
        <v>0.18910189096384566</v>
      </c>
      <c r="Q732" t="s">
        <v>157</v>
      </c>
      <c r="S732" t="s">
        <v>441</v>
      </c>
      <c r="T732" t="s">
        <v>158</v>
      </c>
      <c r="U732">
        <v>0.20509804162013934</v>
      </c>
      <c r="V732" t="s">
        <v>157</v>
      </c>
    </row>
    <row r="733" spans="9:22" x14ac:dyDescent="0.45">
      <c r="I733" t="s">
        <v>219</v>
      </c>
      <c r="J733" t="s">
        <v>159</v>
      </c>
      <c r="K733">
        <v>3.1102966162490205E-2</v>
      </c>
      <c r="L733" t="s">
        <v>157</v>
      </c>
      <c r="N733" t="s">
        <v>330</v>
      </c>
      <c r="O733" t="s">
        <v>159</v>
      </c>
      <c r="P733">
        <v>2.1285199800482896E-2</v>
      </c>
      <c r="Q733" t="s">
        <v>157</v>
      </c>
      <c r="S733" t="s">
        <v>441</v>
      </c>
      <c r="T733" t="s">
        <v>159</v>
      </c>
      <c r="U733">
        <v>2.0985388266417236E-2</v>
      </c>
      <c r="V733" t="s">
        <v>157</v>
      </c>
    </row>
    <row r="734" spans="9:22" x14ac:dyDescent="0.45">
      <c r="I734" t="s">
        <v>219</v>
      </c>
      <c r="J734" t="s">
        <v>160</v>
      </c>
      <c r="K734">
        <v>1.9805045969019289E-2</v>
      </c>
      <c r="L734" t="s">
        <v>157</v>
      </c>
      <c r="N734" t="s">
        <v>330</v>
      </c>
      <c r="O734" t="s">
        <v>160</v>
      </c>
      <c r="P734">
        <v>2.0499939926105826E-2</v>
      </c>
      <c r="Q734" t="s">
        <v>157</v>
      </c>
      <c r="S734" t="s">
        <v>441</v>
      </c>
      <c r="T734" t="s">
        <v>160</v>
      </c>
      <c r="U734">
        <v>2.0765065566195774E-2</v>
      </c>
      <c r="V734" t="s">
        <v>157</v>
      </c>
    </row>
    <row r="735" spans="9:22" x14ac:dyDescent="0.45">
      <c r="I735" t="s">
        <v>219</v>
      </c>
      <c r="J735" t="s">
        <v>161</v>
      </c>
      <c r="K735">
        <v>8.0174656633305984E-3</v>
      </c>
      <c r="L735" t="s">
        <v>157</v>
      </c>
      <c r="N735" t="s">
        <v>330</v>
      </c>
      <c r="O735" t="s">
        <v>161</v>
      </c>
      <c r="P735">
        <v>8.4321893601158215E-2</v>
      </c>
      <c r="Q735" t="s">
        <v>157</v>
      </c>
      <c r="S735" t="s">
        <v>441</v>
      </c>
      <c r="T735" t="s">
        <v>161</v>
      </c>
      <c r="U735">
        <v>0.10044457615877878</v>
      </c>
      <c r="V735" t="s">
        <v>157</v>
      </c>
    </row>
    <row r="736" spans="9:22" x14ac:dyDescent="0.45">
      <c r="I736" t="s">
        <v>219</v>
      </c>
      <c r="J736" t="s">
        <v>162</v>
      </c>
      <c r="K736">
        <v>3.6670088163196042E-3</v>
      </c>
      <c r="L736" t="s">
        <v>157</v>
      </c>
      <c r="N736" t="s">
        <v>330</v>
      </c>
      <c r="O736" t="s">
        <v>162</v>
      </c>
      <c r="P736">
        <v>0.11885550338207401</v>
      </c>
      <c r="Q736" t="s">
        <v>157</v>
      </c>
      <c r="S736" t="s">
        <v>441</v>
      </c>
      <c r="T736" t="s">
        <v>162</v>
      </c>
      <c r="U736">
        <v>0.10612052404740005</v>
      </c>
      <c r="V736" t="s">
        <v>157</v>
      </c>
    </row>
    <row r="737" spans="9:22" x14ac:dyDescent="0.45">
      <c r="I737" t="s">
        <v>219</v>
      </c>
      <c r="J737" t="s">
        <v>163</v>
      </c>
      <c r="K737">
        <v>0.22259996631376219</v>
      </c>
      <c r="L737" t="s">
        <v>157</v>
      </c>
      <c r="N737" t="s">
        <v>330</v>
      </c>
      <c r="O737" t="s">
        <v>163</v>
      </c>
      <c r="P737">
        <v>0.1819456913786299</v>
      </c>
      <c r="Q737" t="s">
        <v>157</v>
      </c>
      <c r="S737" t="s">
        <v>441</v>
      </c>
      <c r="T737" t="s">
        <v>163</v>
      </c>
      <c r="U737">
        <v>0.146452633668196</v>
      </c>
      <c r="V737" t="s">
        <v>157</v>
      </c>
    </row>
    <row r="738" spans="9:22" x14ac:dyDescent="0.45">
      <c r="I738" t="s">
        <v>219</v>
      </c>
      <c r="J738" t="s">
        <v>164</v>
      </c>
      <c r="K738">
        <v>1.2878533080290484E-2</v>
      </c>
      <c r="L738" t="s">
        <v>157</v>
      </c>
      <c r="N738" t="s">
        <v>330</v>
      </c>
      <c r="O738" t="s">
        <v>164</v>
      </c>
      <c r="P738">
        <v>2.0618505439313636E-2</v>
      </c>
      <c r="Q738" t="s">
        <v>157</v>
      </c>
      <c r="S738" t="s">
        <v>441</v>
      </c>
      <c r="T738" t="s">
        <v>164</v>
      </c>
      <c r="U738">
        <v>1.4411448635061606E-2</v>
      </c>
      <c r="V738" t="s">
        <v>157</v>
      </c>
    </row>
    <row r="739" spans="9:22" x14ac:dyDescent="0.45">
      <c r="I739" t="s">
        <v>219</v>
      </c>
      <c r="J739" t="s">
        <v>165</v>
      </c>
      <c r="K739">
        <v>3.53881155062989E-3</v>
      </c>
      <c r="L739" t="s">
        <v>157</v>
      </c>
      <c r="N739" t="s">
        <v>330</v>
      </c>
      <c r="O739" t="s">
        <v>165</v>
      </c>
      <c r="P739">
        <v>1.9734827522933904E-2</v>
      </c>
      <c r="Q739" t="s">
        <v>157</v>
      </c>
      <c r="S739" t="s">
        <v>441</v>
      </c>
      <c r="T739" t="s">
        <v>165</v>
      </c>
      <c r="U739">
        <v>1.4426257625493707E-2</v>
      </c>
      <c r="V739" t="s">
        <v>157</v>
      </c>
    </row>
    <row r="740" spans="9:22" x14ac:dyDescent="0.45">
      <c r="I740" t="s">
        <v>219</v>
      </c>
      <c r="J740" t="s">
        <v>166</v>
      </c>
      <c r="K740">
        <v>0</v>
      </c>
      <c r="L740" t="s">
        <v>157</v>
      </c>
      <c r="N740" t="s">
        <v>330</v>
      </c>
      <c r="O740" t="s">
        <v>166</v>
      </c>
      <c r="P740">
        <v>8.9294932542883121E-2</v>
      </c>
      <c r="Q740" t="s">
        <v>157</v>
      </c>
      <c r="S740" t="s">
        <v>441</v>
      </c>
      <c r="T740" t="s">
        <v>166</v>
      </c>
      <c r="U740">
        <v>7.2188983320361708E-2</v>
      </c>
      <c r="V740" t="s">
        <v>157</v>
      </c>
    </row>
    <row r="741" spans="9:22" x14ac:dyDescent="0.45">
      <c r="I741" t="s">
        <v>219</v>
      </c>
      <c r="J741" t="s">
        <v>167</v>
      </c>
      <c r="K741">
        <v>1.8304500457512061E-2</v>
      </c>
      <c r="L741" t="s">
        <v>157</v>
      </c>
      <c r="N741" t="s">
        <v>330</v>
      </c>
      <c r="O741" t="s">
        <v>167</v>
      </c>
      <c r="P741">
        <v>3.6411234976358967E-2</v>
      </c>
      <c r="Q741" t="s">
        <v>157</v>
      </c>
      <c r="S741" t="s">
        <v>441</v>
      </c>
      <c r="T741" t="s">
        <v>167</v>
      </c>
      <c r="U741">
        <v>4.5446990128220115E-2</v>
      </c>
      <c r="V741" t="s">
        <v>157</v>
      </c>
    </row>
    <row r="742" spans="9:22" x14ac:dyDescent="0.45">
      <c r="I742" t="s">
        <v>219</v>
      </c>
      <c r="J742" t="s">
        <v>168</v>
      </c>
      <c r="K742">
        <v>0.21755739937371604</v>
      </c>
      <c r="L742" t="s">
        <v>157</v>
      </c>
      <c r="N742" t="s">
        <v>330</v>
      </c>
      <c r="O742" t="s">
        <v>168</v>
      </c>
      <c r="P742">
        <v>6.1425281993343378E-2</v>
      </c>
      <c r="Q742" t="s">
        <v>157</v>
      </c>
      <c r="S742" t="s">
        <v>441</v>
      </c>
      <c r="T742" t="s">
        <v>168</v>
      </c>
      <c r="U742">
        <v>6.655674396298647E-2</v>
      </c>
      <c r="V742" t="s">
        <v>157</v>
      </c>
    </row>
    <row r="743" spans="9:22" x14ac:dyDescent="0.45">
      <c r="I743" t="s">
        <v>219</v>
      </c>
      <c r="J743" t="s">
        <v>169</v>
      </c>
      <c r="K743">
        <v>1.7304714073681192E-2</v>
      </c>
      <c r="L743" t="s">
        <v>157</v>
      </c>
      <c r="N743" t="s">
        <v>330</v>
      </c>
      <c r="O743" t="s">
        <v>169</v>
      </c>
      <c r="P743">
        <v>6.5876933691920211E-3</v>
      </c>
      <c r="Q743" t="s">
        <v>157</v>
      </c>
      <c r="S743" t="s">
        <v>441</v>
      </c>
      <c r="T743" t="s">
        <v>169</v>
      </c>
      <c r="U743">
        <v>6.5428239735751091E-3</v>
      </c>
      <c r="V743" t="s">
        <v>157</v>
      </c>
    </row>
    <row r="744" spans="9:22" x14ac:dyDescent="0.45">
      <c r="I744" t="s">
        <v>219</v>
      </c>
      <c r="J744" t="s">
        <v>170</v>
      </c>
      <c r="K744">
        <v>1.2637737163028063E-2</v>
      </c>
      <c r="L744" t="s">
        <v>157</v>
      </c>
      <c r="N744" t="s">
        <v>330</v>
      </c>
      <c r="O744" t="s">
        <v>170</v>
      </c>
      <c r="P744">
        <v>6.358101196386111E-3</v>
      </c>
      <c r="Q744" t="s">
        <v>157</v>
      </c>
      <c r="S744" t="s">
        <v>441</v>
      </c>
      <c r="T744" t="s">
        <v>170</v>
      </c>
      <c r="U744">
        <v>6.575429786417248E-3</v>
      </c>
      <c r="V744" t="s">
        <v>157</v>
      </c>
    </row>
    <row r="745" spans="9:22" x14ac:dyDescent="0.45">
      <c r="I745" t="s">
        <v>219</v>
      </c>
      <c r="J745" t="s">
        <v>171</v>
      </c>
      <c r="K745">
        <v>5.0917689567362553E-3</v>
      </c>
      <c r="L745" t="s">
        <v>157</v>
      </c>
      <c r="N745" t="s">
        <v>330</v>
      </c>
      <c r="O745" t="s">
        <v>171</v>
      </c>
      <c r="P745">
        <v>2.6934896060422667E-2</v>
      </c>
      <c r="Q745" t="s">
        <v>157</v>
      </c>
      <c r="S745" t="s">
        <v>441</v>
      </c>
      <c r="T745" t="s">
        <v>171</v>
      </c>
      <c r="U745">
        <v>3.1980450514039839E-2</v>
      </c>
      <c r="V745" t="s">
        <v>157</v>
      </c>
    </row>
    <row r="746" spans="9:22" x14ac:dyDescent="0.45">
      <c r="I746" t="s">
        <v>220</v>
      </c>
      <c r="J746" t="s">
        <v>156</v>
      </c>
      <c r="K746">
        <v>1.6797037758714391E-2</v>
      </c>
      <c r="L746" t="s">
        <v>157</v>
      </c>
      <c r="N746" t="s">
        <v>331</v>
      </c>
      <c r="O746" t="s">
        <v>156</v>
      </c>
      <c r="P746">
        <v>0.12374978023746444</v>
      </c>
      <c r="Q746" t="s">
        <v>157</v>
      </c>
      <c r="S746" t="s">
        <v>442</v>
      </c>
      <c r="T746" t="s">
        <v>156</v>
      </c>
      <c r="U746">
        <v>0.1438423520884462</v>
      </c>
      <c r="V746" t="s">
        <v>157</v>
      </c>
    </row>
    <row r="747" spans="9:22" x14ac:dyDescent="0.45">
      <c r="I747" t="s">
        <v>220</v>
      </c>
      <c r="J747" t="s">
        <v>158</v>
      </c>
      <c r="K747">
        <v>0.4014013817539871</v>
      </c>
      <c r="L747" t="s">
        <v>157</v>
      </c>
      <c r="N747" t="s">
        <v>331</v>
      </c>
      <c r="O747" t="s">
        <v>158</v>
      </c>
      <c r="P747">
        <v>0.17352263151781394</v>
      </c>
      <c r="Q747" t="s">
        <v>157</v>
      </c>
      <c r="S747" t="s">
        <v>442</v>
      </c>
      <c r="T747" t="s">
        <v>158</v>
      </c>
      <c r="U747">
        <v>0.20626664591053476</v>
      </c>
      <c r="V747" t="s">
        <v>157</v>
      </c>
    </row>
    <row r="748" spans="9:22" x14ac:dyDescent="0.45">
      <c r="I748" t="s">
        <v>220</v>
      </c>
      <c r="J748" t="s">
        <v>159</v>
      </c>
      <c r="K748">
        <v>2.8455263379146195E-2</v>
      </c>
      <c r="L748" t="s">
        <v>157</v>
      </c>
      <c r="N748" t="s">
        <v>331</v>
      </c>
      <c r="O748" t="s">
        <v>159</v>
      </c>
      <c r="P748">
        <v>2.4140124464829379E-2</v>
      </c>
      <c r="Q748" t="s">
        <v>157</v>
      </c>
      <c r="S748" t="s">
        <v>442</v>
      </c>
      <c r="T748" t="s">
        <v>159</v>
      </c>
      <c r="U748">
        <v>2.1247885209790957E-2</v>
      </c>
      <c r="V748" t="s">
        <v>157</v>
      </c>
    </row>
    <row r="749" spans="9:22" x14ac:dyDescent="0.45">
      <c r="I749" t="s">
        <v>220</v>
      </c>
      <c r="J749" t="s">
        <v>160</v>
      </c>
      <c r="K749">
        <v>1.8810460191633852E-2</v>
      </c>
      <c r="L749" t="s">
        <v>157</v>
      </c>
      <c r="N749" t="s">
        <v>331</v>
      </c>
      <c r="O749" t="s">
        <v>160</v>
      </c>
      <c r="P749">
        <v>2.4753067718598466E-2</v>
      </c>
      <c r="Q749" t="s">
        <v>157</v>
      </c>
      <c r="S749" t="s">
        <v>442</v>
      </c>
      <c r="T749" t="s">
        <v>160</v>
      </c>
      <c r="U749">
        <v>2.1157730109437983E-2</v>
      </c>
      <c r="V749" t="s">
        <v>157</v>
      </c>
    </row>
    <row r="750" spans="9:22" x14ac:dyDescent="0.45">
      <c r="I750" t="s">
        <v>220</v>
      </c>
      <c r="J750" t="s">
        <v>161</v>
      </c>
      <c r="K750">
        <v>7.7980608552113868E-3</v>
      </c>
      <c r="L750" t="s">
        <v>157</v>
      </c>
      <c r="N750" t="s">
        <v>331</v>
      </c>
      <c r="O750" t="s">
        <v>161</v>
      </c>
      <c r="P750">
        <v>0.11432371541357308</v>
      </c>
      <c r="Q750" t="s">
        <v>157</v>
      </c>
      <c r="S750" t="s">
        <v>442</v>
      </c>
      <c r="T750" t="s">
        <v>161</v>
      </c>
      <c r="U750">
        <v>0.10223026165468192</v>
      </c>
      <c r="V750" t="s">
        <v>157</v>
      </c>
    </row>
    <row r="751" spans="9:22" x14ac:dyDescent="0.45">
      <c r="I751" t="s">
        <v>220</v>
      </c>
      <c r="J751" t="s">
        <v>162</v>
      </c>
      <c r="K751">
        <v>6.9340242296551998E-3</v>
      </c>
      <c r="L751" t="s">
        <v>157</v>
      </c>
      <c r="N751" t="s">
        <v>331</v>
      </c>
      <c r="O751" t="s">
        <v>162</v>
      </c>
      <c r="P751">
        <v>0.1200884664572623</v>
      </c>
      <c r="Q751" t="s">
        <v>157</v>
      </c>
      <c r="S751" t="s">
        <v>442</v>
      </c>
      <c r="T751" t="s">
        <v>162</v>
      </c>
      <c r="U751">
        <v>0.10400873474559376</v>
      </c>
      <c r="V751" t="s">
        <v>157</v>
      </c>
    </row>
    <row r="752" spans="9:22" x14ac:dyDescent="0.45">
      <c r="I752" t="s">
        <v>220</v>
      </c>
      <c r="J752" t="s">
        <v>163</v>
      </c>
      <c r="K752">
        <v>0.24889224063374474</v>
      </c>
      <c r="L752" t="s">
        <v>157</v>
      </c>
      <c r="N752" t="s">
        <v>331</v>
      </c>
      <c r="O752" t="s">
        <v>163</v>
      </c>
      <c r="P752">
        <v>0.1413755170607367</v>
      </c>
      <c r="Q752" t="s">
        <v>157</v>
      </c>
      <c r="S752" t="s">
        <v>442</v>
      </c>
      <c r="T752" t="s">
        <v>163</v>
      </c>
      <c r="U752">
        <v>0.14494451474451489</v>
      </c>
      <c r="V752" t="s">
        <v>157</v>
      </c>
    </row>
    <row r="753" spans="9:22" x14ac:dyDescent="0.45">
      <c r="I753" t="s">
        <v>220</v>
      </c>
      <c r="J753" t="s">
        <v>164</v>
      </c>
      <c r="K753">
        <v>1.5267697142507582E-2</v>
      </c>
      <c r="L753" t="s">
        <v>157</v>
      </c>
      <c r="N753" t="s">
        <v>331</v>
      </c>
      <c r="O753" t="s">
        <v>164</v>
      </c>
      <c r="P753">
        <v>1.6948424119287611E-2</v>
      </c>
      <c r="Q753" t="s">
        <v>157</v>
      </c>
      <c r="S753" t="s">
        <v>442</v>
      </c>
      <c r="T753" t="s">
        <v>164</v>
      </c>
      <c r="U753">
        <v>1.4407660327524621E-2</v>
      </c>
      <c r="V753" t="s">
        <v>157</v>
      </c>
    </row>
    <row r="754" spans="9:22" x14ac:dyDescent="0.45">
      <c r="I754" t="s">
        <v>220</v>
      </c>
      <c r="J754" t="s">
        <v>165</v>
      </c>
      <c r="K754">
        <v>4.3787343312971733E-3</v>
      </c>
      <c r="L754" t="s">
        <v>157</v>
      </c>
      <c r="N754" t="s">
        <v>331</v>
      </c>
      <c r="O754" t="s">
        <v>165</v>
      </c>
      <c r="P754">
        <v>1.796436697513509E-2</v>
      </c>
      <c r="Q754" t="s">
        <v>157</v>
      </c>
      <c r="S754" t="s">
        <v>442</v>
      </c>
      <c r="T754" t="s">
        <v>165</v>
      </c>
      <c r="U754">
        <v>1.4408280110781171E-2</v>
      </c>
      <c r="V754" t="s">
        <v>157</v>
      </c>
    </row>
    <row r="755" spans="9:22" x14ac:dyDescent="0.45">
      <c r="I755" t="s">
        <v>220</v>
      </c>
      <c r="J755" t="s">
        <v>166</v>
      </c>
      <c r="K755">
        <v>0</v>
      </c>
      <c r="L755" t="s">
        <v>157</v>
      </c>
      <c r="N755" t="s">
        <v>331</v>
      </c>
      <c r="O755" t="s">
        <v>166</v>
      </c>
      <c r="P755">
        <v>9.5372464840916105E-2</v>
      </c>
      <c r="Q755" t="s">
        <v>157</v>
      </c>
      <c r="S755" t="s">
        <v>442</v>
      </c>
      <c r="T755" t="s">
        <v>166</v>
      </c>
      <c r="U755">
        <v>7.1577480994844622E-2</v>
      </c>
      <c r="V755" t="s">
        <v>157</v>
      </c>
    </row>
    <row r="756" spans="9:22" x14ac:dyDescent="0.45">
      <c r="I756" t="s">
        <v>220</v>
      </c>
      <c r="J756" t="s">
        <v>167</v>
      </c>
      <c r="K756">
        <v>2.0024917338738048E-2</v>
      </c>
      <c r="L756" t="s">
        <v>157</v>
      </c>
      <c r="N756" t="s">
        <v>331</v>
      </c>
      <c r="O756" t="s">
        <v>167</v>
      </c>
      <c r="P756">
        <v>3.9510118798235655E-2</v>
      </c>
      <c r="Q756" t="s">
        <v>157</v>
      </c>
      <c r="S756" t="s">
        <v>442</v>
      </c>
      <c r="T756" t="s">
        <v>167</v>
      </c>
      <c r="U756">
        <v>4.497577470444257E-2</v>
      </c>
      <c r="V756" t="s">
        <v>157</v>
      </c>
    </row>
    <row r="757" spans="9:22" x14ac:dyDescent="0.45">
      <c r="I757" t="s">
        <v>220</v>
      </c>
      <c r="J757" t="s">
        <v>168</v>
      </c>
      <c r="K757">
        <v>0.20131188824616358</v>
      </c>
      <c r="L757" t="s">
        <v>157</v>
      </c>
      <c r="N757" t="s">
        <v>331</v>
      </c>
      <c r="O757" t="s">
        <v>168</v>
      </c>
      <c r="P757">
        <v>5.4546592931319172E-2</v>
      </c>
      <c r="Q757" t="s">
        <v>157</v>
      </c>
      <c r="S757" t="s">
        <v>442</v>
      </c>
      <c r="T757" t="s">
        <v>168</v>
      </c>
      <c r="U757">
        <v>6.6109601005611182E-2</v>
      </c>
      <c r="V757" t="s">
        <v>157</v>
      </c>
    </row>
    <row r="758" spans="9:22" x14ac:dyDescent="0.45">
      <c r="I758" t="s">
        <v>220</v>
      </c>
      <c r="J758" t="s">
        <v>169</v>
      </c>
      <c r="K758">
        <v>1.4336601069764941E-2</v>
      </c>
      <c r="L758" t="s">
        <v>157</v>
      </c>
      <c r="N758" t="s">
        <v>331</v>
      </c>
      <c r="O758" t="s">
        <v>169</v>
      </c>
      <c r="P758">
        <v>8.2846480093556434E-3</v>
      </c>
      <c r="Q758" t="s">
        <v>157</v>
      </c>
      <c r="S758" t="s">
        <v>442</v>
      </c>
      <c r="T758" t="s">
        <v>169</v>
      </c>
      <c r="U758">
        <v>6.4931422080970061E-3</v>
      </c>
      <c r="V758" t="s">
        <v>157</v>
      </c>
    </row>
    <row r="759" spans="9:22" x14ac:dyDescent="0.45">
      <c r="I759" t="s">
        <v>220</v>
      </c>
      <c r="J759" t="s">
        <v>170</v>
      </c>
      <c r="K759">
        <v>1.1201894713052288E-2</v>
      </c>
      <c r="L759" t="s">
        <v>157</v>
      </c>
      <c r="N759" t="s">
        <v>331</v>
      </c>
      <c r="O759" t="s">
        <v>170</v>
      </c>
      <c r="P759">
        <v>7.9748821398861868E-3</v>
      </c>
      <c r="Q759" t="s">
        <v>157</v>
      </c>
      <c r="S759" t="s">
        <v>442</v>
      </c>
      <c r="T759" t="s">
        <v>170</v>
      </c>
      <c r="U759">
        <v>6.5232685964468125E-3</v>
      </c>
      <c r="V759" t="s">
        <v>157</v>
      </c>
    </row>
    <row r="760" spans="9:22" x14ac:dyDescent="0.45">
      <c r="I760" t="s">
        <v>220</v>
      </c>
      <c r="J760" t="s">
        <v>171</v>
      </c>
      <c r="K760">
        <v>4.3897983563835454E-3</v>
      </c>
      <c r="L760" t="s">
        <v>157</v>
      </c>
      <c r="N760" t="s">
        <v>331</v>
      </c>
      <c r="O760" t="s">
        <v>171</v>
      </c>
      <c r="P760">
        <v>3.7445199315586181E-2</v>
      </c>
      <c r="Q760" t="s">
        <v>157</v>
      </c>
      <c r="S760" t="s">
        <v>442</v>
      </c>
      <c r="T760" t="s">
        <v>171</v>
      </c>
      <c r="U760">
        <v>3.1806667589251651E-2</v>
      </c>
      <c r="V760" t="s">
        <v>157</v>
      </c>
    </row>
    <row r="761" spans="9:22" x14ac:dyDescent="0.45">
      <c r="I761" t="s">
        <v>221</v>
      </c>
      <c r="J761" t="s">
        <v>156</v>
      </c>
      <c r="K761">
        <v>1.628862843350919E-2</v>
      </c>
      <c r="L761" t="s">
        <v>157</v>
      </c>
      <c r="N761" t="s">
        <v>332</v>
      </c>
      <c r="O761" t="s">
        <v>156</v>
      </c>
      <c r="P761">
        <v>0.12429354828433214</v>
      </c>
      <c r="Q761" t="s">
        <v>157</v>
      </c>
      <c r="S761" t="s">
        <v>443</v>
      </c>
      <c r="T761" t="s">
        <v>156</v>
      </c>
      <c r="U761">
        <v>0.14563012137234826</v>
      </c>
      <c r="V761" t="s">
        <v>157</v>
      </c>
    </row>
    <row r="762" spans="9:22" x14ac:dyDescent="0.45">
      <c r="I762" t="s">
        <v>221</v>
      </c>
      <c r="J762" t="s">
        <v>158</v>
      </c>
      <c r="K762">
        <v>0.40944363148226937</v>
      </c>
      <c r="L762" t="s">
        <v>157</v>
      </c>
      <c r="N762" t="s">
        <v>332</v>
      </c>
      <c r="O762" t="s">
        <v>158</v>
      </c>
      <c r="P762">
        <v>0.17789832753092305</v>
      </c>
      <c r="Q762" t="s">
        <v>157</v>
      </c>
      <c r="S762" t="s">
        <v>443</v>
      </c>
      <c r="T762" t="s">
        <v>158</v>
      </c>
      <c r="U762">
        <v>0.20803964510129858</v>
      </c>
      <c r="V762" t="s">
        <v>157</v>
      </c>
    </row>
    <row r="763" spans="9:22" x14ac:dyDescent="0.45">
      <c r="I763" t="s">
        <v>221</v>
      </c>
      <c r="J763" t="s">
        <v>159</v>
      </c>
      <c r="K763">
        <v>2.9052055683384152E-2</v>
      </c>
      <c r="L763" t="s">
        <v>157</v>
      </c>
      <c r="N763" t="s">
        <v>332</v>
      </c>
      <c r="O763" t="s">
        <v>159</v>
      </c>
      <c r="P763">
        <v>2.2296460642684059E-2</v>
      </c>
      <c r="Q763" t="s">
        <v>157</v>
      </c>
      <c r="S763" t="s">
        <v>443</v>
      </c>
      <c r="T763" t="s">
        <v>159</v>
      </c>
      <c r="U763">
        <v>2.1658534940029981E-2</v>
      </c>
      <c r="V763" t="s">
        <v>157</v>
      </c>
    </row>
    <row r="764" spans="9:22" x14ac:dyDescent="0.45">
      <c r="I764" t="s">
        <v>221</v>
      </c>
      <c r="J764" t="s">
        <v>160</v>
      </c>
      <c r="K764">
        <v>1.9064813886320565E-2</v>
      </c>
      <c r="L764" t="s">
        <v>157</v>
      </c>
      <c r="N764" t="s">
        <v>332</v>
      </c>
      <c r="O764" t="s">
        <v>160</v>
      </c>
      <c r="P764">
        <v>2.1888002032820587E-2</v>
      </c>
      <c r="Q764" t="s">
        <v>157</v>
      </c>
      <c r="S764" t="s">
        <v>443</v>
      </c>
      <c r="T764" t="s">
        <v>160</v>
      </c>
      <c r="U764">
        <v>2.1676688054821099E-2</v>
      </c>
      <c r="V764" t="s">
        <v>157</v>
      </c>
    </row>
    <row r="765" spans="9:22" x14ac:dyDescent="0.45">
      <c r="I765" t="s">
        <v>221</v>
      </c>
      <c r="J765" t="s">
        <v>161</v>
      </c>
      <c r="K765">
        <v>7.9292619228493733E-3</v>
      </c>
      <c r="L765" t="s">
        <v>157</v>
      </c>
      <c r="N765" t="s">
        <v>332</v>
      </c>
      <c r="O765" t="s">
        <v>161</v>
      </c>
      <c r="P765">
        <v>0.10365296829872778</v>
      </c>
      <c r="Q765" t="s">
        <v>157</v>
      </c>
      <c r="S765" t="s">
        <v>443</v>
      </c>
      <c r="T765" t="s">
        <v>161</v>
      </c>
      <c r="U765">
        <v>0.10476187552745922</v>
      </c>
      <c r="V765" t="s">
        <v>157</v>
      </c>
    </row>
    <row r="766" spans="9:22" x14ac:dyDescent="0.45">
      <c r="I766" t="s">
        <v>221</v>
      </c>
      <c r="J766" t="s">
        <v>162</v>
      </c>
      <c r="K766">
        <v>6.2562120010549319E-3</v>
      </c>
      <c r="L766" t="s">
        <v>157</v>
      </c>
      <c r="N766" t="s">
        <v>332</v>
      </c>
      <c r="O766" t="s">
        <v>162</v>
      </c>
      <c r="P766">
        <v>0.13126837900892147</v>
      </c>
      <c r="Q766" t="s">
        <v>157</v>
      </c>
      <c r="S766" t="s">
        <v>443</v>
      </c>
      <c r="T766" t="s">
        <v>162</v>
      </c>
      <c r="U766">
        <v>0.10140856899977302</v>
      </c>
      <c r="V766" t="s">
        <v>157</v>
      </c>
    </row>
    <row r="767" spans="9:22" x14ac:dyDescent="0.45">
      <c r="I767" t="s">
        <v>221</v>
      </c>
      <c r="J767" t="s">
        <v>163</v>
      </c>
      <c r="K767">
        <v>0.24370468212417595</v>
      </c>
      <c r="L767" t="s">
        <v>157</v>
      </c>
      <c r="N767" t="s">
        <v>332</v>
      </c>
      <c r="O767" t="s">
        <v>163</v>
      </c>
      <c r="P767">
        <v>0.15682860932116263</v>
      </c>
      <c r="Q767" t="s">
        <v>157</v>
      </c>
      <c r="S767" t="s">
        <v>443</v>
      </c>
      <c r="T767" t="s">
        <v>163</v>
      </c>
      <c r="U767">
        <v>0.14372613515977078</v>
      </c>
      <c r="V767" t="s">
        <v>157</v>
      </c>
    </row>
    <row r="768" spans="9:22" x14ac:dyDescent="0.45">
      <c r="I768" t="s">
        <v>221</v>
      </c>
      <c r="J768" t="s">
        <v>164</v>
      </c>
      <c r="K768">
        <v>1.5285547982771553E-2</v>
      </c>
      <c r="L768" t="s">
        <v>157</v>
      </c>
      <c r="N768" t="s">
        <v>332</v>
      </c>
      <c r="O768" t="s">
        <v>164</v>
      </c>
      <c r="P768">
        <v>1.8429281606826376E-2</v>
      </c>
      <c r="Q768" t="s">
        <v>157</v>
      </c>
      <c r="S768" t="s">
        <v>443</v>
      </c>
      <c r="T768" t="s">
        <v>164</v>
      </c>
      <c r="U768">
        <v>1.4343360743828165E-2</v>
      </c>
      <c r="V768" t="s">
        <v>157</v>
      </c>
    </row>
    <row r="769" spans="9:22" x14ac:dyDescent="0.45">
      <c r="I769" t="s">
        <v>221</v>
      </c>
      <c r="J769" t="s">
        <v>165</v>
      </c>
      <c r="K769">
        <v>4.3232803637412798E-3</v>
      </c>
      <c r="L769" t="s">
        <v>157</v>
      </c>
      <c r="N769" t="s">
        <v>332</v>
      </c>
      <c r="O769" t="s">
        <v>165</v>
      </c>
      <c r="P769">
        <v>1.8708495126892658E-2</v>
      </c>
      <c r="Q769" t="s">
        <v>157</v>
      </c>
      <c r="S769" t="s">
        <v>443</v>
      </c>
      <c r="T769" t="s">
        <v>165</v>
      </c>
      <c r="U769">
        <v>1.4194134939411279E-2</v>
      </c>
      <c r="V769" t="s">
        <v>157</v>
      </c>
    </row>
    <row r="770" spans="9:22" x14ac:dyDescent="0.45">
      <c r="I770" t="s">
        <v>221</v>
      </c>
      <c r="J770" t="s">
        <v>166</v>
      </c>
      <c r="K770">
        <v>0</v>
      </c>
      <c r="L770" t="s">
        <v>157</v>
      </c>
      <c r="N770" t="s">
        <v>332</v>
      </c>
      <c r="O770" t="s">
        <v>166</v>
      </c>
      <c r="P770">
        <v>9.6854786422665984E-2</v>
      </c>
      <c r="Q770" t="s">
        <v>157</v>
      </c>
      <c r="S770" t="s">
        <v>443</v>
      </c>
      <c r="T770" t="s">
        <v>166</v>
      </c>
      <c r="U770">
        <v>7.1171225818240119E-2</v>
      </c>
      <c r="V770" t="s">
        <v>157</v>
      </c>
    </row>
    <row r="771" spans="9:22" x14ac:dyDescent="0.45">
      <c r="I771" t="s">
        <v>221</v>
      </c>
      <c r="J771" t="s">
        <v>167</v>
      </c>
      <c r="K771">
        <v>1.9700953857179293E-2</v>
      </c>
      <c r="L771" t="s">
        <v>157</v>
      </c>
      <c r="N771" t="s">
        <v>332</v>
      </c>
      <c r="O771" t="s">
        <v>167</v>
      </c>
      <c r="P771">
        <v>3.2467071924365945E-2</v>
      </c>
      <c r="Q771" t="s">
        <v>157</v>
      </c>
      <c r="S771" t="s">
        <v>443</v>
      </c>
      <c r="T771" t="s">
        <v>167</v>
      </c>
      <c r="U771">
        <v>4.4476879866413126E-2</v>
      </c>
      <c r="V771" t="s">
        <v>157</v>
      </c>
    </row>
    <row r="772" spans="9:22" x14ac:dyDescent="0.45">
      <c r="I772" t="s">
        <v>221</v>
      </c>
      <c r="J772" t="s">
        <v>168</v>
      </c>
      <c r="K772">
        <v>0.19948855553458564</v>
      </c>
      <c r="L772" t="s">
        <v>157</v>
      </c>
      <c r="N772" t="s">
        <v>332</v>
      </c>
      <c r="O772" t="s">
        <v>168</v>
      </c>
      <c r="P772">
        <v>5.1413495960943405E-2</v>
      </c>
      <c r="Q772" t="s">
        <v>157</v>
      </c>
      <c r="S772" t="s">
        <v>443</v>
      </c>
      <c r="T772" t="s">
        <v>168</v>
      </c>
      <c r="U772">
        <v>6.5184861257861465E-2</v>
      </c>
      <c r="V772" t="s">
        <v>157</v>
      </c>
    </row>
    <row r="773" spans="9:22" x14ac:dyDescent="0.45">
      <c r="I773" t="s">
        <v>221</v>
      </c>
      <c r="J773" t="s">
        <v>169</v>
      </c>
      <c r="K773">
        <v>1.4217318510588318E-2</v>
      </c>
      <c r="L773" t="s">
        <v>157</v>
      </c>
      <c r="N773" t="s">
        <v>332</v>
      </c>
      <c r="O773" t="s">
        <v>169</v>
      </c>
      <c r="P773">
        <v>5.9558084136561882E-3</v>
      </c>
      <c r="Q773" t="s">
        <v>157</v>
      </c>
      <c r="S773" t="s">
        <v>443</v>
      </c>
      <c r="T773" t="s">
        <v>169</v>
      </c>
      <c r="U773">
        <v>6.1393029702726497E-3</v>
      </c>
      <c r="V773" t="s">
        <v>157</v>
      </c>
    </row>
    <row r="774" spans="9:22" x14ac:dyDescent="0.45">
      <c r="I774" t="s">
        <v>221</v>
      </c>
      <c r="J774" t="s">
        <v>170</v>
      </c>
      <c r="K774">
        <v>1.099638391576342E-2</v>
      </c>
      <c r="L774" t="s">
        <v>157</v>
      </c>
      <c r="N774" t="s">
        <v>332</v>
      </c>
      <c r="O774" t="s">
        <v>170</v>
      </c>
      <c r="P774">
        <v>5.9215587170344253E-3</v>
      </c>
      <c r="Q774" t="s">
        <v>157</v>
      </c>
      <c r="S774" t="s">
        <v>443</v>
      </c>
      <c r="T774" t="s">
        <v>170</v>
      </c>
      <c r="U774">
        <v>6.2235472750470948E-3</v>
      </c>
      <c r="V774" t="s">
        <v>157</v>
      </c>
    </row>
    <row r="775" spans="9:22" x14ac:dyDescent="0.45">
      <c r="I775" t="s">
        <v>221</v>
      </c>
      <c r="J775" t="s">
        <v>171</v>
      </c>
      <c r="K775">
        <v>4.2486743018070455E-3</v>
      </c>
      <c r="L775" t="s">
        <v>157</v>
      </c>
      <c r="N775" t="s">
        <v>332</v>
      </c>
      <c r="O775" t="s">
        <v>171</v>
      </c>
      <c r="P775">
        <v>3.2123206708043368E-2</v>
      </c>
      <c r="Q775" t="s">
        <v>157</v>
      </c>
      <c r="S775" t="s">
        <v>443</v>
      </c>
      <c r="T775" t="s">
        <v>171</v>
      </c>
      <c r="U775">
        <v>3.1365117973425199E-2</v>
      </c>
      <c r="V775" t="s">
        <v>157</v>
      </c>
    </row>
    <row r="776" spans="9:22" x14ac:dyDescent="0.45">
      <c r="I776" t="s">
        <v>222</v>
      </c>
      <c r="J776" t="s">
        <v>156</v>
      </c>
      <c r="K776">
        <v>1.4664427381869283E-2</v>
      </c>
      <c r="L776" t="s">
        <v>157</v>
      </c>
      <c r="N776" t="s">
        <v>333</v>
      </c>
      <c r="O776" t="s">
        <v>156</v>
      </c>
      <c r="P776">
        <v>0.12190473444452897</v>
      </c>
      <c r="Q776" t="s">
        <v>157</v>
      </c>
      <c r="S776" t="s">
        <v>444</v>
      </c>
      <c r="T776" t="s">
        <v>156</v>
      </c>
      <c r="U776">
        <v>0.14535330351055858</v>
      </c>
      <c r="V776" t="s">
        <v>157</v>
      </c>
    </row>
    <row r="777" spans="9:22" x14ac:dyDescent="0.45">
      <c r="I777" t="s">
        <v>222</v>
      </c>
      <c r="J777" t="s">
        <v>158</v>
      </c>
      <c r="K777">
        <v>0.41730037778085893</v>
      </c>
      <c r="L777" t="s">
        <v>157</v>
      </c>
      <c r="N777" t="s">
        <v>333</v>
      </c>
      <c r="O777" t="s">
        <v>158</v>
      </c>
      <c r="P777">
        <v>0.18030893014478921</v>
      </c>
      <c r="Q777" t="s">
        <v>157</v>
      </c>
      <c r="S777" t="s">
        <v>444</v>
      </c>
      <c r="T777" t="s">
        <v>158</v>
      </c>
      <c r="U777">
        <v>0.20743201814242426</v>
      </c>
      <c r="V777" t="s">
        <v>157</v>
      </c>
    </row>
    <row r="778" spans="9:22" x14ac:dyDescent="0.45">
      <c r="I778" t="s">
        <v>222</v>
      </c>
      <c r="J778" t="s">
        <v>159</v>
      </c>
      <c r="K778">
        <v>2.9488304209657094E-2</v>
      </c>
      <c r="L778" t="s">
        <v>157</v>
      </c>
      <c r="N778" t="s">
        <v>333</v>
      </c>
      <c r="O778" t="s">
        <v>159</v>
      </c>
      <c r="P778">
        <v>1.8667144622491468E-2</v>
      </c>
      <c r="Q778" t="s">
        <v>157</v>
      </c>
      <c r="S778" t="s">
        <v>444</v>
      </c>
      <c r="T778" t="s">
        <v>159</v>
      </c>
      <c r="U778">
        <v>2.228135008269894E-2</v>
      </c>
      <c r="V778" t="s">
        <v>157</v>
      </c>
    </row>
    <row r="779" spans="9:22" x14ac:dyDescent="0.45">
      <c r="I779" t="s">
        <v>222</v>
      </c>
      <c r="J779" t="s">
        <v>160</v>
      </c>
      <c r="K779">
        <v>1.9211902585067414E-2</v>
      </c>
      <c r="L779" t="s">
        <v>157</v>
      </c>
      <c r="N779" t="s">
        <v>333</v>
      </c>
      <c r="O779" t="s">
        <v>160</v>
      </c>
      <c r="P779">
        <v>1.700166878052866E-2</v>
      </c>
      <c r="Q779" t="s">
        <v>157</v>
      </c>
      <c r="S779" t="s">
        <v>444</v>
      </c>
      <c r="T779" t="s">
        <v>160</v>
      </c>
      <c r="U779">
        <v>2.2584401207096327E-2</v>
      </c>
      <c r="V779" t="s">
        <v>157</v>
      </c>
    </row>
    <row r="780" spans="9:22" x14ac:dyDescent="0.45">
      <c r="I780" t="s">
        <v>222</v>
      </c>
      <c r="J780" t="s">
        <v>161</v>
      </c>
      <c r="K780">
        <v>7.8683826055259767E-3</v>
      </c>
      <c r="L780" t="s">
        <v>157</v>
      </c>
      <c r="N780" t="s">
        <v>333</v>
      </c>
      <c r="O780" t="s">
        <v>161</v>
      </c>
      <c r="P780">
        <v>8.4241938475313416E-2</v>
      </c>
      <c r="Q780" t="s">
        <v>157</v>
      </c>
      <c r="S780" t="s">
        <v>444</v>
      </c>
      <c r="T780" t="s">
        <v>161</v>
      </c>
      <c r="U780">
        <v>0.10750584756013544</v>
      </c>
      <c r="V780" t="s">
        <v>157</v>
      </c>
    </row>
    <row r="781" spans="9:22" x14ac:dyDescent="0.45">
      <c r="I781" t="s">
        <v>222</v>
      </c>
      <c r="J781" t="s">
        <v>162</v>
      </c>
      <c r="K781">
        <v>4.9758069043472145E-3</v>
      </c>
      <c r="L781" t="s">
        <v>157</v>
      </c>
      <c r="N781" t="s">
        <v>333</v>
      </c>
      <c r="O781" t="s">
        <v>162</v>
      </c>
      <c r="P781">
        <v>0.13268100230739019</v>
      </c>
      <c r="Q781" t="s">
        <v>157</v>
      </c>
      <c r="S781" t="s">
        <v>444</v>
      </c>
      <c r="T781" t="s">
        <v>162</v>
      </c>
      <c r="U781">
        <v>0.10196654108293374</v>
      </c>
      <c r="V781" t="s">
        <v>157</v>
      </c>
    </row>
    <row r="782" spans="9:22" x14ac:dyDescent="0.45">
      <c r="I782" t="s">
        <v>222</v>
      </c>
      <c r="J782" t="s">
        <v>163</v>
      </c>
      <c r="K782">
        <v>0.23781108336502907</v>
      </c>
      <c r="L782" t="s">
        <v>157</v>
      </c>
      <c r="N782" t="s">
        <v>333</v>
      </c>
      <c r="O782" t="s">
        <v>163</v>
      </c>
      <c r="P782">
        <v>0.1880939007864347</v>
      </c>
      <c r="Q782" t="s">
        <v>157</v>
      </c>
      <c r="S782" t="s">
        <v>444</v>
      </c>
      <c r="T782" t="s">
        <v>163</v>
      </c>
      <c r="U782">
        <v>0.14561121956514908</v>
      </c>
      <c r="V782" t="s">
        <v>157</v>
      </c>
    </row>
    <row r="783" spans="9:22" x14ac:dyDescent="0.45">
      <c r="I783" t="s">
        <v>222</v>
      </c>
      <c r="J783" t="s">
        <v>164</v>
      </c>
      <c r="K783">
        <v>1.4758471690983597E-2</v>
      </c>
      <c r="L783" t="s">
        <v>157</v>
      </c>
      <c r="N783" t="s">
        <v>333</v>
      </c>
      <c r="O783" t="s">
        <v>164</v>
      </c>
      <c r="P783">
        <v>1.9489232837127595E-2</v>
      </c>
      <c r="Q783" t="s">
        <v>157</v>
      </c>
      <c r="S783" t="s">
        <v>444</v>
      </c>
      <c r="T783" t="s">
        <v>164</v>
      </c>
      <c r="U783">
        <v>1.4729410690394035E-2</v>
      </c>
      <c r="V783" t="s">
        <v>157</v>
      </c>
    </row>
    <row r="784" spans="9:22" x14ac:dyDescent="0.45">
      <c r="I784" t="s">
        <v>222</v>
      </c>
      <c r="J784" t="s">
        <v>165</v>
      </c>
      <c r="K784">
        <v>3.9303143155224457E-3</v>
      </c>
      <c r="L784" t="s">
        <v>157</v>
      </c>
      <c r="N784" t="s">
        <v>333</v>
      </c>
      <c r="O784" t="s">
        <v>165</v>
      </c>
      <c r="P784">
        <v>1.8958466337026712E-2</v>
      </c>
      <c r="Q784" t="s">
        <v>157</v>
      </c>
      <c r="S784" t="s">
        <v>444</v>
      </c>
      <c r="T784" t="s">
        <v>165</v>
      </c>
      <c r="U784">
        <v>1.4609941798748661E-2</v>
      </c>
      <c r="V784" t="s">
        <v>157</v>
      </c>
    </row>
    <row r="785" spans="9:22" x14ac:dyDescent="0.45">
      <c r="I785" t="s">
        <v>222</v>
      </c>
      <c r="J785" t="s">
        <v>166</v>
      </c>
      <c r="K785">
        <v>0</v>
      </c>
      <c r="L785" t="s">
        <v>157</v>
      </c>
      <c r="N785" t="s">
        <v>333</v>
      </c>
      <c r="O785" t="s">
        <v>166</v>
      </c>
      <c r="P785">
        <v>9.1556081105296283E-2</v>
      </c>
      <c r="Q785" t="s">
        <v>157</v>
      </c>
      <c r="S785" t="s">
        <v>444</v>
      </c>
      <c r="T785" t="s">
        <v>166</v>
      </c>
      <c r="U785">
        <v>7.2521204295623518E-2</v>
      </c>
      <c r="V785" t="s">
        <v>157</v>
      </c>
    </row>
    <row r="786" spans="9:22" x14ac:dyDescent="0.45">
      <c r="I786" t="s">
        <v>222</v>
      </c>
      <c r="J786" t="s">
        <v>167</v>
      </c>
      <c r="K786">
        <v>1.8465831577370542E-2</v>
      </c>
      <c r="L786" t="s">
        <v>157</v>
      </c>
      <c r="N786" t="s">
        <v>333</v>
      </c>
      <c r="O786" t="s">
        <v>167</v>
      </c>
      <c r="P786">
        <v>3.1816578357175516E-2</v>
      </c>
      <c r="Q786" t="s">
        <v>157</v>
      </c>
      <c r="S786" t="s">
        <v>444</v>
      </c>
      <c r="T786" t="s">
        <v>167</v>
      </c>
      <c r="U786">
        <v>4.3387004942060804E-2</v>
      </c>
      <c r="V786" t="s">
        <v>157</v>
      </c>
    </row>
    <row r="787" spans="9:22" x14ac:dyDescent="0.45">
      <c r="I787" t="s">
        <v>222</v>
      </c>
      <c r="J787" t="s">
        <v>168</v>
      </c>
      <c r="K787">
        <v>0.20138392853341716</v>
      </c>
      <c r="L787" t="s">
        <v>157</v>
      </c>
      <c r="N787" t="s">
        <v>333</v>
      </c>
      <c r="O787" t="s">
        <v>168</v>
      </c>
      <c r="P787">
        <v>6.2636407596960347E-2</v>
      </c>
      <c r="Q787" t="s">
        <v>157</v>
      </c>
      <c r="S787" t="s">
        <v>444</v>
      </c>
      <c r="T787" t="s">
        <v>168</v>
      </c>
      <c r="U787">
        <v>6.1296361732804186E-2</v>
      </c>
      <c r="V787" t="s">
        <v>157</v>
      </c>
    </row>
    <row r="788" spans="9:22" x14ac:dyDescent="0.45">
      <c r="I788" t="s">
        <v>222</v>
      </c>
      <c r="J788" t="s">
        <v>169</v>
      </c>
      <c r="K788">
        <v>1.4793675886481774E-2</v>
      </c>
      <c r="L788" t="s">
        <v>157</v>
      </c>
      <c r="N788" t="s">
        <v>333</v>
      </c>
      <c r="O788" t="s">
        <v>169</v>
      </c>
      <c r="P788">
        <v>5.7987554109488913E-3</v>
      </c>
      <c r="Q788" t="s">
        <v>157</v>
      </c>
      <c r="S788" t="s">
        <v>444</v>
      </c>
      <c r="T788" t="s">
        <v>169</v>
      </c>
      <c r="U788">
        <v>5.7382569964108086E-3</v>
      </c>
      <c r="V788" t="s">
        <v>157</v>
      </c>
    </row>
    <row r="789" spans="9:22" x14ac:dyDescent="0.45">
      <c r="I789" t="s">
        <v>222</v>
      </c>
      <c r="J789" t="s">
        <v>170</v>
      </c>
      <c r="K789">
        <v>1.1047656151727757E-2</v>
      </c>
      <c r="L789" t="s">
        <v>157</v>
      </c>
      <c r="N789" t="s">
        <v>333</v>
      </c>
      <c r="O789" t="s">
        <v>170</v>
      </c>
      <c r="P789">
        <v>5.0670319771507202E-3</v>
      </c>
      <c r="Q789" t="s">
        <v>157</v>
      </c>
      <c r="S789" t="s">
        <v>444</v>
      </c>
      <c r="T789" t="s">
        <v>170</v>
      </c>
      <c r="U789">
        <v>5.7636669164231108E-3</v>
      </c>
      <c r="V789" t="s">
        <v>157</v>
      </c>
    </row>
    <row r="790" spans="9:22" x14ac:dyDescent="0.45">
      <c r="I790" t="s">
        <v>222</v>
      </c>
      <c r="J790" t="s">
        <v>171</v>
      </c>
      <c r="K790">
        <v>4.2998370121417597E-3</v>
      </c>
      <c r="L790" t="s">
        <v>157</v>
      </c>
      <c r="N790" t="s">
        <v>333</v>
      </c>
      <c r="O790" t="s">
        <v>171</v>
      </c>
      <c r="P790">
        <v>2.1778126816837266E-2</v>
      </c>
      <c r="Q790" t="s">
        <v>157</v>
      </c>
      <c r="S790" t="s">
        <v>444</v>
      </c>
      <c r="T790" t="s">
        <v>171</v>
      </c>
      <c r="U790">
        <v>2.9219471476538493E-2</v>
      </c>
      <c r="V790" t="s">
        <v>157</v>
      </c>
    </row>
    <row r="791" spans="9:22" x14ac:dyDescent="0.45">
      <c r="I791" t="s">
        <v>223</v>
      </c>
      <c r="J791" t="s">
        <v>156</v>
      </c>
      <c r="K791">
        <v>1.2716496904584226E-2</v>
      </c>
      <c r="L791" t="s">
        <v>157</v>
      </c>
      <c r="N791" t="s">
        <v>334</v>
      </c>
      <c r="O791" t="s">
        <v>156</v>
      </c>
      <c r="P791">
        <v>0.10392801986925536</v>
      </c>
      <c r="Q791" t="s">
        <v>157</v>
      </c>
      <c r="S791" t="s">
        <v>445</v>
      </c>
      <c r="T791" t="s">
        <v>156</v>
      </c>
      <c r="U791">
        <v>0.14147798383305035</v>
      </c>
      <c r="V791" t="s">
        <v>157</v>
      </c>
    </row>
    <row r="792" spans="9:22" x14ac:dyDescent="0.45">
      <c r="I792" t="s">
        <v>223</v>
      </c>
      <c r="J792" t="s">
        <v>158</v>
      </c>
      <c r="K792">
        <v>0.42432861795263926</v>
      </c>
      <c r="L792" t="s">
        <v>157</v>
      </c>
      <c r="N792" t="s">
        <v>334</v>
      </c>
      <c r="O792" t="s">
        <v>158</v>
      </c>
      <c r="P792">
        <v>0.19889779566388222</v>
      </c>
      <c r="Q792" t="s">
        <v>157</v>
      </c>
      <c r="S792" t="s">
        <v>445</v>
      </c>
      <c r="T792" t="s">
        <v>158</v>
      </c>
      <c r="U792">
        <v>0.19903993477193843</v>
      </c>
      <c r="V792" t="s">
        <v>157</v>
      </c>
    </row>
    <row r="793" spans="9:22" x14ac:dyDescent="0.45">
      <c r="I793" t="s">
        <v>223</v>
      </c>
      <c r="J793" t="s">
        <v>159</v>
      </c>
      <c r="K793">
        <v>2.9834988293948782E-2</v>
      </c>
      <c r="L793" t="s">
        <v>157</v>
      </c>
      <c r="N793" t="s">
        <v>334</v>
      </c>
      <c r="O793" t="s">
        <v>159</v>
      </c>
      <c r="P793">
        <v>1.9563589685702196E-2</v>
      </c>
      <c r="Q793" t="s">
        <v>157</v>
      </c>
      <c r="S793" t="s">
        <v>445</v>
      </c>
      <c r="T793" t="s">
        <v>159</v>
      </c>
      <c r="U793">
        <v>2.2182833665202469E-2</v>
      </c>
      <c r="V793" t="s">
        <v>157</v>
      </c>
    </row>
    <row r="794" spans="9:22" x14ac:dyDescent="0.45">
      <c r="I794" t="s">
        <v>223</v>
      </c>
      <c r="J794" t="s">
        <v>160</v>
      </c>
      <c r="K794">
        <v>1.9328381879495971E-2</v>
      </c>
      <c r="L794" t="s">
        <v>157</v>
      </c>
      <c r="N794" t="s">
        <v>334</v>
      </c>
      <c r="O794" t="s">
        <v>160</v>
      </c>
      <c r="P794">
        <v>1.7069746684143315E-2</v>
      </c>
      <c r="Q794" t="s">
        <v>157</v>
      </c>
      <c r="S794" t="s">
        <v>445</v>
      </c>
      <c r="T794" t="s">
        <v>160</v>
      </c>
      <c r="U794">
        <v>2.2360590881058424E-2</v>
      </c>
      <c r="V794" t="s">
        <v>157</v>
      </c>
    </row>
    <row r="795" spans="9:22" x14ac:dyDescent="0.45">
      <c r="I795" t="s">
        <v>223</v>
      </c>
      <c r="J795" t="s">
        <v>161</v>
      </c>
      <c r="K795">
        <v>7.7526866201029932E-3</v>
      </c>
      <c r="L795" t="s">
        <v>157</v>
      </c>
      <c r="N795" t="s">
        <v>334</v>
      </c>
      <c r="O795" t="s">
        <v>161</v>
      </c>
      <c r="P795">
        <v>7.4737636503412183E-2</v>
      </c>
      <c r="Q795" t="s">
        <v>157</v>
      </c>
      <c r="S795" t="s">
        <v>445</v>
      </c>
      <c r="T795" t="s">
        <v>161</v>
      </c>
      <c r="U795">
        <v>0.10545181032286939</v>
      </c>
      <c r="V795" t="s">
        <v>157</v>
      </c>
    </row>
    <row r="796" spans="9:22" x14ac:dyDescent="0.45">
      <c r="I796" t="s">
        <v>223</v>
      </c>
      <c r="J796" t="s">
        <v>162</v>
      </c>
      <c r="K796">
        <v>3.5135726512206928E-3</v>
      </c>
      <c r="L796" t="s">
        <v>157</v>
      </c>
      <c r="N796" t="s">
        <v>334</v>
      </c>
      <c r="O796" t="s">
        <v>162</v>
      </c>
      <c r="P796">
        <v>0.11295096582603659</v>
      </c>
      <c r="Q796" t="s">
        <v>157</v>
      </c>
      <c r="S796" t="s">
        <v>445</v>
      </c>
      <c r="T796" t="s">
        <v>162</v>
      </c>
      <c r="U796">
        <v>0.10531638145874989</v>
      </c>
      <c r="V796" t="s">
        <v>157</v>
      </c>
    </row>
    <row r="797" spans="9:22" x14ac:dyDescent="0.45">
      <c r="I797" t="s">
        <v>223</v>
      </c>
      <c r="J797" t="s">
        <v>163</v>
      </c>
      <c r="K797">
        <v>0.2250466158136965</v>
      </c>
      <c r="L797" t="s">
        <v>157</v>
      </c>
      <c r="N797" t="s">
        <v>334</v>
      </c>
      <c r="O797" t="s">
        <v>163</v>
      </c>
      <c r="P797">
        <v>0.21765127094495848</v>
      </c>
      <c r="Q797" t="s">
        <v>157</v>
      </c>
      <c r="S797" t="s">
        <v>445</v>
      </c>
      <c r="T797" t="s">
        <v>163</v>
      </c>
      <c r="U797">
        <v>0.15335668197226718</v>
      </c>
      <c r="V797" t="s">
        <v>157</v>
      </c>
    </row>
    <row r="798" spans="9:22" x14ac:dyDescent="0.45">
      <c r="I798" t="s">
        <v>223</v>
      </c>
      <c r="J798" t="s">
        <v>164</v>
      </c>
      <c r="K798">
        <v>1.3674535802722119E-2</v>
      </c>
      <c r="L798" t="s">
        <v>157</v>
      </c>
      <c r="N798" t="s">
        <v>334</v>
      </c>
      <c r="O798" t="s">
        <v>164</v>
      </c>
      <c r="P798">
        <v>2.0258353623724829E-2</v>
      </c>
      <c r="Q798" t="s">
        <v>157</v>
      </c>
      <c r="S798" t="s">
        <v>445</v>
      </c>
      <c r="T798" t="s">
        <v>164</v>
      </c>
      <c r="U798">
        <v>1.607003798248573E-2</v>
      </c>
      <c r="V798" t="s">
        <v>157</v>
      </c>
    </row>
    <row r="799" spans="9:22" x14ac:dyDescent="0.45">
      <c r="I799" t="s">
        <v>223</v>
      </c>
      <c r="J799" t="s">
        <v>165</v>
      </c>
      <c r="K799">
        <v>3.2222888665624644E-3</v>
      </c>
      <c r="L799" t="s">
        <v>157</v>
      </c>
      <c r="N799" t="s">
        <v>334</v>
      </c>
      <c r="O799" t="s">
        <v>165</v>
      </c>
      <c r="P799">
        <v>1.8631358086512208E-2</v>
      </c>
      <c r="Q799" t="s">
        <v>157</v>
      </c>
      <c r="S799" t="s">
        <v>445</v>
      </c>
      <c r="T799" t="s">
        <v>165</v>
      </c>
      <c r="U799">
        <v>1.5836904453673421E-2</v>
      </c>
      <c r="V799" t="s">
        <v>157</v>
      </c>
    </row>
    <row r="800" spans="9:22" x14ac:dyDescent="0.45">
      <c r="I800" t="s">
        <v>223</v>
      </c>
      <c r="J800" t="s">
        <v>166</v>
      </c>
      <c r="K800">
        <v>0</v>
      </c>
      <c r="L800" t="s">
        <v>157</v>
      </c>
      <c r="N800" t="s">
        <v>334</v>
      </c>
      <c r="O800" t="s">
        <v>166</v>
      </c>
      <c r="P800">
        <v>8.2289621391519074E-2</v>
      </c>
      <c r="Q800" t="s">
        <v>157</v>
      </c>
      <c r="S800" t="s">
        <v>445</v>
      </c>
      <c r="T800" t="s">
        <v>166</v>
      </c>
      <c r="U800">
        <v>7.5190126858173348E-2</v>
      </c>
      <c r="V800" t="s">
        <v>157</v>
      </c>
    </row>
    <row r="801" spans="9:22" x14ac:dyDescent="0.45">
      <c r="I801" t="s">
        <v>223</v>
      </c>
      <c r="J801" t="s">
        <v>167</v>
      </c>
      <c r="K801">
        <v>1.7692255190842301E-2</v>
      </c>
      <c r="L801" t="s">
        <v>157</v>
      </c>
      <c r="N801" t="s">
        <v>334</v>
      </c>
      <c r="O801" t="s">
        <v>167</v>
      </c>
      <c r="P801">
        <v>2.4918927032133362E-2</v>
      </c>
      <c r="Q801" t="s">
        <v>157</v>
      </c>
      <c r="S801" t="s">
        <v>445</v>
      </c>
      <c r="T801" t="s">
        <v>167</v>
      </c>
      <c r="U801">
        <v>4.0001016755672227E-2</v>
      </c>
      <c r="V801" t="s">
        <v>157</v>
      </c>
    </row>
    <row r="802" spans="9:22" x14ac:dyDescent="0.45">
      <c r="I802" t="s">
        <v>223</v>
      </c>
      <c r="J802" t="s">
        <v>168</v>
      </c>
      <c r="K802">
        <v>0.21067433054546872</v>
      </c>
      <c r="L802" t="s">
        <v>157</v>
      </c>
      <c r="N802" t="s">
        <v>334</v>
      </c>
      <c r="O802" t="s">
        <v>168</v>
      </c>
      <c r="P802">
        <v>7.7892465921452214E-2</v>
      </c>
      <c r="Q802" t="s">
        <v>157</v>
      </c>
      <c r="S802" t="s">
        <v>445</v>
      </c>
      <c r="T802" t="s">
        <v>168</v>
      </c>
      <c r="U802">
        <v>6.191206379378434E-2</v>
      </c>
      <c r="V802" t="s">
        <v>157</v>
      </c>
    </row>
    <row r="803" spans="9:22" x14ac:dyDescent="0.45">
      <c r="I803" t="s">
        <v>223</v>
      </c>
      <c r="J803" t="s">
        <v>169</v>
      </c>
      <c r="K803">
        <v>1.6184020457798588E-2</v>
      </c>
      <c r="L803" t="s">
        <v>157</v>
      </c>
      <c r="N803" t="s">
        <v>334</v>
      </c>
      <c r="O803" t="s">
        <v>169</v>
      </c>
      <c r="P803">
        <v>6.3999306887232692E-3</v>
      </c>
      <c r="Q803" t="s">
        <v>157</v>
      </c>
      <c r="S803" t="s">
        <v>445</v>
      </c>
      <c r="T803" t="s">
        <v>169</v>
      </c>
      <c r="U803">
        <v>6.6199189212337046E-3</v>
      </c>
      <c r="V803" t="s">
        <v>157</v>
      </c>
    </row>
    <row r="804" spans="9:22" x14ac:dyDescent="0.45">
      <c r="I804" t="s">
        <v>223</v>
      </c>
      <c r="J804" t="s">
        <v>170</v>
      </c>
      <c r="K804">
        <v>1.1578833655962647E-2</v>
      </c>
      <c r="L804" t="s">
        <v>157</v>
      </c>
      <c r="N804" t="s">
        <v>334</v>
      </c>
      <c r="O804" t="s">
        <v>170</v>
      </c>
      <c r="P804">
        <v>5.5595169919218637E-3</v>
      </c>
      <c r="Q804" t="s">
        <v>157</v>
      </c>
      <c r="S804" t="s">
        <v>445</v>
      </c>
      <c r="T804" t="s">
        <v>170</v>
      </c>
      <c r="U804">
        <v>6.2713406958804004E-3</v>
      </c>
      <c r="V804" t="s">
        <v>157</v>
      </c>
    </row>
    <row r="805" spans="9:22" x14ac:dyDescent="0.45">
      <c r="I805" t="s">
        <v>223</v>
      </c>
      <c r="J805" t="s">
        <v>171</v>
      </c>
      <c r="K805">
        <v>4.4523753649547328E-3</v>
      </c>
      <c r="L805" t="s">
        <v>157</v>
      </c>
      <c r="N805" t="s">
        <v>334</v>
      </c>
      <c r="O805" t="s">
        <v>171</v>
      </c>
      <c r="P805">
        <v>1.9250801086622801E-2</v>
      </c>
      <c r="Q805" t="s">
        <v>157</v>
      </c>
      <c r="S805" t="s">
        <v>445</v>
      </c>
      <c r="T805" t="s">
        <v>171</v>
      </c>
      <c r="U805">
        <v>2.8912373633960698E-2</v>
      </c>
      <c r="V805" t="s">
        <v>157</v>
      </c>
    </row>
    <row r="806" spans="9:22" x14ac:dyDescent="0.45">
      <c r="I806" t="s">
        <v>224</v>
      </c>
      <c r="J806" t="s">
        <v>156</v>
      </c>
      <c r="K806">
        <v>1.1449041335073021E-2</v>
      </c>
      <c r="L806" t="s">
        <v>157</v>
      </c>
      <c r="N806" t="s">
        <v>335</v>
      </c>
      <c r="O806" t="s">
        <v>156</v>
      </c>
      <c r="P806">
        <v>9.8485865210156523E-2</v>
      </c>
      <c r="Q806" t="s">
        <v>157</v>
      </c>
      <c r="S806" t="s">
        <v>446</v>
      </c>
      <c r="T806" t="s">
        <v>156</v>
      </c>
      <c r="U806">
        <v>0.11380206570216497</v>
      </c>
      <c r="V806" t="s">
        <v>157</v>
      </c>
    </row>
    <row r="807" spans="9:22" x14ac:dyDescent="0.45">
      <c r="I807" t="s">
        <v>224</v>
      </c>
      <c r="J807" t="s">
        <v>158</v>
      </c>
      <c r="K807">
        <v>0.42378616933268781</v>
      </c>
      <c r="L807" t="s">
        <v>157</v>
      </c>
      <c r="N807" t="s">
        <v>335</v>
      </c>
      <c r="O807" t="s">
        <v>158</v>
      </c>
      <c r="P807">
        <v>0.21401641674545371</v>
      </c>
      <c r="Q807" t="s">
        <v>157</v>
      </c>
      <c r="S807" t="s">
        <v>446</v>
      </c>
      <c r="T807" t="s">
        <v>158</v>
      </c>
      <c r="U807">
        <v>0.21950934224465243</v>
      </c>
      <c r="V807" t="s">
        <v>157</v>
      </c>
    </row>
    <row r="808" spans="9:22" x14ac:dyDescent="0.45">
      <c r="I808" t="s">
        <v>224</v>
      </c>
      <c r="J808" t="s">
        <v>159</v>
      </c>
      <c r="K808">
        <v>3.0550743293563779E-2</v>
      </c>
      <c r="L808" t="s">
        <v>157</v>
      </c>
      <c r="N808" t="s">
        <v>335</v>
      </c>
      <c r="O808" t="s">
        <v>159</v>
      </c>
      <c r="P808">
        <v>2.2206297791789172E-2</v>
      </c>
      <c r="Q808" t="s">
        <v>157</v>
      </c>
      <c r="S808" t="s">
        <v>446</v>
      </c>
      <c r="T808" t="s">
        <v>159</v>
      </c>
      <c r="U808">
        <v>2.0869438743090746E-2</v>
      </c>
      <c r="V808" t="s">
        <v>157</v>
      </c>
    </row>
    <row r="809" spans="9:22" x14ac:dyDescent="0.45">
      <c r="I809" t="s">
        <v>224</v>
      </c>
      <c r="J809" t="s">
        <v>160</v>
      </c>
      <c r="K809">
        <v>1.9668692927117867E-2</v>
      </c>
      <c r="L809" t="s">
        <v>157</v>
      </c>
      <c r="N809" t="s">
        <v>335</v>
      </c>
      <c r="O809" t="s">
        <v>160</v>
      </c>
      <c r="P809">
        <v>1.9184998734452029E-2</v>
      </c>
      <c r="Q809" t="s">
        <v>157</v>
      </c>
      <c r="S809" t="s">
        <v>446</v>
      </c>
      <c r="T809" t="s">
        <v>160</v>
      </c>
      <c r="U809">
        <v>1.8302872724701456E-2</v>
      </c>
      <c r="V809" t="s">
        <v>157</v>
      </c>
    </row>
    <row r="810" spans="9:22" x14ac:dyDescent="0.45">
      <c r="I810" t="s">
        <v>224</v>
      </c>
      <c r="J810" t="s">
        <v>161</v>
      </c>
      <c r="K810">
        <v>7.8747943024065608E-3</v>
      </c>
      <c r="L810" t="s">
        <v>157</v>
      </c>
      <c r="N810" t="s">
        <v>335</v>
      </c>
      <c r="O810" t="s">
        <v>161</v>
      </c>
      <c r="P810">
        <v>7.2422099644617557E-2</v>
      </c>
      <c r="Q810" t="s">
        <v>157</v>
      </c>
      <c r="S810" t="s">
        <v>446</v>
      </c>
      <c r="T810" t="s">
        <v>161</v>
      </c>
      <c r="U810">
        <v>8.0373140102003401E-2</v>
      </c>
      <c r="V810" t="s">
        <v>157</v>
      </c>
    </row>
    <row r="811" spans="9:22" x14ac:dyDescent="0.45">
      <c r="I811" t="s">
        <v>224</v>
      </c>
      <c r="J811" t="s">
        <v>162</v>
      </c>
      <c r="K811">
        <v>3.182295853110779E-3</v>
      </c>
      <c r="L811" t="s">
        <v>157</v>
      </c>
      <c r="N811" t="s">
        <v>335</v>
      </c>
      <c r="O811" t="s">
        <v>162</v>
      </c>
      <c r="P811">
        <v>9.9160152105174412E-2</v>
      </c>
      <c r="Q811" t="s">
        <v>157</v>
      </c>
      <c r="S811" t="s">
        <v>446</v>
      </c>
      <c r="T811" t="s">
        <v>162</v>
      </c>
      <c r="U811">
        <v>0.11711245281860032</v>
      </c>
      <c r="V811" t="s">
        <v>157</v>
      </c>
    </row>
    <row r="812" spans="9:22" x14ac:dyDescent="0.45">
      <c r="I812" t="s">
        <v>224</v>
      </c>
      <c r="J812" t="s">
        <v>163</v>
      </c>
      <c r="K812">
        <v>0.22264007818094536</v>
      </c>
      <c r="L812" t="s">
        <v>157</v>
      </c>
      <c r="N812" t="s">
        <v>335</v>
      </c>
      <c r="O812" t="s">
        <v>163</v>
      </c>
      <c r="P812">
        <v>0.23134272863380825</v>
      </c>
      <c r="Q812" t="s">
        <v>157</v>
      </c>
      <c r="S812" t="s">
        <v>446</v>
      </c>
      <c r="T812" t="s">
        <v>163</v>
      </c>
      <c r="U812">
        <v>0.19802155197853125</v>
      </c>
      <c r="V812" t="s">
        <v>157</v>
      </c>
    </row>
    <row r="813" spans="9:22" x14ac:dyDescent="0.45">
      <c r="I813" t="s">
        <v>224</v>
      </c>
      <c r="J813" t="s">
        <v>164</v>
      </c>
      <c r="K813">
        <v>1.3378371061302343E-2</v>
      </c>
      <c r="L813" t="s">
        <v>157</v>
      </c>
      <c r="N813" t="s">
        <v>335</v>
      </c>
      <c r="O813" t="s">
        <v>164</v>
      </c>
      <c r="P813">
        <v>2.1320221195199791E-2</v>
      </c>
      <c r="Q813" t="s">
        <v>157</v>
      </c>
      <c r="S813" t="s">
        <v>446</v>
      </c>
      <c r="T813" t="s">
        <v>164</v>
      </c>
      <c r="U813">
        <v>1.8261962561914521E-2</v>
      </c>
      <c r="V813" t="s">
        <v>157</v>
      </c>
    </row>
    <row r="814" spans="9:22" x14ac:dyDescent="0.45">
      <c r="I814" t="s">
        <v>224</v>
      </c>
      <c r="J814" t="s">
        <v>165</v>
      </c>
      <c r="K814">
        <v>3.2706716826747979E-3</v>
      </c>
      <c r="L814" t="s">
        <v>157</v>
      </c>
      <c r="N814" t="s">
        <v>335</v>
      </c>
      <c r="O814" t="s">
        <v>165</v>
      </c>
      <c r="P814">
        <v>1.7519799076249259E-2</v>
      </c>
      <c r="Q814" t="s">
        <v>157</v>
      </c>
      <c r="S814" t="s">
        <v>446</v>
      </c>
      <c r="T814" t="s">
        <v>165</v>
      </c>
      <c r="U814">
        <v>1.7279350658797273E-2</v>
      </c>
      <c r="V814" t="s">
        <v>157</v>
      </c>
    </row>
    <row r="815" spans="9:22" x14ac:dyDescent="0.45">
      <c r="I815" t="s">
        <v>224</v>
      </c>
      <c r="J815" t="s">
        <v>166</v>
      </c>
      <c r="K815">
        <v>0</v>
      </c>
      <c r="L815" t="s">
        <v>157</v>
      </c>
      <c r="N815" t="s">
        <v>335</v>
      </c>
      <c r="O815" t="s">
        <v>166</v>
      </c>
      <c r="P815">
        <v>7.3209177860451738E-2</v>
      </c>
      <c r="Q815" t="s">
        <v>157</v>
      </c>
      <c r="S815" t="s">
        <v>446</v>
      </c>
      <c r="T815" t="s">
        <v>166</v>
      </c>
      <c r="U815">
        <v>8.0005389792142209E-2</v>
      </c>
      <c r="V815" t="s">
        <v>157</v>
      </c>
    </row>
    <row r="816" spans="9:22" x14ac:dyDescent="0.45">
      <c r="I816" t="s">
        <v>224</v>
      </c>
      <c r="J816" t="s">
        <v>167</v>
      </c>
      <c r="K816">
        <v>1.842972134536288E-2</v>
      </c>
      <c r="L816" t="s">
        <v>157</v>
      </c>
      <c r="N816" t="s">
        <v>335</v>
      </c>
      <c r="O816" t="s">
        <v>167</v>
      </c>
      <c r="P816">
        <v>2.3534695020869384E-2</v>
      </c>
      <c r="Q816" t="s">
        <v>157</v>
      </c>
      <c r="S816" t="s">
        <v>446</v>
      </c>
      <c r="T816" t="s">
        <v>167</v>
      </c>
      <c r="U816">
        <v>2.194395085436605E-2</v>
      </c>
      <c r="V816" t="s">
        <v>157</v>
      </c>
    </row>
    <row r="817" spans="9:22" x14ac:dyDescent="0.45">
      <c r="I817" t="s">
        <v>224</v>
      </c>
      <c r="J817" t="s">
        <v>168</v>
      </c>
      <c r="K817">
        <v>0.21252641584062851</v>
      </c>
      <c r="L817" t="s">
        <v>157</v>
      </c>
      <c r="N817" t="s">
        <v>335</v>
      </c>
      <c r="O817" t="s">
        <v>168</v>
      </c>
      <c r="P817">
        <v>8.3538005485829125E-2</v>
      </c>
      <c r="Q817" t="s">
        <v>157</v>
      </c>
      <c r="S817" t="s">
        <v>446</v>
      </c>
      <c r="T817" t="s">
        <v>168</v>
      </c>
      <c r="U817">
        <v>6.6546894226158365E-2</v>
      </c>
      <c r="V817" t="s">
        <v>157</v>
      </c>
    </row>
    <row r="818" spans="9:22" x14ac:dyDescent="0.45">
      <c r="I818" t="s">
        <v>224</v>
      </c>
      <c r="J818" t="s">
        <v>169</v>
      </c>
      <c r="K818">
        <v>1.6558437438401997E-2</v>
      </c>
      <c r="L818" t="s">
        <v>157</v>
      </c>
      <c r="N818" t="s">
        <v>335</v>
      </c>
      <c r="O818" t="s">
        <v>169</v>
      </c>
      <c r="P818">
        <v>5.3994636685780507E-3</v>
      </c>
      <c r="Q818" t="s">
        <v>157</v>
      </c>
      <c r="S818" t="s">
        <v>446</v>
      </c>
      <c r="T818" t="s">
        <v>169</v>
      </c>
      <c r="U818">
        <v>5.8499575355743265E-3</v>
      </c>
      <c r="V818" t="s">
        <v>157</v>
      </c>
    </row>
    <row r="819" spans="9:22" x14ac:dyDescent="0.45">
      <c r="I819" t="s">
        <v>224</v>
      </c>
      <c r="J819" t="s">
        <v>170</v>
      </c>
      <c r="K819">
        <v>1.2158723697077505E-2</v>
      </c>
      <c r="L819" t="s">
        <v>157</v>
      </c>
      <c r="N819" t="s">
        <v>335</v>
      </c>
      <c r="O819" t="s">
        <v>170</v>
      </c>
      <c r="P819">
        <v>3.9729879170941236E-3</v>
      </c>
      <c r="Q819" t="s">
        <v>157</v>
      </c>
      <c r="S819" t="s">
        <v>446</v>
      </c>
      <c r="T819" t="s">
        <v>170</v>
      </c>
      <c r="U819">
        <v>4.89861261761075E-3</v>
      </c>
      <c r="V819" t="s">
        <v>157</v>
      </c>
    </row>
    <row r="820" spans="9:22" x14ac:dyDescent="0.45">
      <c r="I820" t="s">
        <v>224</v>
      </c>
      <c r="J820" t="s">
        <v>171</v>
      </c>
      <c r="K820">
        <v>4.5258437096468481E-3</v>
      </c>
      <c r="L820" t="s">
        <v>157</v>
      </c>
      <c r="N820" t="s">
        <v>335</v>
      </c>
      <c r="O820" t="s">
        <v>171</v>
      </c>
      <c r="P820">
        <v>1.4687090910276842E-2</v>
      </c>
      <c r="Q820" t="s">
        <v>157</v>
      </c>
      <c r="S820" t="s">
        <v>446</v>
      </c>
      <c r="T820" t="s">
        <v>171</v>
      </c>
      <c r="U820">
        <v>1.7223017439691866E-2</v>
      </c>
      <c r="V820" t="s">
        <v>157</v>
      </c>
    </row>
    <row r="821" spans="9:22" x14ac:dyDescent="0.45">
      <c r="I821" t="s">
        <v>225</v>
      </c>
      <c r="J821" t="s">
        <v>156</v>
      </c>
      <c r="K821">
        <v>1.1955766704709192E-2</v>
      </c>
      <c r="L821" t="s">
        <v>157</v>
      </c>
      <c r="N821" t="s">
        <v>336</v>
      </c>
      <c r="O821" t="s">
        <v>156</v>
      </c>
      <c r="P821">
        <v>8.6562764784165802E-2</v>
      </c>
      <c r="Q821" t="s">
        <v>157</v>
      </c>
      <c r="S821" t="s">
        <v>447</v>
      </c>
      <c r="T821" t="s">
        <v>156</v>
      </c>
      <c r="U821">
        <v>0.12582860185051825</v>
      </c>
      <c r="V821" t="s">
        <v>157</v>
      </c>
    </row>
    <row r="822" spans="9:22" x14ac:dyDescent="0.45">
      <c r="I822" t="s">
        <v>225</v>
      </c>
      <c r="J822" t="s">
        <v>158</v>
      </c>
      <c r="K822">
        <v>0.42576729352123865</v>
      </c>
      <c r="L822" t="s">
        <v>157</v>
      </c>
      <c r="N822" t="s">
        <v>336</v>
      </c>
      <c r="O822" t="s">
        <v>158</v>
      </c>
      <c r="P822">
        <v>0.19734693817250765</v>
      </c>
      <c r="Q822" t="s">
        <v>157</v>
      </c>
      <c r="S822" t="s">
        <v>447</v>
      </c>
      <c r="T822" t="s">
        <v>158</v>
      </c>
      <c r="U822">
        <v>0.20521535138974301</v>
      </c>
      <c r="V822" t="s">
        <v>157</v>
      </c>
    </row>
    <row r="823" spans="9:22" x14ac:dyDescent="0.45">
      <c r="I823" t="s">
        <v>225</v>
      </c>
      <c r="J823" t="s">
        <v>159</v>
      </c>
      <c r="K823">
        <v>3.0556431261442103E-2</v>
      </c>
      <c r="L823" t="s">
        <v>157</v>
      </c>
      <c r="N823" t="s">
        <v>336</v>
      </c>
      <c r="O823" t="s">
        <v>159</v>
      </c>
      <c r="P823">
        <v>1.9937377363591965E-2</v>
      </c>
      <c r="Q823" t="s">
        <v>157</v>
      </c>
      <c r="S823" t="s">
        <v>447</v>
      </c>
      <c r="T823" t="s">
        <v>159</v>
      </c>
      <c r="U823">
        <v>2.0449517137184552E-2</v>
      </c>
      <c r="V823" t="s">
        <v>157</v>
      </c>
    </row>
    <row r="824" spans="9:22" x14ac:dyDescent="0.45">
      <c r="I824" t="s">
        <v>225</v>
      </c>
      <c r="J824" t="s">
        <v>160</v>
      </c>
      <c r="K824">
        <v>1.9611524085346634E-2</v>
      </c>
      <c r="L824" t="s">
        <v>157</v>
      </c>
      <c r="N824" t="s">
        <v>336</v>
      </c>
      <c r="O824" t="s">
        <v>160</v>
      </c>
      <c r="P824">
        <v>1.7395282191049747E-2</v>
      </c>
      <c r="Q824" t="s">
        <v>157</v>
      </c>
      <c r="S824" t="s">
        <v>447</v>
      </c>
      <c r="T824" t="s">
        <v>160</v>
      </c>
      <c r="U824">
        <v>1.9000784220334122E-2</v>
      </c>
      <c r="V824" t="s">
        <v>157</v>
      </c>
    </row>
    <row r="825" spans="9:22" x14ac:dyDescent="0.45">
      <c r="I825" t="s">
        <v>225</v>
      </c>
      <c r="J825" t="s">
        <v>161</v>
      </c>
      <c r="K825">
        <v>7.8744067318594329E-3</v>
      </c>
      <c r="L825" t="s">
        <v>157</v>
      </c>
      <c r="N825" t="s">
        <v>336</v>
      </c>
      <c r="O825" t="s">
        <v>161</v>
      </c>
      <c r="P825">
        <v>6.7182199204118345E-2</v>
      </c>
      <c r="Q825" t="s">
        <v>157</v>
      </c>
      <c r="S825" t="s">
        <v>447</v>
      </c>
      <c r="T825" t="s">
        <v>161</v>
      </c>
      <c r="U825">
        <v>8.7277964817903675E-2</v>
      </c>
      <c r="V825" t="s">
        <v>157</v>
      </c>
    </row>
    <row r="826" spans="9:22" x14ac:dyDescent="0.45">
      <c r="I826" t="s">
        <v>225</v>
      </c>
      <c r="J826" t="s">
        <v>162</v>
      </c>
      <c r="K826">
        <v>3.4317429484703029E-3</v>
      </c>
      <c r="L826" t="s">
        <v>157</v>
      </c>
      <c r="N826" t="s">
        <v>336</v>
      </c>
      <c r="O826" t="s">
        <v>162</v>
      </c>
      <c r="P826">
        <v>0.11262874452169938</v>
      </c>
      <c r="Q826" t="s">
        <v>157</v>
      </c>
      <c r="S826" t="s">
        <v>447</v>
      </c>
      <c r="T826" t="s">
        <v>162</v>
      </c>
      <c r="U826">
        <v>0.11662747854874088</v>
      </c>
      <c r="V826" t="s">
        <v>157</v>
      </c>
    </row>
    <row r="827" spans="9:22" x14ac:dyDescent="0.45">
      <c r="I827" t="s">
        <v>225</v>
      </c>
      <c r="J827" t="s">
        <v>163</v>
      </c>
      <c r="K827">
        <v>0.22325826060718965</v>
      </c>
      <c r="L827" t="s">
        <v>157</v>
      </c>
      <c r="N827" t="s">
        <v>336</v>
      </c>
      <c r="O827" t="s">
        <v>163</v>
      </c>
      <c r="P827">
        <v>0.22907607615001138</v>
      </c>
      <c r="Q827" t="s">
        <v>157</v>
      </c>
      <c r="S827" t="s">
        <v>447</v>
      </c>
      <c r="T827" t="s">
        <v>163</v>
      </c>
      <c r="U827">
        <v>0.18292234803858212</v>
      </c>
      <c r="V827" t="s">
        <v>157</v>
      </c>
    </row>
    <row r="828" spans="9:22" x14ac:dyDescent="0.45">
      <c r="I828" t="s">
        <v>225</v>
      </c>
      <c r="J828" t="s">
        <v>164</v>
      </c>
      <c r="K828">
        <v>1.2671711978502621E-2</v>
      </c>
      <c r="L828" t="s">
        <v>157</v>
      </c>
      <c r="N828" t="s">
        <v>336</v>
      </c>
      <c r="O828" t="s">
        <v>164</v>
      </c>
      <c r="P828">
        <v>2.2364867532079894E-2</v>
      </c>
      <c r="Q828" t="s">
        <v>157</v>
      </c>
      <c r="S828" t="s">
        <v>447</v>
      </c>
      <c r="T828" t="s">
        <v>164</v>
      </c>
      <c r="U828">
        <v>1.7617616649637739E-2</v>
      </c>
      <c r="V828" t="s">
        <v>157</v>
      </c>
    </row>
    <row r="829" spans="9:22" x14ac:dyDescent="0.45">
      <c r="I829" t="s">
        <v>225</v>
      </c>
      <c r="J829" t="s">
        <v>165</v>
      </c>
      <c r="K829">
        <v>3.0987400256449562E-3</v>
      </c>
      <c r="L829" t="s">
        <v>157</v>
      </c>
      <c r="N829" t="s">
        <v>336</v>
      </c>
      <c r="O829" t="s">
        <v>165</v>
      </c>
      <c r="P829">
        <v>1.9737842951568833E-2</v>
      </c>
      <c r="Q829" t="s">
        <v>157</v>
      </c>
      <c r="S829" t="s">
        <v>447</v>
      </c>
      <c r="T829" t="s">
        <v>165</v>
      </c>
      <c r="U829">
        <v>1.677520971116235E-2</v>
      </c>
      <c r="V829" t="s">
        <v>157</v>
      </c>
    </row>
    <row r="830" spans="9:22" x14ac:dyDescent="0.45">
      <c r="I830" t="s">
        <v>225</v>
      </c>
      <c r="J830" t="s">
        <v>166</v>
      </c>
      <c r="K830">
        <v>0</v>
      </c>
      <c r="L830" t="s">
        <v>157</v>
      </c>
      <c r="N830" t="s">
        <v>336</v>
      </c>
      <c r="O830" t="s">
        <v>166</v>
      </c>
      <c r="P830">
        <v>8.404319014162652E-2</v>
      </c>
      <c r="Q830" t="s">
        <v>157</v>
      </c>
      <c r="S830" t="s">
        <v>447</v>
      </c>
      <c r="T830" t="s">
        <v>166</v>
      </c>
      <c r="U830">
        <v>7.8242879939646931E-2</v>
      </c>
      <c r="V830" t="s">
        <v>157</v>
      </c>
    </row>
    <row r="831" spans="9:22" x14ac:dyDescent="0.45">
      <c r="I831" t="s">
        <v>225</v>
      </c>
      <c r="J831" t="s">
        <v>167</v>
      </c>
      <c r="K831">
        <v>1.9048648636317299E-2</v>
      </c>
      <c r="L831" t="s">
        <v>157</v>
      </c>
      <c r="N831" t="s">
        <v>336</v>
      </c>
      <c r="O831" t="s">
        <v>167</v>
      </c>
      <c r="P831">
        <v>2.7043124649013751E-2</v>
      </c>
      <c r="Q831" t="s">
        <v>157</v>
      </c>
      <c r="S831" t="s">
        <v>447</v>
      </c>
      <c r="T831" t="s">
        <v>167</v>
      </c>
      <c r="U831">
        <v>3.0048858075912083E-2</v>
      </c>
      <c r="V831" t="s">
        <v>157</v>
      </c>
    </row>
    <row r="832" spans="9:22" x14ac:dyDescent="0.45">
      <c r="I832" t="s">
        <v>225</v>
      </c>
      <c r="J832" t="s">
        <v>168</v>
      </c>
      <c r="K832">
        <v>0.21095381735050753</v>
      </c>
      <c r="L832" t="s">
        <v>157</v>
      </c>
      <c r="N832" t="s">
        <v>336</v>
      </c>
      <c r="O832" t="s">
        <v>168</v>
      </c>
      <c r="P832">
        <v>8.4072432738511643E-2</v>
      </c>
      <c r="Q832" t="s">
        <v>157</v>
      </c>
      <c r="S832" t="s">
        <v>447</v>
      </c>
      <c r="T832" t="s">
        <v>168</v>
      </c>
      <c r="U832">
        <v>6.4597246515701728E-2</v>
      </c>
      <c r="V832" t="s">
        <v>157</v>
      </c>
    </row>
    <row r="833" spans="9:22" x14ac:dyDescent="0.45">
      <c r="I833" t="s">
        <v>225</v>
      </c>
      <c r="J833" t="s">
        <v>169</v>
      </c>
      <c r="K833">
        <v>1.5604141688114269E-2</v>
      </c>
      <c r="L833" t="s">
        <v>157</v>
      </c>
      <c r="N833" t="s">
        <v>336</v>
      </c>
      <c r="O833" t="s">
        <v>169</v>
      </c>
      <c r="P833">
        <v>7.0717734107956561E-3</v>
      </c>
      <c r="Q833" t="s">
        <v>157</v>
      </c>
      <c r="S833" t="s">
        <v>447</v>
      </c>
      <c r="T833" t="s">
        <v>169</v>
      </c>
      <c r="U833">
        <v>6.5286006211972922E-3</v>
      </c>
      <c r="V833" t="s">
        <v>157</v>
      </c>
    </row>
    <row r="834" spans="9:22" x14ac:dyDescent="0.45">
      <c r="I834" t="s">
        <v>225</v>
      </c>
      <c r="J834" t="s">
        <v>170</v>
      </c>
      <c r="K834">
        <v>1.1844698665396612E-2</v>
      </c>
      <c r="L834" t="s">
        <v>157</v>
      </c>
      <c r="N834" t="s">
        <v>336</v>
      </c>
      <c r="O834" t="s">
        <v>170</v>
      </c>
      <c r="P834">
        <v>5.4558234208275042E-3</v>
      </c>
      <c r="Q834" t="s">
        <v>157</v>
      </c>
      <c r="S834" t="s">
        <v>447</v>
      </c>
      <c r="T834" t="s">
        <v>170</v>
      </c>
      <c r="U834">
        <v>5.6680188824929914E-3</v>
      </c>
      <c r="V834" t="s">
        <v>157</v>
      </c>
    </row>
    <row r="835" spans="9:22" x14ac:dyDescent="0.45">
      <c r="I835" t="s">
        <v>225</v>
      </c>
      <c r="J835" t="s">
        <v>171</v>
      </c>
      <c r="K835">
        <v>4.322815795260765E-3</v>
      </c>
      <c r="L835" t="s">
        <v>157</v>
      </c>
      <c r="N835" t="s">
        <v>336</v>
      </c>
      <c r="O835" t="s">
        <v>171</v>
      </c>
      <c r="P835">
        <v>2.0081562768431975E-2</v>
      </c>
      <c r="Q835" t="s">
        <v>157</v>
      </c>
      <c r="S835" t="s">
        <v>447</v>
      </c>
      <c r="T835" t="s">
        <v>171</v>
      </c>
      <c r="U835">
        <v>2.3199523601242285E-2</v>
      </c>
      <c r="V835" t="s">
        <v>157</v>
      </c>
    </row>
    <row r="836" spans="9:22" x14ac:dyDescent="0.45">
      <c r="I836" t="s">
        <v>226</v>
      </c>
      <c r="J836" t="s">
        <v>156</v>
      </c>
      <c r="K836">
        <v>1.3263264604135868E-2</v>
      </c>
      <c r="L836" t="s">
        <v>157</v>
      </c>
      <c r="N836" t="s">
        <v>337</v>
      </c>
      <c r="O836" t="s">
        <v>156</v>
      </c>
      <c r="P836">
        <v>0.10742875703804436</v>
      </c>
      <c r="Q836" t="s">
        <v>157</v>
      </c>
      <c r="S836" t="s">
        <v>448</v>
      </c>
      <c r="T836" t="s">
        <v>156</v>
      </c>
      <c r="U836">
        <v>0.13119605025319975</v>
      </c>
      <c r="V836" t="s">
        <v>157</v>
      </c>
    </row>
    <row r="837" spans="9:22" x14ac:dyDescent="0.45">
      <c r="I837" t="s">
        <v>226</v>
      </c>
      <c r="J837" t="s">
        <v>158</v>
      </c>
      <c r="K837">
        <v>0.42899324443879694</v>
      </c>
      <c r="L837" t="s">
        <v>157</v>
      </c>
      <c r="N837" t="s">
        <v>337</v>
      </c>
      <c r="O837" t="s">
        <v>158</v>
      </c>
      <c r="P837">
        <v>0.18571110876855904</v>
      </c>
      <c r="Q837" t="s">
        <v>157</v>
      </c>
      <c r="S837" t="s">
        <v>448</v>
      </c>
      <c r="T837" t="s">
        <v>158</v>
      </c>
      <c r="U837">
        <v>0.1946468750885062</v>
      </c>
      <c r="V837" t="s">
        <v>157</v>
      </c>
    </row>
    <row r="838" spans="9:22" x14ac:dyDescent="0.45">
      <c r="I838" t="s">
        <v>226</v>
      </c>
      <c r="J838" t="s">
        <v>159</v>
      </c>
      <c r="K838">
        <v>3.0027384402885219E-2</v>
      </c>
      <c r="L838" t="s">
        <v>157</v>
      </c>
      <c r="N838" t="s">
        <v>337</v>
      </c>
      <c r="O838" t="s">
        <v>159</v>
      </c>
      <c r="P838">
        <v>2.0030159308562986E-2</v>
      </c>
      <c r="Q838" t="s">
        <v>157</v>
      </c>
      <c r="S838" t="s">
        <v>448</v>
      </c>
      <c r="T838" t="s">
        <v>159</v>
      </c>
      <c r="U838">
        <v>2.0375807292843617E-2</v>
      </c>
      <c r="V838" t="s">
        <v>157</v>
      </c>
    </row>
    <row r="839" spans="9:22" x14ac:dyDescent="0.45">
      <c r="I839" t="s">
        <v>226</v>
      </c>
      <c r="J839" t="s">
        <v>160</v>
      </c>
      <c r="K839">
        <v>1.9063005381442236E-2</v>
      </c>
      <c r="L839" t="s">
        <v>157</v>
      </c>
      <c r="N839" t="s">
        <v>337</v>
      </c>
      <c r="O839" t="s">
        <v>160</v>
      </c>
      <c r="P839">
        <v>1.9126356369911678E-2</v>
      </c>
      <c r="Q839" t="s">
        <v>157</v>
      </c>
      <c r="S839" t="s">
        <v>448</v>
      </c>
      <c r="T839" t="s">
        <v>160</v>
      </c>
      <c r="U839">
        <v>1.9898169651857089E-2</v>
      </c>
      <c r="V839" t="s">
        <v>157</v>
      </c>
    </row>
    <row r="840" spans="9:22" x14ac:dyDescent="0.45">
      <c r="I840" t="s">
        <v>226</v>
      </c>
      <c r="J840" t="s">
        <v>161</v>
      </c>
      <c r="K840">
        <v>7.4221214067907004E-3</v>
      </c>
      <c r="L840" t="s">
        <v>157</v>
      </c>
      <c r="N840" t="s">
        <v>337</v>
      </c>
      <c r="O840" t="s">
        <v>161</v>
      </c>
      <c r="P840">
        <v>8.0259916555942751E-2</v>
      </c>
      <c r="Q840" t="s">
        <v>157</v>
      </c>
      <c r="S840" t="s">
        <v>448</v>
      </c>
      <c r="T840" t="s">
        <v>161</v>
      </c>
      <c r="U840">
        <v>9.3089410416666477E-2</v>
      </c>
      <c r="V840" t="s">
        <v>157</v>
      </c>
    </row>
    <row r="841" spans="9:22" x14ac:dyDescent="0.45">
      <c r="I841" t="s">
        <v>226</v>
      </c>
      <c r="J841" t="s">
        <v>162</v>
      </c>
      <c r="K841">
        <v>3.7597080891758543E-3</v>
      </c>
      <c r="L841" t="s">
        <v>157</v>
      </c>
      <c r="N841" t="s">
        <v>337</v>
      </c>
      <c r="O841" t="s">
        <v>162</v>
      </c>
      <c r="P841">
        <v>0.1186719946326641</v>
      </c>
      <c r="Q841" t="s">
        <v>157</v>
      </c>
      <c r="S841" t="s">
        <v>448</v>
      </c>
      <c r="T841" t="s">
        <v>162</v>
      </c>
      <c r="U841">
        <v>0.11128434120193859</v>
      </c>
      <c r="V841" t="s">
        <v>157</v>
      </c>
    </row>
    <row r="842" spans="9:22" x14ac:dyDescent="0.45">
      <c r="I842" t="s">
        <v>226</v>
      </c>
      <c r="J842" t="s">
        <v>163</v>
      </c>
      <c r="K842">
        <v>0.22484401952822947</v>
      </c>
      <c r="L842" t="s">
        <v>157</v>
      </c>
      <c r="N842" t="s">
        <v>337</v>
      </c>
      <c r="O842" t="s">
        <v>163</v>
      </c>
      <c r="P842">
        <v>0.18542669491538791</v>
      </c>
      <c r="Q842" t="s">
        <v>157</v>
      </c>
      <c r="S842" t="s">
        <v>448</v>
      </c>
      <c r="T842" t="s">
        <v>163</v>
      </c>
      <c r="U842">
        <v>0.16500143297773176</v>
      </c>
      <c r="V842" t="s">
        <v>157</v>
      </c>
    </row>
    <row r="843" spans="9:22" x14ac:dyDescent="0.45">
      <c r="I843" t="s">
        <v>226</v>
      </c>
      <c r="J843" t="s">
        <v>164</v>
      </c>
      <c r="K843">
        <v>1.2056209656074552E-2</v>
      </c>
      <c r="L843" t="s">
        <v>157</v>
      </c>
      <c r="N843" t="s">
        <v>337</v>
      </c>
      <c r="O843" t="s">
        <v>164</v>
      </c>
      <c r="P843">
        <v>2.0162214382326248E-2</v>
      </c>
      <c r="Q843" t="s">
        <v>157</v>
      </c>
      <c r="S843" t="s">
        <v>448</v>
      </c>
      <c r="T843" t="s">
        <v>164</v>
      </c>
      <c r="U843">
        <v>1.6943552584851265E-2</v>
      </c>
      <c r="V843" t="s">
        <v>157</v>
      </c>
    </row>
    <row r="844" spans="9:22" x14ac:dyDescent="0.45">
      <c r="I844" t="s">
        <v>226</v>
      </c>
      <c r="J844" t="s">
        <v>165</v>
      </c>
      <c r="K844">
        <v>2.7005366174087664E-3</v>
      </c>
      <c r="L844" t="s">
        <v>157</v>
      </c>
      <c r="N844" t="s">
        <v>337</v>
      </c>
      <c r="O844" t="s">
        <v>165</v>
      </c>
      <c r="P844">
        <v>1.9287208187253744E-2</v>
      </c>
      <c r="Q844" t="s">
        <v>157</v>
      </c>
      <c r="S844" t="s">
        <v>448</v>
      </c>
      <c r="T844" t="s">
        <v>165</v>
      </c>
      <c r="U844">
        <v>1.6517850615759333E-2</v>
      </c>
      <c r="V844" t="s">
        <v>157</v>
      </c>
    </row>
    <row r="845" spans="9:22" x14ac:dyDescent="0.45">
      <c r="I845" t="s">
        <v>226</v>
      </c>
      <c r="J845" t="s">
        <v>166</v>
      </c>
      <c r="K845">
        <v>0</v>
      </c>
      <c r="L845" t="s">
        <v>157</v>
      </c>
      <c r="N845" t="s">
        <v>337</v>
      </c>
      <c r="O845" t="s">
        <v>166</v>
      </c>
      <c r="P845">
        <v>9.1010705676149606E-2</v>
      </c>
      <c r="Q845" t="s">
        <v>157</v>
      </c>
      <c r="S845" t="s">
        <v>448</v>
      </c>
      <c r="T845" t="s">
        <v>166</v>
      </c>
      <c r="U845">
        <v>7.8570134406164963E-2</v>
      </c>
      <c r="V845" t="s">
        <v>157</v>
      </c>
    </row>
    <row r="846" spans="9:22" x14ac:dyDescent="0.45">
      <c r="I846" t="s">
        <v>226</v>
      </c>
      <c r="J846" t="s">
        <v>167</v>
      </c>
      <c r="K846">
        <v>1.9121015804927838E-2</v>
      </c>
      <c r="L846" t="s">
        <v>157</v>
      </c>
      <c r="N846" t="s">
        <v>337</v>
      </c>
      <c r="O846" t="s">
        <v>167</v>
      </c>
      <c r="P846">
        <v>3.7450792355667499E-2</v>
      </c>
      <c r="Q846" t="s">
        <v>157</v>
      </c>
      <c r="S846" t="s">
        <v>448</v>
      </c>
      <c r="T846" t="s">
        <v>167</v>
      </c>
      <c r="U846">
        <v>3.8293344243911204E-2</v>
      </c>
      <c r="V846" t="s">
        <v>157</v>
      </c>
    </row>
    <row r="847" spans="9:22" x14ac:dyDescent="0.45">
      <c r="I847" t="s">
        <v>226</v>
      </c>
      <c r="J847" t="s">
        <v>168</v>
      </c>
      <c r="K847">
        <v>0.20882691551026078</v>
      </c>
      <c r="L847" t="s">
        <v>157</v>
      </c>
      <c r="N847" t="s">
        <v>337</v>
      </c>
      <c r="O847" t="s">
        <v>168</v>
      </c>
      <c r="P847">
        <v>7.2544575413130502E-2</v>
      </c>
      <c r="Q847" t="s">
        <v>157</v>
      </c>
      <c r="S847" t="s">
        <v>448</v>
      </c>
      <c r="T847" t="s">
        <v>168</v>
      </c>
      <c r="U847">
        <v>6.8081250341375188E-2</v>
      </c>
      <c r="V847" t="s">
        <v>157</v>
      </c>
    </row>
    <row r="848" spans="9:22" x14ac:dyDescent="0.45">
      <c r="I848" t="s">
        <v>226</v>
      </c>
      <c r="J848" t="s">
        <v>169</v>
      </c>
      <c r="K848">
        <v>1.4679096386146647E-2</v>
      </c>
      <c r="L848" t="s">
        <v>157</v>
      </c>
      <c r="N848" t="s">
        <v>337</v>
      </c>
      <c r="O848" t="s">
        <v>169</v>
      </c>
      <c r="P848">
        <v>7.6753165486900046E-3</v>
      </c>
      <c r="Q848" t="s">
        <v>157</v>
      </c>
      <c r="S848" t="s">
        <v>448</v>
      </c>
      <c r="T848" t="s">
        <v>169</v>
      </c>
      <c r="U848">
        <v>7.5801864630807188E-3</v>
      </c>
      <c r="V848" t="s">
        <v>157</v>
      </c>
    </row>
    <row r="849" spans="9:22" x14ac:dyDescent="0.45">
      <c r="I849" t="s">
        <v>226</v>
      </c>
      <c r="J849" t="s">
        <v>170</v>
      </c>
      <c r="K849">
        <v>1.1269093956786744E-2</v>
      </c>
      <c r="L849" t="s">
        <v>157</v>
      </c>
      <c r="N849" t="s">
        <v>337</v>
      </c>
      <c r="O849" t="s">
        <v>170</v>
      </c>
      <c r="P849">
        <v>6.9987709216347196E-3</v>
      </c>
      <c r="Q849" t="s">
        <v>157</v>
      </c>
      <c r="S849" t="s">
        <v>448</v>
      </c>
      <c r="T849" t="s">
        <v>170</v>
      </c>
      <c r="U849">
        <v>7.2065425588602556E-3</v>
      </c>
      <c r="V849" t="s">
        <v>157</v>
      </c>
    </row>
    <row r="850" spans="9:22" x14ac:dyDescent="0.45">
      <c r="I850" t="s">
        <v>226</v>
      </c>
      <c r="J850" t="s">
        <v>171</v>
      </c>
      <c r="K850">
        <v>3.9743842169383354E-3</v>
      </c>
      <c r="L850" t="s">
        <v>157</v>
      </c>
      <c r="N850" t="s">
        <v>337</v>
      </c>
      <c r="O850" t="s">
        <v>171</v>
      </c>
      <c r="P850">
        <v>2.821542892607477E-2</v>
      </c>
      <c r="Q850" t="s">
        <v>157</v>
      </c>
      <c r="S850" t="s">
        <v>448</v>
      </c>
      <c r="T850" t="s">
        <v>171</v>
      </c>
      <c r="U850">
        <v>3.1315051903253628E-2</v>
      </c>
      <c r="V850" t="s">
        <v>157</v>
      </c>
    </row>
    <row r="851" spans="9:22" x14ac:dyDescent="0.45">
      <c r="I851" t="s">
        <v>227</v>
      </c>
      <c r="J851" t="s">
        <v>156</v>
      </c>
      <c r="K851">
        <v>1.0566724845324003E-2</v>
      </c>
      <c r="L851" t="s">
        <v>157</v>
      </c>
      <c r="N851" t="s">
        <v>338</v>
      </c>
      <c r="O851" t="s">
        <v>156</v>
      </c>
      <c r="P851">
        <v>0.12605539992035289</v>
      </c>
      <c r="Q851" t="s">
        <v>157</v>
      </c>
      <c r="S851" t="s">
        <v>449</v>
      </c>
      <c r="T851" t="s">
        <v>156</v>
      </c>
      <c r="U851">
        <v>0.13310109650496407</v>
      </c>
      <c r="V851" t="s">
        <v>157</v>
      </c>
    </row>
    <row r="852" spans="9:22" x14ac:dyDescent="0.45">
      <c r="I852" t="s">
        <v>227</v>
      </c>
      <c r="J852" t="s">
        <v>158</v>
      </c>
      <c r="K852">
        <v>0.38995030693566363</v>
      </c>
      <c r="L852" t="s">
        <v>157</v>
      </c>
      <c r="N852" t="s">
        <v>338</v>
      </c>
      <c r="O852" t="s">
        <v>158</v>
      </c>
      <c r="P852">
        <v>0.20432730138291491</v>
      </c>
      <c r="Q852" t="s">
        <v>157</v>
      </c>
      <c r="S852" t="s">
        <v>449</v>
      </c>
      <c r="T852" t="s">
        <v>158</v>
      </c>
      <c r="U852">
        <v>0.1910600640923544</v>
      </c>
      <c r="V852" t="s">
        <v>157</v>
      </c>
    </row>
    <row r="853" spans="9:22" x14ac:dyDescent="0.45">
      <c r="I853" t="s">
        <v>227</v>
      </c>
      <c r="J853" t="s">
        <v>159</v>
      </c>
      <c r="K853">
        <v>3.0054503888458328E-2</v>
      </c>
      <c r="L853" t="s">
        <v>157</v>
      </c>
      <c r="N853" t="s">
        <v>338</v>
      </c>
      <c r="O853" t="s">
        <v>159</v>
      </c>
      <c r="P853">
        <v>2.1443747884258683E-2</v>
      </c>
      <c r="Q853" t="s">
        <v>157</v>
      </c>
      <c r="S853" t="s">
        <v>449</v>
      </c>
      <c r="T853" t="s">
        <v>159</v>
      </c>
      <c r="U853">
        <v>1.9853128222808922E-2</v>
      </c>
      <c r="V853" t="s">
        <v>157</v>
      </c>
    </row>
    <row r="854" spans="9:22" x14ac:dyDescent="0.45">
      <c r="I854" t="s">
        <v>227</v>
      </c>
      <c r="J854" t="s">
        <v>160</v>
      </c>
      <c r="K854">
        <v>2.1963788986668214E-2</v>
      </c>
      <c r="L854" t="s">
        <v>157</v>
      </c>
      <c r="N854" t="s">
        <v>338</v>
      </c>
      <c r="O854" t="s">
        <v>160</v>
      </c>
      <c r="P854">
        <v>2.0745919047019796E-2</v>
      </c>
      <c r="Q854" t="s">
        <v>157</v>
      </c>
      <c r="S854" t="s">
        <v>449</v>
      </c>
      <c r="T854" t="s">
        <v>160</v>
      </c>
      <c r="U854">
        <v>1.9699190661403607E-2</v>
      </c>
      <c r="V854" t="s">
        <v>157</v>
      </c>
    </row>
    <row r="855" spans="9:22" x14ac:dyDescent="0.45">
      <c r="I855" t="s">
        <v>227</v>
      </c>
      <c r="J855" t="s">
        <v>161</v>
      </c>
      <c r="K855">
        <v>1.1424385038414749E-2</v>
      </c>
      <c r="L855" t="s">
        <v>157</v>
      </c>
      <c r="N855" t="s">
        <v>338</v>
      </c>
      <c r="O855" t="s">
        <v>161</v>
      </c>
      <c r="P855">
        <v>9.6128951408933641E-2</v>
      </c>
      <c r="Q855" t="s">
        <v>157</v>
      </c>
      <c r="S855" t="s">
        <v>449</v>
      </c>
      <c r="T855" t="s">
        <v>161</v>
      </c>
      <c r="U855">
        <v>9.3999408377711605E-2</v>
      </c>
      <c r="V855" t="s">
        <v>157</v>
      </c>
    </row>
    <row r="856" spans="9:22" x14ac:dyDescent="0.45">
      <c r="I856" t="s">
        <v>227</v>
      </c>
      <c r="J856" t="s">
        <v>162</v>
      </c>
      <c r="K856">
        <v>4.5709699425198116E-3</v>
      </c>
      <c r="L856" t="s">
        <v>157</v>
      </c>
      <c r="N856" t="s">
        <v>338</v>
      </c>
      <c r="O856" t="s">
        <v>162</v>
      </c>
      <c r="P856">
        <v>0.11318467140476852</v>
      </c>
      <c r="Q856" t="s">
        <v>157</v>
      </c>
      <c r="S856" t="s">
        <v>449</v>
      </c>
      <c r="T856" t="s">
        <v>162</v>
      </c>
      <c r="U856">
        <v>0.1090522596974132</v>
      </c>
      <c r="V856" t="s">
        <v>157</v>
      </c>
    </row>
    <row r="857" spans="9:22" x14ac:dyDescent="0.45">
      <c r="I857" t="s">
        <v>227</v>
      </c>
      <c r="J857" t="s">
        <v>163</v>
      </c>
      <c r="K857">
        <v>0.23853729155154221</v>
      </c>
      <c r="L857" t="s">
        <v>157</v>
      </c>
      <c r="N857" t="s">
        <v>338</v>
      </c>
      <c r="O857" t="s">
        <v>163</v>
      </c>
      <c r="P857">
        <v>0.17479828248977966</v>
      </c>
      <c r="Q857" t="s">
        <v>157</v>
      </c>
      <c r="S857" t="s">
        <v>449</v>
      </c>
      <c r="T857" t="s">
        <v>163</v>
      </c>
      <c r="U857">
        <v>0.15952969877263326</v>
      </c>
      <c r="V857" t="s">
        <v>157</v>
      </c>
    </row>
    <row r="858" spans="9:22" x14ac:dyDescent="0.45">
      <c r="I858" t="s">
        <v>227</v>
      </c>
      <c r="J858" t="s">
        <v>164</v>
      </c>
      <c r="K858">
        <v>1.7122998134961827E-2</v>
      </c>
      <c r="L858" t="s">
        <v>157</v>
      </c>
      <c r="N858" t="s">
        <v>338</v>
      </c>
      <c r="O858" t="s">
        <v>164</v>
      </c>
      <c r="P858">
        <v>1.7369289076181651E-2</v>
      </c>
      <c r="Q858" t="s">
        <v>157</v>
      </c>
      <c r="S858" t="s">
        <v>449</v>
      </c>
      <c r="T858" t="s">
        <v>164</v>
      </c>
      <c r="U858">
        <v>1.6400780956273984E-2</v>
      </c>
      <c r="V858" t="s">
        <v>157</v>
      </c>
    </row>
    <row r="859" spans="9:22" x14ac:dyDescent="0.45">
      <c r="I859" t="s">
        <v>227</v>
      </c>
      <c r="J859" t="s">
        <v>165</v>
      </c>
      <c r="K859">
        <v>7.7445316415385773E-3</v>
      </c>
      <c r="L859" t="s">
        <v>157</v>
      </c>
      <c r="N859" t="s">
        <v>338</v>
      </c>
      <c r="O859" t="s">
        <v>165</v>
      </c>
      <c r="P859">
        <v>1.6585907860663055E-2</v>
      </c>
      <c r="Q859" t="s">
        <v>157</v>
      </c>
      <c r="S859" t="s">
        <v>449</v>
      </c>
      <c r="T859" t="s">
        <v>165</v>
      </c>
      <c r="U859">
        <v>1.6103785280754287E-2</v>
      </c>
      <c r="V859" t="s">
        <v>157</v>
      </c>
    </row>
    <row r="860" spans="9:22" x14ac:dyDescent="0.45">
      <c r="I860" t="s">
        <v>227</v>
      </c>
      <c r="J860" t="s">
        <v>166</v>
      </c>
      <c r="K860">
        <v>0</v>
      </c>
      <c r="L860" t="s">
        <v>157</v>
      </c>
      <c r="N860" t="s">
        <v>338</v>
      </c>
      <c r="O860" t="s">
        <v>166</v>
      </c>
      <c r="P860">
        <v>7.9090759851701595E-2</v>
      </c>
      <c r="Q860" t="s">
        <v>157</v>
      </c>
      <c r="S860" t="s">
        <v>449</v>
      </c>
      <c r="T860" t="s">
        <v>166</v>
      </c>
      <c r="U860">
        <v>7.820100191707334E-2</v>
      </c>
      <c r="V860" t="s">
        <v>157</v>
      </c>
    </row>
    <row r="861" spans="9:22" x14ac:dyDescent="0.45">
      <c r="I861" t="s">
        <v>227</v>
      </c>
      <c r="J861" t="s">
        <v>167</v>
      </c>
      <c r="K861">
        <v>1.862723687762264E-2</v>
      </c>
      <c r="L861" t="s">
        <v>157</v>
      </c>
      <c r="N861" t="s">
        <v>338</v>
      </c>
      <c r="O861" t="s">
        <v>167</v>
      </c>
      <c r="P861">
        <v>2.9764674454712932E-2</v>
      </c>
      <c r="Q861" t="s">
        <v>157</v>
      </c>
      <c r="S861" t="s">
        <v>449</v>
      </c>
      <c r="T861" t="s">
        <v>167</v>
      </c>
      <c r="U861">
        <v>4.2368902129430869E-2</v>
      </c>
      <c r="V861" t="s">
        <v>157</v>
      </c>
    </row>
    <row r="862" spans="9:22" x14ac:dyDescent="0.45">
      <c r="I862" t="s">
        <v>227</v>
      </c>
      <c r="J862" t="s">
        <v>168</v>
      </c>
      <c r="K862">
        <v>0.21245114570632931</v>
      </c>
      <c r="L862" t="s">
        <v>157</v>
      </c>
      <c r="N862" t="s">
        <v>338</v>
      </c>
      <c r="O862" t="s">
        <v>168</v>
      </c>
      <c r="P862">
        <v>6.5311632120793564E-2</v>
      </c>
      <c r="Q862" t="s">
        <v>157</v>
      </c>
      <c r="S862" t="s">
        <v>449</v>
      </c>
      <c r="T862" t="s">
        <v>168</v>
      </c>
      <c r="U862">
        <v>6.9670324374624629E-2</v>
      </c>
      <c r="V862" t="s">
        <v>157</v>
      </c>
    </row>
    <row r="863" spans="9:22" x14ac:dyDescent="0.45">
      <c r="I863" t="s">
        <v>227</v>
      </c>
      <c r="J863" t="s">
        <v>169</v>
      </c>
      <c r="K863">
        <v>1.5662294506415302E-2</v>
      </c>
      <c r="L863" t="s">
        <v>157</v>
      </c>
      <c r="N863" t="s">
        <v>338</v>
      </c>
      <c r="O863" t="s">
        <v>169</v>
      </c>
      <c r="P863">
        <v>6.3300458206523441E-3</v>
      </c>
      <c r="Q863" t="s">
        <v>157</v>
      </c>
      <c r="S863" t="s">
        <v>449</v>
      </c>
      <c r="T863" t="s">
        <v>169</v>
      </c>
      <c r="U863">
        <v>7.9739698438868762E-3</v>
      </c>
      <c r="V863" t="s">
        <v>157</v>
      </c>
    </row>
    <row r="864" spans="9:22" x14ac:dyDescent="0.45">
      <c r="I864" t="s">
        <v>227</v>
      </c>
      <c r="J864" t="s">
        <v>170</v>
      </c>
      <c r="K864">
        <v>1.2711260042819882E-2</v>
      </c>
      <c r="L864" t="s">
        <v>157</v>
      </c>
      <c r="N864" t="s">
        <v>338</v>
      </c>
      <c r="O864" t="s">
        <v>170</v>
      </c>
      <c r="P864">
        <v>5.7503119587452821E-3</v>
      </c>
      <c r="Q864" t="s">
        <v>157</v>
      </c>
      <c r="S864" t="s">
        <v>449</v>
      </c>
      <c r="T864" t="s">
        <v>170</v>
      </c>
      <c r="U864">
        <v>7.8751844218333446E-3</v>
      </c>
      <c r="V864" t="s">
        <v>157</v>
      </c>
    </row>
    <row r="865" spans="9:22" x14ac:dyDescent="0.45">
      <c r="I865" t="s">
        <v>227</v>
      </c>
      <c r="J865" t="s">
        <v>171</v>
      </c>
      <c r="K865">
        <v>8.6125619017216031E-3</v>
      </c>
      <c r="L865" t="s">
        <v>157</v>
      </c>
      <c r="N865" t="s">
        <v>338</v>
      </c>
      <c r="O865" t="s">
        <v>171</v>
      </c>
      <c r="P865">
        <v>2.3113105318521461E-2</v>
      </c>
      <c r="Q865" t="s">
        <v>157</v>
      </c>
      <c r="S865" t="s">
        <v>449</v>
      </c>
      <c r="T865" t="s">
        <v>171</v>
      </c>
      <c r="U865">
        <v>3.5111204746833609E-2</v>
      </c>
      <c r="V865" t="s">
        <v>157</v>
      </c>
    </row>
    <row r="866" spans="9:22" x14ac:dyDescent="0.45">
      <c r="I866" t="s">
        <v>228</v>
      </c>
      <c r="J866" t="s">
        <v>156</v>
      </c>
      <c r="K866">
        <v>1.4013171618787354E-2</v>
      </c>
      <c r="L866" t="s">
        <v>157</v>
      </c>
      <c r="N866" t="s">
        <v>339</v>
      </c>
      <c r="O866" t="s">
        <v>156</v>
      </c>
      <c r="P866">
        <v>0.12073540304912582</v>
      </c>
      <c r="Q866" t="s">
        <v>157</v>
      </c>
      <c r="S866" t="s">
        <v>450</v>
      </c>
      <c r="T866" t="s">
        <v>156</v>
      </c>
      <c r="U866">
        <v>0.14502764646675159</v>
      </c>
      <c r="V866" t="s">
        <v>157</v>
      </c>
    </row>
    <row r="867" spans="9:22" x14ac:dyDescent="0.45">
      <c r="I867" t="s">
        <v>228</v>
      </c>
      <c r="J867" t="s">
        <v>158</v>
      </c>
      <c r="K867">
        <v>0.42520604732330675</v>
      </c>
      <c r="L867" t="s">
        <v>157</v>
      </c>
      <c r="N867" t="s">
        <v>339</v>
      </c>
      <c r="O867" t="s">
        <v>158</v>
      </c>
      <c r="P867">
        <v>0.1794100441162676</v>
      </c>
      <c r="Q867" t="s">
        <v>157</v>
      </c>
      <c r="S867" t="s">
        <v>450</v>
      </c>
      <c r="T867" t="s">
        <v>158</v>
      </c>
      <c r="U867">
        <v>0.20950915187837488</v>
      </c>
      <c r="V867" t="s">
        <v>157</v>
      </c>
    </row>
    <row r="868" spans="9:22" x14ac:dyDescent="0.45">
      <c r="I868" t="s">
        <v>228</v>
      </c>
      <c r="J868" t="s">
        <v>159</v>
      </c>
      <c r="K868">
        <v>2.9529621345922061E-2</v>
      </c>
      <c r="L868" t="s">
        <v>157</v>
      </c>
      <c r="N868" t="s">
        <v>339</v>
      </c>
      <c r="O868" t="s">
        <v>159</v>
      </c>
      <c r="P868">
        <v>1.9011561483904434E-2</v>
      </c>
      <c r="Q868" t="s">
        <v>157</v>
      </c>
      <c r="S868" t="s">
        <v>450</v>
      </c>
      <c r="T868" t="s">
        <v>159</v>
      </c>
      <c r="U868">
        <v>2.1432778843070037E-2</v>
      </c>
      <c r="V868" t="s">
        <v>157</v>
      </c>
    </row>
    <row r="869" spans="9:22" x14ac:dyDescent="0.45">
      <c r="I869" t="s">
        <v>228</v>
      </c>
      <c r="J869" t="s">
        <v>160</v>
      </c>
      <c r="K869">
        <v>1.8415978027580857E-2</v>
      </c>
      <c r="L869" t="s">
        <v>157</v>
      </c>
      <c r="N869" t="s">
        <v>339</v>
      </c>
      <c r="O869" t="s">
        <v>160</v>
      </c>
      <c r="P869">
        <v>1.9040262208249104E-2</v>
      </c>
      <c r="Q869" t="s">
        <v>157</v>
      </c>
      <c r="S869" t="s">
        <v>450</v>
      </c>
      <c r="T869" t="s">
        <v>160</v>
      </c>
      <c r="U869">
        <v>2.134081475152402E-2</v>
      </c>
      <c r="V869" t="s">
        <v>157</v>
      </c>
    </row>
    <row r="870" spans="9:22" x14ac:dyDescent="0.45">
      <c r="I870" t="s">
        <v>228</v>
      </c>
      <c r="J870" t="s">
        <v>161</v>
      </c>
      <c r="K870">
        <v>6.8877639246747741E-3</v>
      </c>
      <c r="L870" t="s">
        <v>157</v>
      </c>
      <c r="N870" t="s">
        <v>339</v>
      </c>
      <c r="O870" t="s">
        <v>161</v>
      </c>
      <c r="P870">
        <v>8.8678687860724956E-2</v>
      </c>
      <c r="Q870" t="s">
        <v>157</v>
      </c>
      <c r="S870" t="s">
        <v>450</v>
      </c>
      <c r="T870" t="s">
        <v>161</v>
      </c>
      <c r="U870">
        <v>0.10415506336397042</v>
      </c>
      <c r="V870" t="s">
        <v>157</v>
      </c>
    </row>
    <row r="871" spans="9:22" x14ac:dyDescent="0.45">
      <c r="I871" t="s">
        <v>228</v>
      </c>
      <c r="J871" t="s">
        <v>162</v>
      </c>
      <c r="K871">
        <v>4.4219430516225415E-3</v>
      </c>
      <c r="L871" t="s">
        <v>157</v>
      </c>
      <c r="N871" t="s">
        <v>339</v>
      </c>
      <c r="O871" t="s">
        <v>162</v>
      </c>
      <c r="P871">
        <v>0.11514799128041374</v>
      </c>
      <c r="Q871" t="s">
        <v>157</v>
      </c>
      <c r="S871" t="s">
        <v>450</v>
      </c>
      <c r="T871" t="s">
        <v>162</v>
      </c>
      <c r="U871">
        <v>9.8946803452801782E-2</v>
      </c>
      <c r="V871" t="s">
        <v>157</v>
      </c>
    </row>
    <row r="872" spans="9:22" x14ac:dyDescent="0.45">
      <c r="I872" t="s">
        <v>228</v>
      </c>
      <c r="J872" t="s">
        <v>163</v>
      </c>
      <c r="K872">
        <v>0.22749221633171349</v>
      </c>
      <c r="L872" t="s">
        <v>157</v>
      </c>
      <c r="N872" t="s">
        <v>339</v>
      </c>
      <c r="O872" t="s">
        <v>163</v>
      </c>
      <c r="P872">
        <v>0.16616968558770878</v>
      </c>
      <c r="Q872" t="s">
        <v>157</v>
      </c>
      <c r="S872" t="s">
        <v>450</v>
      </c>
      <c r="T872" t="s">
        <v>163</v>
      </c>
      <c r="U872">
        <v>0.14582101582047363</v>
      </c>
      <c r="V872" t="s">
        <v>157</v>
      </c>
    </row>
    <row r="873" spans="9:22" x14ac:dyDescent="0.45">
      <c r="I873" t="s">
        <v>228</v>
      </c>
      <c r="J873" t="s">
        <v>164</v>
      </c>
      <c r="K873">
        <v>1.2388976102364729E-2</v>
      </c>
      <c r="L873" t="s">
        <v>157</v>
      </c>
      <c r="N873" t="s">
        <v>339</v>
      </c>
      <c r="O873" t="s">
        <v>164</v>
      </c>
      <c r="P873">
        <v>1.7857462845204813E-2</v>
      </c>
      <c r="Q873" t="s">
        <v>157</v>
      </c>
      <c r="S873" t="s">
        <v>450</v>
      </c>
      <c r="T873" t="s">
        <v>164</v>
      </c>
      <c r="U873">
        <v>1.4582812068545047E-2</v>
      </c>
      <c r="V873" t="s">
        <v>157</v>
      </c>
    </row>
    <row r="874" spans="9:22" x14ac:dyDescent="0.45">
      <c r="I874" t="s">
        <v>228</v>
      </c>
      <c r="J874" t="s">
        <v>165</v>
      </c>
      <c r="K874">
        <v>2.8379826093363546E-3</v>
      </c>
      <c r="L874" t="s">
        <v>157</v>
      </c>
      <c r="N874" t="s">
        <v>339</v>
      </c>
      <c r="O874" t="s">
        <v>165</v>
      </c>
      <c r="P874">
        <v>1.7725403829406725E-2</v>
      </c>
      <c r="Q874" t="s">
        <v>157</v>
      </c>
      <c r="S874" t="s">
        <v>450</v>
      </c>
      <c r="T874" t="s">
        <v>165</v>
      </c>
      <c r="U874">
        <v>1.44274383633551E-2</v>
      </c>
      <c r="V874" t="s">
        <v>157</v>
      </c>
    </row>
    <row r="875" spans="9:22" x14ac:dyDescent="0.45">
      <c r="I875" t="s">
        <v>228</v>
      </c>
      <c r="J875" t="s">
        <v>166</v>
      </c>
      <c r="K875">
        <v>0</v>
      </c>
      <c r="L875" t="s">
        <v>157</v>
      </c>
      <c r="N875" t="s">
        <v>339</v>
      </c>
      <c r="O875" t="s">
        <v>166</v>
      </c>
      <c r="P875">
        <v>8.6525172100179223E-2</v>
      </c>
      <c r="Q875" t="s">
        <v>157</v>
      </c>
      <c r="S875" t="s">
        <v>450</v>
      </c>
      <c r="T875" t="s">
        <v>166</v>
      </c>
      <c r="U875">
        <v>7.0467373706822295E-2</v>
      </c>
      <c r="V875" t="s">
        <v>157</v>
      </c>
    </row>
    <row r="876" spans="9:22" x14ac:dyDescent="0.45">
      <c r="I876" t="s">
        <v>228</v>
      </c>
      <c r="J876" t="s">
        <v>167</v>
      </c>
      <c r="K876">
        <v>1.9537318649345572E-2</v>
      </c>
      <c r="L876" t="s">
        <v>157</v>
      </c>
      <c r="N876" t="s">
        <v>339</v>
      </c>
      <c r="O876" t="s">
        <v>167</v>
      </c>
      <c r="P876">
        <v>4.6399866816531944E-2</v>
      </c>
      <c r="Q876" t="s">
        <v>157</v>
      </c>
      <c r="S876" t="s">
        <v>450</v>
      </c>
      <c r="T876" t="s">
        <v>167</v>
      </c>
      <c r="U876">
        <v>4.4256465386677518E-2</v>
      </c>
      <c r="V876" t="s">
        <v>157</v>
      </c>
    </row>
    <row r="877" spans="9:22" x14ac:dyDescent="0.45">
      <c r="I877" t="s">
        <v>228</v>
      </c>
      <c r="J877" t="s">
        <v>168</v>
      </c>
      <c r="K877">
        <v>0.20869895061008342</v>
      </c>
      <c r="L877" t="s">
        <v>157</v>
      </c>
      <c r="N877" t="s">
        <v>339</v>
      </c>
      <c r="O877" t="s">
        <v>168</v>
      </c>
      <c r="P877">
        <v>7.2557053978630645E-2</v>
      </c>
      <c r="Q877" t="s">
        <v>157</v>
      </c>
      <c r="S877" t="s">
        <v>450</v>
      </c>
      <c r="T877" t="s">
        <v>168</v>
      </c>
      <c r="U877">
        <v>6.7839850903701149E-2</v>
      </c>
      <c r="V877" t="s">
        <v>157</v>
      </c>
    </row>
    <row r="878" spans="9:22" x14ac:dyDescent="0.45">
      <c r="I878" t="s">
        <v>228</v>
      </c>
      <c r="J878" t="s">
        <v>169</v>
      </c>
      <c r="K878">
        <v>1.5322648634916237E-2</v>
      </c>
      <c r="L878" t="s">
        <v>157</v>
      </c>
      <c r="N878" t="s">
        <v>339</v>
      </c>
      <c r="O878" t="s">
        <v>169</v>
      </c>
      <c r="P878">
        <v>7.7703644391270612E-3</v>
      </c>
      <c r="Q878" t="s">
        <v>157</v>
      </c>
      <c r="S878" t="s">
        <v>450</v>
      </c>
      <c r="T878" t="s">
        <v>169</v>
      </c>
      <c r="U878">
        <v>6.2909051447251974E-3</v>
      </c>
      <c r="V878" t="s">
        <v>157</v>
      </c>
    </row>
    <row r="879" spans="9:22" x14ac:dyDescent="0.45">
      <c r="I879" t="s">
        <v>228</v>
      </c>
      <c r="J879" t="s">
        <v>170</v>
      </c>
      <c r="K879">
        <v>1.141077929466813E-2</v>
      </c>
      <c r="L879" t="s">
        <v>157</v>
      </c>
      <c r="N879" t="s">
        <v>339</v>
      </c>
      <c r="O879" t="s">
        <v>170</v>
      </c>
      <c r="P879">
        <v>7.6539499025994528E-3</v>
      </c>
      <c r="Q879" t="s">
        <v>157</v>
      </c>
      <c r="S879" t="s">
        <v>450</v>
      </c>
      <c r="T879" t="s">
        <v>170</v>
      </c>
      <c r="U879">
        <v>6.1466453730150503E-3</v>
      </c>
      <c r="V879" t="s">
        <v>157</v>
      </c>
    </row>
    <row r="880" spans="9:22" x14ac:dyDescent="0.45">
      <c r="I880" t="s">
        <v>228</v>
      </c>
      <c r="J880" t="s">
        <v>171</v>
      </c>
      <c r="K880">
        <v>3.8366024756778029E-3</v>
      </c>
      <c r="L880" t="s">
        <v>157</v>
      </c>
      <c r="N880" t="s">
        <v>339</v>
      </c>
      <c r="O880" t="s">
        <v>171</v>
      </c>
      <c r="P880">
        <v>3.5317090501925767E-2</v>
      </c>
      <c r="Q880" t="s">
        <v>157</v>
      </c>
      <c r="S880" t="s">
        <v>450</v>
      </c>
      <c r="T880" t="s">
        <v>171</v>
      </c>
      <c r="U880">
        <v>2.9755234476192372E-2</v>
      </c>
      <c r="V880" t="s">
        <v>157</v>
      </c>
    </row>
    <row r="881" spans="9:22" x14ac:dyDescent="0.45">
      <c r="I881" t="s">
        <v>229</v>
      </c>
      <c r="J881" t="s">
        <v>156</v>
      </c>
      <c r="K881">
        <v>1.8312478130111647E-2</v>
      </c>
      <c r="L881" t="s">
        <v>157</v>
      </c>
      <c r="N881" t="s">
        <v>340</v>
      </c>
      <c r="O881" t="s">
        <v>156</v>
      </c>
      <c r="P881">
        <v>0.12936223314177711</v>
      </c>
      <c r="Q881" t="s">
        <v>157</v>
      </c>
      <c r="S881" t="s">
        <v>451</v>
      </c>
      <c r="T881" t="s">
        <v>156</v>
      </c>
      <c r="U881">
        <v>0.14439473216614704</v>
      </c>
      <c r="V881" t="s">
        <v>157</v>
      </c>
    </row>
    <row r="882" spans="9:22" x14ac:dyDescent="0.45">
      <c r="I882" t="s">
        <v>229</v>
      </c>
      <c r="J882" t="s">
        <v>158</v>
      </c>
      <c r="K882">
        <v>0.40052452115593101</v>
      </c>
      <c r="L882" t="s">
        <v>157</v>
      </c>
      <c r="N882" t="s">
        <v>340</v>
      </c>
      <c r="O882" t="s">
        <v>158</v>
      </c>
      <c r="P882">
        <v>0.18485760927114855</v>
      </c>
      <c r="Q882" t="s">
        <v>157</v>
      </c>
      <c r="S882" t="s">
        <v>451</v>
      </c>
      <c r="T882" t="s">
        <v>158</v>
      </c>
      <c r="U882">
        <v>0.20778213385711358</v>
      </c>
      <c r="V882" t="s">
        <v>157</v>
      </c>
    </row>
    <row r="883" spans="9:22" x14ac:dyDescent="0.45">
      <c r="I883" t="s">
        <v>229</v>
      </c>
      <c r="J883" t="s">
        <v>159</v>
      </c>
      <c r="K883">
        <v>2.7979659894478103E-2</v>
      </c>
      <c r="L883" t="s">
        <v>157</v>
      </c>
      <c r="N883" t="s">
        <v>340</v>
      </c>
      <c r="O883" t="s">
        <v>159</v>
      </c>
      <c r="P883">
        <v>2.2690856591602322E-2</v>
      </c>
      <c r="Q883" t="s">
        <v>157</v>
      </c>
      <c r="S883" t="s">
        <v>451</v>
      </c>
      <c r="T883" t="s">
        <v>159</v>
      </c>
      <c r="U883">
        <v>2.1470358977650501E-2</v>
      </c>
      <c r="V883" t="s">
        <v>157</v>
      </c>
    </row>
    <row r="884" spans="9:22" x14ac:dyDescent="0.45">
      <c r="I884" t="s">
        <v>229</v>
      </c>
      <c r="J884" t="s">
        <v>160</v>
      </c>
      <c r="K884">
        <v>1.8637917753017527E-2</v>
      </c>
      <c r="L884" t="s">
        <v>157</v>
      </c>
      <c r="N884" t="s">
        <v>340</v>
      </c>
      <c r="O884" t="s">
        <v>160</v>
      </c>
      <c r="P884">
        <v>2.2944139180182392E-2</v>
      </c>
      <c r="Q884" t="s">
        <v>157</v>
      </c>
      <c r="S884" t="s">
        <v>451</v>
      </c>
      <c r="T884" t="s">
        <v>160</v>
      </c>
      <c r="U884">
        <v>2.1312860415412326E-2</v>
      </c>
      <c r="V884" t="s">
        <v>157</v>
      </c>
    </row>
    <row r="885" spans="9:22" x14ac:dyDescent="0.45">
      <c r="I885" t="s">
        <v>229</v>
      </c>
      <c r="J885" t="s">
        <v>161</v>
      </c>
      <c r="K885">
        <v>7.5296026579803488E-3</v>
      </c>
      <c r="L885" t="s">
        <v>157</v>
      </c>
      <c r="N885" t="s">
        <v>340</v>
      </c>
      <c r="O885" t="s">
        <v>161</v>
      </c>
      <c r="P885">
        <v>0.11092753809450953</v>
      </c>
      <c r="Q885" t="s">
        <v>157</v>
      </c>
      <c r="S885" t="s">
        <v>451</v>
      </c>
      <c r="T885" t="s">
        <v>161</v>
      </c>
      <c r="U885">
        <v>0.10300412673503982</v>
      </c>
      <c r="V885" t="s">
        <v>157</v>
      </c>
    </row>
    <row r="886" spans="9:22" x14ac:dyDescent="0.45">
      <c r="I886" t="s">
        <v>229</v>
      </c>
      <c r="J886" t="s">
        <v>162</v>
      </c>
      <c r="K886">
        <v>7.6198425138574158E-3</v>
      </c>
      <c r="L886" t="s">
        <v>157</v>
      </c>
      <c r="N886" t="s">
        <v>340</v>
      </c>
      <c r="O886" t="s">
        <v>162</v>
      </c>
      <c r="P886">
        <v>0.11611862600369827</v>
      </c>
      <c r="Q886" t="s">
        <v>157</v>
      </c>
      <c r="S886" t="s">
        <v>451</v>
      </c>
      <c r="T886" t="s">
        <v>162</v>
      </c>
      <c r="U886">
        <v>0.10011067045200493</v>
      </c>
      <c r="V886" t="s">
        <v>157</v>
      </c>
    </row>
    <row r="887" spans="9:22" x14ac:dyDescent="0.45">
      <c r="I887" t="s">
        <v>229</v>
      </c>
      <c r="J887" t="s">
        <v>163</v>
      </c>
      <c r="K887">
        <v>0.24633236627983535</v>
      </c>
      <c r="L887" t="s">
        <v>157</v>
      </c>
      <c r="N887" t="s">
        <v>340</v>
      </c>
      <c r="O887" t="s">
        <v>163</v>
      </c>
      <c r="P887">
        <v>0.14380693935548702</v>
      </c>
      <c r="Q887" t="s">
        <v>157</v>
      </c>
      <c r="S887" t="s">
        <v>451</v>
      </c>
      <c r="T887" t="s">
        <v>163</v>
      </c>
      <c r="U887">
        <v>0.14782672751674711</v>
      </c>
      <c r="V887" t="s">
        <v>157</v>
      </c>
    </row>
    <row r="888" spans="9:22" x14ac:dyDescent="0.45">
      <c r="I888" t="s">
        <v>229</v>
      </c>
      <c r="J888" t="s">
        <v>164</v>
      </c>
      <c r="K888">
        <v>1.4210558309635843E-2</v>
      </c>
      <c r="L888" t="s">
        <v>157</v>
      </c>
      <c r="N888" t="s">
        <v>340</v>
      </c>
      <c r="O888" t="s">
        <v>164</v>
      </c>
      <c r="P888">
        <v>1.6334449990514574E-2</v>
      </c>
      <c r="Q888" t="s">
        <v>157</v>
      </c>
      <c r="S888" t="s">
        <v>451</v>
      </c>
      <c r="T888" t="s">
        <v>164</v>
      </c>
      <c r="U888">
        <v>1.4659794050785701E-2</v>
      </c>
      <c r="V888" t="s">
        <v>157</v>
      </c>
    </row>
    <row r="889" spans="9:22" x14ac:dyDescent="0.45">
      <c r="I889" t="s">
        <v>229</v>
      </c>
      <c r="J889" t="s">
        <v>165</v>
      </c>
      <c r="K889">
        <v>3.6355367155899358E-3</v>
      </c>
      <c r="L889" t="s">
        <v>157</v>
      </c>
      <c r="N889" t="s">
        <v>340</v>
      </c>
      <c r="O889" t="s">
        <v>165</v>
      </c>
      <c r="P889">
        <v>1.6885939851296512E-2</v>
      </c>
      <c r="Q889" t="s">
        <v>157</v>
      </c>
      <c r="S889" t="s">
        <v>451</v>
      </c>
      <c r="T889" t="s">
        <v>165</v>
      </c>
      <c r="U889">
        <v>1.4395151517955484E-2</v>
      </c>
      <c r="V889" t="s">
        <v>157</v>
      </c>
    </row>
    <row r="890" spans="9:22" x14ac:dyDescent="0.45">
      <c r="I890" t="s">
        <v>229</v>
      </c>
      <c r="J890" t="s">
        <v>166</v>
      </c>
      <c r="K890">
        <v>0</v>
      </c>
      <c r="L890" t="s">
        <v>157</v>
      </c>
      <c r="N890" t="s">
        <v>340</v>
      </c>
      <c r="O890" t="s">
        <v>166</v>
      </c>
      <c r="P890">
        <v>8.8124815383773564E-2</v>
      </c>
      <c r="Q890" t="s">
        <v>157</v>
      </c>
      <c r="S890" t="s">
        <v>451</v>
      </c>
      <c r="T890" t="s">
        <v>166</v>
      </c>
      <c r="U890">
        <v>7.0556068605593686E-2</v>
      </c>
      <c r="V890" t="s">
        <v>157</v>
      </c>
    </row>
    <row r="891" spans="9:22" x14ac:dyDescent="0.45">
      <c r="I891" t="s">
        <v>229</v>
      </c>
      <c r="J891" t="s">
        <v>167</v>
      </c>
      <c r="K891">
        <v>2.0361131090127139E-2</v>
      </c>
      <c r="L891" t="s">
        <v>157</v>
      </c>
      <c r="N891" t="s">
        <v>340</v>
      </c>
      <c r="O891" t="s">
        <v>167</v>
      </c>
      <c r="P891">
        <v>4.2414758344278006E-2</v>
      </c>
      <c r="Q891" t="s">
        <v>157</v>
      </c>
      <c r="S891" t="s">
        <v>451</v>
      </c>
      <c r="T891" t="s">
        <v>167</v>
      </c>
      <c r="U891">
        <v>4.4023238702712096E-2</v>
      </c>
      <c r="V891" t="s">
        <v>157</v>
      </c>
    </row>
    <row r="892" spans="9:22" x14ac:dyDescent="0.45">
      <c r="I892" t="s">
        <v>229</v>
      </c>
      <c r="J892" t="s">
        <v>168</v>
      </c>
      <c r="K892">
        <v>0.20469787455286634</v>
      </c>
      <c r="L892" t="s">
        <v>157</v>
      </c>
      <c r="N892" t="s">
        <v>340</v>
      </c>
      <c r="O892" t="s">
        <v>168</v>
      </c>
      <c r="P892">
        <v>5.6855535740602321E-2</v>
      </c>
      <c r="Q892" t="s">
        <v>157</v>
      </c>
      <c r="S892" t="s">
        <v>451</v>
      </c>
      <c r="T892" t="s">
        <v>168</v>
      </c>
      <c r="U892">
        <v>6.7975896540869177E-2</v>
      </c>
      <c r="V892" t="s">
        <v>157</v>
      </c>
    </row>
    <row r="893" spans="9:22" x14ac:dyDescent="0.45">
      <c r="I893" t="s">
        <v>229</v>
      </c>
      <c r="J893" t="s">
        <v>169</v>
      </c>
      <c r="K893">
        <v>1.5038898839641058E-2</v>
      </c>
      <c r="L893" t="s">
        <v>157</v>
      </c>
      <c r="N893" t="s">
        <v>340</v>
      </c>
      <c r="O893" t="s">
        <v>169</v>
      </c>
      <c r="P893">
        <v>7.2133689225546659E-3</v>
      </c>
      <c r="Q893" t="s">
        <v>157</v>
      </c>
      <c r="S893" t="s">
        <v>451</v>
      </c>
      <c r="T893" t="s">
        <v>169</v>
      </c>
      <c r="U893">
        <v>6.3038937431571587E-3</v>
      </c>
      <c r="V893" t="s">
        <v>157</v>
      </c>
    </row>
    <row r="894" spans="9:22" x14ac:dyDescent="0.45">
      <c r="I894" t="s">
        <v>229</v>
      </c>
      <c r="J894" t="s">
        <v>170</v>
      </c>
      <c r="K894">
        <v>1.1046119483778243E-2</v>
      </c>
      <c r="L894" t="s">
        <v>157</v>
      </c>
      <c r="N894" t="s">
        <v>340</v>
      </c>
      <c r="O894" t="s">
        <v>170</v>
      </c>
      <c r="P894">
        <v>7.0179148921362556E-3</v>
      </c>
      <c r="Q894" t="s">
        <v>157</v>
      </c>
      <c r="S894" t="s">
        <v>451</v>
      </c>
      <c r="T894" t="s">
        <v>170</v>
      </c>
      <c r="U894">
        <v>6.1847134957665594E-3</v>
      </c>
      <c r="V894" t="s">
        <v>157</v>
      </c>
    </row>
    <row r="895" spans="9:22" x14ac:dyDescent="0.45">
      <c r="I895" t="s">
        <v>229</v>
      </c>
      <c r="J895" t="s">
        <v>171</v>
      </c>
      <c r="K895">
        <v>4.0734926231500938E-3</v>
      </c>
      <c r="L895" t="s">
        <v>157</v>
      </c>
      <c r="N895" t="s">
        <v>340</v>
      </c>
      <c r="O895" t="s">
        <v>171</v>
      </c>
      <c r="P895">
        <v>3.4445275236438887E-2</v>
      </c>
      <c r="Q895" t="s">
        <v>157</v>
      </c>
      <c r="S895" t="s">
        <v>451</v>
      </c>
      <c r="T895" t="s">
        <v>171</v>
      </c>
      <c r="U895">
        <v>2.9999633223044834E-2</v>
      </c>
      <c r="V895" t="s">
        <v>157</v>
      </c>
    </row>
    <row r="896" spans="9:22" x14ac:dyDescent="0.45">
      <c r="I896" t="s">
        <v>230</v>
      </c>
      <c r="J896" t="s">
        <v>156</v>
      </c>
      <c r="K896">
        <v>1.7811220906686111E-2</v>
      </c>
      <c r="L896" t="s">
        <v>157</v>
      </c>
      <c r="N896" t="s">
        <v>341</v>
      </c>
      <c r="O896" t="s">
        <v>156</v>
      </c>
      <c r="P896">
        <v>0.1254570742773285</v>
      </c>
      <c r="Q896" t="s">
        <v>157</v>
      </c>
      <c r="S896" t="s">
        <v>452</v>
      </c>
      <c r="T896" t="s">
        <v>156</v>
      </c>
      <c r="U896">
        <v>0.14334665819027048</v>
      </c>
      <c r="V896" t="s">
        <v>157</v>
      </c>
    </row>
    <row r="897" spans="9:22" x14ac:dyDescent="0.45">
      <c r="I897" t="s">
        <v>230</v>
      </c>
      <c r="J897" t="s">
        <v>158</v>
      </c>
      <c r="K897">
        <v>0.41116865337371256</v>
      </c>
      <c r="L897" t="s">
        <v>157</v>
      </c>
      <c r="N897" t="s">
        <v>341</v>
      </c>
      <c r="O897" t="s">
        <v>158</v>
      </c>
      <c r="P897">
        <v>0.17828532214254678</v>
      </c>
      <c r="Q897" t="s">
        <v>157</v>
      </c>
      <c r="S897" t="s">
        <v>452</v>
      </c>
      <c r="T897" t="s">
        <v>158</v>
      </c>
      <c r="U897">
        <v>0.20599823535271536</v>
      </c>
      <c r="V897" t="s">
        <v>157</v>
      </c>
    </row>
    <row r="898" spans="9:22" x14ac:dyDescent="0.45">
      <c r="I898" t="s">
        <v>230</v>
      </c>
      <c r="J898" t="s">
        <v>159</v>
      </c>
      <c r="K898">
        <v>2.9109712689999595E-2</v>
      </c>
      <c r="L898" t="s">
        <v>157</v>
      </c>
      <c r="N898" t="s">
        <v>341</v>
      </c>
      <c r="O898" t="s">
        <v>159</v>
      </c>
      <c r="P898">
        <v>2.1515471456493074E-2</v>
      </c>
      <c r="Q898" t="s">
        <v>157</v>
      </c>
      <c r="S898" t="s">
        <v>452</v>
      </c>
      <c r="T898" t="s">
        <v>159</v>
      </c>
      <c r="U898">
        <v>2.1372194246770296E-2</v>
      </c>
      <c r="V898" t="s">
        <v>157</v>
      </c>
    </row>
    <row r="899" spans="9:22" x14ac:dyDescent="0.45">
      <c r="I899" t="s">
        <v>230</v>
      </c>
      <c r="J899" t="s">
        <v>160</v>
      </c>
      <c r="K899">
        <v>1.8529465548397045E-2</v>
      </c>
      <c r="L899" t="s">
        <v>157</v>
      </c>
      <c r="N899" t="s">
        <v>341</v>
      </c>
      <c r="O899" t="s">
        <v>160</v>
      </c>
      <c r="P899">
        <v>2.04098194058062E-2</v>
      </c>
      <c r="Q899" t="s">
        <v>157</v>
      </c>
      <c r="S899" t="s">
        <v>452</v>
      </c>
      <c r="T899" t="s">
        <v>160</v>
      </c>
      <c r="U899">
        <v>2.1228903901583336E-2</v>
      </c>
      <c r="V899" t="s">
        <v>157</v>
      </c>
    </row>
    <row r="900" spans="9:22" x14ac:dyDescent="0.45">
      <c r="I900" t="s">
        <v>230</v>
      </c>
      <c r="J900" t="s">
        <v>161</v>
      </c>
      <c r="K900">
        <v>7.3264827713482505E-3</v>
      </c>
      <c r="L900" t="s">
        <v>157</v>
      </c>
      <c r="N900" t="s">
        <v>341</v>
      </c>
      <c r="O900" t="s">
        <v>161</v>
      </c>
      <c r="P900">
        <v>9.6166884508878045E-2</v>
      </c>
      <c r="Q900" t="s">
        <v>157</v>
      </c>
      <c r="S900" t="s">
        <v>452</v>
      </c>
      <c r="T900" t="s">
        <v>161</v>
      </c>
      <c r="U900">
        <v>0.10252395752328693</v>
      </c>
      <c r="V900" t="s">
        <v>157</v>
      </c>
    </row>
    <row r="901" spans="9:22" x14ac:dyDescent="0.45">
      <c r="I901" t="s">
        <v>230</v>
      </c>
      <c r="J901" t="s">
        <v>162</v>
      </c>
      <c r="K901">
        <v>7.4402560048830507E-3</v>
      </c>
      <c r="L901" t="s">
        <v>157</v>
      </c>
      <c r="N901" t="s">
        <v>341</v>
      </c>
      <c r="O901" t="s">
        <v>162</v>
      </c>
      <c r="P901">
        <v>0.13436237624275643</v>
      </c>
      <c r="Q901" t="s">
        <v>157</v>
      </c>
      <c r="S901" t="s">
        <v>452</v>
      </c>
      <c r="T901" t="s">
        <v>162</v>
      </c>
      <c r="U901">
        <v>0.10150991740220081</v>
      </c>
      <c r="V901" t="s">
        <v>157</v>
      </c>
    </row>
    <row r="902" spans="9:22" x14ac:dyDescent="0.45">
      <c r="I902" t="s">
        <v>230</v>
      </c>
      <c r="J902" t="s">
        <v>163</v>
      </c>
      <c r="K902">
        <v>0.24238131322634435</v>
      </c>
      <c r="L902" t="s">
        <v>157</v>
      </c>
      <c r="N902" t="s">
        <v>341</v>
      </c>
      <c r="O902" t="s">
        <v>163</v>
      </c>
      <c r="P902">
        <v>0.167452523293633</v>
      </c>
      <c r="Q902" t="s">
        <v>157</v>
      </c>
      <c r="S902" t="s">
        <v>452</v>
      </c>
      <c r="T902" t="s">
        <v>163</v>
      </c>
      <c r="U902">
        <v>0.14936378842022502</v>
      </c>
      <c r="V902" t="s">
        <v>157</v>
      </c>
    </row>
    <row r="903" spans="9:22" x14ac:dyDescent="0.45">
      <c r="I903" t="s">
        <v>230</v>
      </c>
      <c r="J903" t="s">
        <v>164</v>
      </c>
      <c r="K903">
        <v>1.4249955015014542E-2</v>
      </c>
      <c r="L903" t="s">
        <v>157</v>
      </c>
      <c r="N903" t="s">
        <v>341</v>
      </c>
      <c r="O903" t="s">
        <v>164</v>
      </c>
      <c r="P903">
        <v>1.9047717277143363E-2</v>
      </c>
      <c r="Q903" t="s">
        <v>157</v>
      </c>
      <c r="S903" t="s">
        <v>452</v>
      </c>
      <c r="T903" t="s">
        <v>164</v>
      </c>
      <c r="U903">
        <v>1.4527558736918692E-2</v>
      </c>
      <c r="V903" t="s">
        <v>157</v>
      </c>
    </row>
    <row r="904" spans="9:22" x14ac:dyDescent="0.45">
      <c r="I904" t="s">
        <v>230</v>
      </c>
      <c r="J904" t="s">
        <v>165</v>
      </c>
      <c r="K904">
        <v>3.608730191680583E-3</v>
      </c>
      <c r="L904" t="s">
        <v>157</v>
      </c>
      <c r="N904" t="s">
        <v>341</v>
      </c>
      <c r="O904" t="s">
        <v>165</v>
      </c>
      <c r="P904">
        <v>1.9156688055826255E-2</v>
      </c>
      <c r="Q904" t="s">
        <v>157</v>
      </c>
      <c r="S904" t="s">
        <v>452</v>
      </c>
      <c r="T904" t="s">
        <v>165</v>
      </c>
      <c r="U904">
        <v>1.4188200754119617E-2</v>
      </c>
      <c r="V904" t="s">
        <v>157</v>
      </c>
    </row>
    <row r="905" spans="9:22" x14ac:dyDescent="0.45">
      <c r="I905" t="s">
        <v>230</v>
      </c>
      <c r="J905" t="s">
        <v>166</v>
      </c>
      <c r="K905">
        <v>0</v>
      </c>
      <c r="L905" t="s">
        <v>157</v>
      </c>
      <c r="N905" t="s">
        <v>341</v>
      </c>
      <c r="O905" t="s">
        <v>166</v>
      </c>
      <c r="P905">
        <v>9.5975799057783459E-2</v>
      </c>
      <c r="Q905" t="s">
        <v>157</v>
      </c>
      <c r="S905" t="s">
        <v>452</v>
      </c>
      <c r="T905" t="s">
        <v>166</v>
      </c>
      <c r="U905">
        <v>7.1529583352365755E-2</v>
      </c>
      <c r="V905" t="s">
        <v>157</v>
      </c>
    </row>
    <row r="906" spans="9:22" x14ac:dyDescent="0.45">
      <c r="I906" t="s">
        <v>230</v>
      </c>
      <c r="J906" t="s">
        <v>167</v>
      </c>
      <c r="K906">
        <v>2.0159553248056458E-2</v>
      </c>
      <c r="L906" t="s">
        <v>157</v>
      </c>
      <c r="N906" t="s">
        <v>341</v>
      </c>
      <c r="O906" t="s">
        <v>167</v>
      </c>
      <c r="P906">
        <v>3.4935454441913837E-2</v>
      </c>
      <c r="Q906" t="s">
        <v>157</v>
      </c>
      <c r="S906" t="s">
        <v>452</v>
      </c>
      <c r="T906" t="s">
        <v>167</v>
      </c>
      <c r="U906">
        <v>4.3835844643000693E-2</v>
      </c>
      <c r="V906" t="s">
        <v>157</v>
      </c>
    </row>
    <row r="907" spans="9:22" x14ac:dyDescent="0.45">
      <c r="I907" t="s">
        <v>230</v>
      </c>
      <c r="J907" t="s">
        <v>168</v>
      </c>
      <c r="K907">
        <v>0.19989598467684222</v>
      </c>
      <c r="L907" t="s">
        <v>157</v>
      </c>
      <c r="N907" t="s">
        <v>341</v>
      </c>
      <c r="O907" t="s">
        <v>168</v>
      </c>
      <c r="P907">
        <v>5.0036873037007962E-2</v>
      </c>
      <c r="Q907" t="s">
        <v>157</v>
      </c>
      <c r="S907" t="s">
        <v>452</v>
      </c>
      <c r="T907" t="s">
        <v>168</v>
      </c>
      <c r="U907">
        <v>6.7517186035975632E-2</v>
      </c>
      <c r="V907" t="s">
        <v>157</v>
      </c>
    </row>
    <row r="908" spans="9:22" x14ac:dyDescent="0.45">
      <c r="I908" t="s">
        <v>230</v>
      </c>
      <c r="J908" t="s">
        <v>169</v>
      </c>
      <c r="K908">
        <v>1.3965226406297075E-2</v>
      </c>
      <c r="L908" t="s">
        <v>157</v>
      </c>
      <c r="N908" t="s">
        <v>341</v>
      </c>
      <c r="O908" t="s">
        <v>169</v>
      </c>
      <c r="P908">
        <v>5.3918706794317097E-3</v>
      </c>
      <c r="Q908" t="s">
        <v>157</v>
      </c>
      <c r="S908" t="s">
        <v>452</v>
      </c>
      <c r="T908" t="s">
        <v>169</v>
      </c>
      <c r="U908">
        <v>6.3077833473619959E-3</v>
      </c>
      <c r="V908" t="s">
        <v>157</v>
      </c>
    </row>
    <row r="909" spans="9:22" x14ac:dyDescent="0.45">
      <c r="I909" t="s">
        <v>230</v>
      </c>
      <c r="J909" t="s">
        <v>170</v>
      </c>
      <c r="K909">
        <v>1.0458768835277233E-2</v>
      </c>
      <c r="L909" t="s">
        <v>157</v>
      </c>
      <c r="N909" t="s">
        <v>341</v>
      </c>
      <c r="O909" t="s">
        <v>170</v>
      </c>
      <c r="P909">
        <v>5.1039043084919137E-3</v>
      </c>
      <c r="Q909" t="s">
        <v>157</v>
      </c>
      <c r="S909" t="s">
        <v>452</v>
      </c>
      <c r="T909" t="s">
        <v>170</v>
      </c>
      <c r="U909">
        <v>6.2425135804975093E-3</v>
      </c>
      <c r="V909" t="s">
        <v>157</v>
      </c>
    </row>
    <row r="910" spans="9:22" x14ac:dyDescent="0.45">
      <c r="I910" t="s">
        <v>230</v>
      </c>
      <c r="J910" t="s">
        <v>171</v>
      </c>
      <c r="K910">
        <v>3.8946771054609772E-3</v>
      </c>
      <c r="L910" t="s">
        <v>157</v>
      </c>
      <c r="N910" t="s">
        <v>341</v>
      </c>
      <c r="O910" t="s">
        <v>171</v>
      </c>
      <c r="P910">
        <v>2.6702221814959463E-2</v>
      </c>
      <c r="Q910" t="s">
        <v>157</v>
      </c>
      <c r="S910" t="s">
        <v>452</v>
      </c>
      <c r="T910" t="s">
        <v>171</v>
      </c>
      <c r="U910">
        <v>3.0507674512707975E-2</v>
      </c>
      <c r="V910" t="s">
        <v>157</v>
      </c>
    </row>
    <row r="911" spans="9:22" x14ac:dyDescent="0.45">
      <c r="I911" t="s">
        <v>231</v>
      </c>
      <c r="J911" t="s">
        <v>156</v>
      </c>
      <c r="K911">
        <v>1.7391818235473217E-2</v>
      </c>
      <c r="L911" t="s">
        <v>157</v>
      </c>
      <c r="N911" t="s">
        <v>342</v>
      </c>
      <c r="O911" t="s">
        <v>156</v>
      </c>
      <c r="P911">
        <v>0.11427279090248818</v>
      </c>
      <c r="Q911" t="s">
        <v>157</v>
      </c>
      <c r="S911" t="s">
        <v>453</v>
      </c>
      <c r="T911" t="s">
        <v>156</v>
      </c>
      <c r="U911">
        <v>0.14229980059403324</v>
      </c>
      <c r="V911" t="s">
        <v>157</v>
      </c>
    </row>
    <row r="912" spans="9:22" x14ac:dyDescent="0.45">
      <c r="I912" t="s">
        <v>231</v>
      </c>
      <c r="J912" t="s">
        <v>158</v>
      </c>
      <c r="K912">
        <v>0.4164508561197845</v>
      </c>
      <c r="L912" t="s">
        <v>157</v>
      </c>
      <c r="N912" t="s">
        <v>342</v>
      </c>
      <c r="O912" t="s">
        <v>158</v>
      </c>
      <c r="P912">
        <v>0.17966707671308219</v>
      </c>
      <c r="Q912" t="s">
        <v>157</v>
      </c>
      <c r="S912" t="s">
        <v>453</v>
      </c>
      <c r="T912" t="s">
        <v>158</v>
      </c>
      <c r="U912">
        <v>0.20435183219726946</v>
      </c>
      <c r="V912" t="s">
        <v>157</v>
      </c>
    </row>
    <row r="913" spans="9:22" x14ac:dyDescent="0.45">
      <c r="I913" t="s">
        <v>231</v>
      </c>
      <c r="J913" t="s">
        <v>159</v>
      </c>
      <c r="K913">
        <v>2.8966151280018438E-2</v>
      </c>
      <c r="L913" t="s">
        <v>157</v>
      </c>
      <c r="N913" t="s">
        <v>342</v>
      </c>
      <c r="O913" t="s">
        <v>159</v>
      </c>
      <c r="P913">
        <v>1.7742166449752066E-2</v>
      </c>
      <c r="Q913" t="s">
        <v>157</v>
      </c>
      <c r="S913" t="s">
        <v>453</v>
      </c>
      <c r="T913" t="s">
        <v>159</v>
      </c>
      <c r="U913">
        <v>2.1010874644464498E-2</v>
      </c>
      <c r="V913" t="s">
        <v>157</v>
      </c>
    </row>
    <row r="914" spans="9:22" x14ac:dyDescent="0.45">
      <c r="I914" t="s">
        <v>231</v>
      </c>
      <c r="J914" t="s">
        <v>160</v>
      </c>
      <c r="K914">
        <v>1.8196876847937658E-2</v>
      </c>
      <c r="L914" t="s">
        <v>157</v>
      </c>
      <c r="N914" t="s">
        <v>342</v>
      </c>
      <c r="O914" t="s">
        <v>160</v>
      </c>
      <c r="P914">
        <v>1.5985876048119563E-2</v>
      </c>
      <c r="Q914" t="s">
        <v>157</v>
      </c>
      <c r="S914" t="s">
        <v>453</v>
      </c>
      <c r="T914" t="s">
        <v>160</v>
      </c>
      <c r="U914">
        <v>2.0809781996584665E-2</v>
      </c>
      <c r="V914" t="s">
        <v>157</v>
      </c>
    </row>
    <row r="915" spans="9:22" x14ac:dyDescent="0.45">
      <c r="I915" t="s">
        <v>231</v>
      </c>
      <c r="J915" t="s">
        <v>161</v>
      </c>
      <c r="K915">
        <v>6.9757403720792626E-3</v>
      </c>
      <c r="L915" t="s">
        <v>157</v>
      </c>
      <c r="N915" t="s">
        <v>342</v>
      </c>
      <c r="O915" t="s">
        <v>161</v>
      </c>
      <c r="P915">
        <v>7.5011149213130873E-2</v>
      </c>
      <c r="Q915" t="s">
        <v>157</v>
      </c>
      <c r="S915" t="s">
        <v>453</v>
      </c>
      <c r="T915" t="s">
        <v>161</v>
      </c>
      <c r="U915">
        <v>0.10163943385597553</v>
      </c>
      <c r="V915" t="s">
        <v>157</v>
      </c>
    </row>
    <row r="916" spans="9:22" x14ac:dyDescent="0.45">
      <c r="I916" t="s">
        <v>231</v>
      </c>
      <c r="J916" t="s">
        <v>162</v>
      </c>
      <c r="K916">
        <v>6.1008916946761194E-3</v>
      </c>
      <c r="L916" t="s">
        <v>157</v>
      </c>
      <c r="N916" t="s">
        <v>342</v>
      </c>
      <c r="O916" t="s">
        <v>162</v>
      </c>
      <c r="P916">
        <v>0.13853929928438954</v>
      </c>
      <c r="Q916" t="s">
        <v>157</v>
      </c>
      <c r="S916" t="s">
        <v>453</v>
      </c>
      <c r="T916" t="s">
        <v>162</v>
      </c>
      <c r="U916">
        <v>0.10428108519135444</v>
      </c>
      <c r="V916" t="s">
        <v>157</v>
      </c>
    </row>
    <row r="917" spans="9:22" x14ac:dyDescent="0.45">
      <c r="I917" t="s">
        <v>231</v>
      </c>
      <c r="J917" t="s">
        <v>163</v>
      </c>
      <c r="K917">
        <v>0.24294829594299813</v>
      </c>
      <c r="L917" t="s">
        <v>157</v>
      </c>
      <c r="N917" t="s">
        <v>342</v>
      </c>
      <c r="O917" t="s">
        <v>163</v>
      </c>
      <c r="P917">
        <v>0.20255898569936062</v>
      </c>
      <c r="Q917" t="s">
        <v>157</v>
      </c>
      <c r="S917" t="s">
        <v>453</v>
      </c>
      <c r="T917" t="s">
        <v>163</v>
      </c>
      <c r="U917">
        <v>0.15055838958292406</v>
      </c>
      <c r="V917" t="s">
        <v>157</v>
      </c>
    </row>
    <row r="918" spans="9:22" x14ac:dyDescent="0.45">
      <c r="I918" t="s">
        <v>231</v>
      </c>
      <c r="J918" t="s">
        <v>164</v>
      </c>
      <c r="K918">
        <v>1.4138674324128814E-2</v>
      </c>
      <c r="L918" t="s">
        <v>157</v>
      </c>
      <c r="N918" t="s">
        <v>342</v>
      </c>
      <c r="O918" t="s">
        <v>164</v>
      </c>
      <c r="P918">
        <v>2.0414793472641864E-2</v>
      </c>
      <c r="Q918" t="s">
        <v>157</v>
      </c>
      <c r="S918" t="s">
        <v>453</v>
      </c>
      <c r="T918" t="s">
        <v>164</v>
      </c>
      <c r="U918">
        <v>1.4275298149785282E-2</v>
      </c>
      <c r="V918" t="s">
        <v>157</v>
      </c>
    </row>
    <row r="919" spans="9:22" x14ac:dyDescent="0.45">
      <c r="I919" t="s">
        <v>231</v>
      </c>
      <c r="J919" t="s">
        <v>165</v>
      </c>
      <c r="K919">
        <v>3.3086322753034148E-3</v>
      </c>
      <c r="L919" t="s">
        <v>157</v>
      </c>
      <c r="N919" t="s">
        <v>342</v>
      </c>
      <c r="O919" t="s">
        <v>165</v>
      </c>
      <c r="P919">
        <v>1.9547273560550339E-2</v>
      </c>
      <c r="Q919" t="s">
        <v>157</v>
      </c>
      <c r="S919" t="s">
        <v>453</v>
      </c>
      <c r="T919" t="s">
        <v>165</v>
      </c>
      <c r="U919">
        <v>1.4171134184876233E-2</v>
      </c>
      <c r="V919" t="s">
        <v>157</v>
      </c>
    </row>
    <row r="920" spans="9:22" x14ac:dyDescent="0.45">
      <c r="I920" t="s">
        <v>231</v>
      </c>
      <c r="J920" t="s">
        <v>166</v>
      </c>
      <c r="K920">
        <v>0</v>
      </c>
      <c r="L920" t="s">
        <v>157</v>
      </c>
      <c r="N920" t="s">
        <v>342</v>
      </c>
      <c r="O920" t="s">
        <v>166</v>
      </c>
      <c r="P920">
        <v>9.5843278091980511E-2</v>
      </c>
      <c r="Q920" t="s">
        <v>157</v>
      </c>
      <c r="S920" t="s">
        <v>453</v>
      </c>
      <c r="T920" t="s">
        <v>166</v>
      </c>
      <c r="U920">
        <v>7.2709256405929512E-2</v>
      </c>
      <c r="V920" t="s">
        <v>157</v>
      </c>
    </row>
    <row r="921" spans="9:22" x14ac:dyDescent="0.45">
      <c r="I921" t="s">
        <v>231</v>
      </c>
      <c r="J921" t="s">
        <v>167</v>
      </c>
      <c r="K921">
        <v>2.0081723368084319E-2</v>
      </c>
      <c r="L921" t="s">
        <v>157</v>
      </c>
      <c r="N921" t="s">
        <v>342</v>
      </c>
      <c r="O921" t="s">
        <v>167</v>
      </c>
      <c r="P921">
        <v>2.9695115329168405E-2</v>
      </c>
      <c r="Q921" t="s">
        <v>157</v>
      </c>
      <c r="S921" t="s">
        <v>453</v>
      </c>
      <c r="T921" t="s">
        <v>167</v>
      </c>
      <c r="U921">
        <v>4.3840234548159426E-2</v>
      </c>
      <c r="V921" t="s">
        <v>157</v>
      </c>
    </row>
    <row r="922" spans="9:22" x14ac:dyDescent="0.45">
      <c r="I922" t="s">
        <v>231</v>
      </c>
      <c r="J922" t="s">
        <v>168</v>
      </c>
      <c r="K922">
        <v>0.19675637755051356</v>
      </c>
      <c r="L922" t="s">
        <v>157</v>
      </c>
      <c r="N922" t="s">
        <v>342</v>
      </c>
      <c r="O922" t="s">
        <v>168</v>
      </c>
      <c r="P922">
        <v>5.934318834952277E-2</v>
      </c>
      <c r="Q922" t="s">
        <v>157</v>
      </c>
      <c r="S922" t="s">
        <v>453</v>
      </c>
      <c r="T922" t="s">
        <v>168</v>
      </c>
      <c r="U922">
        <v>6.707691690865604E-2</v>
      </c>
      <c r="V922" t="s">
        <v>157</v>
      </c>
    </row>
    <row r="923" spans="9:22" x14ac:dyDescent="0.45">
      <c r="I923" t="s">
        <v>231</v>
      </c>
      <c r="J923" t="s">
        <v>169</v>
      </c>
      <c r="K923">
        <v>1.4154991658028212E-2</v>
      </c>
      <c r="L923" t="s">
        <v>157</v>
      </c>
      <c r="N923" t="s">
        <v>342</v>
      </c>
      <c r="O923" t="s">
        <v>169</v>
      </c>
      <c r="P923">
        <v>4.9422827859125452E-3</v>
      </c>
      <c r="Q923" t="s">
        <v>157</v>
      </c>
      <c r="S923" t="s">
        <v>453</v>
      </c>
      <c r="T923" t="s">
        <v>169</v>
      </c>
      <c r="U923">
        <v>6.292046131299767E-3</v>
      </c>
      <c r="V923" t="s">
        <v>157</v>
      </c>
    </row>
    <row r="924" spans="9:22" x14ac:dyDescent="0.45">
      <c r="I924" t="s">
        <v>231</v>
      </c>
      <c r="J924" t="s">
        <v>170</v>
      </c>
      <c r="K924">
        <v>1.0808174621990126E-2</v>
      </c>
      <c r="L924" t="s">
        <v>157</v>
      </c>
      <c r="N924" t="s">
        <v>342</v>
      </c>
      <c r="O924" t="s">
        <v>170</v>
      </c>
      <c r="P924">
        <v>4.5951336558760596E-3</v>
      </c>
      <c r="Q924" t="s">
        <v>157</v>
      </c>
      <c r="S924" t="s">
        <v>453</v>
      </c>
      <c r="T924" t="s">
        <v>170</v>
      </c>
      <c r="U924">
        <v>6.2109747020421303E-3</v>
      </c>
      <c r="V924" t="s">
        <v>157</v>
      </c>
    </row>
    <row r="925" spans="9:22" x14ac:dyDescent="0.45">
      <c r="I925" t="s">
        <v>231</v>
      </c>
      <c r="J925" t="s">
        <v>171</v>
      </c>
      <c r="K925">
        <v>3.7207957089842019E-3</v>
      </c>
      <c r="L925" t="s">
        <v>157</v>
      </c>
      <c r="N925" t="s">
        <v>342</v>
      </c>
      <c r="O925" t="s">
        <v>171</v>
      </c>
      <c r="P925">
        <v>2.1841590444024471E-2</v>
      </c>
      <c r="Q925" t="s">
        <v>157</v>
      </c>
      <c r="S925" t="s">
        <v>453</v>
      </c>
      <c r="T925" t="s">
        <v>171</v>
      </c>
      <c r="U925">
        <v>3.0472940906645672E-2</v>
      </c>
      <c r="V925" t="s">
        <v>157</v>
      </c>
    </row>
    <row r="926" spans="9:22" x14ac:dyDescent="0.45">
      <c r="I926" t="s">
        <v>232</v>
      </c>
      <c r="J926" t="s">
        <v>156</v>
      </c>
      <c r="K926">
        <v>1.5811329265825604E-2</v>
      </c>
      <c r="L926" t="s">
        <v>157</v>
      </c>
      <c r="N926" t="s">
        <v>343</v>
      </c>
      <c r="O926" t="s">
        <v>156</v>
      </c>
      <c r="P926">
        <v>9.9481752997156309E-2</v>
      </c>
      <c r="Q926" t="s">
        <v>157</v>
      </c>
      <c r="S926" t="s">
        <v>454</v>
      </c>
      <c r="T926" t="s">
        <v>156</v>
      </c>
      <c r="U926">
        <v>0.14190829314588549</v>
      </c>
      <c r="V926" t="s">
        <v>157</v>
      </c>
    </row>
    <row r="927" spans="9:22" x14ac:dyDescent="0.45">
      <c r="I927" t="s">
        <v>232</v>
      </c>
      <c r="J927" t="s">
        <v>158</v>
      </c>
      <c r="K927">
        <v>0.41342009135204327</v>
      </c>
      <c r="L927" t="s">
        <v>157</v>
      </c>
      <c r="N927" t="s">
        <v>343</v>
      </c>
      <c r="O927" t="s">
        <v>158</v>
      </c>
      <c r="P927">
        <v>0.20393027355658191</v>
      </c>
      <c r="Q927" t="s">
        <v>157</v>
      </c>
      <c r="S927" t="s">
        <v>454</v>
      </c>
      <c r="T927" t="s">
        <v>158</v>
      </c>
      <c r="U927">
        <v>0.20246350482663081</v>
      </c>
      <c r="V927" t="s">
        <v>157</v>
      </c>
    </row>
    <row r="928" spans="9:22" x14ac:dyDescent="0.45">
      <c r="I928" t="s">
        <v>232</v>
      </c>
      <c r="J928" t="s">
        <v>159</v>
      </c>
      <c r="K928">
        <v>2.858962884447102E-2</v>
      </c>
      <c r="L928" t="s">
        <v>157</v>
      </c>
      <c r="N928" t="s">
        <v>343</v>
      </c>
      <c r="O928" t="s">
        <v>159</v>
      </c>
      <c r="P928">
        <v>2.1531425775899098E-2</v>
      </c>
      <c r="Q928" t="s">
        <v>157</v>
      </c>
      <c r="S928" t="s">
        <v>454</v>
      </c>
      <c r="T928" t="s">
        <v>159</v>
      </c>
      <c r="U928">
        <v>2.0780550586294997E-2</v>
      </c>
      <c r="V928" t="s">
        <v>157</v>
      </c>
    </row>
    <row r="929" spans="9:22" x14ac:dyDescent="0.45">
      <c r="I929" t="s">
        <v>232</v>
      </c>
      <c r="J929" t="s">
        <v>160</v>
      </c>
      <c r="K929">
        <v>1.7864302918061958E-2</v>
      </c>
      <c r="L929" t="s">
        <v>157</v>
      </c>
      <c r="N929" t="s">
        <v>343</v>
      </c>
      <c r="O929" t="s">
        <v>160</v>
      </c>
      <c r="P929">
        <v>1.8708751121565458E-2</v>
      </c>
      <c r="Q929" t="s">
        <v>157</v>
      </c>
      <c r="S929" t="s">
        <v>454</v>
      </c>
      <c r="T929" t="s">
        <v>160</v>
      </c>
      <c r="U929">
        <v>2.0675775944423457E-2</v>
      </c>
      <c r="V929" t="s">
        <v>157</v>
      </c>
    </row>
    <row r="930" spans="9:22" x14ac:dyDescent="0.45">
      <c r="I930" t="s">
        <v>232</v>
      </c>
      <c r="J930" t="s">
        <v>161</v>
      </c>
      <c r="K930">
        <v>6.7122630020650925E-3</v>
      </c>
      <c r="L930" t="s">
        <v>157</v>
      </c>
      <c r="N930" t="s">
        <v>343</v>
      </c>
      <c r="O930" t="s">
        <v>161</v>
      </c>
      <c r="P930">
        <v>7.6740487111849359E-2</v>
      </c>
      <c r="Q930" t="s">
        <v>157</v>
      </c>
      <c r="S930" t="s">
        <v>454</v>
      </c>
      <c r="T930" t="s">
        <v>161</v>
      </c>
      <c r="U930">
        <v>0.10117205319356339</v>
      </c>
      <c r="V930" t="s">
        <v>157</v>
      </c>
    </row>
    <row r="931" spans="9:22" x14ac:dyDescent="0.45">
      <c r="I931" t="s">
        <v>232</v>
      </c>
      <c r="J931" t="s">
        <v>162</v>
      </c>
      <c r="K931">
        <v>5.1988369266639462E-3</v>
      </c>
      <c r="L931" t="s">
        <v>157</v>
      </c>
      <c r="N931" t="s">
        <v>343</v>
      </c>
      <c r="O931" t="s">
        <v>162</v>
      </c>
      <c r="P931">
        <v>0.11432359948427108</v>
      </c>
      <c r="Q931" t="s">
        <v>157</v>
      </c>
      <c r="S931" t="s">
        <v>454</v>
      </c>
      <c r="T931" t="s">
        <v>162</v>
      </c>
      <c r="U931">
        <v>0.10670464675006801</v>
      </c>
      <c r="V931" t="s">
        <v>157</v>
      </c>
    </row>
    <row r="932" spans="9:22" x14ac:dyDescent="0.45">
      <c r="I932" t="s">
        <v>232</v>
      </c>
      <c r="J932" t="s">
        <v>163</v>
      </c>
      <c r="K932">
        <v>0.24459806985582666</v>
      </c>
      <c r="L932" t="s">
        <v>157</v>
      </c>
      <c r="N932" t="s">
        <v>343</v>
      </c>
      <c r="O932" t="s">
        <v>163</v>
      </c>
      <c r="P932">
        <v>0.21438476238520626</v>
      </c>
      <c r="Q932" t="s">
        <v>157</v>
      </c>
      <c r="S932" t="s">
        <v>454</v>
      </c>
      <c r="T932" t="s">
        <v>163</v>
      </c>
      <c r="U932">
        <v>0.1502580024945479</v>
      </c>
      <c r="V932" t="s">
        <v>157</v>
      </c>
    </row>
    <row r="933" spans="9:22" x14ac:dyDescent="0.45">
      <c r="I933" t="s">
        <v>232</v>
      </c>
      <c r="J933" t="s">
        <v>164</v>
      </c>
      <c r="K933">
        <v>1.4196637880344662E-2</v>
      </c>
      <c r="L933" t="s">
        <v>157</v>
      </c>
      <c r="N933" t="s">
        <v>343</v>
      </c>
      <c r="O933" t="s">
        <v>164</v>
      </c>
      <c r="P933">
        <v>1.9305254682605081E-2</v>
      </c>
      <c r="Q933" t="s">
        <v>157</v>
      </c>
      <c r="S933" t="s">
        <v>454</v>
      </c>
      <c r="T933" t="s">
        <v>164</v>
      </c>
      <c r="U933">
        <v>1.4389411793843622E-2</v>
      </c>
      <c r="V933" t="s">
        <v>157</v>
      </c>
    </row>
    <row r="934" spans="9:22" x14ac:dyDescent="0.45">
      <c r="I934" t="s">
        <v>232</v>
      </c>
      <c r="J934" t="s">
        <v>165</v>
      </c>
      <c r="K934">
        <v>3.3372937003983837E-3</v>
      </c>
      <c r="L934" t="s">
        <v>157</v>
      </c>
      <c r="N934" t="s">
        <v>343</v>
      </c>
      <c r="O934" t="s">
        <v>165</v>
      </c>
      <c r="P934">
        <v>1.7751436488100198E-2</v>
      </c>
      <c r="Q934" t="s">
        <v>157</v>
      </c>
      <c r="S934" t="s">
        <v>454</v>
      </c>
      <c r="T934" t="s">
        <v>165</v>
      </c>
      <c r="U934">
        <v>1.4402694193437969E-2</v>
      </c>
      <c r="V934" t="s">
        <v>157</v>
      </c>
    </row>
    <row r="935" spans="9:22" x14ac:dyDescent="0.45">
      <c r="I935" t="s">
        <v>232</v>
      </c>
      <c r="J935" t="s">
        <v>166</v>
      </c>
      <c r="K935">
        <v>0</v>
      </c>
      <c r="L935" t="s">
        <v>157</v>
      </c>
      <c r="N935" t="s">
        <v>343</v>
      </c>
      <c r="O935" t="s">
        <v>166</v>
      </c>
      <c r="P935">
        <v>7.9354470027256943E-2</v>
      </c>
      <c r="Q935" t="s">
        <v>157</v>
      </c>
      <c r="S935" t="s">
        <v>454</v>
      </c>
      <c r="T935" t="s">
        <v>166</v>
      </c>
      <c r="U935">
        <v>7.2620268113623182E-2</v>
      </c>
      <c r="V935" t="s">
        <v>157</v>
      </c>
    </row>
    <row r="936" spans="9:22" x14ac:dyDescent="0.45">
      <c r="I936" t="s">
        <v>232</v>
      </c>
      <c r="J936" t="s">
        <v>167</v>
      </c>
      <c r="K936">
        <v>1.9809952360324352E-2</v>
      </c>
      <c r="L936" t="s">
        <v>157</v>
      </c>
      <c r="N936" t="s">
        <v>343</v>
      </c>
      <c r="O936" t="s">
        <v>167</v>
      </c>
      <c r="P936">
        <v>2.5814896709495109E-2</v>
      </c>
      <c r="Q936" t="s">
        <v>157</v>
      </c>
      <c r="S936" t="s">
        <v>454</v>
      </c>
      <c r="T936" t="s">
        <v>167</v>
      </c>
      <c r="U936">
        <v>4.4409492179387881E-2</v>
      </c>
      <c r="V936" t="s">
        <v>157</v>
      </c>
    </row>
    <row r="937" spans="9:22" x14ac:dyDescent="0.45">
      <c r="I937" t="s">
        <v>232</v>
      </c>
      <c r="J937" t="s">
        <v>168</v>
      </c>
      <c r="K937">
        <v>0.20039193153179916</v>
      </c>
      <c r="L937" t="s">
        <v>157</v>
      </c>
      <c r="N937" t="s">
        <v>343</v>
      </c>
      <c r="O937" t="s">
        <v>168</v>
      </c>
      <c r="P937">
        <v>7.9976817582899679E-2</v>
      </c>
      <c r="Q937" t="s">
        <v>157</v>
      </c>
      <c r="S937" t="s">
        <v>454</v>
      </c>
      <c r="T937" t="s">
        <v>168</v>
      </c>
      <c r="U937">
        <v>6.6951730909747612E-2</v>
      </c>
      <c r="V937" t="s">
        <v>157</v>
      </c>
    </row>
    <row r="938" spans="9:22" x14ac:dyDescent="0.45">
      <c r="I938" t="s">
        <v>232</v>
      </c>
      <c r="J938" t="s">
        <v>169</v>
      </c>
      <c r="K938">
        <v>1.4794575781623806E-2</v>
      </c>
      <c r="L938" t="s">
        <v>157</v>
      </c>
      <c r="N938" t="s">
        <v>343</v>
      </c>
      <c r="O938" t="s">
        <v>169</v>
      </c>
      <c r="P938">
        <v>5.7639636238198174E-3</v>
      </c>
      <c r="Q938" t="s">
        <v>157</v>
      </c>
      <c r="S938" t="s">
        <v>454</v>
      </c>
      <c r="T938" t="s">
        <v>169</v>
      </c>
      <c r="U938">
        <v>6.2842844242957064E-3</v>
      </c>
      <c r="V938" t="s">
        <v>157</v>
      </c>
    </row>
    <row r="939" spans="9:22" x14ac:dyDescent="0.45">
      <c r="I939" t="s">
        <v>232</v>
      </c>
      <c r="J939" t="s">
        <v>170</v>
      </c>
      <c r="K939">
        <v>1.1553379905334279E-2</v>
      </c>
      <c r="L939" t="s">
        <v>157</v>
      </c>
      <c r="N939" t="s">
        <v>343</v>
      </c>
      <c r="O939" t="s">
        <v>170</v>
      </c>
      <c r="P939">
        <v>4.554109181864374E-3</v>
      </c>
      <c r="Q939" t="s">
        <v>157</v>
      </c>
      <c r="S939" t="s">
        <v>454</v>
      </c>
      <c r="T939" t="s">
        <v>170</v>
      </c>
      <c r="U939">
        <v>6.1656746120408576E-3</v>
      </c>
      <c r="V939" t="s">
        <v>157</v>
      </c>
    </row>
    <row r="940" spans="9:22" x14ac:dyDescent="0.45">
      <c r="I940" t="s">
        <v>232</v>
      </c>
      <c r="J940" t="s">
        <v>171</v>
      </c>
      <c r="K940">
        <v>3.7217066752178174E-3</v>
      </c>
      <c r="L940" t="s">
        <v>157</v>
      </c>
      <c r="N940" t="s">
        <v>343</v>
      </c>
      <c r="O940" t="s">
        <v>171</v>
      </c>
      <c r="P940">
        <v>1.8377999271429302E-2</v>
      </c>
      <c r="Q940" t="s">
        <v>157</v>
      </c>
      <c r="S940" t="s">
        <v>454</v>
      </c>
      <c r="T940" t="s">
        <v>171</v>
      </c>
      <c r="U940">
        <v>3.0813616832209154E-2</v>
      </c>
      <c r="V940" t="s">
        <v>157</v>
      </c>
    </row>
    <row r="941" spans="9:22" x14ac:dyDescent="0.45">
      <c r="I941" t="s">
        <v>233</v>
      </c>
      <c r="J941" t="s">
        <v>156</v>
      </c>
      <c r="K941">
        <v>1.5678666327081717E-2</v>
      </c>
      <c r="L941" t="s">
        <v>157</v>
      </c>
      <c r="N941" t="s">
        <v>344</v>
      </c>
      <c r="O941" t="s">
        <v>156</v>
      </c>
      <c r="P941">
        <v>9.2060459581864137E-2</v>
      </c>
      <c r="Q941" t="s">
        <v>157</v>
      </c>
      <c r="S941" t="s">
        <v>455</v>
      </c>
      <c r="T941" t="s">
        <v>156</v>
      </c>
      <c r="U941">
        <v>0.14143438098627326</v>
      </c>
      <c r="V941" t="s">
        <v>157</v>
      </c>
    </row>
    <row r="942" spans="9:22" x14ac:dyDescent="0.45">
      <c r="I942" t="s">
        <v>233</v>
      </c>
      <c r="J942" t="s">
        <v>158</v>
      </c>
      <c r="K942">
        <v>0.41726379650570367</v>
      </c>
      <c r="L942" t="s">
        <v>157</v>
      </c>
      <c r="N942" t="s">
        <v>344</v>
      </c>
      <c r="O942" t="s">
        <v>158</v>
      </c>
      <c r="P942">
        <v>0.18101270090556201</v>
      </c>
      <c r="Q942" t="s">
        <v>157</v>
      </c>
      <c r="S942" t="s">
        <v>455</v>
      </c>
      <c r="T942" t="s">
        <v>158</v>
      </c>
      <c r="U942">
        <v>0.20233808526387353</v>
      </c>
      <c r="V942" t="s">
        <v>157</v>
      </c>
    </row>
    <row r="943" spans="9:22" x14ac:dyDescent="0.45">
      <c r="I943" t="s">
        <v>233</v>
      </c>
      <c r="J943" t="s">
        <v>159</v>
      </c>
      <c r="K943">
        <v>2.8824140550620683E-2</v>
      </c>
      <c r="L943" t="s">
        <v>157</v>
      </c>
      <c r="N943" t="s">
        <v>344</v>
      </c>
      <c r="O943" t="s">
        <v>159</v>
      </c>
      <c r="P943">
        <v>1.862065394506596E-2</v>
      </c>
      <c r="Q943" t="s">
        <v>157</v>
      </c>
      <c r="S943" t="s">
        <v>455</v>
      </c>
      <c r="T943" t="s">
        <v>159</v>
      </c>
      <c r="U943">
        <v>2.0445942478575042E-2</v>
      </c>
      <c r="V943" t="s">
        <v>157</v>
      </c>
    </row>
    <row r="944" spans="9:22" x14ac:dyDescent="0.45">
      <c r="I944" t="s">
        <v>233</v>
      </c>
      <c r="J944" t="s">
        <v>160</v>
      </c>
      <c r="K944">
        <v>1.812530179496704E-2</v>
      </c>
      <c r="L944" t="s">
        <v>157</v>
      </c>
      <c r="N944" t="s">
        <v>344</v>
      </c>
      <c r="O944" t="s">
        <v>160</v>
      </c>
      <c r="P944">
        <v>1.6793812513844059E-2</v>
      </c>
      <c r="Q944" t="s">
        <v>157</v>
      </c>
      <c r="S944" t="s">
        <v>455</v>
      </c>
      <c r="T944" t="s">
        <v>160</v>
      </c>
      <c r="U944">
        <v>2.0345906600850408E-2</v>
      </c>
      <c r="V944" t="s">
        <v>157</v>
      </c>
    </row>
    <row r="945" spans="9:22" x14ac:dyDescent="0.45">
      <c r="I945" t="s">
        <v>233</v>
      </c>
      <c r="J945" t="s">
        <v>161</v>
      </c>
      <c r="K945">
        <v>6.5801589770513227E-3</v>
      </c>
      <c r="L945" t="s">
        <v>157</v>
      </c>
      <c r="N945" t="s">
        <v>344</v>
      </c>
      <c r="O945" t="s">
        <v>161</v>
      </c>
      <c r="P945">
        <v>6.7456816836509753E-2</v>
      </c>
      <c r="Q945" t="s">
        <v>157</v>
      </c>
      <c r="S945" t="s">
        <v>455</v>
      </c>
      <c r="T945" t="s">
        <v>161</v>
      </c>
      <c r="U945">
        <v>0.10086041557808836</v>
      </c>
      <c r="V945" t="s">
        <v>157</v>
      </c>
    </row>
    <row r="946" spans="9:22" x14ac:dyDescent="0.45">
      <c r="I946" t="s">
        <v>233</v>
      </c>
      <c r="J946" t="s">
        <v>162</v>
      </c>
      <c r="K946">
        <v>5.0930534435783426E-3</v>
      </c>
      <c r="L946" t="s">
        <v>157</v>
      </c>
      <c r="N946" t="s">
        <v>344</v>
      </c>
      <c r="O946" t="s">
        <v>162</v>
      </c>
      <c r="P946">
        <v>0.11178877398701799</v>
      </c>
      <c r="Q946" t="s">
        <v>157</v>
      </c>
      <c r="S946" t="s">
        <v>455</v>
      </c>
      <c r="T946" t="s">
        <v>162</v>
      </c>
      <c r="U946">
        <v>0.10744056786736716</v>
      </c>
      <c r="V946" t="s">
        <v>157</v>
      </c>
    </row>
    <row r="947" spans="9:22" x14ac:dyDescent="0.45">
      <c r="I947" t="s">
        <v>233</v>
      </c>
      <c r="J947" t="s">
        <v>163</v>
      </c>
      <c r="K947">
        <v>0.23337685971482841</v>
      </c>
      <c r="L947" t="s">
        <v>157</v>
      </c>
      <c r="N947" t="s">
        <v>344</v>
      </c>
      <c r="O947" t="s">
        <v>163</v>
      </c>
      <c r="P947">
        <v>0.23430798017497781</v>
      </c>
      <c r="Q947" t="s">
        <v>157</v>
      </c>
      <c r="S947" t="s">
        <v>455</v>
      </c>
      <c r="T947" t="s">
        <v>163</v>
      </c>
      <c r="U947">
        <v>0.14958608969475687</v>
      </c>
      <c r="V947" t="s">
        <v>157</v>
      </c>
    </row>
    <row r="948" spans="9:22" x14ac:dyDescent="0.45">
      <c r="I948" t="s">
        <v>233</v>
      </c>
      <c r="J948" t="s">
        <v>164</v>
      </c>
      <c r="K948">
        <v>1.3533713712931118E-2</v>
      </c>
      <c r="L948" t="s">
        <v>157</v>
      </c>
      <c r="N948" t="s">
        <v>344</v>
      </c>
      <c r="O948" t="s">
        <v>164</v>
      </c>
      <c r="P948">
        <v>2.2553293347736966E-2</v>
      </c>
      <c r="Q948" t="s">
        <v>157</v>
      </c>
      <c r="S948" t="s">
        <v>455</v>
      </c>
      <c r="T948" t="s">
        <v>164</v>
      </c>
      <c r="U948">
        <v>1.4421140238588747E-2</v>
      </c>
      <c r="V948" t="s">
        <v>157</v>
      </c>
    </row>
    <row r="949" spans="9:22" x14ac:dyDescent="0.45">
      <c r="I949" t="s">
        <v>233</v>
      </c>
      <c r="J949" t="s">
        <v>165</v>
      </c>
      <c r="K949">
        <v>3.1538848166441894E-3</v>
      </c>
      <c r="L949" t="s">
        <v>157</v>
      </c>
      <c r="N949" t="s">
        <v>344</v>
      </c>
      <c r="O949" t="s">
        <v>165</v>
      </c>
      <c r="P949">
        <v>1.9719144884936989E-2</v>
      </c>
      <c r="Q949" t="s">
        <v>157</v>
      </c>
      <c r="S949" t="s">
        <v>455</v>
      </c>
      <c r="T949" t="s">
        <v>165</v>
      </c>
      <c r="U949">
        <v>1.4380572397673401E-2</v>
      </c>
      <c r="V949" t="s">
        <v>157</v>
      </c>
    </row>
    <row r="950" spans="9:22" x14ac:dyDescent="0.45">
      <c r="I950" t="s">
        <v>233</v>
      </c>
      <c r="J950" t="s">
        <v>166</v>
      </c>
      <c r="K950">
        <v>0</v>
      </c>
      <c r="L950" t="s">
        <v>157</v>
      </c>
      <c r="N950" t="s">
        <v>344</v>
      </c>
      <c r="O950" t="s">
        <v>166</v>
      </c>
      <c r="P950">
        <v>8.4700968517538375E-2</v>
      </c>
      <c r="Q950" t="s">
        <v>157</v>
      </c>
      <c r="S950" t="s">
        <v>455</v>
      </c>
      <c r="T950" t="s">
        <v>166</v>
      </c>
      <c r="U950">
        <v>7.3062374573321848E-2</v>
      </c>
      <c r="V950" t="s">
        <v>157</v>
      </c>
    </row>
    <row r="951" spans="9:22" x14ac:dyDescent="0.45">
      <c r="I951" t="s">
        <v>233</v>
      </c>
      <c r="J951" t="s">
        <v>167</v>
      </c>
      <c r="K951">
        <v>2.0347186801694658E-2</v>
      </c>
      <c r="L951" t="s">
        <v>157</v>
      </c>
      <c r="N951" t="s">
        <v>344</v>
      </c>
      <c r="O951" t="s">
        <v>167</v>
      </c>
      <c r="P951">
        <v>2.6134452588544559E-2</v>
      </c>
      <c r="Q951" t="s">
        <v>157</v>
      </c>
      <c r="S951" t="s">
        <v>455</v>
      </c>
      <c r="T951" t="s">
        <v>167</v>
      </c>
      <c r="U951">
        <v>4.5445438058602919E-2</v>
      </c>
      <c r="V951" t="s">
        <v>157</v>
      </c>
    </row>
    <row r="952" spans="9:22" x14ac:dyDescent="0.45">
      <c r="I952" t="s">
        <v>233</v>
      </c>
      <c r="J952" t="s">
        <v>168</v>
      </c>
      <c r="K952">
        <v>0.207480452121755</v>
      </c>
      <c r="L952" t="s">
        <v>157</v>
      </c>
      <c r="N952" t="s">
        <v>344</v>
      </c>
      <c r="O952" t="s">
        <v>168</v>
      </c>
      <c r="P952">
        <v>8.9053851217262309E-2</v>
      </c>
      <c r="Q952" t="s">
        <v>157</v>
      </c>
      <c r="S952" t="s">
        <v>455</v>
      </c>
      <c r="T952" t="s">
        <v>168</v>
      </c>
      <c r="U952">
        <v>6.6617973506604297E-2</v>
      </c>
      <c r="V952" t="s">
        <v>157</v>
      </c>
    </row>
    <row r="953" spans="9:22" x14ac:dyDescent="0.45">
      <c r="I953" t="s">
        <v>233</v>
      </c>
      <c r="J953" t="s">
        <v>169</v>
      </c>
      <c r="K953">
        <v>1.514451564243207E-2</v>
      </c>
      <c r="L953" t="s">
        <v>157</v>
      </c>
      <c r="N953" t="s">
        <v>344</v>
      </c>
      <c r="O953" t="s">
        <v>169</v>
      </c>
      <c r="P953">
        <v>7.4327137305898678E-3</v>
      </c>
      <c r="Q953" t="s">
        <v>157</v>
      </c>
      <c r="S953" t="s">
        <v>455</v>
      </c>
      <c r="T953" t="s">
        <v>169</v>
      </c>
      <c r="U953">
        <v>6.3144154327257306E-3</v>
      </c>
      <c r="V953" t="s">
        <v>157</v>
      </c>
    </row>
    <row r="954" spans="9:22" x14ac:dyDescent="0.45">
      <c r="I954" t="s">
        <v>233</v>
      </c>
      <c r="J954" t="s">
        <v>170</v>
      </c>
      <c r="K954">
        <v>1.1721920644886369E-2</v>
      </c>
      <c r="L954" t="s">
        <v>157</v>
      </c>
      <c r="N954" t="s">
        <v>344</v>
      </c>
      <c r="O954" t="s">
        <v>170</v>
      </c>
      <c r="P954">
        <v>5.9868635589912875E-3</v>
      </c>
      <c r="Q954" t="s">
        <v>157</v>
      </c>
      <c r="S954" t="s">
        <v>455</v>
      </c>
      <c r="T954" t="s">
        <v>170</v>
      </c>
      <c r="U954">
        <v>6.1644604131505338E-3</v>
      </c>
      <c r="V954" t="s">
        <v>157</v>
      </c>
    </row>
    <row r="955" spans="9:22" x14ac:dyDescent="0.45">
      <c r="I955" t="s">
        <v>233</v>
      </c>
      <c r="J955" t="s">
        <v>171</v>
      </c>
      <c r="K955">
        <v>3.6763489458254417E-3</v>
      </c>
      <c r="L955" t="s">
        <v>157</v>
      </c>
      <c r="N955" t="s">
        <v>344</v>
      </c>
      <c r="O955" t="s">
        <v>171</v>
      </c>
      <c r="P955">
        <v>2.2377514209557865E-2</v>
      </c>
      <c r="Q955" t="s">
        <v>157</v>
      </c>
      <c r="S955" t="s">
        <v>455</v>
      </c>
      <c r="T955" t="s">
        <v>171</v>
      </c>
      <c r="U955">
        <v>3.114223690954792E-2</v>
      </c>
      <c r="V955" t="s">
        <v>157</v>
      </c>
    </row>
    <row r="956" spans="9:22" x14ac:dyDescent="0.45">
      <c r="I956" t="s">
        <v>234</v>
      </c>
      <c r="J956" t="s">
        <v>156</v>
      </c>
      <c r="K956">
        <v>1.5739846366596325E-2</v>
      </c>
      <c r="L956" t="s">
        <v>157</v>
      </c>
      <c r="N956" t="s">
        <v>345</v>
      </c>
      <c r="O956" t="s">
        <v>156</v>
      </c>
      <c r="P956">
        <v>9.4631206254570541E-2</v>
      </c>
      <c r="Q956" t="s">
        <v>157</v>
      </c>
      <c r="S956" t="s">
        <v>456</v>
      </c>
      <c r="T956" t="s">
        <v>156</v>
      </c>
      <c r="U956">
        <v>0.14064177704619013</v>
      </c>
      <c r="V956" t="s">
        <v>157</v>
      </c>
    </row>
    <row r="957" spans="9:22" x14ac:dyDescent="0.45">
      <c r="I957" t="s">
        <v>234</v>
      </c>
      <c r="J957" t="s">
        <v>158</v>
      </c>
      <c r="K957">
        <v>0.41995107385589464</v>
      </c>
      <c r="L957" t="s">
        <v>157</v>
      </c>
      <c r="N957" t="s">
        <v>345</v>
      </c>
      <c r="O957" t="s">
        <v>158</v>
      </c>
      <c r="P957">
        <v>0.17728830487623848</v>
      </c>
      <c r="Q957" t="s">
        <v>157</v>
      </c>
      <c r="S957" t="s">
        <v>456</v>
      </c>
      <c r="T957" t="s">
        <v>158</v>
      </c>
      <c r="U957">
        <v>0.20323514307209994</v>
      </c>
      <c r="V957" t="s">
        <v>157</v>
      </c>
    </row>
    <row r="958" spans="9:22" x14ac:dyDescent="0.45">
      <c r="I958" t="s">
        <v>234</v>
      </c>
      <c r="J958" t="s">
        <v>159</v>
      </c>
      <c r="K958">
        <v>2.8711638624878428E-2</v>
      </c>
      <c r="L958" t="s">
        <v>157</v>
      </c>
      <c r="N958" t="s">
        <v>345</v>
      </c>
      <c r="O958" t="s">
        <v>159</v>
      </c>
      <c r="P958">
        <v>1.9488297243865624E-2</v>
      </c>
      <c r="Q958" t="s">
        <v>157</v>
      </c>
      <c r="S958" t="s">
        <v>456</v>
      </c>
      <c r="T958" t="s">
        <v>159</v>
      </c>
      <c r="U958">
        <v>2.0451608502734947E-2</v>
      </c>
      <c r="V958" t="s">
        <v>157</v>
      </c>
    </row>
    <row r="959" spans="9:22" x14ac:dyDescent="0.45">
      <c r="I959" t="s">
        <v>234</v>
      </c>
      <c r="J959" t="s">
        <v>160</v>
      </c>
      <c r="K959">
        <v>1.7995769418638289E-2</v>
      </c>
      <c r="L959" t="s">
        <v>157</v>
      </c>
      <c r="N959" t="s">
        <v>345</v>
      </c>
      <c r="O959" t="s">
        <v>160</v>
      </c>
      <c r="P959">
        <v>1.7913330143189184E-2</v>
      </c>
      <c r="Q959" t="s">
        <v>157</v>
      </c>
      <c r="S959" t="s">
        <v>456</v>
      </c>
      <c r="T959" t="s">
        <v>160</v>
      </c>
      <c r="U959">
        <v>2.0224146686260745E-2</v>
      </c>
      <c r="V959" t="s">
        <v>157</v>
      </c>
    </row>
    <row r="960" spans="9:22" x14ac:dyDescent="0.45">
      <c r="I960" t="s">
        <v>234</v>
      </c>
      <c r="J960" t="s">
        <v>161</v>
      </c>
      <c r="K960">
        <v>6.4126522798070122E-3</v>
      </c>
      <c r="L960" t="s">
        <v>157</v>
      </c>
      <c r="N960" t="s">
        <v>345</v>
      </c>
      <c r="O960" t="s">
        <v>161</v>
      </c>
      <c r="P960">
        <v>7.3403467018398047E-2</v>
      </c>
      <c r="Q960" t="s">
        <v>157</v>
      </c>
      <c r="S960" t="s">
        <v>456</v>
      </c>
      <c r="T960" t="s">
        <v>161</v>
      </c>
      <c r="U960">
        <v>0.10013455356244194</v>
      </c>
      <c r="V960" t="s">
        <v>157</v>
      </c>
    </row>
    <row r="961" spans="9:22" x14ac:dyDescent="0.45">
      <c r="I961" t="s">
        <v>234</v>
      </c>
      <c r="J961" t="s">
        <v>162</v>
      </c>
      <c r="K961">
        <v>5.428928251062946E-3</v>
      </c>
      <c r="L961" t="s">
        <v>157</v>
      </c>
      <c r="N961" t="s">
        <v>345</v>
      </c>
      <c r="O961" t="s">
        <v>162</v>
      </c>
      <c r="P961">
        <v>0.11919010778388547</v>
      </c>
      <c r="Q961" t="s">
        <v>157</v>
      </c>
      <c r="S961" t="s">
        <v>456</v>
      </c>
      <c r="T961" t="s">
        <v>162</v>
      </c>
      <c r="U961">
        <v>0.10743032584909762</v>
      </c>
      <c r="V961" t="s">
        <v>157</v>
      </c>
    </row>
    <row r="962" spans="9:22" x14ac:dyDescent="0.45">
      <c r="I962" t="s">
        <v>234</v>
      </c>
      <c r="J962" t="s">
        <v>163</v>
      </c>
      <c r="K962">
        <v>0.23058428494431718</v>
      </c>
      <c r="L962" t="s">
        <v>157</v>
      </c>
      <c r="N962" t="s">
        <v>345</v>
      </c>
      <c r="O962" t="s">
        <v>163</v>
      </c>
      <c r="P962">
        <v>0.2093469011272332</v>
      </c>
      <c r="Q962" t="s">
        <v>157</v>
      </c>
      <c r="S962" t="s">
        <v>456</v>
      </c>
      <c r="T962" t="s">
        <v>163</v>
      </c>
      <c r="U962">
        <v>0.14959050047123729</v>
      </c>
      <c r="V962" t="s">
        <v>157</v>
      </c>
    </row>
    <row r="963" spans="9:22" x14ac:dyDescent="0.45">
      <c r="I963" t="s">
        <v>234</v>
      </c>
      <c r="J963" t="s">
        <v>164</v>
      </c>
      <c r="K963">
        <v>1.2630696037020521E-2</v>
      </c>
      <c r="L963" t="s">
        <v>157</v>
      </c>
      <c r="N963" t="s">
        <v>345</v>
      </c>
      <c r="O963" t="s">
        <v>164</v>
      </c>
      <c r="P963">
        <v>2.2523083878014463E-2</v>
      </c>
      <c r="Q963" t="s">
        <v>157</v>
      </c>
      <c r="S963" t="s">
        <v>456</v>
      </c>
      <c r="T963" t="s">
        <v>164</v>
      </c>
      <c r="U963">
        <v>1.4535520701654861E-2</v>
      </c>
      <c r="V963" t="s">
        <v>157</v>
      </c>
    </row>
    <row r="964" spans="9:22" x14ac:dyDescent="0.45">
      <c r="I964" t="s">
        <v>234</v>
      </c>
      <c r="J964" t="s">
        <v>165</v>
      </c>
      <c r="K964">
        <v>2.7572158543202772E-3</v>
      </c>
      <c r="L964" t="s">
        <v>157</v>
      </c>
      <c r="N964" t="s">
        <v>345</v>
      </c>
      <c r="O964" t="s">
        <v>165</v>
      </c>
      <c r="P964">
        <v>2.08174960340358E-2</v>
      </c>
      <c r="Q964" t="s">
        <v>157</v>
      </c>
      <c r="S964" t="s">
        <v>456</v>
      </c>
      <c r="T964" t="s">
        <v>165</v>
      </c>
      <c r="U964">
        <v>1.433419190846413E-2</v>
      </c>
      <c r="V964" t="s">
        <v>157</v>
      </c>
    </row>
    <row r="965" spans="9:22" x14ac:dyDescent="0.45">
      <c r="I965" t="s">
        <v>234</v>
      </c>
      <c r="J965" t="s">
        <v>166</v>
      </c>
      <c r="K965">
        <v>0</v>
      </c>
      <c r="L965" t="s">
        <v>157</v>
      </c>
      <c r="N965" t="s">
        <v>345</v>
      </c>
      <c r="O965" t="s">
        <v>166</v>
      </c>
      <c r="P965">
        <v>8.8730197087391743E-2</v>
      </c>
      <c r="Q965" t="s">
        <v>157</v>
      </c>
      <c r="S965" t="s">
        <v>456</v>
      </c>
      <c r="T965" t="s">
        <v>166</v>
      </c>
      <c r="U965">
        <v>7.3295570876072441E-2</v>
      </c>
      <c r="V965" t="s">
        <v>157</v>
      </c>
    </row>
    <row r="966" spans="9:22" x14ac:dyDescent="0.45">
      <c r="I966" t="s">
        <v>234</v>
      </c>
      <c r="J966" t="s">
        <v>167</v>
      </c>
      <c r="K966">
        <v>2.097560392621655E-2</v>
      </c>
      <c r="L966" t="s">
        <v>157</v>
      </c>
      <c r="N966" t="s">
        <v>345</v>
      </c>
      <c r="O966" t="s">
        <v>167</v>
      </c>
      <c r="P966">
        <v>3.2918155941440166E-2</v>
      </c>
      <c r="Q966" t="s">
        <v>157</v>
      </c>
      <c r="S966" t="s">
        <v>456</v>
      </c>
      <c r="T966" t="s">
        <v>167</v>
      </c>
      <c r="U966">
        <v>4.6103769050834645E-2</v>
      </c>
      <c r="V966" t="s">
        <v>157</v>
      </c>
    </row>
    <row r="967" spans="9:22" x14ac:dyDescent="0.45">
      <c r="I967" t="s">
        <v>234</v>
      </c>
      <c r="J967" t="s">
        <v>168</v>
      </c>
      <c r="K967">
        <v>0.20876250703030241</v>
      </c>
      <c r="L967" t="s">
        <v>157</v>
      </c>
      <c r="N967" t="s">
        <v>345</v>
      </c>
      <c r="O967" t="s">
        <v>168</v>
      </c>
      <c r="P967">
        <v>8.0130296722739636E-2</v>
      </c>
      <c r="Q967" t="s">
        <v>157</v>
      </c>
      <c r="S967" t="s">
        <v>456</v>
      </c>
      <c r="T967" t="s">
        <v>168</v>
      </c>
      <c r="U967">
        <v>6.6116791364186508E-2</v>
      </c>
      <c r="V967" t="s">
        <v>157</v>
      </c>
    </row>
    <row r="968" spans="9:22" x14ac:dyDescent="0.45">
      <c r="I968" t="s">
        <v>234</v>
      </c>
      <c r="J968" t="s">
        <v>169</v>
      </c>
      <c r="K968">
        <v>1.5128700315778495E-2</v>
      </c>
      <c r="L968" t="s">
        <v>157</v>
      </c>
      <c r="N968" t="s">
        <v>345</v>
      </c>
      <c r="O968" t="s">
        <v>169</v>
      </c>
      <c r="P968">
        <v>8.1919532413111725E-3</v>
      </c>
      <c r="Q968" t="s">
        <v>157</v>
      </c>
      <c r="S968" t="s">
        <v>456</v>
      </c>
      <c r="T968" t="s">
        <v>169</v>
      </c>
      <c r="U968">
        <v>6.3420835066208738E-3</v>
      </c>
      <c r="V968" t="s">
        <v>157</v>
      </c>
    </row>
    <row r="969" spans="9:22" x14ac:dyDescent="0.45">
      <c r="I969" t="s">
        <v>234</v>
      </c>
      <c r="J969" t="s">
        <v>170</v>
      </c>
      <c r="K969">
        <v>1.1312398140235359E-2</v>
      </c>
      <c r="L969" t="s">
        <v>157</v>
      </c>
      <c r="N969" t="s">
        <v>345</v>
      </c>
      <c r="O969" t="s">
        <v>170</v>
      </c>
      <c r="P969">
        <v>7.1402351823275454E-3</v>
      </c>
      <c r="Q969" t="s">
        <v>157</v>
      </c>
      <c r="S969" t="s">
        <v>456</v>
      </c>
      <c r="T969" t="s">
        <v>170</v>
      </c>
      <c r="U969">
        <v>6.205054486387012E-3</v>
      </c>
      <c r="V969" t="s">
        <v>157</v>
      </c>
    </row>
    <row r="970" spans="9:22" x14ac:dyDescent="0.45">
      <c r="I970" t="s">
        <v>234</v>
      </c>
      <c r="J970" t="s">
        <v>171</v>
      </c>
      <c r="K970">
        <v>3.608684954931613E-3</v>
      </c>
      <c r="L970" t="s">
        <v>157</v>
      </c>
      <c r="N970" t="s">
        <v>345</v>
      </c>
      <c r="O970" t="s">
        <v>171</v>
      </c>
      <c r="P970">
        <v>2.8286967465358866E-2</v>
      </c>
      <c r="Q970" t="s">
        <v>157</v>
      </c>
      <c r="S970" t="s">
        <v>456</v>
      </c>
      <c r="T970" t="s">
        <v>171</v>
      </c>
      <c r="U970">
        <v>3.1358962915716937E-2</v>
      </c>
      <c r="V970" t="s">
        <v>157</v>
      </c>
    </row>
    <row r="971" spans="9:22" x14ac:dyDescent="0.45">
      <c r="I971" t="s">
        <v>235</v>
      </c>
      <c r="J971" t="s">
        <v>156</v>
      </c>
      <c r="K971">
        <v>1.5963631142926357E-2</v>
      </c>
      <c r="L971" t="s">
        <v>157</v>
      </c>
      <c r="N971" t="s">
        <v>346</v>
      </c>
      <c r="O971" t="s">
        <v>156</v>
      </c>
      <c r="P971">
        <v>0.11593339732976657</v>
      </c>
      <c r="Q971" t="s">
        <v>157</v>
      </c>
      <c r="S971" t="s">
        <v>457</v>
      </c>
      <c r="T971" t="s">
        <v>156</v>
      </c>
      <c r="U971">
        <v>0.14030724479171627</v>
      </c>
      <c r="V971" t="s">
        <v>157</v>
      </c>
    </row>
    <row r="972" spans="9:22" x14ac:dyDescent="0.45">
      <c r="I972" t="s">
        <v>235</v>
      </c>
      <c r="J972" t="s">
        <v>158</v>
      </c>
      <c r="K972">
        <v>0.41993103502151891</v>
      </c>
      <c r="L972" t="s">
        <v>157</v>
      </c>
      <c r="N972" t="s">
        <v>346</v>
      </c>
      <c r="O972" t="s">
        <v>158</v>
      </c>
      <c r="P972">
        <v>0.1709641615176587</v>
      </c>
      <c r="Q972" t="s">
        <v>157</v>
      </c>
      <c r="S972" t="s">
        <v>457</v>
      </c>
      <c r="T972" t="s">
        <v>158</v>
      </c>
      <c r="U972">
        <v>0.20406764697696209</v>
      </c>
      <c r="V972" t="s">
        <v>157</v>
      </c>
    </row>
    <row r="973" spans="9:22" x14ac:dyDescent="0.45">
      <c r="I973" t="s">
        <v>235</v>
      </c>
      <c r="J973" t="s">
        <v>159</v>
      </c>
      <c r="K973">
        <v>2.8809473248041183E-2</v>
      </c>
      <c r="L973" t="s">
        <v>157</v>
      </c>
      <c r="N973" t="s">
        <v>346</v>
      </c>
      <c r="O973" t="s">
        <v>159</v>
      </c>
      <c r="P973">
        <v>1.8315509234823942E-2</v>
      </c>
      <c r="Q973" t="s">
        <v>157</v>
      </c>
      <c r="S973" t="s">
        <v>457</v>
      </c>
      <c r="T973" t="s">
        <v>159</v>
      </c>
      <c r="U973">
        <v>2.0695162011648335E-2</v>
      </c>
      <c r="V973" t="s">
        <v>157</v>
      </c>
    </row>
    <row r="974" spans="9:22" x14ac:dyDescent="0.45">
      <c r="I974" t="s">
        <v>235</v>
      </c>
      <c r="J974" t="s">
        <v>160</v>
      </c>
      <c r="K974">
        <v>1.7719558424190922E-2</v>
      </c>
      <c r="L974" t="s">
        <v>157</v>
      </c>
      <c r="N974" t="s">
        <v>346</v>
      </c>
      <c r="O974" t="s">
        <v>160</v>
      </c>
      <c r="P974">
        <v>1.8143646671324339E-2</v>
      </c>
      <c r="Q974" t="s">
        <v>157</v>
      </c>
      <c r="S974" t="s">
        <v>457</v>
      </c>
      <c r="T974" t="s">
        <v>160</v>
      </c>
      <c r="U974">
        <v>2.0448447807245321E-2</v>
      </c>
      <c r="V974" t="s">
        <v>157</v>
      </c>
    </row>
    <row r="975" spans="9:22" x14ac:dyDescent="0.45">
      <c r="I975" t="s">
        <v>235</v>
      </c>
      <c r="J975" t="s">
        <v>161</v>
      </c>
      <c r="K975">
        <v>5.9714182229991426E-3</v>
      </c>
      <c r="L975" t="s">
        <v>157</v>
      </c>
      <c r="N975" t="s">
        <v>346</v>
      </c>
      <c r="O975" t="s">
        <v>161</v>
      </c>
      <c r="P975">
        <v>8.5827500721982933E-2</v>
      </c>
      <c r="Q975" t="s">
        <v>157</v>
      </c>
      <c r="S975" t="s">
        <v>457</v>
      </c>
      <c r="T975" t="s">
        <v>161</v>
      </c>
      <c r="U975">
        <v>9.9688726733997118E-2</v>
      </c>
      <c r="V975" t="s">
        <v>157</v>
      </c>
    </row>
    <row r="976" spans="9:22" x14ac:dyDescent="0.45">
      <c r="I976" t="s">
        <v>235</v>
      </c>
      <c r="J976" t="s">
        <v>162</v>
      </c>
      <c r="K976">
        <v>5.5131002897279005E-3</v>
      </c>
      <c r="L976" t="s">
        <v>157</v>
      </c>
      <c r="N976" t="s">
        <v>346</v>
      </c>
      <c r="O976" t="s">
        <v>162</v>
      </c>
      <c r="P976">
        <v>0.116814838164765</v>
      </c>
      <c r="Q976" t="s">
        <v>157</v>
      </c>
      <c r="S976" t="s">
        <v>457</v>
      </c>
      <c r="T976" t="s">
        <v>162</v>
      </c>
      <c r="U976">
        <v>0.10729981004052191</v>
      </c>
      <c r="V976" t="s">
        <v>157</v>
      </c>
    </row>
    <row r="977" spans="9:22" x14ac:dyDescent="0.45">
      <c r="I977" t="s">
        <v>235</v>
      </c>
      <c r="J977" t="s">
        <v>163</v>
      </c>
      <c r="K977">
        <v>0.22953826087733767</v>
      </c>
      <c r="L977" t="s">
        <v>157</v>
      </c>
      <c r="N977" t="s">
        <v>346</v>
      </c>
      <c r="O977" t="s">
        <v>163</v>
      </c>
      <c r="P977">
        <v>0.17443109051312378</v>
      </c>
      <c r="Q977" t="s">
        <v>157</v>
      </c>
      <c r="S977" t="s">
        <v>457</v>
      </c>
      <c r="T977" t="s">
        <v>163</v>
      </c>
      <c r="U977">
        <v>0.14942901416262303</v>
      </c>
      <c r="V977" t="s">
        <v>157</v>
      </c>
    </row>
    <row r="978" spans="9:22" x14ac:dyDescent="0.45">
      <c r="I978" t="s">
        <v>235</v>
      </c>
      <c r="J978" t="s">
        <v>164</v>
      </c>
      <c r="K978">
        <v>1.2266741808303372E-2</v>
      </c>
      <c r="L978" t="s">
        <v>157</v>
      </c>
      <c r="N978" t="s">
        <v>346</v>
      </c>
      <c r="O978" t="s">
        <v>164</v>
      </c>
      <c r="P978">
        <v>1.8760122407752173E-2</v>
      </c>
      <c r="Q978" t="s">
        <v>157</v>
      </c>
      <c r="S978" t="s">
        <v>457</v>
      </c>
      <c r="T978" t="s">
        <v>164</v>
      </c>
      <c r="U978">
        <v>1.4611927258108507E-2</v>
      </c>
      <c r="V978" t="s">
        <v>157</v>
      </c>
    </row>
    <row r="979" spans="9:22" x14ac:dyDescent="0.45">
      <c r="I979" t="s">
        <v>235</v>
      </c>
      <c r="J979" t="s">
        <v>165</v>
      </c>
      <c r="K979">
        <v>2.7970916349441904E-3</v>
      </c>
      <c r="L979" t="s">
        <v>157</v>
      </c>
      <c r="N979" t="s">
        <v>346</v>
      </c>
      <c r="O979" t="s">
        <v>165</v>
      </c>
      <c r="P979">
        <v>1.8464620251884598E-2</v>
      </c>
      <c r="Q979" t="s">
        <v>157</v>
      </c>
      <c r="S979" t="s">
        <v>457</v>
      </c>
      <c r="T979" t="s">
        <v>165</v>
      </c>
      <c r="U979">
        <v>1.439987723906349E-2</v>
      </c>
      <c r="V979" t="s">
        <v>157</v>
      </c>
    </row>
    <row r="980" spans="9:22" x14ac:dyDescent="0.45">
      <c r="I980" t="s">
        <v>235</v>
      </c>
      <c r="J980" t="s">
        <v>166</v>
      </c>
      <c r="K980">
        <v>0</v>
      </c>
      <c r="L980" t="s">
        <v>157</v>
      </c>
      <c r="N980" t="s">
        <v>346</v>
      </c>
      <c r="O980" t="s">
        <v>166</v>
      </c>
      <c r="P980">
        <v>8.706478770659451E-2</v>
      </c>
      <c r="Q980" t="s">
        <v>157</v>
      </c>
      <c r="S980" t="s">
        <v>457</v>
      </c>
      <c r="T980" t="s">
        <v>166</v>
      </c>
      <c r="U980">
        <v>7.294788765201482E-2</v>
      </c>
      <c r="V980" t="s">
        <v>157</v>
      </c>
    </row>
    <row r="981" spans="9:22" x14ac:dyDescent="0.45">
      <c r="I981" t="s">
        <v>235</v>
      </c>
      <c r="J981" t="s">
        <v>167</v>
      </c>
      <c r="K981">
        <v>2.1507513984216228E-2</v>
      </c>
      <c r="L981" t="s">
        <v>157</v>
      </c>
      <c r="N981" t="s">
        <v>346</v>
      </c>
      <c r="O981" t="s">
        <v>167</v>
      </c>
      <c r="P981">
        <v>4.4377241577330272E-2</v>
      </c>
      <c r="Q981" t="s">
        <v>157</v>
      </c>
      <c r="S981" t="s">
        <v>457</v>
      </c>
      <c r="T981" t="s">
        <v>167</v>
      </c>
      <c r="U981">
        <v>4.6013664884869271E-2</v>
      </c>
      <c r="V981" t="s">
        <v>157</v>
      </c>
    </row>
    <row r="982" spans="9:22" x14ac:dyDescent="0.45">
      <c r="I982" t="s">
        <v>235</v>
      </c>
      <c r="J982" t="s">
        <v>168</v>
      </c>
      <c r="K982">
        <v>0.20888999022222063</v>
      </c>
      <c r="L982" t="s">
        <v>157</v>
      </c>
      <c r="N982" t="s">
        <v>346</v>
      </c>
      <c r="O982" t="s">
        <v>168</v>
      </c>
      <c r="P982">
        <v>7.6941102546734821E-2</v>
      </c>
      <c r="Q982" t="s">
        <v>157</v>
      </c>
      <c r="S982" t="s">
        <v>457</v>
      </c>
      <c r="T982" t="s">
        <v>168</v>
      </c>
      <c r="U982">
        <v>6.6000729149826728E-2</v>
      </c>
      <c r="V982" t="s">
        <v>157</v>
      </c>
    </row>
    <row r="983" spans="9:22" x14ac:dyDescent="0.45">
      <c r="I983" t="s">
        <v>235</v>
      </c>
      <c r="J983" t="s">
        <v>169</v>
      </c>
      <c r="K983">
        <v>1.5917143020330524E-2</v>
      </c>
      <c r="L983" t="s">
        <v>157</v>
      </c>
      <c r="N983" t="s">
        <v>346</v>
      </c>
      <c r="O983" t="s">
        <v>169</v>
      </c>
      <c r="P983">
        <v>8.4654363458339012E-3</v>
      </c>
      <c r="Q983" t="s">
        <v>157</v>
      </c>
      <c r="S983" t="s">
        <v>457</v>
      </c>
      <c r="T983" t="s">
        <v>169</v>
      </c>
      <c r="U983">
        <v>6.3208946562493618E-3</v>
      </c>
      <c r="V983" t="s">
        <v>157</v>
      </c>
    </row>
    <row r="984" spans="9:22" x14ac:dyDescent="0.45">
      <c r="I984" t="s">
        <v>235</v>
      </c>
      <c r="J984" t="s">
        <v>170</v>
      </c>
      <c r="K984">
        <v>1.1505989303213279E-2</v>
      </c>
      <c r="L984" t="s">
        <v>157</v>
      </c>
      <c r="N984" t="s">
        <v>346</v>
      </c>
      <c r="O984" t="s">
        <v>170</v>
      </c>
      <c r="P984">
        <v>8.2424960568133095E-3</v>
      </c>
      <c r="Q984" t="s">
        <v>157</v>
      </c>
      <c r="S984" t="s">
        <v>457</v>
      </c>
      <c r="T984" t="s">
        <v>170</v>
      </c>
      <c r="U984">
        <v>6.2599287657637386E-3</v>
      </c>
      <c r="V984" t="s">
        <v>157</v>
      </c>
    </row>
    <row r="985" spans="9:22" x14ac:dyDescent="0.45">
      <c r="I985" t="s">
        <v>235</v>
      </c>
      <c r="J985" t="s">
        <v>171</v>
      </c>
      <c r="K985">
        <v>3.6690528000296605E-3</v>
      </c>
      <c r="L985" t="s">
        <v>157</v>
      </c>
      <c r="N985" t="s">
        <v>346</v>
      </c>
      <c r="O985" t="s">
        <v>171</v>
      </c>
      <c r="P985">
        <v>3.7254048953611112E-2</v>
      </c>
      <c r="Q985" t="s">
        <v>157</v>
      </c>
      <c r="S985" t="s">
        <v>457</v>
      </c>
      <c r="T985" t="s">
        <v>171</v>
      </c>
      <c r="U985">
        <v>3.1509037869390022E-2</v>
      </c>
      <c r="V985" t="s">
        <v>157</v>
      </c>
    </row>
    <row r="986" spans="9:22" x14ac:dyDescent="0.45">
      <c r="I986" t="s">
        <v>236</v>
      </c>
      <c r="J986" t="s">
        <v>156</v>
      </c>
      <c r="K986">
        <v>1.0355954838131358E-2</v>
      </c>
      <c r="L986" t="s">
        <v>157</v>
      </c>
      <c r="N986" t="s">
        <v>347</v>
      </c>
      <c r="O986" t="s">
        <v>156</v>
      </c>
      <c r="P986">
        <v>0.14251600897778252</v>
      </c>
      <c r="Q986" t="s">
        <v>157</v>
      </c>
      <c r="S986" t="s">
        <v>458</v>
      </c>
      <c r="T986" t="s">
        <v>156</v>
      </c>
      <c r="U986">
        <v>0.14101363792491337</v>
      </c>
      <c r="V986" t="s">
        <v>157</v>
      </c>
    </row>
    <row r="987" spans="9:22" x14ac:dyDescent="0.45">
      <c r="I987" t="s">
        <v>236</v>
      </c>
      <c r="J987" t="s">
        <v>158</v>
      </c>
      <c r="K987">
        <v>0.41782275924543921</v>
      </c>
      <c r="L987" t="s">
        <v>157</v>
      </c>
      <c r="N987" t="s">
        <v>347</v>
      </c>
      <c r="O987" t="s">
        <v>158</v>
      </c>
      <c r="P987">
        <v>0.21229607583822085</v>
      </c>
      <c r="Q987" t="s">
        <v>157</v>
      </c>
      <c r="S987" t="s">
        <v>458</v>
      </c>
      <c r="T987" t="s">
        <v>158</v>
      </c>
      <c r="U987">
        <v>0.20469326340547458</v>
      </c>
      <c r="V987" t="s">
        <v>157</v>
      </c>
    </row>
    <row r="988" spans="9:22" x14ac:dyDescent="0.45">
      <c r="I988" t="s">
        <v>236</v>
      </c>
      <c r="J988" t="s">
        <v>159</v>
      </c>
      <c r="K988">
        <v>2.7183013326542119E-2</v>
      </c>
      <c r="L988" t="s">
        <v>157</v>
      </c>
      <c r="N988" t="s">
        <v>347</v>
      </c>
      <c r="O988" t="s">
        <v>159</v>
      </c>
      <c r="P988">
        <v>2.2116211681999096E-2</v>
      </c>
      <c r="Q988" t="s">
        <v>157</v>
      </c>
      <c r="S988" t="s">
        <v>458</v>
      </c>
      <c r="T988" t="s">
        <v>159</v>
      </c>
      <c r="U988">
        <v>2.0910868609445382E-2</v>
      </c>
      <c r="V988" t="s">
        <v>157</v>
      </c>
    </row>
    <row r="989" spans="9:22" x14ac:dyDescent="0.45">
      <c r="I989" t="s">
        <v>236</v>
      </c>
      <c r="J989" t="s">
        <v>160</v>
      </c>
      <c r="K989">
        <v>1.4816969267632556E-2</v>
      </c>
      <c r="L989" t="s">
        <v>157</v>
      </c>
      <c r="N989" t="s">
        <v>347</v>
      </c>
      <c r="O989" t="s">
        <v>160</v>
      </c>
      <c r="P989">
        <v>2.1599082525617645E-2</v>
      </c>
      <c r="Q989" t="s">
        <v>157</v>
      </c>
      <c r="S989" t="s">
        <v>458</v>
      </c>
      <c r="T989" t="s">
        <v>160</v>
      </c>
      <c r="U989">
        <v>2.0718505297275865E-2</v>
      </c>
      <c r="V989" t="s">
        <v>157</v>
      </c>
    </row>
    <row r="990" spans="9:22" x14ac:dyDescent="0.45">
      <c r="I990" t="s">
        <v>236</v>
      </c>
      <c r="J990" t="s">
        <v>161</v>
      </c>
      <c r="K990">
        <v>3.6593074710688646E-3</v>
      </c>
      <c r="L990" t="s">
        <v>157</v>
      </c>
      <c r="N990" t="s">
        <v>347</v>
      </c>
      <c r="O990" t="s">
        <v>161</v>
      </c>
      <c r="P990">
        <v>0.10201675791906535</v>
      </c>
      <c r="Q990" t="s">
        <v>157</v>
      </c>
      <c r="S990" t="s">
        <v>458</v>
      </c>
      <c r="T990" t="s">
        <v>161</v>
      </c>
      <c r="U990">
        <v>9.9800532057728153E-2</v>
      </c>
      <c r="V990" t="s">
        <v>157</v>
      </c>
    </row>
    <row r="991" spans="9:22" x14ac:dyDescent="0.45">
      <c r="I991" t="s">
        <v>236</v>
      </c>
      <c r="J991" t="s">
        <v>162</v>
      </c>
      <c r="K991">
        <v>6.7660142956375569E-3</v>
      </c>
      <c r="L991" t="s">
        <v>157</v>
      </c>
      <c r="N991" t="s">
        <v>347</v>
      </c>
      <c r="O991" t="s">
        <v>162</v>
      </c>
      <c r="P991">
        <v>0.10755151386271776</v>
      </c>
      <c r="Q991" t="s">
        <v>157</v>
      </c>
      <c r="S991" t="s">
        <v>458</v>
      </c>
      <c r="T991" t="s">
        <v>162</v>
      </c>
      <c r="U991">
        <v>0.1072310374485641</v>
      </c>
      <c r="V991" t="s">
        <v>157</v>
      </c>
    </row>
    <row r="992" spans="9:22" x14ac:dyDescent="0.45">
      <c r="I992" t="s">
        <v>236</v>
      </c>
      <c r="J992" t="s">
        <v>163</v>
      </c>
      <c r="K992">
        <v>0.25338940120082121</v>
      </c>
      <c r="L992" t="s">
        <v>157</v>
      </c>
      <c r="N992" t="s">
        <v>347</v>
      </c>
      <c r="O992" t="s">
        <v>163</v>
      </c>
      <c r="P992">
        <v>0.15284762741905</v>
      </c>
      <c r="Q992" t="s">
        <v>157</v>
      </c>
      <c r="S992" t="s">
        <v>458</v>
      </c>
      <c r="T992" t="s">
        <v>163</v>
      </c>
      <c r="U992">
        <v>0.14851296545878195</v>
      </c>
      <c r="V992" t="s">
        <v>157</v>
      </c>
    </row>
    <row r="993" spans="9:22" x14ac:dyDescent="0.45">
      <c r="I993" t="s">
        <v>236</v>
      </c>
      <c r="J993" t="s">
        <v>164</v>
      </c>
      <c r="K993">
        <v>1.451693548005187E-2</v>
      </c>
      <c r="L993" t="s">
        <v>157</v>
      </c>
      <c r="N993" t="s">
        <v>347</v>
      </c>
      <c r="O993" t="s">
        <v>164</v>
      </c>
      <c r="P993">
        <v>1.6299320038232201E-2</v>
      </c>
      <c r="Q993" t="s">
        <v>157</v>
      </c>
      <c r="S993" t="s">
        <v>458</v>
      </c>
      <c r="T993" t="s">
        <v>164</v>
      </c>
      <c r="U993">
        <v>1.4682385244714123E-2</v>
      </c>
      <c r="V993" t="s">
        <v>157</v>
      </c>
    </row>
    <row r="994" spans="9:22" x14ac:dyDescent="0.45">
      <c r="I994" t="s">
        <v>236</v>
      </c>
      <c r="J994" t="s">
        <v>165</v>
      </c>
      <c r="K994">
        <v>3.435218370697264E-3</v>
      </c>
      <c r="L994" t="s">
        <v>157</v>
      </c>
      <c r="N994" t="s">
        <v>347</v>
      </c>
      <c r="O994" t="s">
        <v>165</v>
      </c>
      <c r="P994">
        <v>1.6234576648691532E-2</v>
      </c>
      <c r="Q994" t="s">
        <v>157</v>
      </c>
      <c r="S994" t="s">
        <v>458</v>
      </c>
      <c r="T994" t="s">
        <v>165</v>
      </c>
      <c r="U994">
        <v>1.4435876852446775E-2</v>
      </c>
      <c r="V994" t="s">
        <v>157</v>
      </c>
    </row>
    <row r="995" spans="9:22" x14ac:dyDescent="0.45">
      <c r="I995" t="s">
        <v>236</v>
      </c>
      <c r="J995" t="s">
        <v>166</v>
      </c>
      <c r="K995">
        <v>0</v>
      </c>
      <c r="L995" t="s">
        <v>157</v>
      </c>
      <c r="N995" t="s">
        <v>347</v>
      </c>
      <c r="O995" t="s">
        <v>166</v>
      </c>
      <c r="P995">
        <v>7.8490762558221114E-2</v>
      </c>
      <c r="Q995" t="s">
        <v>157</v>
      </c>
      <c r="S995" t="s">
        <v>458</v>
      </c>
      <c r="T995" t="s">
        <v>166</v>
      </c>
      <c r="U995">
        <v>7.2421899377942328E-2</v>
      </c>
      <c r="V995" t="s">
        <v>157</v>
      </c>
    </row>
    <row r="996" spans="9:22" x14ac:dyDescent="0.45">
      <c r="I996" t="s">
        <v>236</v>
      </c>
      <c r="J996" t="s">
        <v>167</v>
      </c>
      <c r="K996">
        <v>1.8526689886285651E-2</v>
      </c>
      <c r="L996" t="s">
        <v>157</v>
      </c>
      <c r="N996" t="s">
        <v>347</v>
      </c>
      <c r="O996" t="s">
        <v>167</v>
      </c>
      <c r="P996">
        <v>3.824685092135726E-2</v>
      </c>
      <c r="Q996" t="s">
        <v>157</v>
      </c>
      <c r="S996" t="s">
        <v>458</v>
      </c>
      <c r="T996" t="s">
        <v>167</v>
      </c>
      <c r="U996">
        <v>4.5288736550028248E-2</v>
      </c>
      <c r="V996" t="s">
        <v>157</v>
      </c>
    </row>
    <row r="997" spans="9:22" x14ac:dyDescent="0.45">
      <c r="I997" t="s">
        <v>236</v>
      </c>
      <c r="J997" t="s">
        <v>168</v>
      </c>
      <c r="K997">
        <v>0.20296564314772819</v>
      </c>
      <c r="L997" t="s">
        <v>157</v>
      </c>
      <c r="N997" t="s">
        <v>347</v>
      </c>
      <c r="O997" t="s">
        <v>168</v>
      </c>
      <c r="P997">
        <v>5.385491314730248E-2</v>
      </c>
      <c r="Q997" t="s">
        <v>157</v>
      </c>
      <c r="S997" t="s">
        <v>458</v>
      </c>
      <c r="T997" t="s">
        <v>168</v>
      </c>
      <c r="U997">
        <v>6.6016565016533746E-2</v>
      </c>
      <c r="V997" t="s">
        <v>157</v>
      </c>
    </row>
    <row r="998" spans="9:22" x14ac:dyDescent="0.45">
      <c r="I998" t="s">
        <v>236</v>
      </c>
      <c r="J998" t="s">
        <v>169</v>
      </c>
      <c r="K998">
        <v>1.5235211314332186E-2</v>
      </c>
      <c r="L998" t="s">
        <v>157</v>
      </c>
      <c r="N998" t="s">
        <v>347</v>
      </c>
      <c r="O998" t="s">
        <v>169</v>
      </c>
      <c r="P998">
        <v>5.7416159877412103E-3</v>
      </c>
      <c r="Q998" t="s">
        <v>157</v>
      </c>
      <c r="S998" t="s">
        <v>458</v>
      </c>
      <c r="T998" t="s">
        <v>169</v>
      </c>
      <c r="U998">
        <v>6.3496821075254561E-3</v>
      </c>
      <c r="V998" t="s">
        <v>157</v>
      </c>
    </row>
    <row r="999" spans="9:22" x14ac:dyDescent="0.45">
      <c r="I999" t="s">
        <v>236</v>
      </c>
      <c r="J999" t="s">
        <v>170</v>
      </c>
      <c r="K999">
        <v>9.6631008872474448E-3</v>
      </c>
      <c r="L999" t="s">
        <v>157</v>
      </c>
      <c r="N999" t="s">
        <v>347</v>
      </c>
      <c r="O999" t="s">
        <v>170</v>
      </c>
      <c r="P999">
        <v>5.5023348755696344E-3</v>
      </c>
      <c r="Q999" t="s">
        <v>157</v>
      </c>
      <c r="S999" t="s">
        <v>458</v>
      </c>
      <c r="T999" t="s">
        <v>170</v>
      </c>
      <c r="U999">
        <v>6.3244747193569682E-3</v>
      </c>
      <c r="V999" t="s">
        <v>157</v>
      </c>
    </row>
    <row r="1000" spans="9:22" x14ac:dyDescent="0.45">
      <c r="I1000" t="s">
        <v>236</v>
      </c>
      <c r="J1000" t="s">
        <v>171</v>
      </c>
      <c r="K1000">
        <v>1.6637812683844722E-3</v>
      </c>
      <c r="L1000" t="s">
        <v>157</v>
      </c>
      <c r="N1000" t="s">
        <v>347</v>
      </c>
      <c r="O1000" t="s">
        <v>171</v>
      </c>
      <c r="P1000">
        <v>2.4686347598431326E-2</v>
      </c>
      <c r="Q1000" t="s">
        <v>157</v>
      </c>
      <c r="S1000" t="s">
        <v>458</v>
      </c>
      <c r="T1000" t="s">
        <v>171</v>
      </c>
      <c r="U1000">
        <v>3.1599569929268989E-2</v>
      </c>
      <c r="V1000" t="s">
        <v>157</v>
      </c>
    </row>
    <row r="1001" spans="9:22" x14ac:dyDescent="0.45">
      <c r="I1001" t="s">
        <v>237</v>
      </c>
      <c r="J1001" t="s">
        <v>156</v>
      </c>
      <c r="K1001">
        <v>1.0085636845359682E-2</v>
      </c>
      <c r="L1001" t="s">
        <v>157</v>
      </c>
      <c r="N1001" t="s">
        <v>348</v>
      </c>
      <c r="O1001" t="s">
        <v>156</v>
      </c>
      <c r="P1001">
        <v>0.14851504219157316</v>
      </c>
      <c r="Q1001" t="s">
        <v>157</v>
      </c>
      <c r="S1001" t="s">
        <v>459</v>
      </c>
      <c r="T1001" t="s">
        <v>156</v>
      </c>
      <c r="U1001">
        <v>0.14254846573775395</v>
      </c>
      <c r="V1001" t="s">
        <v>157</v>
      </c>
    </row>
    <row r="1002" spans="9:22" x14ac:dyDescent="0.45">
      <c r="I1002" t="s">
        <v>237</v>
      </c>
      <c r="J1002" t="s">
        <v>158</v>
      </c>
      <c r="K1002">
        <v>0.41813279969948175</v>
      </c>
      <c r="L1002" t="s">
        <v>157</v>
      </c>
      <c r="N1002" t="s">
        <v>348</v>
      </c>
      <c r="O1002" t="s">
        <v>158</v>
      </c>
      <c r="P1002">
        <v>0.21580990767670546</v>
      </c>
      <c r="Q1002" t="s">
        <v>157</v>
      </c>
      <c r="S1002" t="s">
        <v>459</v>
      </c>
      <c r="T1002" t="s">
        <v>158</v>
      </c>
      <c r="U1002">
        <v>0.2048329680812235</v>
      </c>
      <c r="V1002" t="s">
        <v>157</v>
      </c>
    </row>
    <row r="1003" spans="9:22" x14ac:dyDescent="0.45">
      <c r="I1003" t="s">
        <v>237</v>
      </c>
      <c r="J1003" t="s">
        <v>159</v>
      </c>
      <c r="K1003">
        <v>2.7804602934032956E-2</v>
      </c>
      <c r="L1003" t="s">
        <v>157</v>
      </c>
      <c r="N1003" t="s">
        <v>348</v>
      </c>
      <c r="O1003" t="s">
        <v>159</v>
      </c>
      <c r="P1003">
        <v>2.194124472259229E-2</v>
      </c>
      <c r="Q1003" t="s">
        <v>157</v>
      </c>
      <c r="S1003" t="s">
        <v>459</v>
      </c>
      <c r="T1003" t="s">
        <v>159</v>
      </c>
      <c r="U1003">
        <v>2.0989819895218868E-2</v>
      </c>
      <c r="V1003" t="s">
        <v>157</v>
      </c>
    </row>
    <row r="1004" spans="9:22" x14ac:dyDescent="0.45">
      <c r="I1004" t="s">
        <v>237</v>
      </c>
      <c r="J1004" t="s">
        <v>160</v>
      </c>
      <c r="K1004">
        <v>1.4866132343228929E-2</v>
      </c>
      <c r="L1004" t="s">
        <v>157</v>
      </c>
      <c r="N1004" t="s">
        <v>348</v>
      </c>
      <c r="O1004" t="s">
        <v>160</v>
      </c>
      <c r="P1004">
        <v>2.1661765572355988E-2</v>
      </c>
      <c r="Q1004" t="s">
        <v>157</v>
      </c>
      <c r="S1004" t="s">
        <v>459</v>
      </c>
      <c r="T1004" t="s">
        <v>160</v>
      </c>
      <c r="U1004">
        <v>2.0886818402074157E-2</v>
      </c>
      <c r="V1004" t="s">
        <v>157</v>
      </c>
    </row>
    <row r="1005" spans="9:22" x14ac:dyDescent="0.45">
      <c r="I1005" t="s">
        <v>237</v>
      </c>
      <c r="J1005" t="s">
        <v>161</v>
      </c>
      <c r="K1005">
        <v>3.5590236716234284E-3</v>
      </c>
      <c r="L1005" t="s">
        <v>157</v>
      </c>
      <c r="N1005" t="s">
        <v>348</v>
      </c>
      <c r="O1005" t="s">
        <v>161</v>
      </c>
      <c r="P1005">
        <v>0.10509713850851055</v>
      </c>
      <c r="Q1005" t="s">
        <v>157</v>
      </c>
      <c r="S1005" t="s">
        <v>459</v>
      </c>
      <c r="T1005" t="s">
        <v>161</v>
      </c>
      <c r="U1005">
        <v>0.10069029018000673</v>
      </c>
      <c r="V1005" t="s">
        <v>157</v>
      </c>
    </row>
    <row r="1006" spans="9:22" x14ac:dyDescent="0.45">
      <c r="I1006" t="s">
        <v>237</v>
      </c>
      <c r="J1006" t="s">
        <v>162</v>
      </c>
      <c r="K1006">
        <v>6.7668461841840317E-3</v>
      </c>
      <c r="L1006" t="s">
        <v>157</v>
      </c>
      <c r="N1006" t="s">
        <v>348</v>
      </c>
      <c r="O1006" t="s">
        <v>162</v>
      </c>
      <c r="P1006">
        <v>0.10431702520137648</v>
      </c>
      <c r="Q1006" t="s">
        <v>157</v>
      </c>
      <c r="S1006" t="s">
        <v>459</v>
      </c>
      <c r="T1006" t="s">
        <v>162</v>
      </c>
      <c r="U1006">
        <v>0.10717863859148392</v>
      </c>
      <c r="V1006" t="s">
        <v>157</v>
      </c>
    </row>
    <row r="1007" spans="9:22" x14ac:dyDescent="0.45">
      <c r="I1007" t="s">
        <v>237</v>
      </c>
      <c r="J1007" t="s">
        <v>163</v>
      </c>
      <c r="K1007">
        <v>0.25323774336290678</v>
      </c>
      <c r="L1007" t="s">
        <v>157</v>
      </c>
      <c r="N1007" t="s">
        <v>348</v>
      </c>
      <c r="O1007" t="s">
        <v>163</v>
      </c>
      <c r="P1007">
        <v>0.14785870690554834</v>
      </c>
      <c r="Q1007" t="s">
        <v>157</v>
      </c>
      <c r="S1007" t="s">
        <v>459</v>
      </c>
      <c r="T1007" t="s">
        <v>163</v>
      </c>
      <c r="U1007">
        <v>0.14692702713079203</v>
      </c>
      <c r="V1007" t="s">
        <v>157</v>
      </c>
    </row>
    <row r="1008" spans="9:22" x14ac:dyDescent="0.45">
      <c r="I1008" t="s">
        <v>237</v>
      </c>
      <c r="J1008" t="s">
        <v>164</v>
      </c>
      <c r="K1008">
        <v>1.4936756392321086E-2</v>
      </c>
      <c r="L1008" t="s">
        <v>157</v>
      </c>
      <c r="N1008" t="s">
        <v>348</v>
      </c>
      <c r="O1008" t="s">
        <v>164</v>
      </c>
      <c r="P1008">
        <v>1.5861305820390328E-2</v>
      </c>
      <c r="Q1008" t="s">
        <v>157</v>
      </c>
      <c r="S1008" t="s">
        <v>459</v>
      </c>
      <c r="T1008" t="s">
        <v>164</v>
      </c>
      <c r="U1008">
        <v>1.4659375986894404E-2</v>
      </c>
      <c r="V1008" t="s">
        <v>157</v>
      </c>
    </row>
    <row r="1009" spans="9:22" x14ac:dyDescent="0.45">
      <c r="I1009" t="s">
        <v>237</v>
      </c>
      <c r="J1009" t="s">
        <v>165</v>
      </c>
      <c r="K1009">
        <v>3.4103944279680154E-3</v>
      </c>
      <c r="L1009" t="s">
        <v>157</v>
      </c>
      <c r="N1009" t="s">
        <v>348</v>
      </c>
      <c r="O1009" t="s">
        <v>165</v>
      </c>
      <c r="P1009">
        <v>1.5739506629108686E-2</v>
      </c>
      <c r="Q1009" t="s">
        <v>157</v>
      </c>
      <c r="S1009" t="s">
        <v>459</v>
      </c>
      <c r="T1009" t="s">
        <v>165</v>
      </c>
      <c r="U1009">
        <v>1.4423919111752498E-2</v>
      </c>
      <c r="V1009" t="s">
        <v>157</v>
      </c>
    </row>
    <row r="1010" spans="9:22" x14ac:dyDescent="0.45">
      <c r="I1010" t="s">
        <v>237</v>
      </c>
      <c r="J1010" t="s">
        <v>166</v>
      </c>
      <c r="K1010">
        <v>0</v>
      </c>
      <c r="L1010" t="s">
        <v>157</v>
      </c>
      <c r="N1010" t="s">
        <v>348</v>
      </c>
      <c r="O1010" t="s">
        <v>166</v>
      </c>
      <c r="P1010">
        <v>7.6470852764618652E-2</v>
      </c>
      <c r="Q1010" t="s">
        <v>157</v>
      </c>
      <c r="S1010" t="s">
        <v>459</v>
      </c>
      <c r="T1010" t="s">
        <v>166</v>
      </c>
      <c r="U1010">
        <v>7.2343499447880724E-2</v>
      </c>
      <c r="V1010" t="s">
        <v>157</v>
      </c>
    </row>
    <row r="1011" spans="9:22" x14ac:dyDescent="0.45">
      <c r="I1011" t="s">
        <v>237</v>
      </c>
      <c r="J1011" t="s">
        <v>167</v>
      </c>
      <c r="K1011">
        <v>1.8413146022194161E-2</v>
      </c>
      <c r="L1011" t="s">
        <v>157</v>
      </c>
      <c r="N1011" t="s">
        <v>348</v>
      </c>
      <c r="O1011" t="s">
        <v>167</v>
      </c>
      <c r="P1011">
        <v>3.820635514454019E-2</v>
      </c>
      <c r="Q1011" t="s">
        <v>157</v>
      </c>
      <c r="S1011" t="s">
        <v>459</v>
      </c>
      <c r="T1011" t="s">
        <v>167</v>
      </c>
      <c r="U1011">
        <v>4.435442459185527E-2</v>
      </c>
      <c r="V1011" t="s">
        <v>157</v>
      </c>
    </row>
    <row r="1012" spans="9:22" x14ac:dyDescent="0.45">
      <c r="I1012" t="s">
        <v>237</v>
      </c>
      <c r="J1012" t="s">
        <v>168</v>
      </c>
      <c r="K1012">
        <v>0.20160644807064818</v>
      </c>
      <c r="L1012" t="s">
        <v>157</v>
      </c>
      <c r="N1012" t="s">
        <v>348</v>
      </c>
      <c r="O1012" t="s">
        <v>168</v>
      </c>
      <c r="P1012">
        <v>5.2891799639678182E-2</v>
      </c>
      <c r="Q1012" t="s">
        <v>157</v>
      </c>
      <c r="S1012" t="s">
        <v>459</v>
      </c>
      <c r="T1012" t="s">
        <v>168</v>
      </c>
      <c r="U1012">
        <v>6.5941045473976639E-2</v>
      </c>
      <c r="V1012" t="s">
        <v>157</v>
      </c>
    </row>
    <row r="1013" spans="9:22" x14ac:dyDescent="0.45">
      <c r="I1013" t="s">
        <v>237</v>
      </c>
      <c r="J1013" t="s">
        <v>169</v>
      </c>
      <c r="K1013">
        <v>1.5689569333468201E-2</v>
      </c>
      <c r="L1013" t="s">
        <v>157</v>
      </c>
      <c r="N1013" t="s">
        <v>348</v>
      </c>
      <c r="O1013" t="s">
        <v>169</v>
      </c>
      <c r="P1013">
        <v>5.6011253453738712E-3</v>
      </c>
      <c r="Q1013" t="s">
        <v>157</v>
      </c>
      <c r="S1013" t="s">
        <v>459</v>
      </c>
      <c r="T1013" t="s">
        <v>169</v>
      </c>
      <c r="U1013">
        <v>6.3738520348663834E-3</v>
      </c>
      <c r="V1013" t="s">
        <v>157</v>
      </c>
    </row>
    <row r="1014" spans="9:22" x14ac:dyDescent="0.45">
      <c r="I1014" t="s">
        <v>237</v>
      </c>
      <c r="J1014" t="s">
        <v>170</v>
      </c>
      <c r="K1014">
        <v>1.0202898252241225E-2</v>
      </c>
      <c r="L1014" t="s">
        <v>157</v>
      </c>
      <c r="N1014" t="s">
        <v>348</v>
      </c>
      <c r="O1014" t="s">
        <v>170</v>
      </c>
      <c r="P1014">
        <v>5.3832182464694876E-3</v>
      </c>
      <c r="Q1014" t="s">
        <v>157</v>
      </c>
      <c r="S1014" t="s">
        <v>459</v>
      </c>
      <c r="T1014" t="s">
        <v>170</v>
      </c>
      <c r="U1014">
        <v>6.3459265242621155E-3</v>
      </c>
      <c r="V1014" t="s">
        <v>157</v>
      </c>
    </row>
    <row r="1015" spans="9:22" x14ac:dyDescent="0.45">
      <c r="I1015" t="s">
        <v>237</v>
      </c>
      <c r="J1015" t="s">
        <v>171</v>
      </c>
      <c r="K1015">
        <v>1.2880024603416267E-3</v>
      </c>
      <c r="L1015" t="s">
        <v>157</v>
      </c>
      <c r="N1015" t="s">
        <v>348</v>
      </c>
      <c r="O1015" t="s">
        <v>171</v>
      </c>
      <c r="P1015">
        <v>2.4645005631158335E-2</v>
      </c>
      <c r="Q1015" t="s">
        <v>157</v>
      </c>
      <c r="S1015" t="s">
        <v>459</v>
      </c>
      <c r="T1015" t="s">
        <v>171</v>
      </c>
      <c r="U1015">
        <v>3.1503928809958698E-2</v>
      </c>
      <c r="V1015" t="s">
        <v>157</v>
      </c>
    </row>
    <row r="1016" spans="9:22" x14ac:dyDescent="0.45">
      <c r="I1016" t="s">
        <v>238</v>
      </c>
      <c r="J1016" t="s">
        <v>156</v>
      </c>
      <c r="K1016">
        <v>8.9816779062939032E-3</v>
      </c>
      <c r="L1016" t="s">
        <v>157</v>
      </c>
      <c r="N1016" t="s">
        <v>349</v>
      </c>
      <c r="O1016" t="s">
        <v>156</v>
      </c>
      <c r="P1016">
        <v>0.11470670596796026</v>
      </c>
      <c r="Q1016" t="s">
        <v>157</v>
      </c>
      <c r="S1016" t="s">
        <v>460</v>
      </c>
      <c r="T1016" t="s">
        <v>156</v>
      </c>
      <c r="U1016">
        <v>0.14371284254432878</v>
      </c>
      <c r="V1016" t="s">
        <v>157</v>
      </c>
    </row>
    <row r="1017" spans="9:22" x14ac:dyDescent="0.45">
      <c r="I1017" t="s">
        <v>238</v>
      </c>
      <c r="J1017" t="s">
        <v>158</v>
      </c>
      <c r="K1017">
        <v>0.39349998812822956</v>
      </c>
      <c r="L1017" t="s">
        <v>157</v>
      </c>
      <c r="N1017" t="s">
        <v>349</v>
      </c>
      <c r="O1017" t="s">
        <v>158</v>
      </c>
      <c r="P1017">
        <v>0.21580051873183026</v>
      </c>
      <c r="Q1017" t="s">
        <v>157</v>
      </c>
      <c r="S1017" t="s">
        <v>460</v>
      </c>
      <c r="T1017" t="s">
        <v>158</v>
      </c>
      <c r="U1017">
        <v>0.20431131808721106</v>
      </c>
      <c r="V1017" t="s">
        <v>157</v>
      </c>
    </row>
    <row r="1018" spans="9:22" x14ac:dyDescent="0.45">
      <c r="I1018" t="s">
        <v>238</v>
      </c>
      <c r="J1018" t="s">
        <v>159</v>
      </c>
      <c r="K1018">
        <v>3.1858576642982979E-2</v>
      </c>
      <c r="L1018" t="s">
        <v>157</v>
      </c>
      <c r="N1018" t="s">
        <v>349</v>
      </c>
      <c r="O1018" t="s">
        <v>159</v>
      </c>
      <c r="P1018">
        <v>2.1691308803016403E-2</v>
      </c>
      <c r="Q1018" t="s">
        <v>157</v>
      </c>
      <c r="S1018" t="s">
        <v>460</v>
      </c>
      <c r="T1018" t="s">
        <v>159</v>
      </c>
      <c r="U1018">
        <v>2.1048613624697197E-2</v>
      </c>
      <c r="V1018" t="s">
        <v>157</v>
      </c>
    </row>
    <row r="1019" spans="9:22" x14ac:dyDescent="0.45">
      <c r="I1019" t="s">
        <v>238</v>
      </c>
      <c r="J1019" t="s">
        <v>160</v>
      </c>
      <c r="K1019">
        <v>2.3195034924703574E-2</v>
      </c>
      <c r="L1019" t="s">
        <v>157</v>
      </c>
      <c r="N1019" t="s">
        <v>349</v>
      </c>
      <c r="O1019" t="s">
        <v>160</v>
      </c>
      <c r="P1019">
        <v>1.9353260215509455E-2</v>
      </c>
      <c r="Q1019" t="s">
        <v>157</v>
      </c>
      <c r="S1019" t="s">
        <v>460</v>
      </c>
      <c r="T1019" t="s">
        <v>160</v>
      </c>
      <c r="U1019">
        <v>2.1087327119350782E-2</v>
      </c>
      <c r="V1019" t="s">
        <v>157</v>
      </c>
    </row>
    <row r="1020" spans="9:22" x14ac:dyDescent="0.45">
      <c r="I1020" t="s">
        <v>238</v>
      </c>
      <c r="J1020" t="s">
        <v>161</v>
      </c>
      <c r="K1020">
        <v>1.1762369605493313E-2</v>
      </c>
      <c r="L1020" t="s">
        <v>157</v>
      </c>
      <c r="N1020" t="s">
        <v>349</v>
      </c>
      <c r="O1020" t="s">
        <v>161</v>
      </c>
      <c r="P1020">
        <v>8.4233297357357573E-2</v>
      </c>
      <c r="Q1020" t="s">
        <v>157</v>
      </c>
      <c r="S1020" t="s">
        <v>460</v>
      </c>
      <c r="T1020" t="s">
        <v>161</v>
      </c>
      <c r="U1020">
        <v>0.102136992810025</v>
      </c>
      <c r="V1020" t="s">
        <v>157</v>
      </c>
    </row>
    <row r="1021" spans="9:22" x14ac:dyDescent="0.45">
      <c r="I1021" t="s">
        <v>238</v>
      </c>
      <c r="J1021" t="s">
        <v>162</v>
      </c>
      <c r="K1021">
        <v>3.6629570166875239E-3</v>
      </c>
      <c r="L1021" t="s">
        <v>157</v>
      </c>
      <c r="N1021" t="s">
        <v>349</v>
      </c>
      <c r="O1021" t="s">
        <v>162</v>
      </c>
      <c r="P1021">
        <v>0.1155316102754723</v>
      </c>
      <c r="Q1021" t="s">
        <v>157</v>
      </c>
      <c r="S1021" t="s">
        <v>460</v>
      </c>
      <c r="T1021" t="s">
        <v>162</v>
      </c>
      <c r="U1021">
        <v>0.1069594763960815</v>
      </c>
      <c r="V1021" t="s">
        <v>157</v>
      </c>
    </row>
    <row r="1022" spans="9:22" x14ac:dyDescent="0.45">
      <c r="I1022" t="s">
        <v>238</v>
      </c>
      <c r="J1022" t="s">
        <v>163</v>
      </c>
      <c r="K1022">
        <v>0.23270593087466968</v>
      </c>
      <c r="L1022" t="s">
        <v>157</v>
      </c>
      <c r="N1022" t="s">
        <v>349</v>
      </c>
      <c r="O1022" t="s">
        <v>163</v>
      </c>
      <c r="P1022">
        <v>0.19648426629306981</v>
      </c>
      <c r="Q1022" t="s">
        <v>157</v>
      </c>
      <c r="S1022" t="s">
        <v>460</v>
      </c>
      <c r="T1022" t="s">
        <v>163</v>
      </c>
      <c r="U1022">
        <v>0.14593022611901413</v>
      </c>
      <c r="V1022" t="s">
        <v>157</v>
      </c>
    </row>
    <row r="1023" spans="9:22" x14ac:dyDescent="0.45">
      <c r="I1023" t="s">
        <v>238</v>
      </c>
      <c r="J1023" t="s">
        <v>164</v>
      </c>
      <c r="K1023">
        <v>1.6501334505202421E-2</v>
      </c>
      <c r="L1023" t="s">
        <v>157</v>
      </c>
      <c r="N1023" t="s">
        <v>349</v>
      </c>
      <c r="O1023" t="s">
        <v>164</v>
      </c>
      <c r="P1023">
        <v>1.7955722525510469E-2</v>
      </c>
      <c r="Q1023" t="s">
        <v>157</v>
      </c>
      <c r="S1023" t="s">
        <v>460</v>
      </c>
      <c r="T1023" t="s">
        <v>164</v>
      </c>
      <c r="U1023">
        <v>1.4542405136880461E-2</v>
      </c>
      <c r="V1023" t="s">
        <v>157</v>
      </c>
    </row>
    <row r="1024" spans="9:22" x14ac:dyDescent="0.45">
      <c r="I1024" t="s">
        <v>238</v>
      </c>
      <c r="J1024" t="s">
        <v>165</v>
      </c>
      <c r="K1024">
        <v>7.1413260420358921E-3</v>
      </c>
      <c r="L1024" t="s">
        <v>157</v>
      </c>
      <c r="N1024" t="s">
        <v>349</v>
      </c>
      <c r="O1024" t="s">
        <v>165</v>
      </c>
      <c r="P1024">
        <v>1.6965932708708574E-2</v>
      </c>
      <c r="Q1024" t="s">
        <v>157</v>
      </c>
      <c r="S1024" t="s">
        <v>460</v>
      </c>
      <c r="T1024" t="s">
        <v>165</v>
      </c>
      <c r="U1024">
        <v>1.4537292583980026E-2</v>
      </c>
      <c r="V1024" t="s">
        <v>157</v>
      </c>
    </row>
    <row r="1025" spans="9:22" x14ac:dyDescent="0.45">
      <c r="I1025" t="s">
        <v>238</v>
      </c>
      <c r="J1025" t="s">
        <v>166</v>
      </c>
      <c r="K1025">
        <v>0</v>
      </c>
      <c r="L1025" t="s">
        <v>157</v>
      </c>
      <c r="N1025" t="s">
        <v>349</v>
      </c>
      <c r="O1025" t="s">
        <v>166</v>
      </c>
      <c r="P1025">
        <v>7.8510024283374558E-2</v>
      </c>
      <c r="Q1025" t="s">
        <v>157</v>
      </c>
      <c r="S1025" t="s">
        <v>460</v>
      </c>
      <c r="T1025" t="s">
        <v>166</v>
      </c>
      <c r="U1025">
        <v>7.318471699678096E-2</v>
      </c>
      <c r="V1025" t="s">
        <v>157</v>
      </c>
    </row>
    <row r="1026" spans="9:22" x14ac:dyDescent="0.45">
      <c r="I1026" t="s">
        <v>238</v>
      </c>
      <c r="J1026" t="s">
        <v>167</v>
      </c>
      <c r="K1026">
        <v>1.6989551251794327E-2</v>
      </c>
      <c r="L1026" t="s">
        <v>157</v>
      </c>
      <c r="N1026" t="s">
        <v>349</v>
      </c>
      <c r="O1026" t="s">
        <v>167</v>
      </c>
      <c r="P1026">
        <v>2.2115252526840962E-2</v>
      </c>
      <c r="Q1026" t="s">
        <v>157</v>
      </c>
      <c r="S1026" t="s">
        <v>460</v>
      </c>
      <c r="T1026" t="s">
        <v>167</v>
      </c>
      <c r="U1026">
        <v>4.3459311825511382E-2</v>
      </c>
      <c r="V1026" t="s">
        <v>157</v>
      </c>
    </row>
    <row r="1027" spans="9:22" x14ac:dyDescent="0.45">
      <c r="I1027" t="s">
        <v>238</v>
      </c>
      <c r="J1027" t="s">
        <v>168</v>
      </c>
      <c r="K1027">
        <v>0.21473977406285463</v>
      </c>
      <c r="L1027" t="s">
        <v>157</v>
      </c>
      <c r="N1027" t="s">
        <v>349</v>
      </c>
      <c r="O1027" t="s">
        <v>168</v>
      </c>
      <c r="P1027">
        <v>6.8273164564494462E-2</v>
      </c>
      <c r="Q1027" t="s">
        <v>157</v>
      </c>
      <c r="S1027" t="s">
        <v>460</v>
      </c>
      <c r="T1027" t="s">
        <v>168</v>
      </c>
      <c r="U1027">
        <v>6.5519584817942803E-2</v>
      </c>
      <c r="V1027" t="s">
        <v>157</v>
      </c>
    </row>
    <row r="1028" spans="9:22" x14ac:dyDescent="0.45">
      <c r="I1028" t="s">
        <v>238</v>
      </c>
      <c r="J1028" t="s">
        <v>169</v>
      </c>
      <c r="K1028">
        <v>1.630866110373097E-2</v>
      </c>
      <c r="L1028" t="s">
        <v>157</v>
      </c>
      <c r="N1028" t="s">
        <v>349</v>
      </c>
      <c r="O1028" t="s">
        <v>169</v>
      </c>
      <c r="P1028">
        <v>5.8706125451561206E-3</v>
      </c>
      <c r="Q1028" t="s">
        <v>157</v>
      </c>
      <c r="S1028" t="s">
        <v>460</v>
      </c>
      <c r="T1028" t="s">
        <v>169</v>
      </c>
      <c r="U1028">
        <v>6.271518188396147E-3</v>
      </c>
      <c r="V1028" t="s">
        <v>157</v>
      </c>
    </row>
    <row r="1029" spans="9:22" x14ac:dyDescent="0.45">
      <c r="I1029" t="s">
        <v>238</v>
      </c>
      <c r="J1029" t="s">
        <v>170</v>
      </c>
      <c r="K1029">
        <v>1.3668499786266192E-2</v>
      </c>
      <c r="L1029" t="s">
        <v>157</v>
      </c>
      <c r="N1029" t="s">
        <v>349</v>
      </c>
      <c r="O1029" t="s">
        <v>170</v>
      </c>
      <c r="P1029">
        <v>4.9853690112844134E-3</v>
      </c>
      <c r="Q1029" t="s">
        <v>157</v>
      </c>
      <c r="S1029" t="s">
        <v>460</v>
      </c>
      <c r="T1029" t="s">
        <v>170</v>
      </c>
      <c r="U1029">
        <v>6.2431272716207149E-3</v>
      </c>
      <c r="V1029" t="s">
        <v>157</v>
      </c>
    </row>
    <row r="1030" spans="9:22" x14ac:dyDescent="0.45">
      <c r="I1030" t="s">
        <v>238</v>
      </c>
      <c r="J1030" t="s">
        <v>171</v>
      </c>
      <c r="K1030">
        <v>8.9843181490549644E-3</v>
      </c>
      <c r="L1030" t="s">
        <v>157</v>
      </c>
      <c r="N1030" t="s">
        <v>349</v>
      </c>
      <c r="O1030" t="s">
        <v>171</v>
      </c>
      <c r="P1030">
        <v>1.7522954190414386E-2</v>
      </c>
      <c r="Q1030" t="s">
        <v>157</v>
      </c>
      <c r="S1030" t="s">
        <v>460</v>
      </c>
      <c r="T1030" t="s">
        <v>171</v>
      </c>
      <c r="U1030">
        <v>3.1055246478179057E-2</v>
      </c>
      <c r="V1030" t="s">
        <v>157</v>
      </c>
    </row>
    <row r="1031" spans="9:22" x14ac:dyDescent="0.45">
      <c r="I1031" t="s">
        <v>239</v>
      </c>
      <c r="J1031" t="s">
        <v>156</v>
      </c>
      <c r="K1031">
        <v>2.0169238131734726E-2</v>
      </c>
      <c r="L1031" t="s">
        <v>157</v>
      </c>
      <c r="N1031" t="s">
        <v>350</v>
      </c>
      <c r="O1031" t="s">
        <v>156</v>
      </c>
      <c r="P1031">
        <v>0.13600970072220309</v>
      </c>
      <c r="Q1031" t="s">
        <v>157</v>
      </c>
      <c r="S1031" t="s">
        <v>461</v>
      </c>
      <c r="T1031" t="s">
        <v>156</v>
      </c>
      <c r="U1031">
        <v>0.14279810041826005</v>
      </c>
      <c r="V1031" t="s">
        <v>157</v>
      </c>
    </row>
    <row r="1032" spans="9:22" x14ac:dyDescent="0.45">
      <c r="I1032" t="s">
        <v>239</v>
      </c>
      <c r="J1032" t="s">
        <v>158</v>
      </c>
      <c r="K1032">
        <v>0.41127329680483959</v>
      </c>
      <c r="L1032" t="s">
        <v>157</v>
      </c>
      <c r="N1032" t="s">
        <v>350</v>
      </c>
      <c r="O1032" t="s">
        <v>158</v>
      </c>
      <c r="P1032">
        <v>0.20856632715738238</v>
      </c>
      <c r="Q1032" t="s">
        <v>157</v>
      </c>
      <c r="S1032" t="s">
        <v>461</v>
      </c>
      <c r="T1032" t="s">
        <v>158</v>
      </c>
      <c r="U1032">
        <v>0.2038283785129997</v>
      </c>
      <c r="V1032" t="s">
        <v>157</v>
      </c>
    </row>
    <row r="1033" spans="9:22" x14ac:dyDescent="0.45">
      <c r="I1033" t="s">
        <v>239</v>
      </c>
      <c r="J1033" t="s">
        <v>159</v>
      </c>
      <c r="K1033">
        <v>2.7537602842990123E-2</v>
      </c>
      <c r="L1033" t="s">
        <v>157</v>
      </c>
      <c r="N1033" t="s">
        <v>350</v>
      </c>
      <c r="O1033" t="s">
        <v>159</v>
      </c>
      <c r="P1033">
        <v>2.2411492379121739E-2</v>
      </c>
      <c r="Q1033" t="s">
        <v>157</v>
      </c>
      <c r="S1033" t="s">
        <v>461</v>
      </c>
      <c r="T1033" t="s">
        <v>159</v>
      </c>
      <c r="U1033">
        <v>2.1209342100748239E-2</v>
      </c>
      <c r="V1033" t="s">
        <v>157</v>
      </c>
    </row>
    <row r="1034" spans="9:22" x14ac:dyDescent="0.45">
      <c r="I1034" t="s">
        <v>239</v>
      </c>
      <c r="J1034" t="s">
        <v>160</v>
      </c>
      <c r="K1034">
        <v>1.7071115112943888E-2</v>
      </c>
      <c r="L1034" t="s">
        <v>157</v>
      </c>
      <c r="N1034" t="s">
        <v>350</v>
      </c>
      <c r="O1034" t="s">
        <v>160</v>
      </c>
      <c r="P1034">
        <v>2.1968497944985645E-2</v>
      </c>
      <c r="Q1034" t="s">
        <v>157</v>
      </c>
      <c r="S1034" t="s">
        <v>461</v>
      </c>
      <c r="T1034" t="s">
        <v>160</v>
      </c>
      <c r="U1034">
        <v>2.1278784244679806E-2</v>
      </c>
      <c r="V1034" t="s">
        <v>157</v>
      </c>
    </row>
    <row r="1035" spans="9:22" x14ac:dyDescent="0.45">
      <c r="I1035" t="s">
        <v>239</v>
      </c>
      <c r="J1035" t="s">
        <v>161</v>
      </c>
      <c r="K1035">
        <v>6.1477398871435775E-3</v>
      </c>
      <c r="L1035" t="s">
        <v>157</v>
      </c>
      <c r="N1035" t="s">
        <v>350</v>
      </c>
      <c r="O1035" t="s">
        <v>161</v>
      </c>
      <c r="P1035">
        <v>0.10220474615068392</v>
      </c>
      <c r="Q1035" t="s">
        <v>157</v>
      </c>
      <c r="S1035" t="s">
        <v>461</v>
      </c>
      <c r="T1035" t="s">
        <v>161</v>
      </c>
      <c r="U1035">
        <v>0.10252453363203709</v>
      </c>
      <c r="V1035" t="s">
        <v>157</v>
      </c>
    </row>
    <row r="1036" spans="9:22" x14ac:dyDescent="0.45">
      <c r="I1036" t="s">
        <v>239</v>
      </c>
      <c r="J1036" t="s">
        <v>162</v>
      </c>
      <c r="K1036">
        <v>8.5512174192122412E-3</v>
      </c>
      <c r="L1036" t="s">
        <v>157</v>
      </c>
      <c r="N1036" t="s">
        <v>350</v>
      </c>
      <c r="O1036" t="s">
        <v>162</v>
      </c>
      <c r="P1036">
        <v>0.10447908887978002</v>
      </c>
      <c r="Q1036" t="s">
        <v>157</v>
      </c>
      <c r="S1036" t="s">
        <v>461</v>
      </c>
      <c r="T1036" t="s">
        <v>162</v>
      </c>
      <c r="U1036">
        <v>0.10673039223269574</v>
      </c>
      <c r="V1036" t="s">
        <v>157</v>
      </c>
    </row>
    <row r="1037" spans="9:22" x14ac:dyDescent="0.45">
      <c r="I1037" t="s">
        <v>239</v>
      </c>
      <c r="J1037" t="s">
        <v>163</v>
      </c>
      <c r="K1037">
        <v>0.25009679096569792</v>
      </c>
      <c r="L1037" t="s">
        <v>157</v>
      </c>
      <c r="N1037" t="s">
        <v>350</v>
      </c>
      <c r="O1037" t="s">
        <v>163</v>
      </c>
      <c r="P1037">
        <v>0.15383560590488618</v>
      </c>
      <c r="Q1037" t="s">
        <v>157</v>
      </c>
      <c r="S1037" t="s">
        <v>461</v>
      </c>
      <c r="T1037" t="s">
        <v>163</v>
      </c>
      <c r="U1037">
        <v>0.1483567263624733</v>
      </c>
      <c r="V1037" t="s">
        <v>157</v>
      </c>
    </row>
    <row r="1038" spans="9:22" x14ac:dyDescent="0.45">
      <c r="I1038" t="s">
        <v>239</v>
      </c>
      <c r="J1038" t="s">
        <v>164</v>
      </c>
      <c r="K1038">
        <v>1.2961077481548965E-2</v>
      </c>
      <c r="L1038" t="s">
        <v>157</v>
      </c>
      <c r="N1038" t="s">
        <v>350</v>
      </c>
      <c r="O1038" t="s">
        <v>164</v>
      </c>
      <c r="P1038">
        <v>1.526503675144137E-2</v>
      </c>
      <c r="Q1038" t="s">
        <v>157</v>
      </c>
      <c r="S1038" t="s">
        <v>461</v>
      </c>
      <c r="T1038" t="s">
        <v>164</v>
      </c>
      <c r="U1038">
        <v>1.4880112584036421E-2</v>
      </c>
      <c r="V1038" t="s">
        <v>157</v>
      </c>
    </row>
    <row r="1039" spans="9:22" x14ac:dyDescent="0.45">
      <c r="I1039" t="s">
        <v>239</v>
      </c>
      <c r="J1039" t="s">
        <v>165</v>
      </c>
      <c r="K1039">
        <v>3.0851764212267902E-3</v>
      </c>
      <c r="L1039" t="s">
        <v>157</v>
      </c>
      <c r="N1039" t="s">
        <v>350</v>
      </c>
      <c r="O1039" t="s">
        <v>165</v>
      </c>
      <c r="P1039">
        <v>1.5198003669016812E-2</v>
      </c>
      <c r="Q1039" t="s">
        <v>157</v>
      </c>
      <c r="S1039" t="s">
        <v>461</v>
      </c>
      <c r="T1039" t="s">
        <v>165</v>
      </c>
      <c r="U1039">
        <v>1.4901607673456942E-2</v>
      </c>
      <c r="V1039" t="s">
        <v>157</v>
      </c>
    </row>
    <row r="1040" spans="9:22" x14ac:dyDescent="0.45">
      <c r="I1040" t="s">
        <v>239</v>
      </c>
      <c r="J1040" t="s">
        <v>166</v>
      </c>
      <c r="K1040">
        <v>0</v>
      </c>
      <c r="L1040" t="s">
        <v>157</v>
      </c>
      <c r="N1040" t="s">
        <v>350</v>
      </c>
      <c r="O1040" t="s">
        <v>166</v>
      </c>
      <c r="P1040">
        <v>7.7871551631174471E-2</v>
      </c>
      <c r="Q1040" t="s">
        <v>157</v>
      </c>
      <c r="S1040" t="s">
        <v>461</v>
      </c>
      <c r="T1040" t="s">
        <v>166</v>
      </c>
      <c r="U1040">
        <v>7.5214401009337281E-2</v>
      </c>
      <c r="V1040" t="s">
        <v>157</v>
      </c>
    </row>
    <row r="1041" spans="9:22" x14ac:dyDescent="0.45">
      <c r="I1041" t="s">
        <v>239</v>
      </c>
      <c r="J1041" t="s">
        <v>167</v>
      </c>
      <c r="K1041">
        <v>2.2289894001879713E-2</v>
      </c>
      <c r="L1041" t="s">
        <v>157</v>
      </c>
      <c r="N1041" t="s">
        <v>350</v>
      </c>
      <c r="O1041" t="s">
        <v>167</v>
      </c>
      <c r="P1041">
        <v>3.9085875744533559E-2</v>
      </c>
      <c r="Q1041" t="s">
        <v>157</v>
      </c>
      <c r="S1041" t="s">
        <v>461</v>
      </c>
      <c r="T1041" t="s">
        <v>167</v>
      </c>
      <c r="U1041">
        <v>4.2101612106882451E-2</v>
      </c>
      <c r="V1041" t="s">
        <v>157</v>
      </c>
    </row>
    <row r="1042" spans="9:22" x14ac:dyDescent="0.45">
      <c r="I1042" t="s">
        <v>239</v>
      </c>
      <c r="J1042" t="s">
        <v>168</v>
      </c>
      <c r="K1042">
        <v>0.1947159994466508</v>
      </c>
      <c r="L1042" t="s">
        <v>157</v>
      </c>
      <c r="N1042" t="s">
        <v>350</v>
      </c>
      <c r="O1042" t="s">
        <v>168</v>
      </c>
      <c r="P1042">
        <v>6.2646874391938542E-2</v>
      </c>
      <c r="Q1042" t="s">
        <v>157</v>
      </c>
      <c r="S1042" t="s">
        <v>461</v>
      </c>
      <c r="T1042" t="s">
        <v>168</v>
      </c>
      <c r="U1042">
        <v>6.3944172254908449E-2</v>
      </c>
      <c r="V1042" t="s">
        <v>157</v>
      </c>
    </row>
    <row r="1043" spans="9:22" x14ac:dyDescent="0.45">
      <c r="I1043" t="s">
        <v>239</v>
      </c>
      <c r="J1043" t="s">
        <v>169</v>
      </c>
      <c r="K1043">
        <v>1.3201852548713641E-2</v>
      </c>
      <c r="L1043" t="s">
        <v>157</v>
      </c>
      <c r="N1043" t="s">
        <v>350</v>
      </c>
      <c r="O1043" t="s">
        <v>169</v>
      </c>
      <c r="P1043">
        <v>6.4807483870439773E-3</v>
      </c>
      <c r="Q1043" t="s">
        <v>157</v>
      </c>
      <c r="S1043" t="s">
        <v>461</v>
      </c>
      <c r="T1043" t="s">
        <v>169</v>
      </c>
      <c r="U1043">
        <v>6.1907336651883492E-3</v>
      </c>
      <c r="V1043" t="s">
        <v>157</v>
      </c>
    </row>
    <row r="1044" spans="9:22" x14ac:dyDescent="0.45">
      <c r="I1044" t="s">
        <v>239</v>
      </c>
      <c r="J1044" t="s">
        <v>170</v>
      </c>
      <c r="K1044">
        <v>9.529547918204085E-3</v>
      </c>
      <c r="L1044" t="s">
        <v>157</v>
      </c>
      <c r="N1044" t="s">
        <v>350</v>
      </c>
      <c r="O1044" t="s">
        <v>170</v>
      </c>
      <c r="P1044">
        <v>6.0566786833416647E-3</v>
      </c>
      <c r="Q1044" t="s">
        <v>157</v>
      </c>
      <c r="S1044" t="s">
        <v>461</v>
      </c>
      <c r="T1044" t="s">
        <v>170</v>
      </c>
      <c r="U1044">
        <v>6.0090195407718977E-3</v>
      </c>
      <c r="V1044" t="s">
        <v>157</v>
      </c>
    </row>
    <row r="1045" spans="9:22" x14ac:dyDescent="0.45">
      <c r="I1045" t="s">
        <v>239</v>
      </c>
      <c r="J1045" t="s">
        <v>171</v>
      </c>
      <c r="K1045">
        <v>3.3694510172139185E-3</v>
      </c>
      <c r="L1045" t="s">
        <v>157</v>
      </c>
      <c r="N1045" t="s">
        <v>350</v>
      </c>
      <c r="O1045" t="s">
        <v>171</v>
      </c>
      <c r="P1045">
        <v>2.7919771602466639E-2</v>
      </c>
      <c r="Q1045" t="s">
        <v>157</v>
      </c>
      <c r="S1045" t="s">
        <v>461</v>
      </c>
      <c r="T1045" t="s">
        <v>171</v>
      </c>
      <c r="U1045">
        <v>3.0032083661524316E-2</v>
      </c>
      <c r="V1045" t="s">
        <v>157</v>
      </c>
    </row>
    <row r="1046" spans="9:22" x14ac:dyDescent="0.45">
      <c r="I1046" t="s">
        <v>240</v>
      </c>
      <c r="J1046" t="s">
        <v>156</v>
      </c>
      <c r="K1046">
        <v>1.9715247661250351E-2</v>
      </c>
      <c r="L1046" t="s">
        <v>157</v>
      </c>
      <c r="N1046" t="s">
        <v>351</v>
      </c>
      <c r="O1046" t="s">
        <v>156</v>
      </c>
      <c r="P1046">
        <v>0.11977240317698884</v>
      </c>
      <c r="Q1046" t="s">
        <v>157</v>
      </c>
      <c r="S1046" t="s">
        <v>462</v>
      </c>
      <c r="T1046" t="s">
        <v>156</v>
      </c>
      <c r="U1046">
        <v>0.13913900011972821</v>
      </c>
      <c r="V1046" t="s">
        <v>157</v>
      </c>
    </row>
    <row r="1047" spans="9:22" x14ac:dyDescent="0.45">
      <c r="I1047" t="s">
        <v>240</v>
      </c>
      <c r="J1047" t="s">
        <v>158</v>
      </c>
      <c r="K1047">
        <v>0.41024581427444401</v>
      </c>
      <c r="L1047" t="s">
        <v>157</v>
      </c>
      <c r="N1047" t="s">
        <v>351</v>
      </c>
      <c r="O1047" t="s">
        <v>158</v>
      </c>
      <c r="P1047">
        <v>0.21372075312772587</v>
      </c>
      <c r="Q1047" t="s">
        <v>157</v>
      </c>
      <c r="S1047" t="s">
        <v>462</v>
      </c>
      <c r="T1047" t="s">
        <v>158</v>
      </c>
      <c r="U1047">
        <v>0.20009924894591574</v>
      </c>
      <c r="V1047" t="s">
        <v>157</v>
      </c>
    </row>
    <row r="1048" spans="9:22" x14ac:dyDescent="0.45">
      <c r="I1048" t="s">
        <v>240</v>
      </c>
      <c r="J1048" t="s">
        <v>159</v>
      </c>
      <c r="K1048">
        <v>2.7023118579053106E-2</v>
      </c>
      <c r="L1048" t="s">
        <v>157</v>
      </c>
      <c r="N1048" t="s">
        <v>351</v>
      </c>
      <c r="O1048" t="s">
        <v>159</v>
      </c>
      <c r="P1048">
        <v>2.2596102815664744E-2</v>
      </c>
      <c r="Q1048" t="s">
        <v>157</v>
      </c>
      <c r="S1048" t="s">
        <v>462</v>
      </c>
      <c r="T1048" t="s">
        <v>159</v>
      </c>
      <c r="U1048">
        <v>2.1103649468274623E-2</v>
      </c>
      <c r="V1048" t="s">
        <v>157</v>
      </c>
    </row>
    <row r="1049" spans="9:22" x14ac:dyDescent="0.45">
      <c r="I1049" t="s">
        <v>240</v>
      </c>
      <c r="J1049" t="s">
        <v>160</v>
      </c>
      <c r="K1049">
        <v>1.638426207290037E-2</v>
      </c>
      <c r="L1049" t="s">
        <v>157</v>
      </c>
      <c r="N1049" t="s">
        <v>351</v>
      </c>
      <c r="O1049" t="s">
        <v>160</v>
      </c>
      <c r="P1049">
        <v>2.07772209927919E-2</v>
      </c>
      <c r="Q1049" t="s">
        <v>157</v>
      </c>
      <c r="S1049" t="s">
        <v>462</v>
      </c>
      <c r="T1049" t="s">
        <v>160</v>
      </c>
      <c r="U1049">
        <v>2.0918183049838088E-2</v>
      </c>
      <c r="V1049" t="s">
        <v>157</v>
      </c>
    </row>
    <row r="1050" spans="9:22" x14ac:dyDescent="0.45">
      <c r="I1050" t="s">
        <v>240</v>
      </c>
      <c r="J1050" t="s">
        <v>161</v>
      </c>
      <c r="K1050">
        <v>5.7802296866197042E-3</v>
      </c>
      <c r="L1050" t="s">
        <v>157</v>
      </c>
      <c r="N1050" t="s">
        <v>351</v>
      </c>
      <c r="O1050" t="s">
        <v>161</v>
      </c>
      <c r="P1050">
        <v>9.0802670556988069E-2</v>
      </c>
      <c r="Q1050" t="s">
        <v>157</v>
      </c>
      <c r="S1050" t="s">
        <v>462</v>
      </c>
      <c r="T1050" t="s">
        <v>161</v>
      </c>
      <c r="U1050">
        <v>9.9686277045189717E-2</v>
      </c>
      <c r="V1050" t="s">
        <v>157</v>
      </c>
    </row>
    <row r="1051" spans="9:22" x14ac:dyDescent="0.45">
      <c r="I1051" t="s">
        <v>240</v>
      </c>
      <c r="J1051" t="s">
        <v>162</v>
      </c>
      <c r="K1051">
        <v>8.0644255934976226E-3</v>
      </c>
      <c r="L1051" t="s">
        <v>157</v>
      </c>
      <c r="N1051" t="s">
        <v>351</v>
      </c>
      <c r="O1051" t="s">
        <v>162</v>
      </c>
      <c r="P1051">
        <v>9.8940638508318496E-2</v>
      </c>
      <c r="Q1051" t="s">
        <v>157</v>
      </c>
      <c r="S1051" t="s">
        <v>462</v>
      </c>
      <c r="T1051" t="s">
        <v>162</v>
      </c>
      <c r="U1051">
        <v>0.11056903628035882</v>
      </c>
      <c r="V1051" t="s">
        <v>157</v>
      </c>
    </row>
    <row r="1052" spans="9:22" x14ac:dyDescent="0.45">
      <c r="I1052" t="s">
        <v>240</v>
      </c>
      <c r="J1052" t="s">
        <v>163</v>
      </c>
      <c r="K1052">
        <v>0.25454825585161245</v>
      </c>
      <c r="L1052" t="s">
        <v>157</v>
      </c>
      <c r="N1052" t="s">
        <v>351</v>
      </c>
      <c r="O1052" t="s">
        <v>163</v>
      </c>
      <c r="P1052">
        <v>0.18133362555139498</v>
      </c>
      <c r="Q1052" t="s">
        <v>157</v>
      </c>
      <c r="S1052" t="s">
        <v>462</v>
      </c>
      <c r="T1052" t="s">
        <v>163</v>
      </c>
      <c r="U1052">
        <v>0.15872281150332448</v>
      </c>
      <c r="V1052" t="s">
        <v>157</v>
      </c>
    </row>
    <row r="1053" spans="9:22" x14ac:dyDescent="0.45">
      <c r="I1053" t="s">
        <v>240</v>
      </c>
      <c r="J1053" t="s">
        <v>164</v>
      </c>
      <c r="K1053">
        <v>1.2868601627959607E-2</v>
      </c>
      <c r="L1053" t="s">
        <v>157</v>
      </c>
      <c r="N1053" t="s">
        <v>351</v>
      </c>
      <c r="O1053" t="s">
        <v>164</v>
      </c>
      <c r="P1053">
        <v>1.6680555601555791E-2</v>
      </c>
      <c r="Q1053" t="s">
        <v>157</v>
      </c>
      <c r="S1053" t="s">
        <v>462</v>
      </c>
      <c r="T1053" t="s">
        <v>164</v>
      </c>
      <c r="U1053">
        <v>1.61631387585058E-2</v>
      </c>
      <c r="V1053" t="s">
        <v>157</v>
      </c>
    </row>
    <row r="1054" spans="9:22" x14ac:dyDescent="0.45">
      <c r="I1054" t="s">
        <v>240</v>
      </c>
      <c r="J1054" t="s">
        <v>165</v>
      </c>
      <c r="K1054">
        <v>3.0219545979278798E-3</v>
      </c>
      <c r="L1054" t="s">
        <v>157</v>
      </c>
      <c r="N1054" t="s">
        <v>351</v>
      </c>
      <c r="O1054" t="s">
        <v>165</v>
      </c>
      <c r="P1054">
        <v>1.5824008890077956E-2</v>
      </c>
      <c r="Q1054" t="s">
        <v>157</v>
      </c>
      <c r="S1054" t="s">
        <v>462</v>
      </c>
      <c r="T1054" t="s">
        <v>165</v>
      </c>
      <c r="U1054">
        <v>1.619895066097244E-2</v>
      </c>
      <c r="V1054" t="s">
        <v>157</v>
      </c>
    </row>
    <row r="1055" spans="9:22" x14ac:dyDescent="0.45">
      <c r="I1055" t="s">
        <v>240</v>
      </c>
      <c r="J1055" t="s">
        <v>166</v>
      </c>
      <c r="K1055">
        <v>0</v>
      </c>
      <c r="L1055" t="s">
        <v>157</v>
      </c>
      <c r="N1055" t="s">
        <v>351</v>
      </c>
      <c r="O1055" t="s">
        <v>166</v>
      </c>
      <c r="P1055">
        <v>7.1203317011358763E-2</v>
      </c>
      <c r="Q1055" t="s">
        <v>157</v>
      </c>
      <c r="S1055" t="s">
        <v>462</v>
      </c>
      <c r="T1055" t="s">
        <v>166</v>
      </c>
      <c r="U1055">
        <v>7.8550165480810452E-2</v>
      </c>
      <c r="V1055" t="s">
        <v>157</v>
      </c>
    </row>
    <row r="1056" spans="9:22" x14ac:dyDescent="0.45">
      <c r="I1056" t="s">
        <v>240</v>
      </c>
      <c r="J1056" t="s">
        <v>167</v>
      </c>
      <c r="K1056">
        <v>2.231632905995444E-2</v>
      </c>
      <c r="L1056" t="s">
        <v>157</v>
      </c>
      <c r="N1056" t="s">
        <v>351</v>
      </c>
      <c r="O1056" t="s">
        <v>167</v>
      </c>
      <c r="P1056">
        <v>3.3863321622657233E-2</v>
      </c>
      <c r="Q1056" t="s">
        <v>157</v>
      </c>
      <c r="S1056" t="s">
        <v>462</v>
      </c>
      <c r="T1056" t="s">
        <v>167</v>
      </c>
      <c r="U1056">
        <v>3.7997314558318528E-2</v>
      </c>
      <c r="V1056" t="s">
        <v>157</v>
      </c>
    </row>
    <row r="1057" spans="9:22" x14ac:dyDescent="0.45">
      <c r="I1057" t="s">
        <v>240</v>
      </c>
      <c r="J1057" t="s">
        <v>168</v>
      </c>
      <c r="K1057">
        <v>0.19413589195262512</v>
      </c>
      <c r="L1057" t="s">
        <v>157</v>
      </c>
      <c r="N1057" t="s">
        <v>351</v>
      </c>
      <c r="O1057" t="s">
        <v>168</v>
      </c>
      <c r="P1057">
        <v>7.8220973298814458E-2</v>
      </c>
      <c r="Q1057" t="s">
        <v>157</v>
      </c>
      <c r="S1057" t="s">
        <v>462</v>
      </c>
      <c r="T1057" t="s">
        <v>168</v>
      </c>
      <c r="U1057">
        <v>6.2580039898699091E-2</v>
      </c>
      <c r="V1057" t="s">
        <v>157</v>
      </c>
    </row>
    <row r="1058" spans="9:22" x14ac:dyDescent="0.45">
      <c r="I1058" t="s">
        <v>240</v>
      </c>
      <c r="J1058" t="s">
        <v>169</v>
      </c>
      <c r="K1058">
        <v>1.3024749053011837E-2</v>
      </c>
      <c r="L1058" t="s">
        <v>157</v>
      </c>
      <c r="N1058" t="s">
        <v>351</v>
      </c>
      <c r="O1058" t="s">
        <v>169</v>
      </c>
      <c r="P1058">
        <v>6.844604561073454E-3</v>
      </c>
      <c r="Q1058" t="s">
        <v>157</v>
      </c>
      <c r="S1058" t="s">
        <v>462</v>
      </c>
      <c r="T1058" t="s">
        <v>169</v>
      </c>
      <c r="U1058">
        <v>6.0815246832393406E-3</v>
      </c>
      <c r="V1058" t="s">
        <v>157</v>
      </c>
    </row>
    <row r="1059" spans="9:22" x14ac:dyDescent="0.45">
      <c r="I1059" t="s">
        <v>240</v>
      </c>
      <c r="J1059" t="s">
        <v>170</v>
      </c>
      <c r="K1059">
        <v>9.6187753437424525E-3</v>
      </c>
      <c r="L1059" t="s">
        <v>157</v>
      </c>
      <c r="N1059" t="s">
        <v>351</v>
      </c>
      <c r="O1059" t="s">
        <v>170</v>
      </c>
      <c r="P1059">
        <v>6.028495161068406E-3</v>
      </c>
      <c r="Q1059" t="s">
        <v>157</v>
      </c>
      <c r="S1059" t="s">
        <v>462</v>
      </c>
      <c r="T1059" t="s">
        <v>170</v>
      </c>
      <c r="U1059">
        <v>5.6367858691643083E-3</v>
      </c>
      <c r="V1059" t="s">
        <v>157</v>
      </c>
    </row>
    <row r="1060" spans="9:22" x14ac:dyDescent="0.45">
      <c r="I1060" t="s">
        <v>240</v>
      </c>
      <c r="J1060" t="s">
        <v>171</v>
      </c>
      <c r="K1060">
        <v>3.2523446454010623E-3</v>
      </c>
      <c r="L1060" t="s">
        <v>157</v>
      </c>
      <c r="N1060" t="s">
        <v>351</v>
      </c>
      <c r="O1060" t="s">
        <v>171</v>
      </c>
      <c r="P1060">
        <v>2.3391309123521102E-2</v>
      </c>
      <c r="Q1060" t="s">
        <v>157</v>
      </c>
      <c r="S1060" t="s">
        <v>462</v>
      </c>
      <c r="T1060" t="s">
        <v>171</v>
      </c>
      <c r="U1060">
        <v>2.6553873677660371E-2</v>
      </c>
      <c r="V1060" t="s">
        <v>157</v>
      </c>
    </row>
    <row r="1061" spans="9:22" x14ac:dyDescent="0.45">
      <c r="I1061" t="s">
        <v>241</v>
      </c>
      <c r="J1061" t="s">
        <v>156</v>
      </c>
      <c r="K1061">
        <v>1.8933445760495424E-2</v>
      </c>
      <c r="L1061" t="s">
        <v>157</v>
      </c>
      <c r="N1061" t="s">
        <v>352</v>
      </c>
      <c r="O1061" t="s">
        <v>156</v>
      </c>
      <c r="P1061">
        <v>0.10600961407253702</v>
      </c>
      <c r="Q1061" t="s">
        <v>157</v>
      </c>
      <c r="S1061" t="s">
        <v>463</v>
      </c>
      <c r="T1061" t="s">
        <v>156</v>
      </c>
      <c r="U1061">
        <v>0.13750246935782587</v>
      </c>
      <c r="V1061" t="s">
        <v>157</v>
      </c>
    </row>
    <row r="1062" spans="9:22" x14ac:dyDescent="0.45">
      <c r="I1062" t="s">
        <v>241</v>
      </c>
      <c r="J1062" t="s">
        <v>158</v>
      </c>
      <c r="K1062">
        <v>0.41065965471224192</v>
      </c>
      <c r="L1062" t="s">
        <v>157</v>
      </c>
      <c r="N1062" t="s">
        <v>352</v>
      </c>
      <c r="O1062" t="s">
        <v>158</v>
      </c>
      <c r="P1062">
        <v>0.18327473869409641</v>
      </c>
      <c r="Q1062" t="s">
        <v>157</v>
      </c>
      <c r="S1062" t="s">
        <v>463</v>
      </c>
      <c r="T1062" t="s">
        <v>158</v>
      </c>
      <c r="U1062">
        <v>0.19513968523962077</v>
      </c>
      <c r="V1062" t="s">
        <v>157</v>
      </c>
    </row>
    <row r="1063" spans="9:22" x14ac:dyDescent="0.45">
      <c r="I1063" t="s">
        <v>241</v>
      </c>
      <c r="J1063" t="s">
        <v>159</v>
      </c>
      <c r="K1063">
        <v>2.7529832822992876E-2</v>
      </c>
      <c r="L1063" t="s">
        <v>157</v>
      </c>
      <c r="N1063" t="s">
        <v>352</v>
      </c>
      <c r="O1063" t="s">
        <v>159</v>
      </c>
      <c r="P1063">
        <v>1.9116712125906266E-2</v>
      </c>
      <c r="Q1063" t="s">
        <v>157</v>
      </c>
      <c r="S1063" t="s">
        <v>463</v>
      </c>
      <c r="T1063" t="s">
        <v>159</v>
      </c>
      <c r="U1063">
        <v>2.1027570825051647E-2</v>
      </c>
      <c r="V1063" t="s">
        <v>157</v>
      </c>
    </row>
    <row r="1064" spans="9:22" x14ac:dyDescent="0.45">
      <c r="I1064" t="s">
        <v>241</v>
      </c>
      <c r="J1064" t="s">
        <v>160</v>
      </c>
      <c r="K1064">
        <v>1.6563157220381465E-2</v>
      </c>
      <c r="L1064" t="s">
        <v>157</v>
      </c>
      <c r="N1064" t="s">
        <v>352</v>
      </c>
      <c r="O1064" t="s">
        <v>160</v>
      </c>
      <c r="P1064">
        <v>1.7847472164000584E-2</v>
      </c>
      <c r="Q1064" t="s">
        <v>157</v>
      </c>
      <c r="S1064" t="s">
        <v>463</v>
      </c>
      <c r="T1064" t="s">
        <v>160</v>
      </c>
      <c r="U1064">
        <v>2.1024300023705485E-2</v>
      </c>
      <c r="V1064" t="s">
        <v>157</v>
      </c>
    </row>
    <row r="1065" spans="9:22" x14ac:dyDescent="0.45">
      <c r="I1065" t="s">
        <v>241</v>
      </c>
      <c r="J1065" t="s">
        <v>161</v>
      </c>
      <c r="K1065">
        <v>5.728974352773049E-3</v>
      </c>
      <c r="L1065" t="s">
        <v>157</v>
      </c>
      <c r="N1065" t="s">
        <v>352</v>
      </c>
      <c r="O1065" t="s">
        <v>161</v>
      </c>
      <c r="P1065">
        <v>7.6647259929377029E-2</v>
      </c>
      <c r="Q1065" t="s">
        <v>157</v>
      </c>
      <c r="S1065" t="s">
        <v>463</v>
      </c>
      <c r="T1065" t="s">
        <v>161</v>
      </c>
      <c r="U1065">
        <v>0.10266480499450253</v>
      </c>
      <c r="V1065" t="s">
        <v>157</v>
      </c>
    </row>
    <row r="1066" spans="9:22" x14ac:dyDescent="0.45">
      <c r="I1066" t="s">
        <v>241</v>
      </c>
      <c r="J1066" t="s">
        <v>162</v>
      </c>
      <c r="K1066">
        <v>7.6609710396164472E-3</v>
      </c>
      <c r="L1066" t="s">
        <v>157</v>
      </c>
      <c r="N1066" t="s">
        <v>352</v>
      </c>
      <c r="O1066" t="s">
        <v>162</v>
      </c>
      <c r="P1066">
        <v>0.11845517660018516</v>
      </c>
      <c r="Q1066" t="s">
        <v>157</v>
      </c>
      <c r="S1066" t="s">
        <v>463</v>
      </c>
      <c r="T1066" t="s">
        <v>162</v>
      </c>
      <c r="U1066">
        <v>0.11031084090528995</v>
      </c>
      <c r="V1066" t="s">
        <v>157</v>
      </c>
    </row>
    <row r="1067" spans="9:22" x14ac:dyDescent="0.45">
      <c r="I1067" t="s">
        <v>241</v>
      </c>
      <c r="J1067" t="s">
        <v>163</v>
      </c>
      <c r="K1067">
        <v>0.24463787904208958</v>
      </c>
      <c r="L1067" t="s">
        <v>157</v>
      </c>
      <c r="N1067" t="s">
        <v>352</v>
      </c>
      <c r="O1067" t="s">
        <v>163</v>
      </c>
      <c r="P1067">
        <v>0.1949555138300452</v>
      </c>
      <c r="Q1067" t="s">
        <v>157</v>
      </c>
      <c r="S1067" t="s">
        <v>463</v>
      </c>
      <c r="T1067" t="s">
        <v>163</v>
      </c>
      <c r="U1067">
        <v>0.16198178719553907</v>
      </c>
      <c r="V1067" t="s">
        <v>157</v>
      </c>
    </row>
    <row r="1068" spans="9:22" x14ac:dyDescent="0.45">
      <c r="I1068" t="s">
        <v>241</v>
      </c>
      <c r="J1068" t="s">
        <v>164</v>
      </c>
      <c r="K1068">
        <v>1.3052557136270305E-2</v>
      </c>
      <c r="L1068" t="s">
        <v>157</v>
      </c>
      <c r="N1068" t="s">
        <v>352</v>
      </c>
      <c r="O1068" t="s">
        <v>164</v>
      </c>
      <c r="P1068">
        <v>1.8419159203982054E-2</v>
      </c>
      <c r="Q1068" t="s">
        <v>157</v>
      </c>
      <c r="S1068" t="s">
        <v>463</v>
      </c>
      <c r="T1068" t="s">
        <v>164</v>
      </c>
      <c r="U1068">
        <v>1.63549093667033E-2</v>
      </c>
      <c r="V1068" t="s">
        <v>157</v>
      </c>
    </row>
    <row r="1069" spans="9:22" x14ac:dyDescent="0.45">
      <c r="I1069" t="s">
        <v>241</v>
      </c>
      <c r="J1069" t="s">
        <v>165</v>
      </c>
      <c r="K1069">
        <v>3.1413970261359825E-3</v>
      </c>
      <c r="L1069" t="s">
        <v>157</v>
      </c>
      <c r="N1069" t="s">
        <v>352</v>
      </c>
      <c r="O1069" t="s">
        <v>165</v>
      </c>
      <c r="P1069">
        <v>1.7545432023046391E-2</v>
      </c>
      <c r="Q1069" t="s">
        <v>157</v>
      </c>
      <c r="S1069" t="s">
        <v>463</v>
      </c>
      <c r="T1069" t="s">
        <v>165</v>
      </c>
      <c r="U1069">
        <v>1.6473526796717999E-2</v>
      </c>
      <c r="V1069" t="s">
        <v>157</v>
      </c>
    </row>
    <row r="1070" spans="9:22" x14ac:dyDescent="0.45">
      <c r="I1070" t="s">
        <v>241</v>
      </c>
      <c r="J1070" t="s">
        <v>166</v>
      </c>
      <c r="K1070">
        <v>0</v>
      </c>
      <c r="L1070" t="s">
        <v>157</v>
      </c>
      <c r="N1070" t="s">
        <v>352</v>
      </c>
      <c r="O1070" t="s">
        <v>166</v>
      </c>
      <c r="P1070">
        <v>8.1037034006789105E-2</v>
      </c>
      <c r="Q1070" t="s">
        <v>157</v>
      </c>
      <c r="S1070" t="s">
        <v>463</v>
      </c>
      <c r="T1070" t="s">
        <v>166</v>
      </c>
      <c r="U1070">
        <v>7.8890641225870334E-2</v>
      </c>
      <c r="V1070" t="s">
        <v>157</v>
      </c>
    </row>
    <row r="1071" spans="9:22" x14ac:dyDescent="0.45">
      <c r="I1071" t="s">
        <v>241</v>
      </c>
      <c r="J1071" t="s">
        <v>167</v>
      </c>
      <c r="K1071">
        <v>2.204509702056864E-2</v>
      </c>
      <c r="L1071" t="s">
        <v>157</v>
      </c>
      <c r="N1071" t="s">
        <v>352</v>
      </c>
      <c r="O1071" t="s">
        <v>167</v>
      </c>
      <c r="P1071">
        <v>3.6098904200084221E-2</v>
      </c>
      <c r="Q1071" t="s">
        <v>157</v>
      </c>
      <c r="S1071" t="s">
        <v>463</v>
      </c>
      <c r="T1071" t="s">
        <v>167</v>
      </c>
      <c r="U1071">
        <v>3.6468122542200491E-2</v>
      </c>
      <c r="V1071" t="s">
        <v>157</v>
      </c>
    </row>
    <row r="1072" spans="9:22" x14ac:dyDescent="0.45">
      <c r="I1072" t="s">
        <v>241</v>
      </c>
      <c r="J1072" t="s">
        <v>168</v>
      </c>
      <c r="K1072">
        <v>0.20200762675414791</v>
      </c>
      <c r="L1072" t="s">
        <v>157</v>
      </c>
      <c r="N1072" t="s">
        <v>352</v>
      </c>
      <c r="O1072" t="s">
        <v>168</v>
      </c>
      <c r="P1072">
        <v>8.9341244723557922E-2</v>
      </c>
      <c r="Q1072" t="s">
        <v>157</v>
      </c>
      <c r="S1072" t="s">
        <v>463</v>
      </c>
      <c r="T1072" t="s">
        <v>168</v>
      </c>
      <c r="U1072">
        <v>6.1482002057216711E-2</v>
      </c>
      <c r="V1072" t="s">
        <v>157</v>
      </c>
    </row>
    <row r="1073" spans="9:22" x14ac:dyDescent="0.45">
      <c r="I1073" t="s">
        <v>241</v>
      </c>
      <c r="J1073" t="s">
        <v>169</v>
      </c>
      <c r="K1073">
        <v>1.4445310039355558E-2</v>
      </c>
      <c r="L1073" t="s">
        <v>157</v>
      </c>
      <c r="N1073" t="s">
        <v>352</v>
      </c>
      <c r="O1073" t="s">
        <v>169</v>
      </c>
      <c r="P1073">
        <v>7.4110186836445387E-3</v>
      </c>
      <c r="Q1073" t="s">
        <v>157</v>
      </c>
      <c r="S1073" t="s">
        <v>463</v>
      </c>
      <c r="T1073" t="s">
        <v>169</v>
      </c>
      <c r="U1073">
        <v>6.6985603267443357E-3</v>
      </c>
      <c r="V1073" t="s">
        <v>157</v>
      </c>
    </row>
    <row r="1074" spans="9:22" x14ac:dyDescent="0.45">
      <c r="I1074" t="s">
        <v>241</v>
      </c>
      <c r="J1074" t="s">
        <v>170</v>
      </c>
      <c r="K1074">
        <v>1.0369049437691584E-2</v>
      </c>
      <c r="L1074" t="s">
        <v>157</v>
      </c>
      <c r="N1074" t="s">
        <v>352</v>
      </c>
      <c r="O1074" t="s">
        <v>170</v>
      </c>
      <c r="P1074">
        <v>6.5261325090389833E-3</v>
      </c>
      <c r="Q1074" t="s">
        <v>157</v>
      </c>
      <c r="S1074" t="s">
        <v>463</v>
      </c>
      <c r="T1074" t="s">
        <v>170</v>
      </c>
      <c r="U1074">
        <v>6.2177607488674066E-3</v>
      </c>
      <c r="V1074" t="s">
        <v>157</v>
      </c>
    </row>
    <row r="1075" spans="9:22" x14ac:dyDescent="0.45">
      <c r="I1075" t="s">
        <v>241</v>
      </c>
      <c r="J1075" t="s">
        <v>171</v>
      </c>
      <c r="K1075">
        <v>3.2250476352392739E-3</v>
      </c>
      <c r="L1075" t="s">
        <v>157</v>
      </c>
      <c r="N1075" t="s">
        <v>352</v>
      </c>
      <c r="O1075" t="s">
        <v>171</v>
      </c>
      <c r="P1075">
        <v>2.731458723370906E-2</v>
      </c>
      <c r="Q1075" t="s">
        <v>157</v>
      </c>
      <c r="S1075" t="s">
        <v>463</v>
      </c>
      <c r="T1075" t="s">
        <v>171</v>
      </c>
      <c r="U1075">
        <v>2.7763018394144075E-2</v>
      </c>
      <c r="V1075" t="s">
        <v>157</v>
      </c>
    </row>
    <row r="1076" spans="9:22" x14ac:dyDescent="0.45">
      <c r="I1076" t="s">
        <v>242</v>
      </c>
      <c r="J1076" t="s">
        <v>156</v>
      </c>
      <c r="K1076">
        <v>1.7832984179400862E-2</v>
      </c>
      <c r="L1076" t="s">
        <v>157</v>
      </c>
      <c r="N1076" t="s">
        <v>353</v>
      </c>
      <c r="O1076" t="s">
        <v>156</v>
      </c>
      <c r="P1076">
        <v>0.10734465602004743</v>
      </c>
      <c r="Q1076" t="s">
        <v>157</v>
      </c>
      <c r="S1076" t="s">
        <v>464</v>
      </c>
      <c r="T1076" t="s">
        <v>156</v>
      </c>
      <c r="U1076">
        <v>0.11236697764065863</v>
      </c>
      <c r="V1076" t="s">
        <v>157</v>
      </c>
    </row>
    <row r="1077" spans="9:22" x14ac:dyDescent="0.45">
      <c r="I1077" t="s">
        <v>242</v>
      </c>
      <c r="J1077" t="s">
        <v>158</v>
      </c>
      <c r="K1077">
        <v>0.40994688582328231</v>
      </c>
      <c r="L1077" t="s">
        <v>157</v>
      </c>
      <c r="N1077" t="s">
        <v>353</v>
      </c>
      <c r="O1077" t="s">
        <v>158</v>
      </c>
      <c r="P1077">
        <v>0.17866353924877337</v>
      </c>
      <c r="Q1077" t="s">
        <v>157</v>
      </c>
      <c r="S1077" t="s">
        <v>464</v>
      </c>
      <c r="T1077" t="s">
        <v>158</v>
      </c>
      <c r="U1077">
        <v>0.20900812360596693</v>
      </c>
      <c r="V1077" t="s">
        <v>157</v>
      </c>
    </row>
    <row r="1078" spans="9:22" x14ac:dyDescent="0.45">
      <c r="I1078" t="s">
        <v>242</v>
      </c>
      <c r="J1078" t="s">
        <v>159</v>
      </c>
      <c r="K1078">
        <v>2.8051688194194187E-2</v>
      </c>
      <c r="L1078" t="s">
        <v>157</v>
      </c>
      <c r="N1078" t="s">
        <v>353</v>
      </c>
      <c r="O1078" t="s">
        <v>159</v>
      </c>
      <c r="P1078">
        <v>2.0944118210401756E-2</v>
      </c>
      <c r="Q1078" t="s">
        <v>157</v>
      </c>
      <c r="S1078" t="s">
        <v>464</v>
      </c>
      <c r="T1078" t="s">
        <v>159</v>
      </c>
      <c r="U1078">
        <v>2.0340065768413188E-2</v>
      </c>
      <c r="V1078" t="s">
        <v>157</v>
      </c>
    </row>
    <row r="1079" spans="9:22" x14ac:dyDescent="0.45">
      <c r="I1079" t="s">
        <v>242</v>
      </c>
      <c r="J1079" t="s">
        <v>160</v>
      </c>
      <c r="K1079">
        <v>1.6920367057096049E-2</v>
      </c>
      <c r="L1079" t="s">
        <v>157</v>
      </c>
      <c r="N1079" t="s">
        <v>353</v>
      </c>
      <c r="O1079" t="s">
        <v>160</v>
      </c>
      <c r="P1079">
        <v>2.0321397763356702E-2</v>
      </c>
      <c r="Q1079" t="s">
        <v>157</v>
      </c>
      <c r="S1079" t="s">
        <v>464</v>
      </c>
      <c r="T1079" t="s">
        <v>160</v>
      </c>
      <c r="U1079">
        <v>1.7911963990964515E-2</v>
      </c>
      <c r="V1079" t="s">
        <v>157</v>
      </c>
    </row>
    <row r="1080" spans="9:22" x14ac:dyDescent="0.45">
      <c r="I1080" t="s">
        <v>242</v>
      </c>
      <c r="J1080" t="s">
        <v>161</v>
      </c>
      <c r="K1080">
        <v>5.3584286145890872E-3</v>
      </c>
      <c r="L1080" t="s">
        <v>157</v>
      </c>
      <c r="N1080" t="s">
        <v>353</v>
      </c>
      <c r="O1080" t="s">
        <v>161</v>
      </c>
      <c r="P1080">
        <v>8.7230747476719425E-2</v>
      </c>
      <c r="Q1080" t="s">
        <v>157</v>
      </c>
      <c r="S1080" t="s">
        <v>464</v>
      </c>
      <c r="T1080" t="s">
        <v>161</v>
      </c>
      <c r="U1080">
        <v>8.0927876528590403E-2</v>
      </c>
      <c r="V1080" t="s">
        <v>157</v>
      </c>
    </row>
    <row r="1081" spans="9:22" x14ac:dyDescent="0.45">
      <c r="I1081" t="s">
        <v>242</v>
      </c>
      <c r="J1081" t="s">
        <v>162</v>
      </c>
      <c r="K1081">
        <v>7.2793624691051108E-3</v>
      </c>
      <c r="L1081" t="s">
        <v>157</v>
      </c>
      <c r="N1081" t="s">
        <v>353</v>
      </c>
      <c r="O1081" t="s">
        <v>162</v>
      </c>
      <c r="P1081">
        <v>0.10803024611912675</v>
      </c>
      <c r="Q1081" t="s">
        <v>157</v>
      </c>
      <c r="S1081" t="s">
        <v>464</v>
      </c>
      <c r="T1081" t="s">
        <v>162</v>
      </c>
      <c r="U1081">
        <v>0.12474688434534373</v>
      </c>
      <c r="V1081" t="s">
        <v>157</v>
      </c>
    </row>
    <row r="1082" spans="9:22" x14ac:dyDescent="0.45">
      <c r="I1082" t="s">
        <v>242</v>
      </c>
      <c r="J1082" t="s">
        <v>163</v>
      </c>
      <c r="K1082">
        <v>0.23940435549086442</v>
      </c>
      <c r="L1082" t="s">
        <v>157</v>
      </c>
      <c r="N1082" t="s">
        <v>353</v>
      </c>
      <c r="O1082" t="s">
        <v>163</v>
      </c>
      <c r="P1082">
        <v>0.17926431272217855</v>
      </c>
      <c r="Q1082" t="s">
        <v>157</v>
      </c>
      <c r="S1082" t="s">
        <v>464</v>
      </c>
      <c r="T1082" t="s">
        <v>163</v>
      </c>
      <c r="U1082">
        <v>0.19577675427526847</v>
      </c>
      <c r="V1082" t="s">
        <v>157</v>
      </c>
    </row>
    <row r="1083" spans="9:22" x14ac:dyDescent="0.45">
      <c r="I1083" t="s">
        <v>242</v>
      </c>
      <c r="J1083" t="s">
        <v>164</v>
      </c>
      <c r="K1083">
        <v>1.2929757646299453E-2</v>
      </c>
      <c r="L1083" t="s">
        <v>157</v>
      </c>
      <c r="N1083" t="s">
        <v>353</v>
      </c>
      <c r="O1083" t="s">
        <v>164</v>
      </c>
      <c r="P1083">
        <v>1.9871218255303868E-2</v>
      </c>
      <c r="Q1083" t="s">
        <v>157</v>
      </c>
      <c r="S1083" t="s">
        <v>464</v>
      </c>
      <c r="T1083" t="s">
        <v>164</v>
      </c>
      <c r="U1083">
        <v>1.7533419173924123E-2</v>
      </c>
      <c r="V1083" t="s">
        <v>157</v>
      </c>
    </row>
    <row r="1084" spans="9:22" x14ac:dyDescent="0.45">
      <c r="I1084" t="s">
        <v>242</v>
      </c>
      <c r="J1084" t="s">
        <v>165</v>
      </c>
      <c r="K1084">
        <v>3.2536826971082036E-3</v>
      </c>
      <c r="L1084" t="s">
        <v>157</v>
      </c>
      <c r="N1084" t="s">
        <v>353</v>
      </c>
      <c r="O1084" t="s">
        <v>165</v>
      </c>
      <c r="P1084">
        <v>1.9423357214967862E-2</v>
      </c>
      <c r="Q1084" t="s">
        <v>157</v>
      </c>
      <c r="S1084" t="s">
        <v>464</v>
      </c>
      <c r="T1084" t="s">
        <v>165</v>
      </c>
      <c r="U1084">
        <v>1.6974997376187673E-2</v>
      </c>
      <c r="V1084" t="s">
        <v>157</v>
      </c>
    </row>
    <row r="1085" spans="9:22" x14ac:dyDescent="0.45">
      <c r="I1085" t="s">
        <v>242</v>
      </c>
      <c r="J1085" t="s">
        <v>166</v>
      </c>
      <c r="K1085">
        <v>0</v>
      </c>
      <c r="L1085" t="s">
        <v>157</v>
      </c>
      <c r="N1085" t="s">
        <v>353</v>
      </c>
      <c r="O1085" t="s">
        <v>166</v>
      </c>
      <c r="P1085">
        <v>8.6198382873886356E-2</v>
      </c>
      <c r="Q1085" t="s">
        <v>157</v>
      </c>
      <c r="S1085" t="s">
        <v>464</v>
      </c>
      <c r="T1085" t="s">
        <v>166</v>
      </c>
      <c r="U1085">
        <v>8.484895429566934E-2</v>
      </c>
      <c r="V1085" t="s">
        <v>157</v>
      </c>
    </row>
    <row r="1086" spans="9:22" x14ac:dyDescent="0.45">
      <c r="I1086" t="s">
        <v>242</v>
      </c>
      <c r="J1086" t="s">
        <v>167</v>
      </c>
      <c r="K1086">
        <v>2.1790357275861039E-2</v>
      </c>
      <c r="L1086" t="s">
        <v>157</v>
      </c>
      <c r="N1086" t="s">
        <v>353</v>
      </c>
      <c r="O1086" t="s">
        <v>167</v>
      </c>
      <c r="P1086">
        <v>3.9323961655119678E-2</v>
      </c>
      <c r="Q1086" t="s">
        <v>157</v>
      </c>
      <c r="S1086" t="s">
        <v>464</v>
      </c>
      <c r="T1086" t="s">
        <v>167</v>
      </c>
      <c r="U1086">
        <v>2.2999534444674122E-2</v>
      </c>
      <c r="V1086" t="s">
        <v>157</v>
      </c>
    </row>
    <row r="1087" spans="9:22" x14ac:dyDescent="0.45">
      <c r="I1087" t="s">
        <v>242</v>
      </c>
      <c r="J1087" t="s">
        <v>168</v>
      </c>
      <c r="K1087">
        <v>0.20691631599079319</v>
      </c>
      <c r="L1087" t="s">
        <v>157</v>
      </c>
      <c r="N1087" t="s">
        <v>353</v>
      </c>
      <c r="O1087" t="s">
        <v>168</v>
      </c>
      <c r="P1087">
        <v>8.12273447724879E-2</v>
      </c>
      <c r="Q1087" t="s">
        <v>157</v>
      </c>
      <c r="S1087" t="s">
        <v>464</v>
      </c>
      <c r="T1087" t="s">
        <v>168</v>
      </c>
      <c r="U1087">
        <v>6.8855112795171536E-2</v>
      </c>
      <c r="V1087" t="s">
        <v>157</v>
      </c>
    </row>
    <row r="1088" spans="9:22" x14ac:dyDescent="0.45">
      <c r="I1088" t="s">
        <v>242</v>
      </c>
      <c r="J1088" t="s">
        <v>169</v>
      </c>
      <c r="K1088">
        <v>1.593320841777604E-2</v>
      </c>
      <c r="L1088" t="s">
        <v>157</v>
      </c>
      <c r="N1088" t="s">
        <v>353</v>
      </c>
      <c r="O1088" t="s">
        <v>169</v>
      </c>
      <c r="P1088">
        <v>8.8044103109650579E-3</v>
      </c>
      <c r="Q1088" t="s">
        <v>157</v>
      </c>
      <c r="S1088" t="s">
        <v>464</v>
      </c>
      <c r="T1088" t="s">
        <v>169</v>
      </c>
      <c r="U1088">
        <v>6.1795840539713197E-3</v>
      </c>
      <c r="V1088" t="s">
        <v>157</v>
      </c>
    </row>
    <row r="1089" spans="9:22" x14ac:dyDescent="0.45">
      <c r="I1089" t="s">
        <v>242</v>
      </c>
      <c r="J1089" t="s">
        <v>170</v>
      </c>
      <c r="K1089">
        <v>1.1094719225007831E-2</v>
      </c>
      <c r="L1089" t="s">
        <v>157</v>
      </c>
      <c r="N1089" t="s">
        <v>353</v>
      </c>
      <c r="O1089" t="s">
        <v>170</v>
      </c>
      <c r="P1089">
        <v>8.4109986766739715E-3</v>
      </c>
      <c r="Q1089" t="s">
        <v>157</v>
      </c>
      <c r="S1089" t="s">
        <v>464</v>
      </c>
      <c r="T1089" t="s">
        <v>170</v>
      </c>
      <c r="U1089">
        <v>4.3990509525619779E-3</v>
      </c>
      <c r="V1089" t="s">
        <v>157</v>
      </c>
    </row>
    <row r="1090" spans="9:22" x14ac:dyDescent="0.45">
      <c r="I1090" t="s">
        <v>242</v>
      </c>
      <c r="J1090" t="s">
        <v>171</v>
      </c>
      <c r="K1090">
        <v>3.2878869186221652E-3</v>
      </c>
      <c r="L1090" t="s">
        <v>157</v>
      </c>
      <c r="N1090" t="s">
        <v>353</v>
      </c>
      <c r="O1090" t="s">
        <v>171</v>
      </c>
      <c r="P1090">
        <v>3.4941308679991345E-2</v>
      </c>
      <c r="Q1090" t="s">
        <v>157</v>
      </c>
      <c r="S1090" t="s">
        <v>464</v>
      </c>
      <c r="T1090" t="s">
        <v>171</v>
      </c>
      <c r="U1090">
        <v>1.7130700752634002E-2</v>
      </c>
      <c r="V1090" t="s">
        <v>157</v>
      </c>
    </row>
    <row r="1091" spans="9:22" x14ac:dyDescent="0.45">
      <c r="I1091" t="s">
        <v>243</v>
      </c>
      <c r="J1091" t="s">
        <v>156</v>
      </c>
      <c r="K1091">
        <v>1.6165813277513385E-2</v>
      </c>
      <c r="L1091" t="s">
        <v>157</v>
      </c>
      <c r="N1091" t="s">
        <v>354</v>
      </c>
      <c r="O1091" t="s">
        <v>156</v>
      </c>
      <c r="P1091">
        <v>0.13047474679682736</v>
      </c>
      <c r="Q1091" t="s">
        <v>157</v>
      </c>
      <c r="S1091" t="s">
        <v>465</v>
      </c>
      <c r="T1091" t="s">
        <v>156</v>
      </c>
      <c r="U1091">
        <v>0.11862797087544415</v>
      </c>
      <c r="V1091" t="s">
        <v>157</v>
      </c>
    </row>
    <row r="1092" spans="9:22" x14ac:dyDescent="0.45">
      <c r="I1092" t="s">
        <v>243</v>
      </c>
      <c r="J1092" t="s">
        <v>158</v>
      </c>
      <c r="K1092">
        <v>0.42200684026461815</v>
      </c>
      <c r="L1092" t="s">
        <v>157</v>
      </c>
      <c r="N1092" t="s">
        <v>354</v>
      </c>
      <c r="O1092" t="s">
        <v>158</v>
      </c>
      <c r="P1092">
        <v>0.18649603573174864</v>
      </c>
      <c r="Q1092" t="s">
        <v>157</v>
      </c>
      <c r="S1092" t="s">
        <v>465</v>
      </c>
      <c r="T1092" t="s">
        <v>158</v>
      </c>
      <c r="U1092">
        <v>0.19268065414550142</v>
      </c>
      <c r="V1092" t="s">
        <v>157</v>
      </c>
    </row>
    <row r="1093" spans="9:22" x14ac:dyDescent="0.45">
      <c r="I1093" t="s">
        <v>243</v>
      </c>
      <c r="J1093" t="s">
        <v>159</v>
      </c>
      <c r="K1093">
        <v>2.9136004049275889E-2</v>
      </c>
      <c r="L1093" t="s">
        <v>157</v>
      </c>
      <c r="N1093" t="s">
        <v>354</v>
      </c>
      <c r="O1093" t="s">
        <v>159</v>
      </c>
      <c r="P1093">
        <v>1.9174481111163419E-2</v>
      </c>
      <c r="Q1093" t="s">
        <v>157</v>
      </c>
      <c r="S1093" t="s">
        <v>465</v>
      </c>
      <c r="T1093" t="s">
        <v>159</v>
      </c>
      <c r="U1093">
        <v>2.0474317588265772E-2</v>
      </c>
      <c r="V1093" t="s">
        <v>157</v>
      </c>
    </row>
    <row r="1094" spans="9:22" x14ac:dyDescent="0.45">
      <c r="I1094" t="s">
        <v>243</v>
      </c>
      <c r="J1094" t="s">
        <v>160</v>
      </c>
      <c r="K1094">
        <v>1.7577679120506746E-2</v>
      </c>
      <c r="L1094" t="s">
        <v>157</v>
      </c>
      <c r="N1094" t="s">
        <v>354</v>
      </c>
      <c r="O1094" t="s">
        <v>160</v>
      </c>
      <c r="P1094">
        <v>1.8699766405408515E-2</v>
      </c>
      <c r="Q1094" t="s">
        <v>157</v>
      </c>
      <c r="S1094" t="s">
        <v>465</v>
      </c>
      <c r="T1094" t="s">
        <v>160</v>
      </c>
      <c r="U1094">
        <v>1.9291011327056632E-2</v>
      </c>
      <c r="V1094" t="s">
        <v>157</v>
      </c>
    </row>
    <row r="1095" spans="9:22" x14ac:dyDescent="0.45">
      <c r="I1095" t="s">
        <v>243</v>
      </c>
      <c r="J1095" t="s">
        <v>161</v>
      </c>
      <c r="K1095">
        <v>4.9047348439453945E-3</v>
      </c>
      <c r="L1095" t="s">
        <v>157</v>
      </c>
      <c r="N1095" t="s">
        <v>354</v>
      </c>
      <c r="O1095" t="s">
        <v>161</v>
      </c>
      <c r="P1095">
        <v>9.2000418433423159E-2</v>
      </c>
      <c r="Q1095" t="s">
        <v>157</v>
      </c>
      <c r="S1095" t="s">
        <v>465</v>
      </c>
      <c r="T1095" t="s">
        <v>161</v>
      </c>
      <c r="U1095">
        <v>8.5175931908091043E-2</v>
      </c>
      <c r="V1095" t="s">
        <v>157</v>
      </c>
    </row>
    <row r="1096" spans="9:22" x14ac:dyDescent="0.45">
      <c r="I1096" t="s">
        <v>243</v>
      </c>
      <c r="J1096" t="s">
        <v>162</v>
      </c>
      <c r="K1096">
        <v>5.8186033039448228E-3</v>
      </c>
      <c r="L1096" t="s">
        <v>157</v>
      </c>
      <c r="N1096" t="s">
        <v>354</v>
      </c>
      <c r="O1096" t="s">
        <v>162</v>
      </c>
      <c r="P1096">
        <v>0.11313707186790863</v>
      </c>
      <c r="Q1096" t="s">
        <v>157</v>
      </c>
      <c r="S1096" t="s">
        <v>465</v>
      </c>
      <c r="T1096" t="s">
        <v>162</v>
      </c>
      <c r="U1096">
        <v>0.11158537284209494</v>
      </c>
      <c r="V1096" t="s">
        <v>157</v>
      </c>
    </row>
    <row r="1097" spans="9:22" x14ac:dyDescent="0.45">
      <c r="I1097" t="s">
        <v>243</v>
      </c>
      <c r="J1097" t="s">
        <v>163</v>
      </c>
      <c r="K1097">
        <v>0.23154412610291325</v>
      </c>
      <c r="L1097" t="s">
        <v>157</v>
      </c>
      <c r="N1097" t="s">
        <v>354</v>
      </c>
      <c r="O1097" t="s">
        <v>163</v>
      </c>
      <c r="P1097">
        <v>0.16807341871940659</v>
      </c>
      <c r="Q1097" t="s">
        <v>157</v>
      </c>
      <c r="S1097" t="s">
        <v>465</v>
      </c>
      <c r="T1097" t="s">
        <v>163</v>
      </c>
      <c r="U1097">
        <v>0.16859206039647226</v>
      </c>
      <c r="V1097" t="s">
        <v>157</v>
      </c>
    </row>
    <row r="1098" spans="9:22" x14ac:dyDescent="0.45">
      <c r="I1098" t="s">
        <v>243</v>
      </c>
      <c r="J1098" t="s">
        <v>164</v>
      </c>
      <c r="K1098">
        <v>1.2349945394396262E-2</v>
      </c>
      <c r="L1098" t="s">
        <v>157</v>
      </c>
      <c r="N1098" t="s">
        <v>354</v>
      </c>
      <c r="O1098" t="s">
        <v>164</v>
      </c>
      <c r="P1098">
        <v>1.7338240614534393E-2</v>
      </c>
      <c r="Q1098" t="s">
        <v>157</v>
      </c>
      <c r="S1098" t="s">
        <v>465</v>
      </c>
      <c r="T1098" t="s">
        <v>164</v>
      </c>
      <c r="U1098">
        <v>1.6887731808693171E-2</v>
      </c>
      <c r="V1098" t="s">
        <v>157</v>
      </c>
    </row>
    <row r="1099" spans="9:22" x14ac:dyDescent="0.45">
      <c r="I1099" t="s">
        <v>243</v>
      </c>
      <c r="J1099" t="s">
        <v>165</v>
      </c>
      <c r="K1099">
        <v>2.7390117873362925E-3</v>
      </c>
      <c r="L1099" t="s">
        <v>157</v>
      </c>
      <c r="N1099" t="s">
        <v>354</v>
      </c>
      <c r="O1099" t="s">
        <v>165</v>
      </c>
      <c r="P1099">
        <v>1.7423357921320978E-2</v>
      </c>
      <c r="Q1099" t="s">
        <v>157</v>
      </c>
      <c r="S1099" t="s">
        <v>465</v>
      </c>
      <c r="T1099" t="s">
        <v>165</v>
      </c>
      <c r="U1099">
        <v>1.6840867434664938E-2</v>
      </c>
      <c r="V1099" t="s">
        <v>157</v>
      </c>
    </row>
    <row r="1100" spans="9:22" x14ac:dyDescent="0.45">
      <c r="I1100" t="s">
        <v>243</v>
      </c>
      <c r="J1100" t="s">
        <v>166</v>
      </c>
      <c r="K1100">
        <v>0</v>
      </c>
      <c r="L1100" t="s">
        <v>157</v>
      </c>
      <c r="N1100" t="s">
        <v>354</v>
      </c>
      <c r="O1100" t="s">
        <v>166</v>
      </c>
      <c r="P1100">
        <v>8.6636052879648928E-2</v>
      </c>
      <c r="Q1100" t="s">
        <v>157</v>
      </c>
      <c r="S1100" t="s">
        <v>465</v>
      </c>
      <c r="T1100" t="s">
        <v>166</v>
      </c>
      <c r="U1100">
        <v>8.0716141500861399E-2</v>
      </c>
      <c r="V1100" t="s">
        <v>157</v>
      </c>
    </row>
    <row r="1101" spans="9:22" x14ac:dyDescent="0.45">
      <c r="I1101" t="s">
        <v>243</v>
      </c>
      <c r="J1101" t="s">
        <v>167</v>
      </c>
      <c r="K1101">
        <v>1.9979081530631427E-2</v>
      </c>
      <c r="L1101" t="s">
        <v>157</v>
      </c>
      <c r="N1101" t="s">
        <v>354</v>
      </c>
      <c r="O1101" t="s">
        <v>167</v>
      </c>
      <c r="P1101">
        <v>4.239647812663852E-2</v>
      </c>
      <c r="Q1101" t="s">
        <v>157</v>
      </c>
      <c r="S1101" t="s">
        <v>465</v>
      </c>
      <c r="T1101" t="s">
        <v>167</v>
      </c>
      <c r="U1101">
        <v>4.099389435334963E-2</v>
      </c>
      <c r="V1101" t="s">
        <v>157</v>
      </c>
    </row>
    <row r="1102" spans="9:22" x14ac:dyDescent="0.45">
      <c r="I1102" t="s">
        <v>243</v>
      </c>
      <c r="J1102" t="s">
        <v>168</v>
      </c>
      <c r="K1102">
        <v>0.20869706603434868</v>
      </c>
      <c r="L1102" t="s">
        <v>157</v>
      </c>
      <c r="N1102" t="s">
        <v>354</v>
      </c>
      <c r="O1102" t="s">
        <v>168</v>
      </c>
      <c r="P1102">
        <v>6.3268174119531492E-2</v>
      </c>
      <c r="Q1102" t="s">
        <v>157</v>
      </c>
      <c r="S1102" t="s">
        <v>465</v>
      </c>
      <c r="T1102" t="s">
        <v>168</v>
      </c>
      <c r="U1102">
        <v>7.6726792668179764E-2</v>
      </c>
      <c r="V1102" t="s">
        <v>157</v>
      </c>
    </row>
    <row r="1103" spans="9:22" x14ac:dyDescent="0.45">
      <c r="I1103" t="s">
        <v>243</v>
      </c>
      <c r="J1103" t="s">
        <v>169</v>
      </c>
      <c r="K1103">
        <v>1.5814513841666541E-2</v>
      </c>
      <c r="L1103" t="s">
        <v>157</v>
      </c>
      <c r="N1103" t="s">
        <v>354</v>
      </c>
      <c r="O1103" t="s">
        <v>169</v>
      </c>
      <c r="P1103">
        <v>6.401484369879226E-3</v>
      </c>
      <c r="Q1103" t="s">
        <v>157</v>
      </c>
      <c r="S1103" t="s">
        <v>465</v>
      </c>
      <c r="T1103" t="s">
        <v>169</v>
      </c>
      <c r="U1103">
        <v>8.5835463174999578E-3</v>
      </c>
      <c r="V1103" t="s">
        <v>157</v>
      </c>
    </row>
    <row r="1104" spans="9:22" x14ac:dyDescent="0.45">
      <c r="I1104" t="s">
        <v>243</v>
      </c>
      <c r="J1104" t="s">
        <v>170</v>
      </c>
      <c r="K1104">
        <v>1.0373850972986428E-2</v>
      </c>
      <c r="L1104" t="s">
        <v>157</v>
      </c>
      <c r="N1104" t="s">
        <v>354</v>
      </c>
      <c r="O1104" t="s">
        <v>170</v>
      </c>
      <c r="P1104">
        <v>6.3186174980760616E-3</v>
      </c>
      <c r="Q1104" t="s">
        <v>157</v>
      </c>
      <c r="S1104" t="s">
        <v>465</v>
      </c>
      <c r="T1104" t="s">
        <v>170</v>
      </c>
      <c r="U1104">
        <v>8.2552065296281792E-3</v>
      </c>
      <c r="V1104" t="s">
        <v>157</v>
      </c>
    </row>
    <row r="1105" spans="9:22" x14ac:dyDescent="0.45">
      <c r="I1105" t="s">
        <v>243</v>
      </c>
      <c r="J1105" t="s">
        <v>171</v>
      </c>
      <c r="K1105">
        <v>2.8927294759167306E-3</v>
      </c>
      <c r="L1105" t="s">
        <v>157</v>
      </c>
      <c r="N1105" t="s">
        <v>354</v>
      </c>
      <c r="O1105" t="s">
        <v>171</v>
      </c>
      <c r="P1105">
        <v>3.2161655404484076E-2</v>
      </c>
      <c r="Q1105" t="s">
        <v>157</v>
      </c>
      <c r="S1105" t="s">
        <v>465</v>
      </c>
      <c r="T1105" t="s">
        <v>171</v>
      </c>
      <c r="U1105">
        <v>3.4568500304196788E-2</v>
      </c>
      <c r="V1105" t="s">
        <v>157</v>
      </c>
    </row>
    <row r="1106" spans="9:22" x14ac:dyDescent="0.45">
      <c r="I1106" t="s">
        <v>244</v>
      </c>
      <c r="J1106" t="s">
        <v>156</v>
      </c>
      <c r="K1106">
        <v>1.381801116843437E-2</v>
      </c>
      <c r="L1106" t="s">
        <v>157</v>
      </c>
      <c r="N1106" t="s">
        <v>355</v>
      </c>
      <c r="O1106" t="s">
        <v>156</v>
      </c>
      <c r="P1106">
        <v>0.12821563999176119</v>
      </c>
      <c r="Q1106" t="s">
        <v>157</v>
      </c>
      <c r="S1106" t="s">
        <v>466</v>
      </c>
      <c r="T1106" t="s">
        <v>156</v>
      </c>
      <c r="U1106">
        <v>0.12343428072276479</v>
      </c>
      <c r="V1106" t="s">
        <v>157</v>
      </c>
    </row>
    <row r="1107" spans="9:22" x14ac:dyDescent="0.45">
      <c r="I1107" t="s">
        <v>244</v>
      </c>
      <c r="J1107" t="s">
        <v>158</v>
      </c>
      <c r="K1107">
        <v>0.41551958145122719</v>
      </c>
      <c r="L1107" t="s">
        <v>157</v>
      </c>
      <c r="N1107" t="s">
        <v>355</v>
      </c>
      <c r="O1107" t="s">
        <v>158</v>
      </c>
      <c r="P1107">
        <v>0.21222473699212296</v>
      </c>
      <c r="Q1107" t="s">
        <v>157</v>
      </c>
      <c r="S1107" t="s">
        <v>466</v>
      </c>
      <c r="T1107" t="s">
        <v>158</v>
      </c>
      <c r="U1107">
        <v>0.18945623874762821</v>
      </c>
      <c r="V1107" t="s">
        <v>157</v>
      </c>
    </row>
    <row r="1108" spans="9:22" x14ac:dyDescent="0.45">
      <c r="I1108" t="s">
        <v>244</v>
      </c>
      <c r="J1108" t="s">
        <v>159</v>
      </c>
      <c r="K1108">
        <v>2.616180665387682E-2</v>
      </c>
      <c r="L1108" t="s">
        <v>157</v>
      </c>
      <c r="N1108" t="s">
        <v>355</v>
      </c>
      <c r="O1108" t="s">
        <v>159</v>
      </c>
      <c r="P1108">
        <v>2.2124825594106664E-2</v>
      </c>
      <c r="Q1108" t="s">
        <v>157</v>
      </c>
      <c r="S1108" t="s">
        <v>466</v>
      </c>
      <c r="T1108" t="s">
        <v>159</v>
      </c>
      <c r="U1108">
        <v>2.0062893851617285E-2</v>
      </c>
      <c r="V1108" t="s">
        <v>157</v>
      </c>
    </row>
    <row r="1109" spans="9:22" x14ac:dyDescent="0.45">
      <c r="I1109" t="s">
        <v>244</v>
      </c>
      <c r="J1109" t="s">
        <v>160</v>
      </c>
      <c r="K1109">
        <v>1.4307095268018225E-2</v>
      </c>
      <c r="L1109" t="s">
        <v>157</v>
      </c>
      <c r="N1109" t="s">
        <v>355</v>
      </c>
      <c r="O1109" t="s">
        <v>160</v>
      </c>
      <c r="P1109">
        <v>2.1227957368384127E-2</v>
      </c>
      <c r="Q1109" t="s">
        <v>157</v>
      </c>
      <c r="S1109" t="s">
        <v>466</v>
      </c>
      <c r="T1109" t="s">
        <v>160</v>
      </c>
      <c r="U1109">
        <v>1.9309360375696305E-2</v>
      </c>
      <c r="V1109" t="s">
        <v>157</v>
      </c>
    </row>
    <row r="1110" spans="9:22" x14ac:dyDescent="0.45">
      <c r="I1110" t="s">
        <v>244</v>
      </c>
      <c r="J1110" t="s">
        <v>161</v>
      </c>
      <c r="K1110">
        <v>3.2581211248264006E-3</v>
      </c>
      <c r="L1110" t="s">
        <v>157</v>
      </c>
      <c r="N1110" t="s">
        <v>355</v>
      </c>
      <c r="O1110" t="s">
        <v>161</v>
      </c>
      <c r="P1110">
        <v>9.4295648400040177E-2</v>
      </c>
      <c r="Q1110" t="s">
        <v>157</v>
      </c>
      <c r="S1110" t="s">
        <v>466</v>
      </c>
      <c r="T1110" t="s">
        <v>161</v>
      </c>
      <c r="U1110">
        <v>8.7465571965862049E-2</v>
      </c>
      <c r="V1110" t="s">
        <v>157</v>
      </c>
    </row>
    <row r="1111" spans="9:22" x14ac:dyDescent="0.45">
      <c r="I1111" t="s">
        <v>244</v>
      </c>
      <c r="J1111" t="s">
        <v>162</v>
      </c>
      <c r="K1111">
        <v>6.9768611006939514E-3</v>
      </c>
      <c r="L1111" t="s">
        <v>157</v>
      </c>
      <c r="N1111" t="s">
        <v>355</v>
      </c>
      <c r="O1111" t="s">
        <v>162</v>
      </c>
      <c r="P1111">
        <v>0.1147859539149903</v>
      </c>
      <c r="Q1111" t="s">
        <v>157</v>
      </c>
      <c r="S1111" t="s">
        <v>466</v>
      </c>
      <c r="T1111" t="s">
        <v>162</v>
      </c>
      <c r="U1111">
        <v>0.10831487010460095</v>
      </c>
      <c r="V1111" t="s">
        <v>157</v>
      </c>
    </row>
    <row r="1112" spans="9:22" x14ac:dyDescent="0.45">
      <c r="I1112" t="s">
        <v>244</v>
      </c>
      <c r="J1112" t="s">
        <v>163</v>
      </c>
      <c r="K1112">
        <v>0.25235095732768004</v>
      </c>
      <c r="L1112" t="s">
        <v>157</v>
      </c>
      <c r="N1112" t="s">
        <v>355</v>
      </c>
      <c r="O1112" t="s">
        <v>163</v>
      </c>
      <c r="P1112">
        <v>0.17427136364476581</v>
      </c>
      <c r="Q1112" t="s">
        <v>157</v>
      </c>
      <c r="S1112" t="s">
        <v>466</v>
      </c>
      <c r="T1112" t="s">
        <v>163</v>
      </c>
      <c r="U1112">
        <v>0.1630424589268798</v>
      </c>
      <c r="V1112" t="s">
        <v>157</v>
      </c>
    </row>
    <row r="1113" spans="9:22" x14ac:dyDescent="0.45">
      <c r="I1113" t="s">
        <v>244</v>
      </c>
      <c r="J1113" t="s">
        <v>164</v>
      </c>
      <c r="K1113">
        <v>1.3525391550291966E-2</v>
      </c>
      <c r="L1113" t="s">
        <v>157</v>
      </c>
      <c r="N1113" t="s">
        <v>355</v>
      </c>
      <c r="O1113" t="s">
        <v>164</v>
      </c>
      <c r="P1113">
        <v>1.6366165055750535E-2</v>
      </c>
      <c r="Q1113" t="s">
        <v>157</v>
      </c>
      <c r="S1113" t="s">
        <v>466</v>
      </c>
      <c r="T1113" t="s">
        <v>164</v>
      </c>
      <c r="U1113">
        <v>1.6796327095913242E-2</v>
      </c>
      <c r="V1113" t="s">
        <v>157</v>
      </c>
    </row>
    <row r="1114" spans="9:22" x14ac:dyDescent="0.45">
      <c r="I1114" t="s">
        <v>244</v>
      </c>
      <c r="J1114" t="s">
        <v>165</v>
      </c>
      <c r="K1114">
        <v>3.0743535419142597E-3</v>
      </c>
      <c r="L1114" t="s">
        <v>157</v>
      </c>
      <c r="N1114" t="s">
        <v>355</v>
      </c>
      <c r="O1114" t="s">
        <v>165</v>
      </c>
      <c r="P1114">
        <v>1.6181684000919086E-2</v>
      </c>
      <c r="Q1114" t="s">
        <v>157</v>
      </c>
      <c r="S1114" t="s">
        <v>466</v>
      </c>
      <c r="T1114" t="s">
        <v>165</v>
      </c>
      <c r="U1114">
        <v>1.6751042027578947E-2</v>
      </c>
      <c r="V1114" t="s">
        <v>157</v>
      </c>
    </row>
    <row r="1115" spans="9:22" x14ac:dyDescent="0.45">
      <c r="I1115" t="s">
        <v>244</v>
      </c>
      <c r="J1115" t="s">
        <v>166</v>
      </c>
      <c r="K1115">
        <v>0</v>
      </c>
      <c r="L1115" t="s">
        <v>157</v>
      </c>
      <c r="N1115" t="s">
        <v>355</v>
      </c>
      <c r="O1115" t="s">
        <v>166</v>
      </c>
      <c r="P1115">
        <v>8.1733118428838569E-2</v>
      </c>
      <c r="Q1115" t="s">
        <v>157</v>
      </c>
      <c r="S1115" t="s">
        <v>466</v>
      </c>
      <c r="T1115" t="s">
        <v>166</v>
      </c>
      <c r="U1115">
        <v>7.9360330032878693E-2</v>
      </c>
      <c r="V1115" t="s">
        <v>157</v>
      </c>
    </row>
    <row r="1116" spans="9:22" x14ac:dyDescent="0.45">
      <c r="I1116" t="s">
        <v>244</v>
      </c>
      <c r="J1116" t="s">
        <v>167</v>
      </c>
      <c r="K1116">
        <v>2.0693820773842846E-2</v>
      </c>
      <c r="L1116" t="s">
        <v>157</v>
      </c>
      <c r="N1116" t="s">
        <v>355</v>
      </c>
      <c r="O1116" t="s">
        <v>167</v>
      </c>
      <c r="P1116">
        <v>2.9863822266591004E-2</v>
      </c>
      <c r="Q1116" t="s">
        <v>157</v>
      </c>
      <c r="S1116" t="s">
        <v>466</v>
      </c>
      <c r="T1116" t="s">
        <v>167</v>
      </c>
      <c r="U1116">
        <v>4.5178228752532974E-2</v>
      </c>
      <c r="V1116" t="s">
        <v>157</v>
      </c>
    </row>
    <row r="1117" spans="9:22" x14ac:dyDescent="0.45">
      <c r="I1117" t="s">
        <v>244</v>
      </c>
      <c r="J1117" t="s">
        <v>168</v>
      </c>
      <c r="K1117">
        <v>0.20565924859528703</v>
      </c>
      <c r="L1117" t="s">
        <v>157</v>
      </c>
      <c r="N1117" t="s">
        <v>355</v>
      </c>
      <c r="O1117" t="s">
        <v>168</v>
      </c>
      <c r="P1117">
        <v>5.5364800526560912E-2</v>
      </c>
      <c r="Q1117" t="s">
        <v>157</v>
      </c>
      <c r="S1117" t="s">
        <v>466</v>
      </c>
      <c r="T1117" t="s">
        <v>168</v>
      </c>
      <c r="U1117">
        <v>7.5878511670311899E-2</v>
      </c>
      <c r="V1117" t="s">
        <v>157</v>
      </c>
    </row>
    <row r="1118" spans="9:22" x14ac:dyDescent="0.45">
      <c r="I1118" t="s">
        <v>244</v>
      </c>
      <c r="J1118" t="s">
        <v>169</v>
      </c>
      <c r="K1118">
        <v>1.4119611292751227E-2</v>
      </c>
      <c r="L1118" t="s">
        <v>157</v>
      </c>
      <c r="N1118" t="s">
        <v>355</v>
      </c>
      <c r="O1118" t="s">
        <v>169</v>
      </c>
      <c r="P1118">
        <v>5.8909051070928538E-3</v>
      </c>
      <c r="Q1118" t="s">
        <v>157</v>
      </c>
      <c r="S1118" t="s">
        <v>466</v>
      </c>
      <c r="T1118" t="s">
        <v>169</v>
      </c>
      <c r="U1118">
        <v>8.6733639574961968E-3</v>
      </c>
      <c r="V1118" t="s">
        <v>157</v>
      </c>
    </row>
    <row r="1119" spans="9:22" x14ac:dyDescent="0.45">
      <c r="I1119" t="s">
        <v>244</v>
      </c>
      <c r="J1119" t="s">
        <v>170</v>
      </c>
      <c r="K1119">
        <v>9.0683416323516716E-3</v>
      </c>
      <c r="L1119" t="s">
        <v>157</v>
      </c>
      <c r="N1119" t="s">
        <v>355</v>
      </c>
      <c r="O1119" t="s">
        <v>170</v>
      </c>
      <c r="P1119">
        <v>5.3905233007988376E-3</v>
      </c>
      <c r="Q1119" t="s">
        <v>157</v>
      </c>
      <c r="S1119" t="s">
        <v>466</v>
      </c>
      <c r="T1119" t="s">
        <v>170</v>
      </c>
      <c r="U1119">
        <v>8.674787625441915E-3</v>
      </c>
      <c r="V1119" t="s">
        <v>157</v>
      </c>
    </row>
    <row r="1120" spans="9:22" x14ac:dyDescent="0.45">
      <c r="I1120" t="s">
        <v>244</v>
      </c>
      <c r="J1120" t="s">
        <v>171</v>
      </c>
      <c r="K1120">
        <v>1.4667985188040287E-3</v>
      </c>
      <c r="L1120" t="s">
        <v>157</v>
      </c>
      <c r="N1120" t="s">
        <v>355</v>
      </c>
      <c r="O1120" t="s">
        <v>171</v>
      </c>
      <c r="P1120">
        <v>2.2062855407276975E-2</v>
      </c>
      <c r="Q1120" t="s">
        <v>157</v>
      </c>
      <c r="S1120" t="s">
        <v>466</v>
      </c>
      <c r="T1120" t="s">
        <v>171</v>
      </c>
      <c r="U1120">
        <v>3.7601734142796689E-2</v>
      </c>
      <c r="V1120" t="s">
        <v>157</v>
      </c>
    </row>
    <row r="1121" spans="9:22" x14ac:dyDescent="0.45">
      <c r="I1121" t="s">
        <v>245</v>
      </c>
      <c r="J1121" t="s">
        <v>156</v>
      </c>
      <c r="K1121">
        <v>1.359404394284288E-2</v>
      </c>
      <c r="L1121" t="s">
        <v>157</v>
      </c>
      <c r="N1121" t="s">
        <v>356</v>
      </c>
      <c r="O1121" t="s">
        <v>156</v>
      </c>
      <c r="P1121">
        <v>0.12753663580629709</v>
      </c>
      <c r="Q1121" t="s">
        <v>157</v>
      </c>
      <c r="S1121" t="s">
        <v>467</v>
      </c>
      <c r="T1121" t="s">
        <v>156</v>
      </c>
      <c r="U1121">
        <v>0.13023049040200321</v>
      </c>
      <c r="V1121" t="s">
        <v>157</v>
      </c>
    </row>
    <row r="1122" spans="9:22" x14ac:dyDescent="0.45">
      <c r="I1122" t="s">
        <v>245</v>
      </c>
      <c r="J1122" t="s">
        <v>158</v>
      </c>
      <c r="K1122">
        <v>0.41555921802834878</v>
      </c>
      <c r="L1122" t="s">
        <v>157</v>
      </c>
      <c r="N1122" t="s">
        <v>356</v>
      </c>
      <c r="O1122" t="s">
        <v>158</v>
      </c>
      <c r="P1122">
        <v>0.22108383142233984</v>
      </c>
      <c r="Q1122" t="s">
        <v>157</v>
      </c>
      <c r="S1122" t="s">
        <v>467</v>
      </c>
      <c r="T1122" t="s">
        <v>158</v>
      </c>
      <c r="U1122">
        <v>0.18820536549815239</v>
      </c>
      <c r="V1122" t="s">
        <v>157</v>
      </c>
    </row>
    <row r="1123" spans="9:22" x14ac:dyDescent="0.45">
      <c r="I1123" t="s">
        <v>245</v>
      </c>
      <c r="J1123" t="s">
        <v>159</v>
      </c>
      <c r="K1123">
        <v>2.5731898735411027E-2</v>
      </c>
      <c r="L1123" t="s">
        <v>157</v>
      </c>
      <c r="N1123" t="s">
        <v>356</v>
      </c>
      <c r="O1123" t="s">
        <v>159</v>
      </c>
      <c r="P1123">
        <v>2.1905547901602929E-2</v>
      </c>
      <c r="Q1123" t="s">
        <v>157</v>
      </c>
      <c r="S1123" t="s">
        <v>467</v>
      </c>
      <c r="T1123" t="s">
        <v>159</v>
      </c>
      <c r="U1123">
        <v>1.9247907419956939E-2</v>
      </c>
      <c r="V1123" t="s">
        <v>157</v>
      </c>
    </row>
    <row r="1124" spans="9:22" x14ac:dyDescent="0.45">
      <c r="I1124" t="s">
        <v>245</v>
      </c>
      <c r="J1124" t="s">
        <v>160</v>
      </c>
      <c r="K1124">
        <v>1.4251752705563522E-2</v>
      </c>
      <c r="L1124" t="s">
        <v>157</v>
      </c>
      <c r="N1124" t="s">
        <v>356</v>
      </c>
      <c r="O1124" t="s">
        <v>160</v>
      </c>
      <c r="P1124">
        <v>2.0754181958452071E-2</v>
      </c>
      <c r="Q1124" t="s">
        <v>157</v>
      </c>
      <c r="S1124" t="s">
        <v>467</v>
      </c>
      <c r="T1124" t="s">
        <v>160</v>
      </c>
      <c r="U1124">
        <v>1.8831410120213225E-2</v>
      </c>
      <c r="V1124" t="s">
        <v>157</v>
      </c>
    </row>
    <row r="1125" spans="9:22" x14ac:dyDescent="0.45">
      <c r="I1125" t="s">
        <v>245</v>
      </c>
      <c r="J1125" t="s">
        <v>161</v>
      </c>
      <c r="K1125">
        <v>3.3169618488513761E-3</v>
      </c>
      <c r="L1125" t="s">
        <v>157</v>
      </c>
      <c r="N1125" t="s">
        <v>356</v>
      </c>
      <c r="O1125" t="s">
        <v>161</v>
      </c>
      <c r="P1125">
        <v>9.2936807109446934E-2</v>
      </c>
      <c r="Q1125" t="s">
        <v>157</v>
      </c>
      <c r="S1125" t="s">
        <v>467</v>
      </c>
      <c r="T1125" t="s">
        <v>161</v>
      </c>
      <c r="U1125">
        <v>9.0601528134242743E-2</v>
      </c>
      <c r="V1125" t="s">
        <v>157</v>
      </c>
    </row>
    <row r="1126" spans="9:22" x14ac:dyDescent="0.45">
      <c r="I1126" t="s">
        <v>245</v>
      </c>
      <c r="J1126" t="s">
        <v>162</v>
      </c>
      <c r="K1126">
        <v>7.2943666127587223E-3</v>
      </c>
      <c r="L1126" t="s">
        <v>157</v>
      </c>
      <c r="N1126" t="s">
        <v>356</v>
      </c>
      <c r="O1126" t="s">
        <v>162</v>
      </c>
      <c r="P1126">
        <v>0.10955643810313659</v>
      </c>
      <c r="Q1126" t="s">
        <v>157</v>
      </c>
      <c r="S1126" t="s">
        <v>467</v>
      </c>
      <c r="T1126" t="s">
        <v>162</v>
      </c>
      <c r="U1126">
        <v>0.10916682844981995</v>
      </c>
      <c r="V1126" t="s">
        <v>157</v>
      </c>
    </row>
    <row r="1127" spans="9:22" x14ac:dyDescent="0.45">
      <c r="I1127" t="s">
        <v>245</v>
      </c>
      <c r="J1127" t="s">
        <v>163</v>
      </c>
      <c r="K1127">
        <v>0.25397110186457628</v>
      </c>
      <c r="L1127" t="s">
        <v>157</v>
      </c>
      <c r="N1127" t="s">
        <v>356</v>
      </c>
      <c r="O1127" t="s">
        <v>163</v>
      </c>
      <c r="P1127">
        <v>0.17650499299178854</v>
      </c>
      <c r="Q1127" t="s">
        <v>157</v>
      </c>
      <c r="S1127" t="s">
        <v>467</v>
      </c>
      <c r="T1127" t="s">
        <v>163</v>
      </c>
      <c r="U1127">
        <v>0.16158509377296013</v>
      </c>
      <c r="V1127" t="s">
        <v>157</v>
      </c>
    </row>
    <row r="1128" spans="9:22" x14ac:dyDescent="0.45">
      <c r="I1128" t="s">
        <v>245</v>
      </c>
      <c r="J1128" t="s">
        <v>164</v>
      </c>
      <c r="K1128">
        <v>1.3993277650483648E-2</v>
      </c>
      <c r="L1128" t="s">
        <v>157</v>
      </c>
      <c r="N1128" t="s">
        <v>356</v>
      </c>
      <c r="O1128" t="s">
        <v>164</v>
      </c>
      <c r="P1128">
        <v>1.6442974828017543E-2</v>
      </c>
      <c r="Q1128" t="s">
        <v>157</v>
      </c>
      <c r="S1128" t="s">
        <v>467</v>
      </c>
      <c r="T1128" t="s">
        <v>164</v>
      </c>
      <c r="U1128">
        <v>1.6716675938879044E-2</v>
      </c>
      <c r="V1128" t="s">
        <v>157</v>
      </c>
    </row>
    <row r="1129" spans="9:22" x14ac:dyDescent="0.45">
      <c r="I1129" t="s">
        <v>245</v>
      </c>
      <c r="J1129" t="s">
        <v>165</v>
      </c>
      <c r="K1129">
        <v>2.9594867677625249E-3</v>
      </c>
      <c r="L1129" t="s">
        <v>157</v>
      </c>
      <c r="N1129" t="s">
        <v>356</v>
      </c>
      <c r="O1129" t="s">
        <v>165</v>
      </c>
      <c r="P1129">
        <v>1.5913161746506102E-2</v>
      </c>
      <c r="Q1129" t="s">
        <v>157</v>
      </c>
      <c r="S1129" t="s">
        <v>467</v>
      </c>
      <c r="T1129" t="s">
        <v>165</v>
      </c>
      <c r="U1129">
        <v>1.6535080028305719E-2</v>
      </c>
      <c r="V1129" t="s">
        <v>157</v>
      </c>
    </row>
    <row r="1130" spans="9:22" x14ac:dyDescent="0.45">
      <c r="I1130" t="s">
        <v>245</v>
      </c>
      <c r="J1130" t="s">
        <v>166</v>
      </c>
      <c r="K1130">
        <v>0</v>
      </c>
      <c r="L1130" t="s">
        <v>157</v>
      </c>
      <c r="N1130" t="s">
        <v>356</v>
      </c>
      <c r="O1130" t="s">
        <v>166</v>
      </c>
      <c r="P1130">
        <v>7.9282428357581994E-2</v>
      </c>
      <c r="Q1130" t="s">
        <v>157</v>
      </c>
      <c r="S1130" t="s">
        <v>467</v>
      </c>
      <c r="T1130" t="s">
        <v>166</v>
      </c>
      <c r="U1130">
        <v>7.9075259719288291E-2</v>
      </c>
      <c r="V1130" t="s">
        <v>157</v>
      </c>
    </row>
    <row r="1131" spans="9:22" x14ac:dyDescent="0.45">
      <c r="I1131" t="s">
        <v>245</v>
      </c>
      <c r="J1131" t="s">
        <v>167</v>
      </c>
      <c r="K1131">
        <v>2.0948192935977404E-2</v>
      </c>
      <c r="L1131" t="s">
        <v>157</v>
      </c>
      <c r="N1131" t="s">
        <v>356</v>
      </c>
      <c r="O1131" t="s">
        <v>167</v>
      </c>
      <c r="P1131">
        <v>2.9362432511251035E-2</v>
      </c>
      <c r="Q1131" t="s">
        <v>157</v>
      </c>
      <c r="S1131" t="s">
        <v>467</v>
      </c>
      <c r="T1131" t="s">
        <v>167</v>
      </c>
      <c r="U1131">
        <v>4.6569708798125636E-2</v>
      </c>
      <c r="V1131" t="s">
        <v>157</v>
      </c>
    </row>
    <row r="1132" spans="9:22" x14ac:dyDescent="0.45">
      <c r="I1132" t="s">
        <v>245</v>
      </c>
      <c r="J1132" t="s">
        <v>168</v>
      </c>
      <c r="K1132">
        <v>0.20382364235744987</v>
      </c>
      <c r="L1132" t="s">
        <v>157</v>
      </c>
      <c r="N1132" t="s">
        <v>356</v>
      </c>
      <c r="O1132" t="s">
        <v>168</v>
      </c>
      <c r="P1132">
        <v>5.7265228558043349E-2</v>
      </c>
      <c r="Q1132" t="s">
        <v>157</v>
      </c>
      <c r="S1132" t="s">
        <v>467</v>
      </c>
      <c r="T1132" t="s">
        <v>168</v>
      </c>
      <c r="U1132">
        <v>7.0169624410504422E-2</v>
      </c>
      <c r="V1132" t="s">
        <v>157</v>
      </c>
    </row>
    <row r="1133" spans="9:22" x14ac:dyDescent="0.45">
      <c r="I1133" t="s">
        <v>245</v>
      </c>
      <c r="J1133" t="s">
        <v>169</v>
      </c>
      <c r="K1133">
        <v>1.4239870854646008E-2</v>
      </c>
      <c r="L1133" t="s">
        <v>157</v>
      </c>
      <c r="N1133" t="s">
        <v>356</v>
      </c>
      <c r="O1133" t="s">
        <v>169</v>
      </c>
      <c r="P1133">
        <v>6.0218368846086381E-3</v>
      </c>
      <c r="Q1133" t="s">
        <v>157</v>
      </c>
      <c r="S1133" t="s">
        <v>467</v>
      </c>
      <c r="T1133" t="s">
        <v>169</v>
      </c>
      <c r="U1133">
        <v>7.9349182618333128E-3</v>
      </c>
      <c r="V1133" t="s">
        <v>157</v>
      </c>
    </row>
    <row r="1134" spans="9:22" x14ac:dyDescent="0.45">
      <c r="I1134" t="s">
        <v>245</v>
      </c>
      <c r="J1134" t="s">
        <v>170</v>
      </c>
      <c r="K1134">
        <v>9.1283191652343412E-3</v>
      </c>
      <c r="L1134" t="s">
        <v>157</v>
      </c>
      <c r="N1134" t="s">
        <v>356</v>
      </c>
      <c r="O1134" t="s">
        <v>170</v>
      </c>
      <c r="P1134">
        <v>5.3808732515907912E-3</v>
      </c>
      <c r="Q1134" t="s">
        <v>157</v>
      </c>
      <c r="S1134" t="s">
        <v>467</v>
      </c>
      <c r="T1134" t="s">
        <v>170</v>
      </c>
      <c r="U1134">
        <v>8.0962573223810775E-3</v>
      </c>
      <c r="V1134" t="s">
        <v>157</v>
      </c>
    </row>
    <row r="1135" spans="9:22" x14ac:dyDescent="0.45">
      <c r="I1135" t="s">
        <v>245</v>
      </c>
      <c r="J1135" t="s">
        <v>171</v>
      </c>
      <c r="K1135">
        <v>1.187866530093665E-3</v>
      </c>
      <c r="L1135" t="s">
        <v>157</v>
      </c>
      <c r="N1135" t="s">
        <v>356</v>
      </c>
      <c r="O1135" t="s">
        <v>171</v>
      </c>
      <c r="P1135">
        <v>2.0052628569336466E-2</v>
      </c>
      <c r="Q1135" t="s">
        <v>157</v>
      </c>
      <c r="S1135" t="s">
        <v>467</v>
      </c>
      <c r="T1135" t="s">
        <v>171</v>
      </c>
      <c r="U1135">
        <v>3.7033851723333899E-2</v>
      </c>
      <c r="V1135" t="s">
        <v>157</v>
      </c>
    </row>
    <row r="1136" spans="9:22" x14ac:dyDescent="0.45">
      <c r="I1136" t="s">
        <v>246</v>
      </c>
      <c r="J1136" t="s">
        <v>156</v>
      </c>
      <c r="K1136">
        <v>1.2947032859850318E-2</v>
      </c>
      <c r="L1136" t="s">
        <v>157</v>
      </c>
      <c r="N1136" t="s">
        <v>357</v>
      </c>
      <c r="O1136" t="s">
        <v>156</v>
      </c>
      <c r="P1136">
        <v>0.13772222320532509</v>
      </c>
      <c r="Q1136" t="s">
        <v>157</v>
      </c>
      <c r="S1136" t="s">
        <v>468</v>
      </c>
      <c r="T1136" t="s">
        <v>156</v>
      </c>
      <c r="U1136">
        <v>0.14450543493491949</v>
      </c>
      <c r="V1136" t="s">
        <v>157</v>
      </c>
    </row>
    <row r="1137" spans="9:22" x14ac:dyDescent="0.45">
      <c r="I1137" t="s">
        <v>246</v>
      </c>
      <c r="J1137" t="s">
        <v>158</v>
      </c>
      <c r="K1137">
        <v>0.41733335427496898</v>
      </c>
      <c r="L1137" t="s">
        <v>157</v>
      </c>
      <c r="N1137" t="s">
        <v>357</v>
      </c>
      <c r="O1137" t="s">
        <v>158</v>
      </c>
      <c r="P1137">
        <v>0.21669804945606888</v>
      </c>
      <c r="Q1137" t="s">
        <v>157</v>
      </c>
      <c r="S1137" t="s">
        <v>468</v>
      </c>
      <c r="T1137" t="s">
        <v>158</v>
      </c>
      <c r="U1137">
        <v>0.20866749595884898</v>
      </c>
      <c r="V1137" t="s">
        <v>157</v>
      </c>
    </row>
    <row r="1138" spans="9:22" x14ac:dyDescent="0.45">
      <c r="I1138" t="s">
        <v>246</v>
      </c>
      <c r="J1138" t="s">
        <v>159</v>
      </c>
      <c r="K1138">
        <v>2.6090467283728099E-2</v>
      </c>
      <c r="L1138" t="s">
        <v>157</v>
      </c>
      <c r="N1138" t="s">
        <v>357</v>
      </c>
      <c r="O1138" t="s">
        <v>159</v>
      </c>
      <c r="P1138">
        <v>2.2030311532759545E-2</v>
      </c>
      <c r="Q1138" t="s">
        <v>157</v>
      </c>
      <c r="S1138" t="s">
        <v>468</v>
      </c>
      <c r="T1138" t="s">
        <v>159</v>
      </c>
      <c r="U1138">
        <v>2.1545924757239775E-2</v>
      </c>
      <c r="V1138" t="s">
        <v>157</v>
      </c>
    </row>
    <row r="1139" spans="9:22" x14ac:dyDescent="0.45">
      <c r="I1139" t="s">
        <v>246</v>
      </c>
      <c r="J1139" t="s">
        <v>160</v>
      </c>
      <c r="K1139">
        <v>1.4214510719348032E-2</v>
      </c>
      <c r="L1139" t="s">
        <v>157</v>
      </c>
      <c r="N1139" t="s">
        <v>357</v>
      </c>
      <c r="O1139" t="s">
        <v>160</v>
      </c>
      <c r="P1139">
        <v>2.1444679254278141E-2</v>
      </c>
      <c r="Q1139" t="s">
        <v>157</v>
      </c>
      <c r="S1139" t="s">
        <v>468</v>
      </c>
      <c r="T1139" t="s">
        <v>160</v>
      </c>
      <c r="U1139">
        <v>2.1425258870955789E-2</v>
      </c>
      <c r="V1139" t="s">
        <v>157</v>
      </c>
    </row>
    <row r="1140" spans="9:22" x14ac:dyDescent="0.45">
      <c r="I1140" t="s">
        <v>246</v>
      </c>
      <c r="J1140" t="s">
        <v>161</v>
      </c>
      <c r="K1140">
        <v>3.0231388260939245E-3</v>
      </c>
      <c r="L1140" t="s">
        <v>157</v>
      </c>
      <c r="N1140" t="s">
        <v>357</v>
      </c>
      <c r="O1140" t="s">
        <v>161</v>
      </c>
      <c r="P1140">
        <v>0.10031788348252545</v>
      </c>
      <c r="Q1140" t="s">
        <v>157</v>
      </c>
      <c r="S1140" t="s">
        <v>468</v>
      </c>
      <c r="T1140" t="s">
        <v>161</v>
      </c>
      <c r="U1140">
        <v>0.10453783029154726</v>
      </c>
      <c r="V1140" t="s">
        <v>157</v>
      </c>
    </row>
    <row r="1141" spans="9:22" x14ac:dyDescent="0.45">
      <c r="I1141" t="s">
        <v>246</v>
      </c>
      <c r="J1141" t="s">
        <v>162</v>
      </c>
      <c r="K1141">
        <v>7.293466380431375E-3</v>
      </c>
      <c r="L1141" t="s">
        <v>157</v>
      </c>
      <c r="N1141" t="s">
        <v>357</v>
      </c>
      <c r="O1141" t="s">
        <v>162</v>
      </c>
      <c r="P1141">
        <v>0.10493902874545075</v>
      </c>
      <c r="Q1141" t="s">
        <v>157</v>
      </c>
      <c r="S1141" t="s">
        <v>468</v>
      </c>
      <c r="T1141" t="s">
        <v>162</v>
      </c>
      <c r="U1141">
        <v>9.9303575254847176E-2</v>
      </c>
      <c r="V1141" t="s">
        <v>157</v>
      </c>
    </row>
    <row r="1142" spans="9:22" x14ac:dyDescent="0.45">
      <c r="I1142" t="s">
        <v>246</v>
      </c>
      <c r="J1142" t="s">
        <v>163</v>
      </c>
      <c r="K1142">
        <v>0.25294464623180579</v>
      </c>
      <c r="L1142" t="s">
        <v>157</v>
      </c>
      <c r="N1142" t="s">
        <v>357</v>
      </c>
      <c r="O1142" t="s">
        <v>163</v>
      </c>
      <c r="P1142">
        <v>0.16205602421789328</v>
      </c>
      <c r="Q1142" t="s">
        <v>157</v>
      </c>
      <c r="S1142" t="s">
        <v>468</v>
      </c>
      <c r="T1142" t="s">
        <v>163</v>
      </c>
      <c r="U1142">
        <v>0.14723699813237867</v>
      </c>
      <c r="V1142" t="s">
        <v>157</v>
      </c>
    </row>
    <row r="1143" spans="9:22" x14ac:dyDescent="0.45">
      <c r="I1143" t="s">
        <v>246</v>
      </c>
      <c r="J1143" t="s">
        <v>164</v>
      </c>
      <c r="K1143">
        <v>1.4087247968924813E-2</v>
      </c>
      <c r="L1143" t="s">
        <v>157</v>
      </c>
      <c r="N1143" t="s">
        <v>357</v>
      </c>
      <c r="O1143" t="s">
        <v>164</v>
      </c>
      <c r="P1143">
        <v>1.6505645924045884E-2</v>
      </c>
      <c r="Q1143" t="s">
        <v>157</v>
      </c>
      <c r="S1143" t="s">
        <v>468</v>
      </c>
      <c r="T1143" t="s">
        <v>164</v>
      </c>
      <c r="U1143">
        <v>1.4665248151216415E-2</v>
      </c>
      <c r="V1143" t="s">
        <v>157</v>
      </c>
    </row>
    <row r="1144" spans="9:22" x14ac:dyDescent="0.45">
      <c r="I1144" t="s">
        <v>246</v>
      </c>
      <c r="J1144" t="s">
        <v>165</v>
      </c>
      <c r="K1144">
        <v>2.7409030383922228E-3</v>
      </c>
      <c r="L1144" t="s">
        <v>157</v>
      </c>
      <c r="N1144" t="s">
        <v>357</v>
      </c>
      <c r="O1144" t="s">
        <v>165</v>
      </c>
      <c r="P1144">
        <v>1.6075603661147946E-2</v>
      </c>
      <c r="Q1144" t="s">
        <v>157</v>
      </c>
      <c r="S1144" t="s">
        <v>468</v>
      </c>
      <c r="T1144" t="s">
        <v>165</v>
      </c>
      <c r="U1144">
        <v>1.4401217377740166E-2</v>
      </c>
      <c r="V1144" t="s">
        <v>157</v>
      </c>
    </row>
    <row r="1145" spans="9:22" x14ac:dyDescent="0.45">
      <c r="I1145" t="s">
        <v>246</v>
      </c>
      <c r="J1145" t="s">
        <v>166</v>
      </c>
      <c r="K1145">
        <v>0</v>
      </c>
      <c r="L1145" t="s">
        <v>157</v>
      </c>
      <c r="N1145" t="s">
        <v>357</v>
      </c>
      <c r="O1145" t="s">
        <v>166</v>
      </c>
      <c r="P1145">
        <v>7.8469542204800999E-2</v>
      </c>
      <c r="Q1145" t="s">
        <v>157</v>
      </c>
      <c r="S1145" t="s">
        <v>468</v>
      </c>
      <c r="T1145" t="s">
        <v>166</v>
      </c>
      <c r="U1145">
        <v>7.0318731402973678E-2</v>
      </c>
      <c r="V1145" t="s">
        <v>157</v>
      </c>
    </row>
    <row r="1146" spans="9:22" x14ac:dyDescent="0.45">
      <c r="I1146" t="s">
        <v>246</v>
      </c>
      <c r="J1146" t="s">
        <v>167</v>
      </c>
      <c r="K1146">
        <v>2.0631409947989895E-2</v>
      </c>
      <c r="L1146" t="s">
        <v>157</v>
      </c>
      <c r="N1146" t="s">
        <v>357</v>
      </c>
      <c r="O1146" t="s">
        <v>167</v>
      </c>
      <c r="P1146">
        <v>3.3606901552288626E-2</v>
      </c>
      <c r="Q1146" t="s">
        <v>157</v>
      </c>
      <c r="S1146" t="s">
        <v>468</v>
      </c>
      <c r="T1146" t="s">
        <v>167</v>
      </c>
      <c r="U1146">
        <v>4.3246962514880638E-2</v>
      </c>
      <c r="V1146" t="s">
        <v>157</v>
      </c>
    </row>
    <row r="1147" spans="9:22" x14ac:dyDescent="0.45">
      <c r="I1147" t="s">
        <v>246</v>
      </c>
      <c r="J1147" t="s">
        <v>168</v>
      </c>
      <c r="K1147">
        <v>0.20333621091663642</v>
      </c>
      <c r="L1147" t="s">
        <v>157</v>
      </c>
      <c r="N1147" t="s">
        <v>357</v>
      </c>
      <c r="O1147" t="s">
        <v>168</v>
      </c>
      <c r="P1147">
        <v>5.5208218266001238E-2</v>
      </c>
      <c r="Q1147" t="s">
        <v>157</v>
      </c>
      <c r="S1147" t="s">
        <v>468</v>
      </c>
      <c r="T1147" t="s">
        <v>168</v>
      </c>
      <c r="U1147">
        <v>6.7655286094784772E-2</v>
      </c>
      <c r="V1147" t="s">
        <v>157</v>
      </c>
    </row>
    <row r="1148" spans="9:22" x14ac:dyDescent="0.45">
      <c r="I1148" t="s">
        <v>246</v>
      </c>
      <c r="J1148" t="s">
        <v>169</v>
      </c>
      <c r="K1148">
        <v>1.486006967545034E-2</v>
      </c>
      <c r="L1148" t="s">
        <v>157</v>
      </c>
      <c r="N1148" t="s">
        <v>357</v>
      </c>
      <c r="O1148" t="s">
        <v>169</v>
      </c>
      <c r="P1148">
        <v>6.292445216730419E-3</v>
      </c>
      <c r="Q1148" t="s">
        <v>157</v>
      </c>
      <c r="S1148" t="s">
        <v>468</v>
      </c>
      <c r="T1148" t="s">
        <v>169</v>
      </c>
      <c r="U1148">
        <v>6.3450296730373805E-3</v>
      </c>
      <c r="V1148" t="s">
        <v>157</v>
      </c>
    </row>
    <row r="1149" spans="9:22" x14ac:dyDescent="0.45">
      <c r="I1149" t="s">
        <v>246</v>
      </c>
      <c r="J1149" t="s">
        <v>170</v>
      </c>
      <c r="K1149">
        <v>9.5984245795719698E-3</v>
      </c>
      <c r="L1149" t="s">
        <v>157</v>
      </c>
      <c r="N1149" t="s">
        <v>357</v>
      </c>
      <c r="O1149" t="s">
        <v>170</v>
      </c>
      <c r="P1149">
        <v>5.8776066240318432E-3</v>
      </c>
      <c r="Q1149" t="s">
        <v>157</v>
      </c>
      <c r="S1149" t="s">
        <v>468</v>
      </c>
      <c r="T1149" t="s">
        <v>170</v>
      </c>
      <c r="U1149">
        <v>6.1827683357324687E-3</v>
      </c>
      <c r="V1149" t="s">
        <v>157</v>
      </c>
    </row>
    <row r="1150" spans="9:22" x14ac:dyDescent="0.45">
      <c r="I1150" t="s">
        <v>246</v>
      </c>
      <c r="J1150" t="s">
        <v>171</v>
      </c>
      <c r="K1150">
        <v>8.9911729680787174E-4</v>
      </c>
      <c r="L1150" t="s">
        <v>157</v>
      </c>
      <c r="N1150" t="s">
        <v>357</v>
      </c>
      <c r="O1150" t="s">
        <v>171</v>
      </c>
      <c r="P1150">
        <v>2.2755836656651967E-2</v>
      </c>
      <c r="Q1150" t="s">
        <v>157</v>
      </c>
      <c r="S1150" t="s">
        <v>468</v>
      </c>
      <c r="T1150" t="s">
        <v>171</v>
      </c>
      <c r="U1150">
        <v>2.9962238248897412E-2</v>
      </c>
      <c r="V1150" t="s">
        <v>157</v>
      </c>
    </row>
    <row r="1151" spans="9:22" x14ac:dyDescent="0.45">
      <c r="I1151" t="s">
        <v>247</v>
      </c>
      <c r="J1151" t="s">
        <v>156</v>
      </c>
      <c r="K1151">
        <v>1.8619823168023547E-2</v>
      </c>
      <c r="L1151" t="s">
        <v>157</v>
      </c>
      <c r="N1151" t="s">
        <v>358</v>
      </c>
      <c r="O1151" t="s">
        <v>156</v>
      </c>
      <c r="P1151">
        <v>0.13159825962131341</v>
      </c>
      <c r="Q1151" t="s">
        <v>157</v>
      </c>
      <c r="S1151" t="s">
        <v>469</v>
      </c>
      <c r="T1151" t="s">
        <v>156</v>
      </c>
      <c r="U1151">
        <v>0.14427743428831033</v>
      </c>
      <c r="V1151" t="s">
        <v>157</v>
      </c>
    </row>
    <row r="1152" spans="9:22" x14ac:dyDescent="0.45">
      <c r="I1152" t="s">
        <v>247</v>
      </c>
      <c r="J1152" t="s">
        <v>158</v>
      </c>
      <c r="K1152">
        <v>0.4156112087289619</v>
      </c>
      <c r="L1152" t="s">
        <v>157</v>
      </c>
      <c r="N1152" t="s">
        <v>358</v>
      </c>
      <c r="O1152" t="s">
        <v>158</v>
      </c>
      <c r="P1152">
        <v>0.18938074398375795</v>
      </c>
      <c r="Q1152" t="s">
        <v>157</v>
      </c>
      <c r="S1152" t="s">
        <v>469</v>
      </c>
      <c r="T1152" t="s">
        <v>158</v>
      </c>
      <c r="U1152">
        <v>0.20734319921998043</v>
      </c>
      <c r="V1152" t="s">
        <v>157</v>
      </c>
    </row>
    <row r="1153" spans="9:22" x14ac:dyDescent="0.45">
      <c r="I1153" t="s">
        <v>247</v>
      </c>
      <c r="J1153" t="s">
        <v>159</v>
      </c>
      <c r="K1153">
        <v>2.8153960720814553E-2</v>
      </c>
      <c r="L1153" t="s">
        <v>157</v>
      </c>
      <c r="N1153" t="s">
        <v>358</v>
      </c>
      <c r="O1153" t="s">
        <v>159</v>
      </c>
      <c r="P1153">
        <v>2.0196794009283359E-2</v>
      </c>
      <c r="Q1153" t="s">
        <v>157</v>
      </c>
      <c r="S1153" t="s">
        <v>469</v>
      </c>
      <c r="T1153" t="s">
        <v>159</v>
      </c>
      <c r="U1153">
        <v>2.1523608950471385E-2</v>
      </c>
      <c r="V1153" t="s">
        <v>157</v>
      </c>
    </row>
    <row r="1154" spans="9:22" x14ac:dyDescent="0.45">
      <c r="I1154" t="s">
        <v>247</v>
      </c>
      <c r="J1154" t="s">
        <v>160</v>
      </c>
      <c r="K1154">
        <v>1.6731288949156889E-2</v>
      </c>
      <c r="L1154" t="s">
        <v>157</v>
      </c>
      <c r="N1154" t="s">
        <v>358</v>
      </c>
      <c r="O1154" t="s">
        <v>160</v>
      </c>
      <c r="P1154">
        <v>2.0018818573507603E-2</v>
      </c>
      <c r="Q1154" t="s">
        <v>157</v>
      </c>
      <c r="S1154" t="s">
        <v>469</v>
      </c>
      <c r="T1154" t="s">
        <v>160</v>
      </c>
      <c r="U1154">
        <v>2.1378494509452822E-2</v>
      </c>
      <c r="V1154" t="s">
        <v>157</v>
      </c>
    </row>
    <row r="1155" spans="9:22" x14ac:dyDescent="0.45">
      <c r="I1155" t="s">
        <v>247</v>
      </c>
      <c r="J1155" t="s">
        <v>161</v>
      </c>
      <c r="K1155">
        <v>4.9255670917613438E-3</v>
      </c>
      <c r="L1155" t="s">
        <v>157</v>
      </c>
      <c r="N1155" t="s">
        <v>358</v>
      </c>
      <c r="O1155" t="s">
        <v>161</v>
      </c>
      <c r="P1155">
        <v>9.2503155308504587E-2</v>
      </c>
      <c r="Q1155" t="s">
        <v>157</v>
      </c>
      <c r="S1155" t="s">
        <v>469</v>
      </c>
      <c r="T1155" t="s">
        <v>161</v>
      </c>
      <c r="U1155">
        <v>0.10354705227738002</v>
      </c>
      <c r="V1155" t="s">
        <v>157</v>
      </c>
    </row>
    <row r="1156" spans="9:22" x14ac:dyDescent="0.45">
      <c r="I1156" t="s">
        <v>247</v>
      </c>
      <c r="J1156" t="s">
        <v>162</v>
      </c>
      <c r="K1156">
        <v>7.4886395015065933E-3</v>
      </c>
      <c r="L1156" t="s">
        <v>157</v>
      </c>
      <c r="N1156" t="s">
        <v>358</v>
      </c>
      <c r="O1156" t="s">
        <v>162</v>
      </c>
      <c r="P1156">
        <v>0.10664934827198948</v>
      </c>
      <c r="Q1156" t="s">
        <v>157</v>
      </c>
      <c r="S1156" t="s">
        <v>469</v>
      </c>
      <c r="T1156" t="s">
        <v>162</v>
      </c>
      <c r="U1156">
        <v>0.10020650982260379</v>
      </c>
      <c r="V1156" t="s">
        <v>157</v>
      </c>
    </row>
    <row r="1157" spans="9:22" x14ac:dyDescent="0.45">
      <c r="I1157" t="s">
        <v>247</v>
      </c>
      <c r="J1157" t="s">
        <v>163</v>
      </c>
      <c r="K1157">
        <v>0.23631932533504357</v>
      </c>
      <c r="L1157" t="s">
        <v>157</v>
      </c>
      <c r="N1157" t="s">
        <v>358</v>
      </c>
      <c r="O1157" t="s">
        <v>163</v>
      </c>
      <c r="P1157">
        <v>0.15818151917018355</v>
      </c>
      <c r="Q1157" t="s">
        <v>157</v>
      </c>
      <c r="S1157" t="s">
        <v>469</v>
      </c>
      <c r="T1157" t="s">
        <v>163</v>
      </c>
      <c r="U1157">
        <v>0.1486931056546465</v>
      </c>
      <c r="V1157" t="s">
        <v>157</v>
      </c>
    </row>
    <row r="1158" spans="9:22" x14ac:dyDescent="0.45">
      <c r="I1158" t="s">
        <v>247</v>
      </c>
      <c r="J1158" t="s">
        <v>164</v>
      </c>
      <c r="K1158">
        <v>1.2310386481724722E-2</v>
      </c>
      <c r="L1158" t="s">
        <v>157</v>
      </c>
      <c r="N1158" t="s">
        <v>358</v>
      </c>
      <c r="O1158" t="s">
        <v>164</v>
      </c>
      <c r="P1158">
        <v>1.6389018317798574E-2</v>
      </c>
      <c r="Q1158" t="s">
        <v>157</v>
      </c>
      <c r="S1158" t="s">
        <v>469</v>
      </c>
      <c r="T1158" t="s">
        <v>164</v>
      </c>
      <c r="U1158">
        <v>1.4632337196873537E-2</v>
      </c>
      <c r="V1158" t="s">
        <v>157</v>
      </c>
    </row>
    <row r="1159" spans="9:22" x14ac:dyDescent="0.45">
      <c r="I1159" t="s">
        <v>247</v>
      </c>
      <c r="J1159" t="s">
        <v>165</v>
      </c>
      <c r="K1159">
        <v>2.9670531063913969E-3</v>
      </c>
      <c r="L1159" t="s">
        <v>157</v>
      </c>
      <c r="N1159" t="s">
        <v>358</v>
      </c>
      <c r="O1159" t="s">
        <v>165</v>
      </c>
      <c r="P1159">
        <v>1.6392548924230442E-2</v>
      </c>
      <c r="Q1159" t="s">
        <v>157</v>
      </c>
      <c r="S1159" t="s">
        <v>469</v>
      </c>
      <c r="T1159" t="s">
        <v>165</v>
      </c>
      <c r="U1159">
        <v>1.436826303047266E-2</v>
      </c>
      <c r="V1159" t="s">
        <v>157</v>
      </c>
    </row>
    <row r="1160" spans="9:22" x14ac:dyDescent="0.45">
      <c r="I1160" t="s">
        <v>247</v>
      </c>
      <c r="J1160" t="s">
        <v>166</v>
      </c>
      <c r="K1160">
        <v>0</v>
      </c>
      <c r="L1160" t="s">
        <v>157</v>
      </c>
      <c r="N1160" t="s">
        <v>358</v>
      </c>
      <c r="O1160" t="s">
        <v>166</v>
      </c>
      <c r="P1160">
        <v>8.1190512474522261E-2</v>
      </c>
      <c r="Q1160" t="s">
        <v>157</v>
      </c>
      <c r="S1160" t="s">
        <v>469</v>
      </c>
      <c r="T1160" t="s">
        <v>166</v>
      </c>
      <c r="U1160">
        <v>7.0607528208314507E-2</v>
      </c>
      <c r="V1160" t="s">
        <v>157</v>
      </c>
    </row>
    <row r="1161" spans="9:22" x14ac:dyDescent="0.45">
      <c r="I1161" t="s">
        <v>247</v>
      </c>
      <c r="J1161" t="s">
        <v>167</v>
      </c>
      <c r="K1161">
        <v>2.1222297973208713E-2</v>
      </c>
      <c r="L1161" t="s">
        <v>157</v>
      </c>
      <c r="N1161" t="s">
        <v>358</v>
      </c>
      <c r="O1161" t="s">
        <v>167</v>
      </c>
      <c r="P1161">
        <v>4.461788069830655E-2</v>
      </c>
      <c r="Q1161" t="s">
        <v>157</v>
      </c>
      <c r="S1161" t="s">
        <v>469</v>
      </c>
      <c r="T1161" t="s">
        <v>167</v>
      </c>
      <c r="U1161">
        <v>4.294333497599237E-2</v>
      </c>
      <c r="V1161" t="s">
        <v>157</v>
      </c>
    </row>
    <row r="1162" spans="9:22" x14ac:dyDescent="0.45">
      <c r="I1162" t="s">
        <v>247</v>
      </c>
      <c r="J1162" t="s">
        <v>168</v>
      </c>
      <c r="K1162">
        <v>0.20584767127277875</v>
      </c>
      <c r="L1162" t="s">
        <v>157</v>
      </c>
      <c r="N1162" t="s">
        <v>358</v>
      </c>
      <c r="O1162" t="s">
        <v>168</v>
      </c>
      <c r="P1162">
        <v>7.2692154381209378E-2</v>
      </c>
      <c r="Q1162" t="s">
        <v>157</v>
      </c>
      <c r="S1162" t="s">
        <v>469</v>
      </c>
      <c r="T1162" t="s">
        <v>168</v>
      </c>
      <c r="U1162">
        <v>6.7730932375653669E-2</v>
      </c>
      <c r="V1162" t="s">
        <v>157</v>
      </c>
    </row>
    <row r="1163" spans="9:22" x14ac:dyDescent="0.45">
      <c r="I1163" t="s">
        <v>247</v>
      </c>
      <c r="J1163" t="s">
        <v>169</v>
      </c>
      <c r="K1163">
        <v>1.602906394076611E-2</v>
      </c>
      <c r="L1163" t="s">
        <v>157</v>
      </c>
      <c r="N1163" t="s">
        <v>358</v>
      </c>
      <c r="O1163" t="s">
        <v>169</v>
      </c>
      <c r="P1163">
        <v>7.5400015150379075E-3</v>
      </c>
      <c r="Q1163" t="s">
        <v>157</v>
      </c>
      <c r="S1163" t="s">
        <v>469</v>
      </c>
      <c r="T1163" t="s">
        <v>169</v>
      </c>
      <c r="U1163">
        <v>6.3524086374320112E-3</v>
      </c>
      <c r="V1163" t="s">
        <v>157</v>
      </c>
    </row>
    <row r="1164" spans="9:22" x14ac:dyDescent="0.45">
      <c r="I1164" t="s">
        <v>247</v>
      </c>
      <c r="J1164" t="s">
        <v>170</v>
      </c>
      <c r="K1164">
        <v>1.0787164381519753E-2</v>
      </c>
      <c r="L1164" t="s">
        <v>157</v>
      </c>
      <c r="N1164" t="s">
        <v>358</v>
      </c>
      <c r="O1164" t="s">
        <v>170</v>
      </c>
      <c r="P1164">
        <v>7.413784850635559E-3</v>
      </c>
      <c r="Q1164" t="s">
        <v>157</v>
      </c>
      <c r="S1164" t="s">
        <v>469</v>
      </c>
      <c r="T1164" t="s">
        <v>170</v>
      </c>
      <c r="U1164">
        <v>6.2198149184818875E-3</v>
      </c>
      <c r="V1164" t="s">
        <v>157</v>
      </c>
    </row>
    <row r="1165" spans="9:22" x14ac:dyDescent="0.45">
      <c r="I1165" t="s">
        <v>247</v>
      </c>
      <c r="J1165" t="s">
        <v>171</v>
      </c>
      <c r="K1165">
        <v>2.9865493483420915E-3</v>
      </c>
      <c r="L1165" t="s">
        <v>157</v>
      </c>
      <c r="N1165" t="s">
        <v>358</v>
      </c>
      <c r="O1165" t="s">
        <v>171</v>
      </c>
      <c r="P1165">
        <v>3.5235459899719386E-2</v>
      </c>
      <c r="Q1165" t="s">
        <v>157</v>
      </c>
      <c r="S1165" t="s">
        <v>469</v>
      </c>
      <c r="T1165" t="s">
        <v>171</v>
      </c>
      <c r="U1165">
        <v>3.0175975933934049E-2</v>
      </c>
      <c r="V1165" t="s">
        <v>157</v>
      </c>
    </row>
    <row r="1166" spans="9:22" x14ac:dyDescent="0.45">
      <c r="I1166" t="s">
        <v>248</v>
      </c>
      <c r="J1166" t="s">
        <v>156</v>
      </c>
      <c r="K1166">
        <v>1.7818728273265569E-2</v>
      </c>
      <c r="L1166" t="s">
        <v>157</v>
      </c>
      <c r="N1166" t="s">
        <v>359</v>
      </c>
      <c r="O1166" t="s">
        <v>156</v>
      </c>
      <c r="P1166">
        <v>0.12380892146657597</v>
      </c>
      <c r="Q1166" t="s">
        <v>157</v>
      </c>
      <c r="S1166" t="s">
        <v>470</v>
      </c>
      <c r="T1166" t="s">
        <v>156</v>
      </c>
      <c r="U1166">
        <v>0.14370292519469374</v>
      </c>
      <c r="V1166" t="s">
        <v>157</v>
      </c>
    </row>
    <row r="1167" spans="9:22" x14ac:dyDescent="0.45">
      <c r="I1167" t="s">
        <v>248</v>
      </c>
      <c r="J1167" t="s">
        <v>158</v>
      </c>
      <c r="K1167">
        <v>0.42469915418738263</v>
      </c>
      <c r="L1167" t="s">
        <v>157</v>
      </c>
      <c r="N1167" t="s">
        <v>359</v>
      </c>
      <c r="O1167" t="s">
        <v>158</v>
      </c>
      <c r="P1167">
        <v>0.18641089156539495</v>
      </c>
      <c r="Q1167" t="s">
        <v>157</v>
      </c>
      <c r="S1167" t="s">
        <v>470</v>
      </c>
      <c r="T1167" t="s">
        <v>158</v>
      </c>
      <c r="U1167">
        <v>0.20588546693389242</v>
      </c>
      <c r="V1167" t="s">
        <v>157</v>
      </c>
    </row>
    <row r="1168" spans="9:22" x14ac:dyDescent="0.45">
      <c r="I1168" t="s">
        <v>248</v>
      </c>
      <c r="J1168" t="s">
        <v>159</v>
      </c>
      <c r="K1168">
        <v>2.9275515108235499E-2</v>
      </c>
      <c r="L1168" t="s">
        <v>157</v>
      </c>
      <c r="N1168" t="s">
        <v>359</v>
      </c>
      <c r="O1168" t="s">
        <v>159</v>
      </c>
      <c r="P1168">
        <v>1.9712948342273513E-2</v>
      </c>
      <c r="Q1168" t="s">
        <v>157</v>
      </c>
      <c r="S1168" t="s">
        <v>470</v>
      </c>
      <c r="T1168" t="s">
        <v>159</v>
      </c>
      <c r="U1168">
        <v>2.1300691075030159E-2</v>
      </c>
      <c r="V1168" t="s">
        <v>157</v>
      </c>
    </row>
    <row r="1169" spans="9:22" x14ac:dyDescent="0.45">
      <c r="I1169" t="s">
        <v>248</v>
      </c>
      <c r="J1169" t="s">
        <v>160</v>
      </c>
      <c r="K1169">
        <v>1.7578002707505275E-2</v>
      </c>
      <c r="L1169" t="s">
        <v>157</v>
      </c>
      <c r="N1169" t="s">
        <v>359</v>
      </c>
      <c r="O1169" t="s">
        <v>160</v>
      </c>
      <c r="P1169">
        <v>1.9093802247541231E-2</v>
      </c>
      <c r="Q1169" t="s">
        <v>157</v>
      </c>
      <c r="S1169" t="s">
        <v>470</v>
      </c>
      <c r="T1169" t="s">
        <v>160</v>
      </c>
      <c r="U1169">
        <v>2.1263385731744595E-2</v>
      </c>
      <c r="V1169" t="s">
        <v>157</v>
      </c>
    </row>
    <row r="1170" spans="9:22" x14ac:dyDescent="0.45">
      <c r="I1170" t="s">
        <v>248</v>
      </c>
      <c r="J1170" t="s">
        <v>161</v>
      </c>
      <c r="K1170">
        <v>4.6266920221355529E-3</v>
      </c>
      <c r="L1170" t="s">
        <v>157</v>
      </c>
      <c r="N1170" t="s">
        <v>359</v>
      </c>
      <c r="O1170" t="s">
        <v>161</v>
      </c>
      <c r="P1170">
        <v>9.0783355323730136E-2</v>
      </c>
      <c r="Q1170" t="s">
        <v>157</v>
      </c>
      <c r="S1170" t="s">
        <v>470</v>
      </c>
      <c r="T1170" t="s">
        <v>161</v>
      </c>
      <c r="U1170">
        <v>0.10320651541778171</v>
      </c>
      <c r="V1170" t="s">
        <v>157</v>
      </c>
    </row>
    <row r="1171" spans="9:22" x14ac:dyDescent="0.45">
      <c r="I1171" t="s">
        <v>248</v>
      </c>
      <c r="J1171" t="s">
        <v>162</v>
      </c>
      <c r="K1171">
        <v>6.6865931875784816E-3</v>
      </c>
      <c r="L1171" t="s">
        <v>157</v>
      </c>
      <c r="N1171" t="s">
        <v>359</v>
      </c>
      <c r="O1171" t="s">
        <v>162</v>
      </c>
      <c r="P1171">
        <v>0.11247538816149648</v>
      </c>
      <c r="Q1171" t="s">
        <v>157</v>
      </c>
      <c r="S1171" t="s">
        <v>470</v>
      </c>
      <c r="T1171" t="s">
        <v>162</v>
      </c>
      <c r="U1171">
        <v>0.10099885442548877</v>
      </c>
      <c r="V1171" t="s">
        <v>157</v>
      </c>
    </row>
    <row r="1172" spans="9:22" x14ac:dyDescent="0.45">
      <c r="I1172" t="s">
        <v>248</v>
      </c>
      <c r="J1172" t="s">
        <v>163</v>
      </c>
      <c r="K1172">
        <v>0.23258631838950139</v>
      </c>
      <c r="L1172" t="s">
        <v>157</v>
      </c>
      <c r="N1172" t="s">
        <v>359</v>
      </c>
      <c r="O1172" t="s">
        <v>163</v>
      </c>
      <c r="P1172">
        <v>0.16965076120599812</v>
      </c>
      <c r="Q1172" t="s">
        <v>157</v>
      </c>
      <c r="S1172" t="s">
        <v>470</v>
      </c>
      <c r="T1172" t="s">
        <v>163</v>
      </c>
      <c r="U1172">
        <v>0.14944137809624369</v>
      </c>
      <c r="V1172" t="s">
        <v>157</v>
      </c>
    </row>
    <row r="1173" spans="9:22" x14ac:dyDescent="0.45">
      <c r="I1173" t="s">
        <v>248</v>
      </c>
      <c r="J1173" t="s">
        <v>164</v>
      </c>
      <c r="K1173">
        <v>1.2368942210918095E-2</v>
      </c>
      <c r="L1173" t="s">
        <v>157</v>
      </c>
      <c r="N1173" t="s">
        <v>359</v>
      </c>
      <c r="O1173" t="s">
        <v>164</v>
      </c>
      <c r="P1173">
        <v>1.7995400977811077E-2</v>
      </c>
      <c r="Q1173" t="s">
        <v>157</v>
      </c>
      <c r="S1173" t="s">
        <v>470</v>
      </c>
      <c r="T1173" t="s">
        <v>164</v>
      </c>
      <c r="U1173">
        <v>1.4581457477000639E-2</v>
      </c>
      <c r="V1173" t="s">
        <v>157</v>
      </c>
    </row>
    <row r="1174" spans="9:22" x14ac:dyDescent="0.45">
      <c r="I1174" t="s">
        <v>248</v>
      </c>
      <c r="J1174" t="s">
        <v>165</v>
      </c>
      <c r="K1174">
        <v>2.5847344757061307E-3</v>
      </c>
      <c r="L1174" t="s">
        <v>157</v>
      </c>
      <c r="N1174" t="s">
        <v>359</v>
      </c>
      <c r="O1174" t="s">
        <v>165</v>
      </c>
      <c r="P1174">
        <v>1.7891007899970203E-2</v>
      </c>
      <c r="Q1174" t="s">
        <v>157</v>
      </c>
      <c r="S1174" t="s">
        <v>470</v>
      </c>
      <c r="T1174" t="s">
        <v>165</v>
      </c>
      <c r="U1174">
        <v>1.4204725889931264E-2</v>
      </c>
      <c r="V1174" t="s">
        <v>157</v>
      </c>
    </row>
    <row r="1175" spans="9:22" x14ac:dyDescent="0.45">
      <c r="I1175" t="s">
        <v>248</v>
      </c>
      <c r="J1175" t="s">
        <v>166</v>
      </c>
      <c r="K1175">
        <v>0</v>
      </c>
      <c r="L1175" t="s">
        <v>157</v>
      </c>
      <c r="N1175" t="s">
        <v>359</v>
      </c>
      <c r="O1175" t="s">
        <v>166</v>
      </c>
      <c r="P1175">
        <v>8.7505270406592145E-2</v>
      </c>
      <c r="Q1175" t="s">
        <v>157</v>
      </c>
      <c r="S1175" t="s">
        <v>470</v>
      </c>
      <c r="T1175" t="s">
        <v>166</v>
      </c>
      <c r="U1175">
        <v>7.1544053455210074E-2</v>
      </c>
      <c r="V1175" t="s">
        <v>157</v>
      </c>
    </row>
    <row r="1176" spans="9:22" x14ac:dyDescent="0.45">
      <c r="I1176" t="s">
        <v>248</v>
      </c>
      <c r="J1176" t="s">
        <v>167</v>
      </c>
      <c r="K1176">
        <v>2.0497446293323767E-2</v>
      </c>
      <c r="L1176" t="s">
        <v>157</v>
      </c>
      <c r="N1176" t="s">
        <v>359</v>
      </c>
      <c r="O1176" t="s">
        <v>167</v>
      </c>
      <c r="P1176">
        <v>4.1095357317906291E-2</v>
      </c>
      <c r="Q1176" t="s">
        <v>157</v>
      </c>
      <c r="S1176" t="s">
        <v>470</v>
      </c>
      <c r="T1176" t="s">
        <v>167</v>
      </c>
      <c r="U1176">
        <v>4.3113270905204344E-2</v>
      </c>
      <c r="V1176" t="s">
        <v>157</v>
      </c>
    </row>
    <row r="1177" spans="9:22" x14ac:dyDescent="0.45">
      <c r="I1177" t="s">
        <v>248</v>
      </c>
      <c r="J1177" t="s">
        <v>168</v>
      </c>
      <c r="K1177">
        <v>0.20171959710879542</v>
      </c>
      <c r="L1177" t="s">
        <v>157</v>
      </c>
      <c r="N1177" t="s">
        <v>359</v>
      </c>
      <c r="O1177" t="s">
        <v>168</v>
      </c>
      <c r="P1177">
        <v>6.6611000296567857E-2</v>
      </c>
      <c r="Q1177" t="s">
        <v>157</v>
      </c>
      <c r="S1177" t="s">
        <v>470</v>
      </c>
      <c r="T1177" t="s">
        <v>168</v>
      </c>
      <c r="U1177">
        <v>6.7340716708242099E-2</v>
      </c>
      <c r="V1177" t="s">
        <v>157</v>
      </c>
    </row>
    <row r="1178" spans="9:22" x14ac:dyDescent="0.45">
      <c r="I1178" t="s">
        <v>248</v>
      </c>
      <c r="J1178" t="s">
        <v>169</v>
      </c>
      <c r="K1178">
        <v>1.5751528908324073E-2</v>
      </c>
      <c r="L1178" t="s">
        <v>157</v>
      </c>
      <c r="N1178" t="s">
        <v>359</v>
      </c>
      <c r="O1178" t="s">
        <v>169</v>
      </c>
      <c r="P1178">
        <v>7.0668714789839252E-3</v>
      </c>
      <c r="Q1178" t="s">
        <v>157</v>
      </c>
      <c r="S1178" t="s">
        <v>470</v>
      </c>
      <c r="T1178" t="s">
        <v>169</v>
      </c>
      <c r="U1178">
        <v>6.3633529808673163E-3</v>
      </c>
      <c r="V1178" t="s">
        <v>157</v>
      </c>
    </row>
    <row r="1179" spans="9:22" x14ac:dyDescent="0.45">
      <c r="I1179" t="s">
        <v>248</v>
      </c>
      <c r="J1179" t="s">
        <v>170</v>
      </c>
      <c r="K1179">
        <v>1.0692297135232724E-2</v>
      </c>
      <c r="L1179" t="s">
        <v>157</v>
      </c>
      <c r="N1179" t="s">
        <v>359</v>
      </c>
      <c r="O1179" t="s">
        <v>170</v>
      </c>
      <c r="P1179">
        <v>6.9843898849786309E-3</v>
      </c>
      <c r="Q1179" t="s">
        <v>157</v>
      </c>
      <c r="S1179" t="s">
        <v>470</v>
      </c>
      <c r="T1179" t="s">
        <v>170</v>
      </c>
      <c r="U1179">
        <v>6.299332119112786E-3</v>
      </c>
      <c r="V1179" t="s">
        <v>157</v>
      </c>
    </row>
    <row r="1180" spans="9:22" x14ac:dyDescent="0.45">
      <c r="I1180" t="s">
        <v>248</v>
      </c>
      <c r="J1180" t="s">
        <v>171</v>
      </c>
      <c r="K1180">
        <v>3.1144499920953326E-3</v>
      </c>
      <c r="L1180" t="s">
        <v>157</v>
      </c>
      <c r="N1180" t="s">
        <v>359</v>
      </c>
      <c r="O1180" t="s">
        <v>171</v>
      </c>
      <c r="P1180">
        <v>3.2914633424179378E-2</v>
      </c>
      <c r="Q1180" t="s">
        <v>157</v>
      </c>
      <c r="S1180" t="s">
        <v>470</v>
      </c>
      <c r="T1180" t="s">
        <v>171</v>
      </c>
      <c r="U1180">
        <v>3.0753873589556346E-2</v>
      </c>
      <c r="V1180" t="s">
        <v>157</v>
      </c>
    </row>
    <row r="1181" spans="9:22" x14ac:dyDescent="0.45">
      <c r="I1181" t="s">
        <v>249</v>
      </c>
      <c r="J1181" t="s">
        <v>156</v>
      </c>
      <c r="K1181">
        <v>8.1140449425578989E-3</v>
      </c>
      <c r="L1181" t="s">
        <v>157</v>
      </c>
      <c r="N1181" t="s">
        <v>360</v>
      </c>
      <c r="O1181" t="s">
        <v>156</v>
      </c>
      <c r="P1181">
        <v>0.11880546656928259</v>
      </c>
      <c r="Q1181" t="s">
        <v>157</v>
      </c>
      <c r="S1181" t="s">
        <v>471</v>
      </c>
      <c r="T1181" t="s">
        <v>156</v>
      </c>
      <c r="U1181">
        <v>0.14290643584202839</v>
      </c>
      <c r="V1181" t="s">
        <v>157</v>
      </c>
    </row>
    <row r="1182" spans="9:22" x14ac:dyDescent="0.45">
      <c r="I1182" t="s">
        <v>249</v>
      </c>
      <c r="J1182" t="s">
        <v>158</v>
      </c>
      <c r="K1182">
        <v>0.39537381717921055</v>
      </c>
      <c r="L1182" t="s">
        <v>157</v>
      </c>
      <c r="N1182" t="s">
        <v>360</v>
      </c>
      <c r="O1182" t="s">
        <v>158</v>
      </c>
      <c r="P1182">
        <v>0.21272935556191369</v>
      </c>
      <c r="Q1182" t="s">
        <v>157</v>
      </c>
      <c r="S1182" t="s">
        <v>471</v>
      </c>
      <c r="T1182" t="s">
        <v>158</v>
      </c>
      <c r="U1182">
        <v>0.2043018549530097</v>
      </c>
      <c r="V1182" t="s">
        <v>157</v>
      </c>
    </row>
    <row r="1183" spans="9:22" x14ac:dyDescent="0.45">
      <c r="I1183" t="s">
        <v>249</v>
      </c>
      <c r="J1183" t="s">
        <v>159</v>
      </c>
      <c r="K1183">
        <v>3.2353057419466431E-2</v>
      </c>
      <c r="L1183" t="s">
        <v>157</v>
      </c>
      <c r="N1183" t="s">
        <v>360</v>
      </c>
      <c r="O1183" t="s">
        <v>159</v>
      </c>
      <c r="P1183">
        <v>2.0847853747378253E-2</v>
      </c>
      <c r="Q1183" t="s">
        <v>157</v>
      </c>
      <c r="S1183" t="s">
        <v>471</v>
      </c>
      <c r="T1183" t="s">
        <v>159</v>
      </c>
      <c r="U1183">
        <v>2.0902599402935238E-2</v>
      </c>
      <c r="V1183" t="s">
        <v>157</v>
      </c>
    </row>
    <row r="1184" spans="9:22" x14ac:dyDescent="0.45">
      <c r="I1184" t="s">
        <v>249</v>
      </c>
      <c r="J1184" t="s">
        <v>160</v>
      </c>
      <c r="K1184">
        <v>2.3196686229866419E-2</v>
      </c>
      <c r="L1184" t="s">
        <v>157</v>
      </c>
      <c r="N1184" t="s">
        <v>360</v>
      </c>
      <c r="O1184" t="s">
        <v>160</v>
      </c>
      <c r="P1184">
        <v>1.8612725602337041E-2</v>
      </c>
      <c r="Q1184" t="s">
        <v>157</v>
      </c>
      <c r="S1184" t="s">
        <v>471</v>
      </c>
      <c r="T1184" t="s">
        <v>160</v>
      </c>
      <c r="U1184">
        <v>2.0891396277342791E-2</v>
      </c>
      <c r="V1184" t="s">
        <v>157</v>
      </c>
    </row>
    <row r="1185" spans="9:22" x14ac:dyDescent="0.45">
      <c r="I1185" t="s">
        <v>249</v>
      </c>
      <c r="J1185" t="s">
        <v>161</v>
      </c>
      <c r="K1185">
        <v>1.1463357896572011E-2</v>
      </c>
      <c r="L1185" t="s">
        <v>157</v>
      </c>
      <c r="N1185" t="s">
        <v>360</v>
      </c>
      <c r="O1185" t="s">
        <v>161</v>
      </c>
      <c r="P1185">
        <v>8.3562993521472312E-2</v>
      </c>
      <c r="Q1185" t="s">
        <v>157</v>
      </c>
      <c r="S1185" t="s">
        <v>471</v>
      </c>
      <c r="T1185" t="s">
        <v>161</v>
      </c>
      <c r="U1185">
        <v>0.1025428894669743</v>
      </c>
      <c r="V1185" t="s">
        <v>157</v>
      </c>
    </row>
    <row r="1186" spans="9:22" x14ac:dyDescent="0.45">
      <c r="I1186" t="s">
        <v>249</v>
      </c>
      <c r="J1186" t="s">
        <v>162</v>
      </c>
      <c r="K1186">
        <v>2.8829121163509749E-3</v>
      </c>
      <c r="L1186" t="s">
        <v>157</v>
      </c>
      <c r="N1186" t="s">
        <v>360</v>
      </c>
      <c r="O1186" t="s">
        <v>162</v>
      </c>
      <c r="P1186">
        <v>0.11627953111311537</v>
      </c>
      <c r="Q1186" t="s">
        <v>157</v>
      </c>
      <c r="S1186" t="s">
        <v>471</v>
      </c>
      <c r="T1186" t="s">
        <v>162</v>
      </c>
      <c r="U1186">
        <v>0.10381173353506169</v>
      </c>
      <c r="V1186" t="s">
        <v>157</v>
      </c>
    </row>
    <row r="1187" spans="9:22" x14ac:dyDescent="0.45">
      <c r="I1187" t="s">
        <v>249</v>
      </c>
      <c r="J1187" t="s">
        <v>163</v>
      </c>
      <c r="K1187">
        <v>0.22944508822009704</v>
      </c>
      <c r="L1187" t="s">
        <v>157</v>
      </c>
      <c r="N1187" t="s">
        <v>360</v>
      </c>
      <c r="O1187" t="s">
        <v>163</v>
      </c>
      <c r="P1187">
        <v>0.19438670915309889</v>
      </c>
      <c r="Q1187" t="s">
        <v>157</v>
      </c>
      <c r="S1187" t="s">
        <v>471</v>
      </c>
      <c r="T1187" t="s">
        <v>163</v>
      </c>
      <c r="U1187">
        <v>0.14967883827333689</v>
      </c>
      <c r="V1187" t="s">
        <v>157</v>
      </c>
    </row>
    <row r="1188" spans="9:22" x14ac:dyDescent="0.45">
      <c r="I1188" t="s">
        <v>249</v>
      </c>
      <c r="J1188" t="s">
        <v>164</v>
      </c>
      <c r="K1188">
        <v>1.6154180461935497E-2</v>
      </c>
      <c r="L1188" t="s">
        <v>157</v>
      </c>
      <c r="N1188" t="s">
        <v>360</v>
      </c>
      <c r="O1188" t="s">
        <v>164</v>
      </c>
      <c r="P1188">
        <v>1.7748240565162735E-2</v>
      </c>
      <c r="Q1188" t="s">
        <v>157</v>
      </c>
      <c r="S1188" t="s">
        <v>471</v>
      </c>
      <c r="T1188" t="s">
        <v>164</v>
      </c>
      <c r="U1188">
        <v>1.4331341375628449E-2</v>
      </c>
      <c r="V1188" t="s">
        <v>157</v>
      </c>
    </row>
    <row r="1189" spans="9:22" x14ac:dyDescent="0.45">
      <c r="I1189" t="s">
        <v>249</v>
      </c>
      <c r="J1189" t="s">
        <v>165</v>
      </c>
      <c r="K1189">
        <v>6.7294930279870853E-3</v>
      </c>
      <c r="L1189" t="s">
        <v>157</v>
      </c>
      <c r="N1189" t="s">
        <v>360</v>
      </c>
      <c r="O1189" t="s">
        <v>165</v>
      </c>
      <c r="P1189">
        <v>1.6881399423261789E-2</v>
      </c>
      <c r="Q1189" t="s">
        <v>157</v>
      </c>
      <c r="S1189" t="s">
        <v>471</v>
      </c>
      <c r="T1189" t="s">
        <v>165</v>
      </c>
      <c r="U1189">
        <v>1.4191632944454174E-2</v>
      </c>
      <c r="V1189" t="s">
        <v>157</v>
      </c>
    </row>
    <row r="1190" spans="9:22" x14ac:dyDescent="0.45">
      <c r="I1190" t="s">
        <v>249</v>
      </c>
      <c r="J1190" t="s">
        <v>166</v>
      </c>
      <c r="K1190">
        <v>0</v>
      </c>
      <c r="L1190" t="s">
        <v>157</v>
      </c>
      <c r="N1190" t="s">
        <v>360</v>
      </c>
      <c r="O1190" t="s">
        <v>166</v>
      </c>
      <c r="P1190">
        <v>7.7350160936184811E-2</v>
      </c>
      <c r="Q1190" t="s">
        <v>157</v>
      </c>
      <c r="S1190" t="s">
        <v>471</v>
      </c>
      <c r="T1190" t="s">
        <v>166</v>
      </c>
      <c r="U1190">
        <v>7.2665336332489255E-2</v>
      </c>
      <c r="V1190" t="s">
        <v>157</v>
      </c>
    </row>
    <row r="1191" spans="9:22" x14ac:dyDescent="0.45">
      <c r="I1191" t="s">
        <v>249</v>
      </c>
      <c r="J1191" t="s">
        <v>167</v>
      </c>
      <c r="K1191">
        <v>1.6351366912510941E-2</v>
      </c>
      <c r="L1191" t="s">
        <v>157</v>
      </c>
      <c r="N1191" t="s">
        <v>360</v>
      </c>
      <c r="O1191" t="s">
        <v>167</v>
      </c>
      <c r="P1191">
        <v>2.5251579856104055E-2</v>
      </c>
      <c r="Q1191" t="s">
        <v>157</v>
      </c>
      <c r="S1191" t="s">
        <v>471</v>
      </c>
      <c r="T1191" t="s">
        <v>167</v>
      </c>
      <c r="U1191">
        <v>4.3433871274493371E-2</v>
      </c>
      <c r="V1191" t="s">
        <v>157</v>
      </c>
    </row>
    <row r="1192" spans="9:22" x14ac:dyDescent="0.45">
      <c r="I1192" t="s">
        <v>249</v>
      </c>
      <c r="J1192" t="s">
        <v>168</v>
      </c>
      <c r="K1192">
        <v>0.21661697938538571</v>
      </c>
      <c r="L1192" t="s">
        <v>157</v>
      </c>
      <c r="N1192" t="s">
        <v>360</v>
      </c>
      <c r="O1192" t="s">
        <v>168</v>
      </c>
      <c r="P1192">
        <v>6.6878164771793605E-2</v>
      </c>
      <c r="Q1192" t="s">
        <v>157</v>
      </c>
      <c r="S1192" t="s">
        <v>471</v>
      </c>
      <c r="T1192" t="s">
        <v>168</v>
      </c>
      <c r="U1192">
        <v>6.6935725732733223E-2</v>
      </c>
      <c r="V1192" t="s">
        <v>157</v>
      </c>
    </row>
    <row r="1193" spans="9:22" x14ac:dyDescent="0.45">
      <c r="I1193" t="s">
        <v>249</v>
      </c>
      <c r="J1193" t="s">
        <v>169</v>
      </c>
      <c r="K1193">
        <v>1.7247001547201175E-2</v>
      </c>
      <c r="L1193" t="s">
        <v>157</v>
      </c>
      <c r="N1193" t="s">
        <v>360</v>
      </c>
      <c r="O1193" t="s">
        <v>169</v>
      </c>
      <c r="P1193">
        <v>6.1039663499255587E-3</v>
      </c>
      <c r="Q1193" t="s">
        <v>157</v>
      </c>
      <c r="S1193" t="s">
        <v>471</v>
      </c>
      <c r="T1193" t="s">
        <v>169</v>
      </c>
      <c r="U1193">
        <v>6.3756120882881859E-3</v>
      </c>
      <c r="V1193" t="s">
        <v>157</v>
      </c>
    </row>
    <row r="1194" spans="9:22" x14ac:dyDescent="0.45">
      <c r="I1194" t="s">
        <v>249</v>
      </c>
      <c r="J1194" t="s">
        <v>170</v>
      </c>
      <c r="K1194">
        <v>1.4537404437136693E-2</v>
      </c>
      <c r="L1194" t="s">
        <v>157</v>
      </c>
      <c r="N1194" t="s">
        <v>360</v>
      </c>
      <c r="O1194" t="s">
        <v>170</v>
      </c>
      <c r="P1194">
        <v>5.1022580434339606E-3</v>
      </c>
      <c r="Q1194" t="s">
        <v>157</v>
      </c>
      <c r="S1194" t="s">
        <v>471</v>
      </c>
      <c r="T1194" t="s">
        <v>170</v>
      </c>
      <c r="U1194">
        <v>6.2614581932550822E-3</v>
      </c>
      <c r="V1194" t="s">
        <v>157</v>
      </c>
    </row>
    <row r="1195" spans="9:22" x14ac:dyDescent="0.45">
      <c r="I1195" t="s">
        <v>249</v>
      </c>
      <c r="J1195" t="s">
        <v>171</v>
      </c>
      <c r="K1195">
        <v>9.5346102237215506E-3</v>
      </c>
      <c r="L1195" t="s">
        <v>157</v>
      </c>
      <c r="N1195" t="s">
        <v>360</v>
      </c>
      <c r="O1195" t="s">
        <v>171</v>
      </c>
      <c r="P1195">
        <v>1.9459594785535418E-2</v>
      </c>
      <c r="Q1195" t="s">
        <v>157</v>
      </c>
      <c r="S1195" t="s">
        <v>471</v>
      </c>
      <c r="T1195" t="s">
        <v>171</v>
      </c>
      <c r="U1195">
        <v>3.0769274307969288E-2</v>
      </c>
      <c r="V1195" t="s">
        <v>157</v>
      </c>
    </row>
    <row r="1196" spans="9:22" x14ac:dyDescent="0.45">
      <c r="I1196" t="s">
        <v>250</v>
      </c>
      <c r="J1196" t="s">
        <v>156</v>
      </c>
      <c r="K1196">
        <v>1.6886470806317399E-2</v>
      </c>
      <c r="L1196" t="s">
        <v>157</v>
      </c>
      <c r="N1196" t="s">
        <v>361</v>
      </c>
      <c r="O1196" t="s">
        <v>156</v>
      </c>
      <c r="P1196">
        <v>0.12081975010721331</v>
      </c>
      <c r="Q1196" t="s">
        <v>157</v>
      </c>
      <c r="S1196" t="s">
        <v>472</v>
      </c>
      <c r="T1196" t="s">
        <v>156</v>
      </c>
      <c r="U1196">
        <v>0.14273498563553103</v>
      </c>
      <c r="V1196" t="s">
        <v>157</v>
      </c>
    </row>
    <row r="1197" spans="9:22" x14ac:dyDescent="0.45">
      <c r="I1197" t="s">
        <v>250</v>
      </c>
      <c r="J1197" t="s">
        <v>158</v>
      </c>
      <c r="K1197">
        <v>0.4269152221326819</v>
      </c>
      <c r="L1197" t="s">
        <v>157</v>
      </c>
      <c r="N1197" t="s">
        <v>361</v>
      </c>
      <c r="O1197" t="s">
        <v>158</v>
      </c>
      <c r="P1197">
        <v>0.1963318549243081</v>
      </c>
      <c r="Q1197" t="s">
        <v>157</v>
      </c>
      <c r="S1197" t="s">
        <v>472</v>
      </c>
      <c r="T1197" t="s">
        <v>158</v>
      </c>
      <c r="U1197">
        <v>0.20356308925596625</v>
      </c>
      <c r="V1197" t="s">
        <v>157</v>
      </c>
    </row>
    <row r="1198" spans="9:22" x14ac:dyDescent="0.45">
      <c r="I1198" t="s">
        <v>250</v>
      </c>
      <c r="J1198" t="s">
        <v>159</v>
      </c>
      <c r="K1198">
        <v>2.927284602337616E-2</v>
      </c>
      <c r="L1198" t="s">
        <v>157</v>
      </c>
      <c r="N1198" t="s">
        <v>361</v>
      </c>
      <c r="O1198" t="s">
        <v>159</v>
      </c>
      <c r="P1198">
        <v>2.058664313256181E-2</v>
      </c>
      <c r="Q1198" t="s">
        <v>157</v>
      </c>
      <c r="S1198" t="s">
        <v>472</v>
      </c>
      <c r="T1198" t="s">
        <v>159</v>
      </c>
      <c r="U1198">
        <v>2.0733140085870724E-2</v>
      </c>
      <c r="V1198" t="s">
        <v>157</v>
      </c>
    </row>
    <row r="1199" spans="9:22" x14ac:dyDescent="0.45">
      <c r="I1199" t="s">
        <v>250</v>
      </c>
      <c r="J1199" t="s">
        <v>160</v>
      </c>
      <c r="K1199">
        <v>1.7640020010277133E-2</v>
      </c>
      <c r="L1199" t="s">
        <v>157</v>
      </c>
      <c r="N1199" t="s">
        <v>361</v>
      </c>
      <c r="O1199" t="s">
        <v>160</v>
      </c>
      <c r="P1199">
        <v>1.9369879475004698E-2</v>
      </c>
      <c r="Q1199" t="s">
        <v>157</v>
      </c>
      <c r="S1199" t="s">
        <v>472</v>
      </c>
      <c r="T1199" t="s">
        <v>160</v>
      </c>
      <c r="U1199">
        <v>2.0535047991517296E-2</v>
      </c>
      <c r="V1199" t="s">
        <v>157</v>
      </c>
    </row>
    <row r="1200" spans="9:22" x14ac:dyDescent="0.45">
      <c r="I1200" t="s">
        <v>250</v>
      </c>
      <c r="J1200" t="s">
        <v>161</v>
      </c>
      <c r="K1200">
        <v>4.5863014983730114E-3</v>
      </c>
      <c r="L1200" t="s">
        <v>157</v>
      </c>
      <c r="N1200" t="s">
        <v>361</v>
      </c>
      <c r="O1200" t="s">
        <v>161</v>
      </c>
      <c r="P1200">
        <v>8.8497145384634254E-2</v>
      </c>
      <c r="Q1200" t="s">
        <v>157</v>
      </c>
      <c r="S1200" t="s">
        <v>472</v>
      </c>
      <c r="T1200" t="s">
        <v>161</v>
      </c>
      <c r="U1200">
        <v>0.10173112399190323</v>
      </c>
      <c r="V1200" t="s">
        <v>157</v>
      </c>
    </row>
    <row r="1201" spans="9:22" x14ac:dyDescent="0.45">
      <c r="I1201" t="s">
        <v>250</v>
      </c>
      <c r="J1201" t="s">
        <v>162</v>
      </c>
      <c r="K1201">
        <v>6.5077648204585198E-3</v>
      </c>
      <c r="L1201" t="s">
        <v>157</v>
      </c>
      <c r="N1201" t="s">
        <v>361</v>
      </c>
      <c r="O1201" t="s">
        <v>162</v>
      </c>
      <c r="P1201">
        <v>0.11171787640054054</v>
      </c>
      <c r="Q1201" t="s">
        <v>157</v>
      </c>
      <c r="S1201" t="s">
        <v>472</v>
      </c>
      <c r="T1201" t="s">
        <v>162</v>
      </c>
      <c r="U1201">
        <v>0.10545442972554848</v>
      </c>
      <c r="V1201" t="s">
        <v>157</v>
      </c>
    </row>
    <row r="1202" spans="9:22" x14ac:dyDescent="0.45">
      <c r="I1202" t="s">
        <v>250</v>
      </c>
      <c r="J1202" t="s">
        <v>163</v>
      </c>
      <c r="K1202">
        <v>0.23225460381159826</v>
      </c>
      <c r="L1202" t="s">
        <v>157</v>
      </c>
      <c r="N1202" t="s">
        <v>361</v>
      </c>
      <c r="O1202" t="s">
        <v>163</v>
      </c>
      <c r="P1202">
        <v>0.17584690944904527</v>
      </c>
      <c r="Q1202" t="s">
        <v>157</v>
      </c>
      <c r="S1202" t="s">
        <v>472</v>
      </c>
      <c r="T1202" t="s">
        <v>163</v>
      </c>
      <c r="U1202">
        <v>0.14907892311330953</v>
      </c>
      <c r="V1202" t="s">
        <v>157</v>
      </c>
    </row>
    <row r="1203" spans="9:22" x14ac:dyDescent="0.45">
      <c r="I1203" t="s">
        <v>250</v>
      </c>
      <c r="J1203" t="s">
        <v>164</v>
      </c>
      <c r="K1203">
        <v>1.2227134663034102E-2</v>
      </c>
      <c r="L1203" t="s">
        <v>157</v>
      </c>
      <c r="N1203" t="s">
        <v>361</v>
      </c>
      <c r="O1203" t="s">
        <v>164</v>
      </c>
      <c r="P1203">
        <v>1.7955321952618532E-2</v>
      </c>
      <c r="Q1203" t="s">
        <v>157</v>
      </c>
      <c r="S1203" t="s">
        <v>472</v>
      </c>
      <c r="T1203" t="s">
        <v>164</v>
      </c>
      <c r="U1203">
        <v>1.4211933741208818E-2</v>
      </c>
      <c r="V1203" t="s">
        <v>157</v>
      </c>
    </row>
    <row r="1204" spans="9:22" x14ac:dyDescent="0.45">
      <c r="I1204" t="s">
        <v>250</v>
      </c>
      <c r="J1204" t="s">
        <v>165</v>
      </c>
      <c r="K1204">
        <v>2.5480243808506976E-3</v>
      </c>
      <c r="L1204" t="s">
        <v>157</v>
      </c>
      <c r="N1204" t="s">
        <v>361</v>
      </c>
      <c r="O1204" t="s">
        <v>165</v>
      </c>
      <c r="P1204">
        <v>1.7974633646685723E-2</v>
      </c>
      <c r="Q1204" t="s">
        <v>157</v>
      </c>
      <c r="S1204" t="s">
        <v>472</v>
      </c>
      <c r="T1204" t="s">
        <v>165</v>
      </c>
      <c r="U1204">
        <v>1.426521976215428E-2</v>
      </c>
      <c r="V1204" t="s">
        <v>157</v>
      </c>
    </row>
    <row r="1205" spans="9:22" x14ac:dyDescent="0.45">
      <c r="I1205" t="s">
        <v>250</v>
      </c>
      <c r="J1205" t="s">
        <v>166</v>
      </c>
      <c r="K1205">
        <v>0</v>
      </c>
      <c r="L1205" t="s">
        <v>157</v>
      </c>
      <c r="N1205" t="s">
        <v>361</v>
      </c>
      <c r="O1205" t="s">
        <v>166</v>
      </c>
      <c r="P1205">
        <v>8.8817534015858193E-2</v>
      </c>
      <c r="Q1205" t="s">
        <v>157</v>
      </c>
      <c r="S1205" t="s">
        <v>472</v>
      </c>
      <c r="T1205" t="s">
        <v>166</v>
      </c>
      <c r="U1205">
        <v>7.2782993966206744E-2</v>
      </c>
      <c r="V1205" t="s">
        <v>157</v>
      </c>
    </row>
    <row r="1206" spans="9:22" x14ac:dyDescent="0.45">
      <c r="I1206" t="s">
        <v>250</v>
      </c>
      <c r="J1206" t="s">
        <v>167</v>
      </c>
      <c r="K1206">
        <v>2.0392202776369994E-2</v>
      </c>
      <c r="L1206" t="s">
        <v>157</v>
      </c>
      <c r="N1206" t="s">
        <v>361</v>
      </c>
      <c r="O1206" t="s">
        <v>167</v>
      </c>
      <c r="P1206">
        <v>3.6935593213427369E-2</v>
      </c>
      <c r="Q1206" t="s">
        <v>157</v>
      </c>
      <c r="S1206" t="s">
        <v>472</v>
      </c>
      <c r="T1206" t="s">
        <v>167</v>
      </c>
      <c r="U1206">
        <v>4.4524705721956791E-2</v>
      </c>
      <c r="V1206" t="s">
        <v>157</v>
      </c>
    </row>
    <row r="1207" spans="9:22" x14ac:dyDescent="0.45">
      <c r="I1207" t="s">
        <v>250</v>
      </c>
      <c r="J1207" t="s">
        <v>168</v>
      </c>
      <c r="K1207">
        <v>0.20231149310078878</v>
      </c>
      <c r="L1207" t="s">
        <v>157</v>
      </c>
      <c r="N1207" t="s">
        <v>361</v>
      </c>
      <c r="O1207" t="s">
        <v>168</v>
      </c>
      <c r="P1207">
        <v>6.3974377814090239E-2</v>
      </c>
      <c r="Q1207" t="s">
        <v>157</v>
      </c>
      <c r="S1207" t="s">
        <v>472</v>
      </c>
      <c r="T1207" t="s">
        <v>168</v>
      </c>
      <c r="U1207">
        <v>6.6789578978991362E-2</v>
      </c>
      <c r="V1207" t="s">
        <v>157</v>
      </c>
    </row>
    <row r="1208" spans="9:22" x14ac:dyDescent="0.45">
      <c r="I1208" t="s">
        <v>250</v>
      </c>
      <c r="J1208" t="s">
        <v>169</v>
      </c>
      <c r="K1208">
        <v>1.5329973323239838E-2</v>
      </c>
      <c r="L1208" t="s">
        <v>157</v>
      </c>
      <c r="N1208" t="s">
        <v>361</v>
      </c>
      <c r="O1208" t="s">
        <v>169</v>
      </c>
      <c r="P1208">
        <v>6.302064484321513E-3</v>
      </c>
      <c r="Q1208" t="s">
        <v>157</v>
      </c>
      <c r="S1208" t="s">
        <v>472</v>
      </c>
      <c r="T1208" t="s">
        <v>169</v>
      </c>
      <c r="U1208">
        <v>6.4361706217975342E-3</v>
      </c>
      <c r="V1208" t="s">
        <v>157</v>
      </c>
    </row>
    <row r="1209" spans="9:22" x14ac:dyDescent="0.45">
      <c r="I1209" t="s">
        <v>250</v>
      </c>
      <c r="J1209" t="s">
        <v>170</v>
      </c>
      <c r="K1209">
        <v>1.0262051183278836E-2</v>
      </c>
      <c r="L1209" t="s">
        <v>157</v>
      </c>
      <c r="N1209" t="s">
        <v>361</v>
      </c>
      <c r="O1209" t="s">
        <v>170</v>
      </c>
      <c r="P1209">
        <v>6.1079038264115178E-3</v>
      </c>
      <c r="Q1209" t="s">
        <v>157</v>
      </c>
      <c r="S1209" t="s">
        <v>472</v>
      </c>
      <c r="T1209" t="s">
        <v>170</v>
      </c>
      <c r="U1209">
        <v>6.2227174639469477E-3</v>
      </c>
      <c r="V1209" t="s">
        <v>157</v>
      </c>
    </row>
    <row r="1210" spans="9:22" x14ac:dyDescent="0.45">
      <c r="I1210" t="s">
        <v>250</v>
      </c>
      <c r="J1210" t="s">
        <v>171</v>
      </c>
      <c r="K1210">
        <v>2.8658914693552749E-3</v>
      </c>
      <c r="L1210" t="s">
        <v>157</v>
      </c>
      <c r="N1210" t="s">
        <v>361</v>
      </c>
      <c r="O1210" t="s">
        <v>171</v>
      </c>
      <c r="P1210">
        <v>2.8762512173278947E-2</v>
      </c>
      <c r="Q1210" t="s">
        <v>157</v>
      </c>
      <c r="S1210" t="s">
        <v>472</v>
      </c>
      <c r="T1210" t="s">
        <v>171</v>
      </c>
      <c r="U1210">
        <v>3.0935939944090975E-2</v>
      </c>
      <c r="V1210" t="s">
        <v>157</v>
      </c>
    </row>
    <row r="1211" spans="9:22" x14ac:dyDescent="0.45">
      <c r="I1211" t="s">
        <v>251</v>
      </c>
      <c r="J1211" t="s">
        <v>156</v>
      </c>
      <c r="K1211">
        <v>1.6204052622578773E-2</v>
      </c>
      <c r="L1211" t="s">
        <v>157</v>
      </c>
      <c r="N1211" t="s">
        <v>362</v>
      </c>
      <c r="O1211" t="s">
        <v>156</v>
      </c>
      <c r="P1211">
        <v>0.12521850308968757</v>
      </c>
      <c r="Q1211" t="s">
        <v>157</v>
      </c>
      <c r="S1211" t="s">
        <v>473</v>
      </c>
      <c r="T1211" t="s">
        <v>156</v>
      </c>
      <c r="U1211">
        <v>0.14268035987577651</v>
      </c>
      <c r="V1211" t="s">
        <v>157</v>
      </c>
    </row>
    <row r="1212" spans="9:22" x14ac:dyDescent="0.45">
      <c r="I1212" t="s">
        <v>251</v>
      </c>
      <c r="J1212" t="s">
        <v>158</v>
      </c>
      <c r="K1212">
        <v>0.42552115586445266</v>
      </c>
      <c r="L1212" t="s">
        <v>157</v>
      </c>
      <c r="N1212" t="s">
        <v>362</v>
      </c>
      <c r="O1212" t="s">
        <v>158</v>
      </c>
      <c r="P1212">
        <v>0.18999150284269092</v>
      </c>
      <c r="Q1212" t="s">
        <v>157</v>
      </c>
      <c r="S1212" t="s">
        <v>473</v>
      </c>
      <c r="T1212" t="s">
        <v>158</v>
      </c>
      <c r="U1212">
        <v>0.20372883231552191</v>
      </c>
      <c r="V1212" t="s">
        <v>157</v>
      </c>
    </row>
    <row r="1213" spans="9:22" x14ac:dyDescent="0.45">
      <c r="I1213" t="s">
        <v>251</v>
      </c>
      <c r="J1213" t="s">
        <v>159</v>
      </c>
      <c r="K1213">
        <v>2.8913068876911072E-2</v>
      </c>
      <c r="L1213" t="s">
        <v>157</v>
      </c>
      <c r="N1213" t="s">
        <v>362</v>
      </c>
      <c r="O1213" t="s">
        <v>159</v>
      </c>
      <c r="P1213">
        <v>2.111159563261945E-2</v>
      </c>
      <c r="Q1213" t="s">
        <v>157</v>
      </c>
      <c r="S1213" t="s">
        <v>473</v>
      </c>
      <c r="T1213" t="s">
        <v>159</v>
      </c>
      <c r="U1213">
        <v>2.066254001149603E-2</v>
      </c>
      <c r="V1213" t="s">
        <v>157</v>
      </c>
    </row>
    <row r="1214" spans="9:22" x14ac:dyDescent="0.45">
      <c r="I1214" t="s">
        <v>251</v>
      </c>
      <c r="J1214" t="s">
        <v>160</v>
      </c>
      <c r="K1214">
        <v>1.7157951109286536E-2</v>
      </c>
      <c r="L1214" t="s">
        <v>157</v>
      </c>
      <c r="N1214" t="s">
        <v>362</v>
      </c>
      <c r="O1214" t="s">
        <v>160</v>
      </c>
      <c r="P1214">
        <v>2.094481615659069E-2</v>
      </c>
      <c r="Q1214" t="s">
        <v>157</v>
      </c>
      <c r="S1214" t="s">
        <v>473</v>
      </c>
      <c r="T1214" t="s">
        <v>160</v>
      </c>
      <c r="U1214">
        <v>2.0363497188877179E-2</v>
      </c>
      <c r="V1214" t="s">
        <v>157</v>
      </c>
    </row>
    <row r="1215" spans="9:22" x14ac:dyDescent="0.45">
      <c r="I1215" t="s">
        <v>251</v>
      </c>
      <c r="J1215" t="s">
        <v>161</v>
      </c>
      <c r="K1215">
        <v>4.3780544228233399E-3</v>
      </c>
      <c r="L1215" t="s">
        <v>157</v>
      </c>
      <c r="N1215" t="s">
        <v>362</v>
      </c>
      <c r="O1215" t="s">
        <v>161</v>
      </c>
      <c r="P1215">
        <v>9.6392762923099895E-2</v>
      </c>
      <c r="Q1215" t="s">
        <v>157</v>
      </c>
      <c r="S1215" t="s">
        <v>473</v>
      </c>
      <c r="T1215" t="s">
        <v>161</v>
      </c>
      <c r="U1215">
        <v>0.10058665831000094</v>
      </c>
      <c r="V1215" t="s">
        <v>157</v>
      </c>
    </row>
    <row r="1216" spans="9:22" x14ac:dyDescent="0.45">
      <c r="I1216" t="s">
        <v>251</v>
      </c>
      <c r="J1216" t="s">
        <v>162</v>
      </c>
      <c r="K1216">
        <v>6.3428998742472674E-3</v>
      </c>
      <c r="L1216" t="s">
        <v>157</v>
      </c>
      <c r="N1216" t="s">
        <v>362</v>
      </c>
      <c r="O1216" t="s">
        <v>162</v>
      </c>
      <c r="P1216">
        <v>0.11583315713987451</v>
      </c>
      <c r="Q1216" t="s">
        <v>157</v>
      </c>
      <c r="S1216" t="s">
        <v>473</v>
      </c>
      <c r="T1216" t="s">
        <v>162</v>
      </c>
      <c r="U1216">
        <v>0.10665009525840534</v>
      </c>
      <c r="V1216" t="s">
        <v>157</v>
      </c>
    </row>
    <row r="1217" spans="9:22" x14ac:dyDescent="0.45">
      <c r="I1217" t="s">
        <v>251</v>
      </c>
      <c r="J1217" t="s">
        <v>163</v>
      </c>
      <c r="K1217">
        <v>0.23149070583134959</v>
      </c>
      <c r="L1217" t="s">
        <v>157</v>
      </c>
      <c r="N1217" t="s">
        <v>362</v>
      </c>
      <c r="O1217" t="s">
        <v>163</v>
      </c>
      <c r="P1217">
        <v>0.17086441982426692</v>
      </c>
      <c r="Q1217" t="s">
        <v>157</v>
      </c>
      <c r="S1217" t="s">
        <v>473</v>
      </c>
      <c r="T1217" t="s">
        <v>163</v>
      </c>
      <c r="U1217">
        <v>0.14904552012237071</v>
      </c>
      <c r="V1217" t="s">
        <v>157</v>
      </c>
    </row>
    <row r="1218" spans="9:22" x14ac:dyDescent="0.45">
      <c r="I1218" t="s">
        <v>251</v>
      </c>
      <c r="J1218" t="s">
        <v>164</v>
      </c>
      <c r="K1218">
        <v>1.1784103029016047E-2</v>
      </c>
      <c r="L1218" t="s">
        <v>157</v>
      </c>
      <c r="N1218" t="s">
        <v>362</v>
      </c>
      <c r="O1218" t="s">
        <v>164</v>
      </c>
      <c r="P1218">
        <v>1.702268997034629E-2</v>
      </c>
      <c r="Q1218" t="s">
        <v>157</v>
      </c>
      <c r="S1218" t="s">
        <v>473</v>
      </c>
      <c r="T1218" t="s">
        <v>164</v>
      </c>
      <c r="U1218">
        <v>1.4320535275784753E-2</v>
      </c>
      <c r="V1218" t="s">
        <v>157</v>
      </c>
    </row>
    <row r="1219" spans="9:22" x14ac:dyDescent="0.45">
      <c r="I1219" t="s">
        <v>251</v>
      </c>
      <c r="J1219" t="s">
        <v>165</v>
      </c>
      <c r="K1219">
        <v>2.4330934676402203E-3</v>
      </c>
      <c r="L1219" t="s">
        <v>157</v>
      </c>
      <c r="N1219" t="s">
        <v>362</v>
      </c>
      <c r="O1219" t="s">
        <v>165</v>
      </c>
      <c r="P1219">
        <v>1.7185643507875069E-2</v>
      </c>
      <c r="Q1219" t="s">
        <v>157</v>
      </c>
      <c r="S1219" t="s">
        <v>473</v>
      </c>
      <c r="T1219" t="s">
        <v>165</v>
      </c>
      <c r="U1219">
        <v>1.4321009823447473E-2</v>
      </c>
      <c r="V1219" t="s">
        <v>157</v>
      </c>
    </row>
    <row r="1220" spans="9:22" x14ac:dyDescent="0.45">
      <c r="I1220" t="s">
        <v>251</v>
      </c>
      <c r="J1220" t="s">
        <v>166</v>
      </c>
      <c r="K1220">
        <v>0</v>
      </c>
      <c r="L1220" t="s">
        <v>157</v>
      </c>
      <c r="N1220" t="s">
        <v>362</v>
      </c>
      <c r="O1220" t="s">
        <v>166</v>
      </c>
      <c r="P1220">
        <v>8.753886195303906E-2</v>
      </c>
      <c r="Q1220" t="s">
        <v>157</v>
      </c>
      <c r="S1220" t="s">
        <v>473</v>
      </c>
      <c r="T1220" t="s">
        <v>166</v>
      </c>
      <c r="U1220">
        <v>7.2830205522665656E-2</v>
      </c>
      <c r="V1220" t="s">
        <v>157</v>
      </c>
    </row>
    <row r="1221" spans="9:22" x14ac:dyDescent="0.45">
      <c r="I1221" t="s">
        <v>251</v>
      </c>
      <c r="J1221" t="s">
        <v>167</v>
      </c>
      <c r="K1221">
        <v>2.0773908274805707E-2</v>
      </c>
      <c r="L1221" t="s">
        <v>157</v>
      </c>
      <c r="N1221" t="s">
        <v>362</v>
      </c>
      <c r="O1221" t="s">
        <v>167</v>
      </c>
      <c r="P1221">
        <v>3.8167094575380041E-2</v>
      </c>
      <c r="Q1221" t="s">
        <v>157</v>
      </c>
      <c r="S1221" t="s">
        <v>473</v>
      </c>
      <c r="T1221" t="s">
        <v>167</v>
      </c>
      <c r="U1221">
        <v>4.5415083128831003E-2</v>
      </c>
      <c r="V1221" t="s">
        <v>157</v>
      </c>
    </row>
    <row r="1222" spans="9:22" x14ac:dyDescent="0.45">
      <c r="I1222" t="s">
        <v>251</v>
      </c>
      <c r="J1222" t="s">
        <v>168</v>
      </c>
      <c r="K1222">
        <v>0.20657215546054966</v>
      </c>
      <c r="L1222" t="s">
        <v>157</v>
      </c>
      <c r="N1222" t="s">
        <v>362</v>
      </c>
      <c r="O1222" t="s">
        <v>168</v>
      </c>
      <c r="P1222">
        <v>5.955662380350913E-2</v>
      </c>
      <c r="Q1222" t="s">
        <v>157</v>
      </c>
      <c r="S1222" t="s">
        <v>473</v>
      </c>
      <c r="T1222" t="s">
        <v>168</v>
      </c>
      <c r="U1222">
        <v>6.6087818622844047E-2</v>
      </c>
      <c r="V1222" t="s">
        <v>157</v>
      </c>
    </row>
    <row r="1223" spans="9:22" x14ac:dyDescent="0.45">
      <c r="I1223" t="s">
        <v>251</v>
      </c>
      <c r="J1223" t="s">
        <v>169</v>
      </c>
      <c r="K1223">
        <v>1.5400986235759251E-2</v>
      </c>
      <c r="L1223" t="s">
        <v>157</v>
      </c>
      <c r="N1223" t="s">
        <v>362</v>
      </c>
      <c r="O1223" t="s">
        <v>169</v>
      </c>
      <c r="P1223">
        <v>6.225898915094355E-3</v>
      </c>
      <c r="Q1223" t="s">
        <v>157</v>
      </c>
      <c r="S1223" t="s">
        <v>473</v>
      </c>
      <c r="T1223" t="s">
        <v>169</v>
      </c>
      <c r="U1223">
        <v>6.4320889804600663E-3</v>
      </c>
      <c r="V1223" t="s">
        <v>157</v>
      </c>
    </row>
    <row r="1224" spans="9:22" x14ac:dyDescent="0.45">
      <c r="I1224" t="s">
        <v>251</v>
      </c>
      <c r="J1224" t="s">
        <v>170</v>
      </c>
      <c r="K1224">
        <v>1.031402222741893E-2</v>
      </c>
      <c r="L1224" t="s">
        <v>157</v>
      </c>
      <c r="N1224" t="s">
        <v>362</v>
      </c>
      <c r="O1224" t="s">
        <v>170</v>
      </c>
      <c r="P1224">
        <v>6.036161343460438E-3</v>
      </c>
      <c r="Q1224" t="s">
        <v>157</v>
      </c>
      <c r="S1224" t="s">
        <v>473</v>
      </c>
      <c r="T1224" t="s">
        <v>170</v>
      </c>
      <c r="U1224">
        <v>6.2032892730604326E-3</v>
      </c>
      <c r="V1224" t="s">
        <v>157</v>
      </c>
    </row>
    <row r="1225" spans="9:22" x14ac:dyDescent="0.45">
      <c r="I1225" t="s">
        <v>251</v>
      </c>
      <c r="J1225" t="s">
        <v>171</v>
      </c>
      <c r="K1225">
        <v>2.7138427031609029E-3</v>
      </c>
      <c r="L1225" t="s">
        <v>157</v>
      </c>
      <c r="N1225" t="s">
        <v>362</v>
      </c>
      <c r="O1225" t="s">
        <v>171</v>
      </c>
      <c r="P1225">
        <v>2.7910268322465612E-2</v>
      </c>
      <c r="Q1225" t="s">
        <v>157</v>
      </c>
      <c r="S1225" t="s">
        <v>473</v>
      </c>
      <c r="T1225" t="s">
        <v>171</v>
      </c>
      <c r="U1225">
        <v>3.0672466290457955E-2</v>
      </c>
      <c r="V1225" t="s">
        <v>157</v>
      </c>
    </row>
    <row r="1226" spans="9:22" x14ac:dyDescent="0.45">
      <c r="I1226" t="s">
        <v>252</v>
      </c>
      <c r="J1226" t="s">
        <v>156</v>
      </c>
      <c r="K1226">
        <v>1.53620856756174E-2</v>
      </c>
      <c r="L1226" t="s">
        <v>157</v>
      </c>
      <c r="N1226" t="s">
        <v>363</v>
      </c>
      <c r="O1226" t="s">
        <v>156</v>
      </c>
      <c r="P1226">
        <v>0.13283180295265032</v>
      </c>
      <c r="Q1226" t="s">
        <v>157</v>
      </c>
      <c r="S1226" t="s">
        <v>474</v>
      </c>
      <c r="T1226" t="s">
        <v>156</v>
      </c>
      <c r="U1226">
        <v>0.14166924896813904</v>
      </c>
      <c r="V1226" t="s">
        <v>157</v>
      </c>
    </row>
    <row r="1227" spans="9:22" x14ac:dyDescent="0.45">
      <c r="I1227" t="s">
        <v>252</v>
      </c>
      <c r="J1227" t="s">
        <v>158</v>
      </c>
      <c r="K1227">
        <v>0.42234447131761582</v>
      </c>
      <c r="L1227" t="s">
        <v>157</v>
      </c>
      <c r="N1227" t="s">
        <v>363</v>
      </c>
      <c r="O1227" t="s">
        <v>158</v>
      </c>
      <c r="P1227">
        <v>0.18322262837154216</v>
      </c>
      <c r="Q1227" t="s">
        <v>157</v>
      </c>
      <c r="S1227" t="s">
        <v>474</v>
      </c>
      <c r="T1227" t="s">
        <v>158</v>
      </c>
      <c r="U1227">
        <v>0.20446856916325615</v>
      </c>
      <c r="V1227" t="s">
        <v>157</v>
      </c>
    </row>
    <row r="1228" spans="9:22" x14ac:dyDescent="0.45">
      <c r="I1228" t="s">
        <v>252</v>
      </c>
      <c r="J1228" t="s">
        <v>159</v>
      </c>
      <c r="K1228">
        <v>2.6847371489252699E-2</v>
      </c>
      <c r="L1228" t="s">
        <v>157</v>
      </c>
      <c r="N1228" t="s">
        <v>363</v>
      </c>
      <c r="O1228" t="s">
        <v>159</v>
      </c>
      <c r="P1228">
        <v>2.1128886757103931E-2</v>
      </c>
      <c r="Q1228" t="s">
        <v>157</v>
      </c>
      <c r="S1228" t="s">
        <v>474</v>
      </c>
      <c r="T1228" t="s">
        <v>159</v>
      </c>
      <c r="U1228">
        <v>2.0814279397707698E-2</v>
      </c>
      <c r="V1228" t="s">
        <v>157</v>
      </c>
    </row>
    <row r="1229" spans="9:22" x14ac:dyDescent="0.45">
      <c r="I1229" t="s">
        <v>252</v>
      </c>
      <c r="J1229" t="s">
        <v>160</v>
      </c>
      <c r="K1229">
        <v>1.439894328402406E-2</v>
      </c>
      <c r="L1229" t="s">
        <v>157</v>
      </c>
      <c r="N1229" t="s">
        <v>363</v>
      </c>
      <c r="O1229" t="s">
        <v>160</v>
      </c>
      <c r="P1229">
        <v>2.1081677768422749E-2</v>
      </c>
      <c r="Q1229" t="s">
        <v>157</v>
      </c>
      <c r="S1229" t="s">
        <v>474</v>
      </c>
      <c r="T1229" t="s">
        <v>160</v>
      </c>
      <c r="U1229">
        <v>2.0560561304997029E-2</v>
      </c>
      <c r="V1229" t="s">
        <v>157</v>
      </c>
    </row>
    <row r="1230" spans="9:22" x14ac:dyDescent="0.45">
      <c r="I1230" t="s">
        <v>252</v>
      </c>
      <c r="J1230" t="s">
        <v>161</v>
      </c>
      <c r="K1230">
        <v>3.2208488785355682E-3</v>
      </c>
      <c r="L1230" t="s">
        <v>157</v>
      </c>
      <c r="N1230" t="s">
        <v>363</v>
      </c>
      <c r="O1230" t="s">
        <v>161</v>
      </c>
      <c r="P1230">
        <v>9.9567635406803426E-2</v>
      </c>
      <c r="Q1230" t="s">
        <v>157</v>
      </c>
      <c r="S1230" t="s">
        <v>474</v>
      </c>
      <c r="T1230" t="s">
        <v>161</v>
      </c>
      <c r="U1230">
        <v>9.9688577328970324E-2</v>
      </c>
      <c r="V1230" t="s">
        <v>157</v>
      </c>
    </row>
    <row r="1231" spans="9:22" x14ac:dyDescent="0.45">
      <c r="I1231" t="s">
        <v>252</v>
      </c>
      <c r="J1231" t="s">
        <v>162</v>
      </c>
      <c r="K1231">
        <v>6.8902415068585569E-3</v>
      </c>
      <c r="L1231" t="s">
        <v>157</v>
      </c>
      <c r="N1231" t="s">
        <v>363</v>
      </c>
      <c r="O1231" t="s">
        <v>162</v>
      </c>
      <c r="P1231">
        <v>0.12207958622617134</v>
      </c>
      <c r="Q1231" t="s">
        <v>157</v>
      </c>
      <c r="S1231" t="s">
        <v>474</v>
      </c>
      <c r="T1231" t="s">
        <v>162</v>
      </c>
      <c r="U1231">
        <v>0.10704483576939562</v>
      </c>
      <c r="V1231" t="s">
        <v>157</v>
      </c>
    </row>
    <row r="1232" spans="9:22" x14ac:dyDescent="0.45">
      <c r="I1232" t="s">
        <v>252</v>
      </c>
      <c r="J1232" t="s">
        <v>163</v>
      </c>
      <c r="K1232">
        <v>0.2421035789708004</v>
      </c>
      <c r="L1232" t="s">
        <v>157</v>
      </c>
      <c r="N1232" t="s">
        <v>363</v>
      </c>
      <c r="O1232" t="s">
        <v>163</v>
      </c>
      <c r="P1232">
        <v>0.16447168762357886</v>
      </c>
      <c r="Q1232" t="s">
        <v>157</v>
      </c>
      <c r="S1232" t="s">
        <v>474</v>
      </c>
      <c r="T1232" t="s">
        <v>163</v>
      </c>
      <c r="U1232">
        <v>0.14946307434537112</v>
      </c>
      <c r="V1232" t="s">
        <v>157</v>
      </c>
    </row>
    <row r="1233" spans="9:22" x14ac:dyDescent="0.45">
      <c r="I1233" t="s">
        <v>252</v>
      </c>
      <c r="J1233" t="s">
        <v>164</v>
      </c>
      <c r="K1233">
        <v>1.2061151586726805E-2</v>
      </c>
      <c r="L1233" t="s">
        <v>157</v>
      </c>
      <c r="N1233" t="s">
        <v>363</v>
      </c>
      <c r="O1233" t="s">
        <v>164</v>
      </c>
      <c r="P1233">
        <v>1.6297693658897147E-2</v>
      </c>
      <c r="Q1233" t="s">
        <v>157</v>
      </c>
      <c r="S1233" t="s">
        <v>474</v>
      </c>
      <c r="T1233" t="s">
        <v>164</v>
      </c>
      <c r="U1233">
        <v>1.4359134786876174E-2</v>
      </c>
      <c r="V1233" t="s">
        <v>157</v>
      </c>
    </row>
    <row r="1234" spans="9:22" x14ac:dyDescent="0.45">
      <c r="I1234" t="s">
        <v>252</v>
      </c>
      <c r="J1234" t="s">
        <v>165</v>
      </c>
      <c r="K1234">
        <v>2.3766137871790768E-3</v>
      </c>
      <c r="L1234" t="s">
        <v>157</v>
      </c>
      <c r="N1234" t="s">
        <v>363</v>
      </c>
      <c r="O1234" t="s">
        <v>165</v>
      </c>
      <c r="P1234">
        <v>1.6431533216694601E-2</v>
      </c>
      <c r="Q1234" t="s">
        <v>157</v>
      </c>
      <c r="S1234" t="s">
        <v>474</v>
      </c>
      <c r="T1234" t="s">
        <v>165</v>
      </c>
      <c r="U1234">
        <v>1.4298441972922897E-2</v>
      </c>
      <c r="V1234" t="s">
        <v>157</v>
      </c>
    </row>
    <row r="1235" spans="9:22" x14ac:dyDescent="0.45">
      <c r="I1235" t="s">
        <v>252</v>
      </c>
      <c r="J1235" t="s">
        <v>166</v>
      </c>
      <c r="K1235">
        <v>0</v>
      </c>
      <c r="L1235" t="s">
        <v>157</v>
      </c>
      <c r="N1235" t="s">
        <v>363</v>
      </c>
      <c r="O1235" t="s">
        <v>166</v>
      </c>
      <c r="P1235">
        <v>8.591743046000351E-2</v>
      </c>
      <c r="Q1235" t="s">
        <v>157</v>
      </c>
      <c r="S1235" t="s">
        <v>474</v>
      </c>
      <c r="T1235" t="s">
        <v>166</v>
      </c>
      <c r="U1235">
        <v>7.3072445701171398E-2</v>
      </c>
      <c r="V1235" t="s">
        <v>157</v>
      </c>
    </row>
    <row r="1236" spans="9:22" x14ac:dyDescent="0.45">
      <c r="I1236" t="s">
        <v>252</v>
      </c>
      <c r="J1236" t="s">
        <v>167</v>
      </c>
      <c r="K1236">
        <v>1.9891486042159363E-2</v>
      </c>
      <c r="L1236" t="s">
        <v>157</v>
      </c>
      <c r="N1236" t="s">
        <v>363</v>
      </c>
      <c r="O1236" t="s">
        <v>167</v>
      </c>
      <c r="P1236">
        <v>3.8863896327707731E-2</v>
      </c>
      <c r="Q1236" t="s">
        <v>157</v>
      </c>
      <c r="S1236" t="s">
        <v>474</v>
      </c>
      <c r="T1236" t="s">
        <v>167</v>
      </c>
      <c r="U1236">
        <v>4.5685372448781889E-2</v>
      </c>
      <c r="V1236" t="s">
        <v>157</v>
      </c>
    </row>
    <row r="1237" spans="9:22" x14ac:dyDescent="0.45">
      <c r="I1237" t="s">
        <v>252</v>
      </c>
      <c r="J1237" t="s">
        <v>168</v>
      </c>
      <c r="K1237">
        <v>0.20881249115572181</v>
      </c>
      <c r="L1237" t="s">
        <v>157</v>
      </c>
      <c r="N1237" t="s">
        <v>363</v>
      </c>
      <c r="O1237" t="s">
        <v>168</v>
      </c>
      <c r="P1237">
        <v>5.6100942905941101E-2</v>
      </c>
      <c r="Q1237" t="s">
        <v>157</v>
      </c>
      <c r="S1237" t="s">
        <v>474</v>
      </c>
      <c r="T1237" t="s">
        <v>168</v>
      </c>
      <c r="U1237">
        <v>6.5694344368663879E-2</v>
      </c>
      <c r="V1237" t="s">
        <v>157</v>
      </c>
    </row>
    <row r="1238" spans="9:22" x14ac:dyDescent="0.45">
      <c r="I1238" t="s">
        <v>252</v>
      </c>
      <c r="J1238" t="s">
        <v>169</v>
      </c>
      <c r="K1238">
        <v>1.4716612435812531E-2</v>
      </c>
      <c r="L1238" t="s">
        <v>157</v>
      </c>
      <c r="N1238" t="s">
        <v>363</v>
      </c>
      <c r="O1238" t="s">
        <v>169</v>
      </c>
      <c r="P1238">
        <v>6.2431401355255278E-3</v>
      </c>
      <c r="Q1238" t="s">
        <v>157</v>
      </c>
      <c r="S1238" t="s">
        <v>474</v>
      </c>
      <c r="T1238" t="s">
        <v>169</v>
      </c>
      <c r="U1238">
        <v>6.3574656522169693E-3</v>
      </c>
      <c r="V1238" t="s">
        <v>157</v>
      </c>
    </row>
    <row r="1239" spans="9:22" x14ac:dyDescent="0.45">
      <c r="I1239" t="s">
        <v>252</v>
      </c>
      <c r="J1239" t="s">
        <v>170</v>
      </c>
      <c r="K1239">
        <v>9.2093847026348263E-3</v>
      </c>
      <c r="L1239" t="s">
        <v>157</v>
      </c>
      <c r="N1239" t="s">
        <v>363</v>
      </c>
      <c r="O1239" t="s">
        <v>170</v>
      </c>
      <c r="P1239">
        <v>6.1106337180337122E-3</v>
      </c>
      <c r="Q1239" t="s">
        <v>157</v>
      </c>
      <c r="S1239" t="s">
        <v>474</v>
      </c>
      <c r="T1239" t="s">
        <v>170</v>
      </c>
      <c r="U1239">
        <v>6.2190766896850509E-3</v>
      </c>
      <c r="V1239" t="s">
        <v>157</v>
      </c>
    </row>
    <row r="1240" spans="9:22" x14ac:dyDescent="0.45">
      <c r="I1240" t="s">
        <v>252</v>
      </c>
      <c r="J1240" t="s">
        <v>171</v>
      </c>
      <c r="K1240">
        <v>1.7647191670611105E-3</v>
      </c>
      <c r="L1240" t="s">
        <v>157</v>
      </c>
      <c r="N1240" t="s">
        <v>363</v>
      </c>
      <c r="O1240" t="s">
        <v>171</v>
      </c>
      <c r="P1240">
        <v>2.965082447092383E-2</v>
      </c>
      <c r="Q1240" t="s">
        <v>157</v>
      </c>
      <c r="S1240" t="s">
        <v>474</v>
      </c>
      <c r="T1240" t="s">
        <v>171</v>
      </c>
      <c r="U1240">
        <v>3.0604572101844685E-2</v>
      </c>
      <c r="V1240" t="s">
        <v>157</v>
      </c>
    </row>
    <row r="1241" spans="9:22" x14ac:dyDescent="0.45">
      <c r="I1241" t="s">
        <v>253</v>
      </c>
      <c r="J1241" t="s">
        <v>156</v>
      </c>
      <c r="K1241">
        <v>1.5274731727049858E-2</v>
      </c>
      <c r="L1241" t="s">
        <v>157</v>
      </c>
      <c r="N1241" t="s">
        <v>364</v>
      </c>
      <c r="O1241" t="s">
        <v>156</v>
      </c>
      <c r="P1241">
        <v>0.13366696956660468</v>
      </c>
      <c r="Q1241" t="s">
        <v>157</v>
      </c>
      <c r="S1241" t="s">
        <v>475</v>
      </c>
      <c r="T1241" t="s">
        <v>156</v>
      </c>
      <c r="U1241">
        <v>0.14108032430456055</v>
      </c>
      <c r="V1241" t="s">
        <v>157</v>
      </c>
    </row>
    <row r="1242" spans="9:22" x14ac:dyDescent="0.45">
      <c r="I1242" t="s">
        <v>253</v>
      </c>
      <c r="J1242" t="s">
        <v>158</v>
      </c>
      <c r="K1242">
        <v>0.42040556063118867</v>
      </c>
      <c r="L1242" t="s">
        <v>157</v>
      </c>
      <c r="N1242" t="s">
        <v>364</v>
      </c>
      <c r="O1242" t="s">
        <v>158</v>
      </c>
      <c r="P1242">
        <v>0.18932026023956747</v>
      </c>
      <c r="Q1242" t="s">
        <v>157</v>
      </c>
      <c r="S1242" t="s">
        <v>475</v>
      </c>
      <c r="T1242" t="s">
        <v>158</v>
      </c>
      <c r="U1242">
        <v>0.20519736856011972</v>
      </c>
      <c r="V1242" t="s">
        <v>157</v>
      </c>
    </row>
    <row r="1243" spans="9:22" x14ac:dyDescent="0.45">
      <c r="I1243" t="s">
        <v>253</v>
      </c>
      <c r="J1243" t="s">
        <v>159</v>
      </c>
      <c r="K1243">
        <v>2.6180569450775737E-2</v>
      </c>
      <c r="L1243" t="s">
        <v>157</v>
      </c>
      <c r="N1243" t="s">
        <v>364</v>
      </c>
      <c r="O1243" t="s">
        <v>159</v>
      </c>
      <c r="P1243">
        <v>2.1458156030344233E-2</v>
      </c>
      <c r="Q1243" t="s">
        <v>157</v>
      </c>
      <c r="S1243" t="s">
        <v>475</v>
      </c>
      <c r="T1243" t="s">
        <v>159</v>
      </c>
      <c r="U1243">
        <v>2.096233788475281E-2</v>
      </c>
      <c r="V1243" t="s">
        <v>157</v>
      </c>
    </row>
    <row r="1244" spans="9:22" x14ac:dyDescent="0.45">
      <c r="I1244" t="s">
        <v>253</v>
      </c>
      <c r="J1244" t="s">
        <v>160</v>
      </c>
      <c r="K1244">
        <v>1.3872197950701631E-2</v>
      </c>
      <c r="L1244" t="s">
        <v>157</v>
      </c>
      <c r="N1244" t="s">
        <v>364</v>
      </c>
      <c r="O1244" t="s">
        <v>160</v>
      </c>
      <c r="P1244">
        <v>2.1427528018775399E-2</v>
      </c>
      <c r="Q1244" t="s">
        <v>157</v>
      </c>
      <c r="S1244" t="s">
        <v>475</v>
      </c>
      <c r="T1244" t="s">
        <v>160</v>
      </c>
      <c r="U1244">
        <v>2.0764807164306405E-2</v>
      </c>
      <c r="V1244" t="s">
        <v>157</v>
      </c>
    </row>
    <row r="1245" spans="9:22" x14ac:dyDescent="0.45">
      <c r="I1245" t="s">
        <v>253</v>
      </c>
      <c r="J1245" t="s">
        <v>161</v>
      </c>
      <c r="K1245">
        <v>2.9268767246463283E-3</v>
      </c>
      <c r="L1245" t="s">
        <v>157</v>
      </c>
      <c r="N1245" t="s">
        <v>364</v>
      </c>
      <c r="O1245" t="s">
        <v>161</v>
      </c>
      <c r="P1245">
        <v>0.10095411444045409</v>
      </c>
      <c r="Q1245" t="s">
        <v>157</v>
      </c>
      <c r="S1245" t="s">
        <v>475</v>
      </c>
      <c r="T1245" t="s">
        <v>161</v>
      </c>
      <c r="U1245">
        <v>9.9658836441153892E-2</v>
      </c>
      <c r="V1245" t="s">
        <v>157</v>
      </c>
    </row>
    <row r="1246" spans="9:22" x14ac:dyDescent="0.45">
      <c r="I1246" t="s">
        <v>253</v>
      </c>
      <c r="J1246" t="s">
        <v>162</v>
      </c>
      <c r="K1246">
        <v>7.2488918741985611E-3</v>
      </c>
      <c r="L1246" t="s">
        <v>157</v>
      </c>
      <c r="N1246" t="s">
        <v>364</v>
      </c>
      <c r="O1246" t="s">
        <v>162</v>
      </c>
      <c r="P1246">
        <v>0.11969523345056993</v>
      </c>
      <c r="Q1246" t="s">
        <v>157</v>
      </c>
      <c r="S1246" t="s">
        <v>475</v>
      </c>
      <c r="T1246" t="s">
        <v>162</v>
      </c>
      <c r="U1246">
        <v>0.10711176150729562</v>
      </c>
      <c r="V1246" t="s">
        <v>157</v>
      </c>
    </row>
    <row r="1247" spans="9:22" x14ac:dyDescent="0.45">
      <c r="I1247" t="s">
        <v>253</v>
      </c>
      <c r="J1247" t="s">
        <v>163</v>
      </c>
      <c r="K1247">
        <v>0.24548497100570288</v>
      </c>
      <c r="L1247" t="s">
        <v>157</v>
      </c>
      <c r="N1247" t="s">
        <v>364</v>
      </c>
      <c r="O1247" t="s">
        <v>163</v>
      </c>
      <c r="P1247">
        <v>0.16686470121397262</v>
      </c>
      <c r="Q1247" t="s">
        <v>157</v>
      </c>
      <c r="S1247" t="s">
        <v>475</v>
      </c>
      <c r="T1247" t="s">
        <v>163</v>
      </c>
      <c r="U1247">
        <v>0.14907542386158354</v>
      </c>
      <c r="V1247" t="s">
        <v>157</v>
      </c>
    </row>
    <row r="1248" spans="9:22" x14ac:dyDescent="0.45">
      <c r="I1248" t="s">
        <v>253</v>
      </c>
      <c r="J1248" t="s">
        <v>164</v>
      </c>
      <c r="K1248">
        <v>1.2418600544672094E-2</v>
      </c>
      <c r="L1248" t="s">
        <v>157</v>
      </c>
      <c r="N1248" t="s">
        <v>364</v>
      </c>
      <c r="O1248" t="s">
        <v>164</v>
      </c>
      <c r="P1248">
        <v>1.6163772461571951E-2</v>
      </c>
      <c r="Q1248" t="s">
        <v>157</v>
      </c>
      <c r="S1248" t="s">
        <v>475</v>
      </c>
      <c r="T1248" t="s">
        <v>164</v>
      </c>
      <c r="U1248">
        <v>1.4424966062037546E-2</v>
      </c>
      <c r="V1248" t="s">
        <v>157</v>
      </c>
    </row>
    <row r="1249" spans="9:22" x14ac:dyDescent="0.45">
      <c r="I1249" t="s">
        <v>253</v>
      </c>
      <c r="J1249" t="s">
        <v>165</v>
      </c>
      <c r="K1249">
        <v>2.5476085345369844E-3</v>
      </c>
      <c r="L1249" t="s">
        <v>157</v>
      </c>
      <c r="N1249" t="s">
        <v>364</v>
      </c>
      <c r="O1249" t="s">
        <v>165</v>
      </c>
      <c r="P1249">
        <v>1.6043272480433246E-2</v>
      </c>
      <c r="Q1249" t="s">
        <v>157</v>
      </c>
      <c r="S1249" t="s">
        <v>475</v>
      </c>
      <c r="T1249" t="s">
        <v>165</v>
      </c>
      <c r="U1249">
        <v>1.4394300367387709E-2</v>
      </c>
      <c r="V1249" t="s">
        <v>157</v>
      </c>
    </row>
    <row r="1250" spans="9:22" x14ac:dyDescent="0.45">
      <c r="I1250" t="s">
        <v>253</v>
      </c>
      <c r="J1250" t="s">
        <v>166</v>
      </c>
      <c r="K1250">
        <v>0</v>
      </c>
      <c r="L1250" t="s">
        <v>157</v>
      </c>
      <c r="N1250" t="s">
        <v>364</v>
      </c>
      <c r="O1250" t="s">
        <v>166</v>
      </c>
      <c r="P1250">
        <v>8.3018679560195319E-2</v>
      </c>
      <c r="Q1250" t="s">
        <v>157</v>
      </c>
      <c r="S1250" t="s">
        <v>475</v>
      </c>
      <c r="T1250" t="s">
        <v>166</v>
      </c>
      <c r="U1250">
        <v>7.2866208722488113E-2</v>
      </c>
      <c r="V1250" t="s">
        <v>157</v>
      </c>
    </row>
    <row r="1251" spans="9:22" x14ac:dyDescent="0.45">
      <c r="I1251" t="s">
        <v>253</v>
      </c>
      <c r="J1251" t="s">
        <v>167</v>
      </c>
      <c r="K1251">
        <v>2.0565553496329859E-2</v>
      </c>
      <c r="L1251" t="s">
        <v>157</v>
      </c>
      <c r="N1251" t="s">
        <v>364</v>
      </c>
      <c r="O1251" t="s">
        <v>167</v>
      </c>
      <c r="P1251">
        <v>3.5976626697006735E-2</v>
      </c>
      <c r="Q1251" t="s">
        <v>157</v>
      </c>
      <c r="S1251" t="s">
        <v>475</v>
      </c>
      <c r="T1251" t="s">
        <v>167</v>
      </c>
      <c r="U1251">
        <v>4.5307012959224818E-2</v>
      </c>
      <c r="V1251" t="s">
        <v>157</v>
      </c>
    </row>
    <row r="1252" spans="9:22" x14ac:dyDescent="0.45">
      <c r="I1252" t="s">
        <v>253</v>
      </c>
      <c r="J1252" t="s">
        <v>168</v>
      </c>
      <c r="K1252">
        <v>0.20808991819852932</v>
      </c>
      <c r="L1252" t="s">
        <v>157</v>
      </c>
      <c r="N1252" t="s">
        <v>364</v>
      </c>
      <c r="O1252" t="s">
        <v>168</v>
      </c>
      <c r="P1252">
        <v>5.5574942380144918E-2</v>
      </c>
      <c r="Q1252" t="s">
        <v>157</v>
      </c>
      <c r="S1252" t="s">
        <v>475</v>
      </c>
      <c r="T1252" t="s">
        <v>168</v>
      </c>
      <c r="U1252">
        <v>6.5766672506861662E-2</v>
      </c>
      <c r="V1252" t="s">
        <v>157</v>
      </c>
    </row>
    <row r="1253" spans="9:22" x14ac:dyDescent="0.45">
      <c r="I1253" t="s">
        <v>253</v>
      </c>
      <c r="J1253" t="s">
        <v>169</v>
      </c>
      <c r="K1253">
        <v>1.42677970778159E-2</v>
      </c>
      <c r="L1253" t="s">
        <v>157</v>
      </c>
      <c r="N1253" t="s">
        <v>364</v>
      </c>
      <c r="O1253" t="s">
        <v>169</v>
      </c>
      <c r="P1253">
        <v>6.1506039479994621E-3</v>
      </c>
      <c r="Q1253" t="s">
        <v>157</v>
      </c>
      <c r="S1253" t="s">
        <v>475</v>
      </c>
      <c r="T1253" t="s">
        <v>169</v>
      </c>
      <c r="U1253">
        <v>6.3175892403709612E-3</v>
      </c>
      <c r="V1253" t="s">
        <v>157</v>
      </c>
    </row>
    <row r="1254" spans="9:22" x14ac:dyDescent="0.45">
      <c r="I1254" t="s">
        <v>253</v>
      </c>
      <c r="J1254" t="s">
        <v>170</v>
      </c>
      <c r="K1254">
        <v>9.2416481287357442E-3</v>
      </c>
      <c r="L1254" t="s">
        <v>157</v>
      </c>
      <c r="N1254" t="s">
        <v>364</v>
      </c>
      <c r="O1254" t="s">
        <v>170</v>
      </c>
      <c r="P1254">
        <v>5.9068162550705893E-3</v>
      </c>
      <c r="Q1254" t="s">
        <v>157</v>
      </c>
      <c r="S1254" t="s">
        <v>475</v>
      </c>
      <c r="T1254" t="s">
        <v>170</v>
      </c>
      <c r="U1254">
        <v>6.2390291164727127E-3</v>
      </c>
      <c r="V1254" t="s">
        <v>157</v>
      </c>
    </row>
    <row r="1255" spans="9:22" x14ac:dyDescent="0.45">
      <c r="I1255" t="s">
        <v>253</v>
      </c>
      <c r="J1255" t="s">
        <v>171</v>
      </c>
      <c r="K1255">
        <v>1.4750746551164785E-3</v>
      </c>
      <c r="L1255" t="s">
        <v>157</v>
      </c>
      <c r="N1255" t="s">
        <v>364</v>
      </c>
      <c r="O1255" t="s">
        <v>171</v>
      </c>
      <c r="P1255">
        <v>2.7778323257289433E-2</v>
      </c>
      <c r="Q1255" t="s">
        <v>157</v>
      </c>
      <c r="S1255" t="s">
        <v>475</v>
      </c>
      <c r="T1255" t="s">
        <v>171</v>
      </c>
      <c r="U1255">
        <v>3.083336130138396E-2</v>
      </c>
      <c r="V1255" t="s">
        <v>157</v>
      </c>
    </row>
    <row r="1256" spans="9:22" x14ac:dyDescent="0.45">
      <c r="I1256" t="s">
        <v>254</v>
      </c>
      <c r="J1256" t="s">
        <v>156</v>
      </c>
      <c r="K1256">
        <v>1.5444507086200326E-2</v>
      </c>
      <c r="L1256" t="s">
        <v>157</v>
      </c>
      <c r="N1256" t="s">
        <v>365</v>
      </c>
      <c r="O1256" t="s">
        <v>156</v>
      </c>
      <c r="P1256">
        <v>0.13277430355107103</v>
      </c>
      <c r="Q1256" t="s">
        <v>157</v>
      </c>
      <c r="S1256" t="s">
        <v>476</v>
      </c>
      <c r="T1256" t="s">
        <v>156</v>
      </c>
      <c r="U1256">
        <v>0.14160645405559266</v>
      </c>
      <c r="V1256" t="s">
        <v>157</v>
      </c>
    </row>
    <row r="1257" spans="9:22" x14ac:dyDescent="0.45">
      <c r="I1257" t="s">
        <v>254</v>
      </c>
      <c r="J1257" t="s">
        <v>158</v>
      </c>
      <c r="K1257">
        <v>0.41861805487084214</v>
      </c>
      <c r="L1257" t="s">
        <v>157</v>
      </c>
      <c r="N1257" t="s">
        <v>365</v>
      </c>
      <c r="O1257" t="s">
        <v>158</v>
      </c>
      <c r="P1257">
        <v>0.19953777152248681</v>
      </c>
      <c r="Q1257" t="s">
        <v>157</v>
      </c>
      <c r="S1257" t="s">
        <v>476</v>
      </c>
      <c r="T1257" t="s">
        <v>158</v>
      </c>
      <c r="U1257">
        <v>0.20505569950421054</v>
      </c>
      <c r="V1257" t="s">
        <v>157</v>
      </c>
    </row>
    <row r="1258" spans="9:22" x14ac:dyDescent="0.45">
      <c r="I1258" t="s">
        <v>254</v>
      </c>
      <c r="J1258" t="s">
        <v>159</v>
      </c>
      <c r="K1258">
        <v>2.5790166494968923E-2</v>
      </c>
      <c r="L1258" t="s">
        <v>157</v>
      </c>
      <c r="N1258" t="s">
        <v>365</v>
      </c>
      <c r="O1258" t="s">
        <v>159</v>
      </c>
      <c r="P1258">
        <v>2.178121982252355E-2</v>
      </c>
      <c r="Q1258" t="s">
        <v>157</v>
      </c>
      <c r="S1258" t="s">
        <v>476</v>
      </c>
      <c r="T1258" t="s">
        <v>159</v>
      </c>
      <c r="U1258">
        <v>2.0956344583131371E-2</v>
      </c>
      <c r="V1258" t="s">
        <v>157</v>
      </c>
    </row>
    <row r="1259" spans="9:22" x14ac:dyDescent="0.45">
      <c r="I1259" t="s">
        <v>254</v>
      </c>
      <c r="J1259" t="s">
        <v>160</v>
      </c>
      <c r="K1259">
        <v>1.3654986136066451E-2</v>
      </c>
      <c r="L1259" t="s">
        <v>157</v>
      </c>
      <c r="N1259" t="s">
        <v>365</v>
      </c>
      <c r="O1259" t="s">
        <v>160</v>
      </c>
      <c r="P1259">
        <v>2.1535146900233487E-2</v>
      </c>
      <c r="Q1259" t="s">
        <v>157</v>
      </c>
      <c r="S1259" t="s">
        <v>476</v>
      </c>
      <c r="T1259" t="s">
        <v>160</v>
      </c>
      <c r="U1259">
        <v>2.0901010824859661E-2</v>
      </c>
      <c r="V1259" t="s">
        <v>157</v>
      </c>
    </row>
    <row r="1260" spans="9:22" x14ac:dyDescent="0.45">
      <c r="I1260" t="s">
        <v>254</v>
      </c>
      <c r="J1260" t="s">
        <v>161</v>
      </c>
      <c r="K1260">
        <v>2.5134540644975588E-3</v>
      </c>
      <c r="L1260" t="s">
        <v>157</v>
      </c>
      <c r="N1260" t="s">
        <v>365</v>
      </c>
      <c r="O1260" t="s">
        <v>161</v>
      </c>
      <c r="P1260">
        <v>0.10060314570612491</v>
      </c>
      <c r="Q1260" t="s">
        <v>157</v>
      </c>
      <c r="S1260" t="s">
        <v>476</v>
      </c>
      <c r="T1260" t="s">
        <v>161</v>
      </c>
      <c r="U1260">
        <v>0.10045703140335686</v>
      </c>
      <c r="V1260" t="s">
        <v>157</v>
      </c>
    </row>
    <row r="1261" spans="9:22" x14ac:dyDescent="0.45">
      <c r="I1261" t="s">
        <v>254</v>
      </c>
      <c r="J1261" t="s">
        <v>162</v>
      </c>
      <c r="K1261">
        <v>7.5510093426364062E-3</v>
      </c>
      <c r="L1261" t="s">
        <v>157</v>
      </c>
      <c r="N1261" t="s">
        <v>365</v>
      </c>
      <c r="O1261" t="s">
        <v>162</v>
      </c>
      <c r="P1261">
        <v>0.11613791090509176</v>
      </c>
      <c r="Q1261" t="s">
        <v>157</v>
      </c>
      <c r="S1261" t="s">
        <v>476</v>
      </c>
      <c r="T1261" t="s">
        <v>162</v>
      </c>
      <c r="U1261">
        <v>0.10743962845550041</v>
      </c>
      <c r="V1261" t="s">
        <v>157</v>
      </c>
    </row>
    <row r="1262" spans="9:22" x14ac:dyDescent="0.45">
      <c r="I1262" t="s">
        <v>254</v>
      </c>
      <c r="J1262" t="s">
        <v>163</v>
      </c>
      <c r="K1262">
        <v>0.24875716747005031</v>
      </c>
      <c r="L1262" t="s">
        <v>157</v>
      </c>
      <c r="N1262" t="s">
        <v>365</v>
      </c>
      <c r="O1262" t="s">
        <v>163</v>
      </c>
      <c r="P1262">
        <v>0.16927518030824198</v>
      </c>
      <c r="Q1262" t="s">
        <v>157</v>
      </c>
      <c r="S1262" t="s">
        <v>476</v>
      </c>
      <c r="T1262" t="s">
        <v>163</v>
      </c>
      <c r="U1262">
        <v>0.14842488110069182</v>
      </c>
      <c r="V1262" t="s">
        <v>157</v>
      </c>
    </row>
    <row r="1263" spans="9:22" x14ac:dyDescent="0.45">
      <c r="I1263" t="s">
        <v>254</v>
      </c>
      <c r="J1263" t="s">
        <v>164</v>
      </c>
      <c r="K1263">
        <v>1.2949312499975501E-2</v>
      </c>
      <c r="L1263" t="s">
        <v>157</v>
      </c>
      <c r="N1263" t="s">
        <v>365</v>
      </c>
      <c r="O1263" t="s">
        <v>164</v>
      </c>
      <c r="P1263">
        <v>1.6181982711140446E-2</v>
      </c>
      <c r="Q1263" t="s">
        <v>157</v>
      </c>
      <c r="S1263" t="s">
        <v>476</v>
      </c>
      <c r="T1263" t="s">
        <v>164</v>
      </c>
      <c r="U1263">
        <v>1.4512222275167639E-2</v>
      </c>
      <c r="V1263" t="s">
        <v>157</v>
      </c>
    </row>
    <row r="1264" spans="9:22" x14ac:dyDescent="0.45">
      <c r="I1264" t="s">
        <v>254</v>
      </c>
      <c r="J1264" t="s">
        <v>165</v>
      </c>
      <c r="K1264">
        <v>2.4895550624439659E-3</v>
      </c>
      <c r="L1264" t="s">
        <v>157</v>
      </c>
      <c r="N1264" t="s">
        <v>365</v>
      </c>
      <c r="O1264" t="s">
        <v>165</v>
      </c>
      <c r="P1264">
        <v>1.5831847319893552E-2</v>
      </c>
      <c r="Q1264" t="s">
        <v>157</v>
      </c>
      <c r="S1264" t="s">
        <v>476</v>
      </c>
      <c r="T1264" t="s">
        <v>165</v>
      </c>
      <c r="U1264">
        <v>1.4493346920803295E-2</v>
      </c>
      <c r="V1264" t="s">
        <v>157</v>
      </c>
    </row>
    <row r="1265" spans="9:22" x14ac:dyDescent="0.45">
      <c r="I1265" t="s">
        <v>254</v>
      </c>
      <c r="J1265" t="s">
        <v>166</v>
      </c>
      <c r="K1265">
        <v>0</v>
      </c>
      <c r="L1265" t="s">
        <v>157</v>
      </c>
      <c r="N1265" t="s">
        <v>365</v>
      </c>
      <c r="O1265" t="s">
        <v>166</v>
      </c>
      <c r="P1265">
        <v>8.0132282207169087E-2</v>
      </c>
      <c r="Q1265" t="s">
        <v>157</v>
      </c>
      <c r="S1265" t="s">
        <v>476</v>
      </c>
      <c r="T1265" t="s">
        <v>166</v>
      </c>
      <c r="U1265">
        <v>7.2526719057112193E-2</v>
      </c>
      <c r="V1265" t="s">
        <v>157</v>
      </c>
    </row>
    <row r="1266" spans="9:22" x14ac:dyDescent="0.45">
      <c r="I1266" t="s">
        <v>254</v>
      </c>
      <c r="J1266" t="s">
        <v>167</v>
      </c>
      <c r="K1266">
        <v>2.1314071169343127E-2</v>
      </c>
      <c r="L1266" t="s">
        <v>157</v>
      </c>
      <c r="N1266" t="s">
        <v>365</v>
      </c>
      <c r="O1266" t="s">
        <v>167</v>
      </c>
      <c r="P1266">
        <v>3.3270276801403674E-2</v>
      </c>
      <c r="Q1266" t="s">
        <v>157</v>
      </c>
      <c r="S1266" t="s">
        <v>476</v>
      </c>
      <c r="T1266" t="s">
        <v>167</v>
      </c>
      <c r="U1266">
        <v>4.4206277288738174E-2</v>
      </c>
      <c r="V1266" t="s">
        <v>157</v>
      </c>
    </row>
    <row r="1267" spans="9:22" x14ac:dyDescent="0.45">
      <c r="I1267" t="s">
        <v>254</v>
      </c>
      <c r="J1267" t="s">
        <v>168</v>
      </c>
      <c r="K1267">
        <v>0.20640576637478325</v>
      </c>
      <c r="L1267" t="s">
        <v>157</v>
      </c>
      <c r="N1267" t="s">
        <v>365</v>
      </c>
      <c r="O1267" t="s">
        <v>168</v>
      </c>
      <c r="P1267">
        <v>5.4898614276049584E-2</v>
      </c>
      <c r="Q1267" t="s">
        <v>157</v>
      </c>
      <c r="S1267" t="s">
        <v>476</v>
      </c>
      <c r="T1267" t="s">
        <v>168</v>
      </c>
      <c r="U1267">
        <v>6.5787299634940705E-2</v>
      </c>
      <c r="V1267" t="s">
        <v>157</v>
      </c>
    </row>
    <row r="1268" spans="9:22" x14ac:dyDescent="0.45">
      <c r="I1268" t="s">
        <v>254</v>
      </c>
      <c r="J1268" t="s">
        <v>169</v>
      </c>
      <c r="K1268">
        <v>1.3981435616615634E-2</v>
      </c>
      <c r="L1268" t="s">
        <v>157</v>
      </c>
      <c r="N1268" t="s">
        <v>365</v>
      </c>
      <c r="O1268" t="s">
        <v>169</v>
      </c>
      <c r="P1268">
        <v>6.0675164100575159E-3</v>
      </c>
      <c r="Q1268" t="s">
        <v>157</v>
      </c>
      <c r="S1268" t="s">
        <v>476</v>
      </c>
      <c r="T1268" t="s">
        <v>169</v>
      </c>
      <c r="U1268">
        <v>6.3254134438013596E-3</v>
      </c>
      <c r="V1268" t="s">
        <v>157</v>
      </c>
    </row>
    <row r="1269" spans="9:22" x14ac:dyDescent="0.45">
      <c r="I1269" t="s">
        <v>254</v>
      </c>
      <c r="J1269" t="s">
        <v>170</v>
      </c>
      <c r="K1269">
        <v>9.3859527886720456E-3</v>
      </c>
      <c r="L1269" t="s">
        <v>157</v>
      </c>
      <c r="N1269" t="s">
        <v>365</v>
      </c>
      <c r="O1269" t="s">
        <v>170</v>
      </c>
      <c r="P1269">
        <v>5.7704705105105919E-3</v>
      </c>
      <c r="Q1269" t="s">
        <v>157</v>
      </c>
      <c r="S1269" t="s">
        <v>476</v>
      </c>
      <c r="T1269" t="s">
        <v>170</v>
      </c>
      <c r="U1269">
        <v>6.2669172871056616E-3</v>
      </c>
      <c r="V1269" t="s">
        <v>157</v>
      </c>
    </row>
    <row r="1270" spans="9:22" x14ac:dyDescent="0.45">
      <c r="I1270" t="s">
        <v>254</v>
      </c>
      <c r="J1270" t="s">
        <v>171</v>
      </c>
      <c r="K1270">
        <v>1.144561022904348E-3</v>
      </c>
      <c r="L1270" t="s">
        <v>157</v>
      </c>
      <c r="N1270" t="s">
        <v>365</v>
      </c>
      <c r="O1270" t="s">
        <v>171</v>
      </c>
      <c r="P1270">
        <v>2.6202331048002018E-2</v>
      </c>
      <c r="Q1270" t="s">
        <v>157</v>
      </c>
      <c r="S1270" t="s">
        <v>476</v>
      </c>
      <c r="T1270" t="s">
        <v>171</v>
      </c>
      <c r="U1270">
        <v>3.1040754164987545E-2</v>
      </c>
      <c r="V1270" t="s">
        <v>157</v>
      </c>
    </row>
    <row r="1271" spans="9:22" x14ac:dyDescent="0.45">
      <c r="I1271" t="s">
        <v>255</v>
      </c>
      <c r="J1271" t="s">
        <v>156</v>
      </c>
      <c r="K1271">
        <v>1.5444310718509997E-2</v>
      </c>
      <c r="L1271" t="s">
        <v>157</v>
      </c>
      <c r="N1271" t="s">
        <v>366</v>
      </c>
      <c r="O1271" t="s">
        <v>156</v>
      </c>
      <c r="P1271">
        <v>0.13365622285369552</v>
      </c>
      <c r="Q1271" t="s">
        <v>157</v>
      </c>
      <c r="S1271" t="s">
        <v>477</v>
      </c>
      <c r="T1271" t="s">
        <v>156</v>
      </c>
      <c r="U1271">
        <v>0.14279938667722619</v>
      </c>
      <c r="V1271" t="s">
        <v>157</v>
      </c>
    </row>
    <row r="1272" spans="9:22" x14ac:dyDescent="0.45">
      <c r="I1272" t="s">
        <v>255</v>
      </c>
      <c r="J1272" t="s">
        <v>158</v>
      </c>
      <c r="K1272">
        <v>0.41832057781926268</v>
      </c>
      <c r="L1272" t="s">
        <v>157</v>
      </c>
      <c r="N1272" t="s">
        <v>366</v>
      </c>
      <c r="O1272" t="s">
        <v>158</v>
      </c>
      <c r="P1272">
        <v>0.20919114401011921</v>
      </c>
      <c r="Q1272" t="s">
        <v>157</v>
      </c>
      <c r="S1272" t="s">
        <v>477</v>
      </c>
      <c r="T1272" t="s">
        <v>158</v>
      </c>
      <c r="U1272">
        <v>0.20409965678776973</v>
      </c>
      <c r="V1272" t="s">
        <v>157</v>
      </c>
    </row>
    <row r="1273" spans="9:22" x14ac:dyDescent="0.45">
      <c r="I1273" t="s">
        <v>255</v>
      </c>
      <c r="J1273" t="s">
        <v>159</v>
      </c>
      <c r="K1273">
        <v>2.5808840351754517E-2</v>
      </c>
      <c r="L1273" t="s">
        <v>157</v>
      </c>
      <c r="N1273" t="s">
        <v>366</v>
      </c>
      <c r="O1273" t="s">
        <v>159</v>
      </c>
      <c r="P1273">
        <v>2.1889224001353715E-2</v>
      </c>
      <c r="Q1273" t="s">
        <v>157</v>
      </c>
      <c r="S1273" t="s">
        <v>477</v>
      </c>
      <c r="T1273" t="s">
        <v>159</v>
      </c>
      <c r="U1273">
        <v>2.0743123804353416E-2</v>
      </c>
      <c r="V1273" t="s">
        <v>157</v>
      </c>
    </row>
    <row r="1274" spans="9:22" x14ac:dyDescent="0.45">
      <c r="I1274" t="s">
        <v>255</v>
      </c>
      <c r="J1274" t="s">
        <v>160</v>
      </c>
      <c r="K1274">
        <v>1.3648964830568282E-2</v>
      </c>
      <c r="L1274" t="s">
        <v>157</v>
      </c>
      <c r="N1274" t="s">
        <v>366</v>
      </c>
      <c r="O1274" t="s">
        <v>160</v>
      </c>
      <c r="P1274">
        <v>2.139629552873076E-2</v>
      </c>
      <c r="Q1274" t="s">
        <v>157</v>
      </c>
      <c r="S1274" t="s">
        <v>477</v>
      </c>
      <c r="T1274" t="s">
        <v>160</v>
      </c>
      <c r="U1274">
        <v>2.092074515129785E-2</v>
      </c>
      <c r="V1274" t="s">
        <v>157</v>
      </c>
    </row>
    <row r="1275" spans="9:22" x14ac:dyDescent="0.45">
      <c r="I1275" t="s">
        <v>255</v>
      </c>
      <c r="J1275" t="s">
        <v>161</v>
      </c>
      <c r="K1275">
        <v>2.4013594443253357E-3</v>
      </c>
      <c r="L1275" t="s">
        <v>157</v>
      </c>
      <c r="N1275" t="s">
        <v>366</v>
      </c>
      <c r="O1275" t="s">
        <v>161</v>
      </c>
      <c r="P1275">
        <v>0.10012470718300262</v>
      </c>
      <c r="Q1275" t="s">
        <v>157</v>
      </c>
      <c r="S1275" t="s">
        <v>477</v>
      </c>
      <c r="T1275" t="s">
        <v>161</v>
      </c>
      <c r="U1275">
        <v>0.10133398395652918</v>
      </c>
      <c r="V1275" t="s">
        <v>157</v>
      </c>
    </row>
    <row r="1276" spans="9:22" x14ac:dyDescent="0.45">
      <c r="I1276" t="s">
        <v>255</v>
      </c>
      <c r="J1276" t="s">
        <v>162</v>
      </c>
      <c r="K1276">
        <v>7.9040401664751785E-3</v>
      </c>
      <c r="L1276" t="s">
        <v>157</v>
      </c>
      <c r="N1276" t="s">
        <v>366</v>
      </c>
      <c r="O1276" t="s">
        <v>162</v>
      </c>
      <c r="P1276">
        <v>0.11138924395843748</v>
      </c>
      <c r="Q1276" t="s">
        <v>157</v>
      </c>
      <c r="S1276" t="s">
        <v>477</v>
      </c>
      <c r="T1276" t="s">
        <v>162</v>
      </c>
      <c r="U1276">
        <v>0.10851706717056478</v>
      </c>
      <c r="V1276" t="s">
        <v>157</v>
      </c>
    </row>
    <row r="1277" spans="9:22" x14ac:dyDescent="0.45">
      <c r="I1277" t="s">
        <v>255</v>
      </c>
      <c r="J1277" t="s">
        <v>163</v>
      </c>
      <c r="K1277">
        <v>0.2512636008611322</v>
      </c>
      <c r="L1277" t="s">
        <v>157</v>
      </c>
      <c r="N1277" t="s">
        <v>366</v>
      </c>
      <c r="O1277" t="s">
        <v>163</v>
      </c>
      <c r="P1277">
        <v>0.1686005373641552</v>
      </c>
      <c r="Q1277" t="s">
        <v>157</v>
      </c>
      <c r="S1277" t="s">
        <v>477</v>
      </c>
      <c r="T1277" t="s">
        <v>163</v>
      </c>
      <c r="U1277">
        <v>0.14825929752796721</v>
      </c>
      <c r="V1277" t="s">
        <v>157</v>
      </c>
    </row>
    <row r="1278" spans="9:22" x14ac:dyDescent="0.45">
      <c r="I1278" t="s">
        <v>255</v>
      </c>
      <c r="J1278" t="s">
        <v>164</v>
      </c>
      <c r="K1278">
        <v>1.3134221679105541E-2</v>
      </c>
      <c r="L1278" t="s">
        <v>157</v>
      </c>
      <c r="N1278" t="s">
        <v>366</v>
      </c>
      <c r="O1278" t="s">
        <v>164</v>
      </c>
      <c r="P1278">
        <v>1.6249156289999664E-2</v>
      </c>
      <c r="Q1278" t="s">
        <v>157</v>
      </c>
      <c r="S1278" t="s">
        <v>477</v>
      </c>
      <c r="T1278" t="s">
        <v>164</v>
      </c>
      <c r="U1278">
        <v>1.4477508219957452E-2</v>
      </c>
      <c r="V1278" t="s">
        <v>157</v>
      </c>
    </row>
    <row r="1279" spans="9:22" x14ac:dyDescent="0.45">
      <c r="I1279" t="s">
        <v>255</v>
      </c>
      <c r="J1279" t="s">
        <v>165</v>
      </c>
      <c r="K1279">
        <v>2.3563224580942866E-3</v>
      </c>
      <c r="L1279" t="s">
        <v>157</v>
      </c>
      <c r="N1279" t="s">
        <v>366</v>
      </c>
      <c r="O1279" t="s">
        <v>165</v>
      </c>
      <c r="P1279">
        <v>1.5866758197285474E-2</v>
      </c>
      <c r="Q1279" t="s">
        <v>157</v>
      </c>
      <c r="S1279" t="s">
        <v>477</v>
      </c>
      <c r="T1279" t="s">
        <v>165</v>
      </c>
      <c r="U1279">
        <v>1.4496132532411294E-2</v>
      </c>
      <c r="V1279" t="s">
        <v>157</v>
      </c>
    </row>
    <row r="1280" spans="9:22" x14ac:dyDescent="0.45">
      <c r="I1280" t="s">
        <v>255</v>
      </c>
      <c r="J1280" t="s">
        <v>166</v>
      </c>
      <c r="K1280">
        <v>0</v>
      </c>
      <c r="L1280" t="s">
        <v>157</v>
      </c>
      <c r="N1280" t="s">
        <v>366</v>
      </c>
      <c r="O1280" t="s">
        <v>166</v>
      </c>
      <c r="P1280">
        <v>7.8875340132550029E-2</v>
      </c>
      <c r="Q1280" t="s">
        <v>157</v>
      </c>
      <c r="S1280" t="s">
        <v>477</v>
      </c>
      <c r="T1280" t="s">
        <v>166</v>
      </c>
      <c r="U1280">
        <v>7.2747144032651354E-2</v>
      </c>
      <c r="V1280" t="s">
        <v>157</v>
      </c>
    </row>
    <row r="1281" spans="9:22" x14ac:dyDescent="0.45">
      <c r="I1281" t="s">
        <v>255</v>
      </c>
      <c r="J1281" t="s">
        <v>167</v>
      </c>
      <c r="K1281">
        <v>2.1838203729884015E-2</v>
      </c>
      <c r="L1281" t="s">
        <v>157</v>
      </c>
      <c r="N1281" t="s">
        <v>366</v>
      </c>
      <c r="O1281" t="s">
        <v>167</v>
      </c>
      <c r="P1281">
        <v>3.2340616274693007E-2</v>
      </c>
      <c r="Q1281" t="s">
        <v>157</v>
      </c>
      <c r="S1281" t="s">
        <v>477</v>
      </c>
      <c r="T1281" t="s">
        <v>167</v>
      </c>
      <c r="U1281">
        <v>4.3014215443137875E-2</v>
      </c>
      <c r="V1281" t="s">
        <v>157</v>
      </c>
    </row>
    <row r="1282" spans="9:22" x14ac:dyDescent="0.45">
      <c r="I1282" t="s">
        <v>255</v>
      </c>
      <c r="J1282" t="s">
        <v>168</v>
      </c>
      <c r="K1282">
        <v>0.20402191604304876</v>
      </c>
      <c r="L1282" t="s">
        <v>157</v>
      </c>
      <c r="N1282" t="s">
        <v>366</v>
      </c>
      <c r="O1282" t="s">
        <v>168</v>
      </c>
      <c r="P1282">
        <v>5.316042520385638E-2</v>
      </c>
      <c r="Q1282" t="s">
        <v>157</v>
      </c>
      <c r="S1282" t="s">
        <v>477</v>
      </c>
      <c r="T1282" t="s">
        <v>168</v>
      </c>
      <c r="U1282">
        <v>6.508625104743454E-2</v>
      </c>
      <c r="V1282" t="s">
        <v>157</v>
      </c>
    </row>
    <row r="1283" spans="9:22" x14ac:dyDescent="0.45">
      <c r="I1283" t="s">
        <v>255</v>
      </c>
      <c r="J1283" t="s">
        <v>169</v>
      </c>
      <c r="K1283">
        <v>1.3884483459353471E-2</v>
      </c>
      <c r="L1283" t="s">
        <v>157</v>
      </c>
      <c r="N1283" t="s">
        <v>366</v>
      </c>
      <c r="O1283" t="s">
        <v>169</v>
      </c>
      <c r="P1283">
        <v>5.989567129897279E-3</v>
      </c>
      <c r="Q1283" t="s">
        <v>157</v>
      </c>
      <c r="S1283" t="s">
        <v>477</v>
      </c>
      <c r="T1283" t="s">
        <v>169</v>
      </c>
      <c r="U1283">
        <v>6.288632356237338E-3</v>
      </c>
      <c r="V1283" t="s">
        <v>157</v>
      </c>
    </row>
    <row r="1284" spans="9:22" x14ac:dyDescent="0.45">
      <c r="I1284" t="s">
        <v>255</v>
      </c>
      <c r="J1284" t="s">
        <v>170</v>
      </c>
      <c r="K1284">
        <v>9.2901088285961986E-3</v>
      </c>
      <c r="L1284" t="s">
        <v>157</v>
      </c>
      <c r="N1284" t="s">
        <v>366</v>
      </c>
      <c r="O1284" t="s">
        <v>170</v>
      </c>
      <c r="P1284">
        <v>5.7808305637049957E-3</v>
      </c>
      <c r="Q1284" t="s">
        <v>157</v>
      </c>
      <c r="S1284" t="s">
        <v>477</v>
      </c>
      <c r="T1284" t="s">
        <v>170</v>
      </c>
      <c r="U1284">
        <v>6.2522802853177484E-3</v>
      </c>
      <c r="V1284" t="s">
        <v>157</v>
      </c>
    </row>
    <row r="1285" spans="9:22" x14ac:dyDescent="0.45">
      <c r="I1285" t="s">
        <v>255</v>
      </c>
      <c r="J1285" t="s">
        <v>171</v>
      </c>
      <c r="K1285">
        <v>6.8304960988956076E-4</v>
      </c>
      <c r="L1285" t="s">
        <v>157</v>
      </c>
      <c r="N1285" t="s">
        <v>366</v>
      </c>
      <c r="O1285" t="s">
        <v>171</v>
      </c>
      <c r="P1285">
        <v>2.548993130851859E-2</v>
      </c>
      <c r="Q1285" t="s">
        <v>157</v>
      </c>
      <c r="S1285" t="s">
        <v>477</v>
      </c>
      <c r="T1285" t="s">
        <v>171</v>
      </c>
      <c r="U1285">
        <v>3.0964575007144078E-2</v>
      </c>
      <c r="V1285" t="s">
        <v>157</v>
      </c>
    </row>
    <row r="1286" spans="9:22" x14ac:dyDescent="0.45">
      <c r="I1286" t="s">
        <v>256</v>
      </c>
      <c r="J1286" t="s">
        <v>156</v>
      </c>
      <c r="K1286">
        <v>1.4898885766382109E-2</v>
      </c>
      <c r="L1286" t="s">
        <v>157</v>
      </c>
      <c r="N1286" t="s">
        <v>367</v>
      </c>
      <c r="O1286" t="s">
        <v>156</v>
      </c>
      <c r="P1286">
        <v>0.13939642291907625</v>
      </c>
      <c r="Q1286" t="s">
        <v>157</v>
      </c>
      <c r="S1286" t="s">
        <v>478</v>
      </c>
      <c r="T1286" t="s">
        <v>156</v>
      </c>
      <c r="U1286">
        <v>0.14333671508789217</v>
      </c>
      <c r="V1286" t="s">
        <v>157</v>
      </c>
    </row>
    <row r="1287" spans="9:22" x14ac:dyDescent="0.45">
      <c r="I1287" t="s">
        <v>256</v>
      </c>
      <c r="J1287" t="s">
        <v>158</v>
      </c>
      <c r="K1287">
        <v>0.41866166924738624</v>
      </c>
      <c r="L1287" t="s">
        <v>157</v>
      </c>
      <c r="N1287" t="s">
        <v>367</v>
      </c>
      <c r="O1287" t="s">
        <v>158</v>
      </c>
      <c r="P1287">
        <v>0.2114961889087599</v>
      </c>
      <c r="Q1287" t="s">
        <v>157</v>
      </c>
      <c r="S1287" t="s">
        <v>478</v>
      </c>
      <c r="T1287" t="s">
        <v>158</v>
      </c>
      <c r="U1287">
        <v>0.20247904397416608</v>
      </c>
      <c r="V1287" t="s">
        <v>157</v>
      </c>
    </row>
    <row r="1288" spans="9:22" x14ac:dyDescent="0.45">
      <c r="I1288" t="s">
        <v>256</v>
      </c>
      <c r="J1288" t="s">
        <v>159</v>
      </c>
      <c r="K1288">
        <v>2.6127676242504953E-2</v>
      </c>
      <c r="L1288" t="s">
        <v>157</v>
      </c>
      <c r="N1288" t="s">
        <v>367</v>
      </c>
      <c r="O1288" t="s">
        <v>159</v>
      </c>
      <c r="P1288">
        <v>2.1988294225451163E-2</v>
      </c>
      <c r="Q1288" t="s">
        <v>157</v>
      </c>
      <c r="S1288" t="s">
        <v>478</v>
      </c>
      <c r="T1288" t="s">
        <v>159</v>
      </c>
      <c r="U1288">
        <v>2.041671220072282E-2</v>
      </c>
      <c r="V1288" t="s">
        <v>157</v>
      </c>
    </row>
    <row r="1289" spans="9:22" x14ac:dyDescent="0.45">
      <c r="I1289" t="s">
        <v>256</v>
      </c>
      <c r="J1289" t="s">
        <v>160</v>
      </c>
      <c r="K1289">
        <v>1.3672515654319324E-2</v>
      </c>
      <c r="L1289" t="s">
        <v>157</v>
      </c>
      <c r="N1289" t="s">
        <v>367</v>
      </c>
      <c r="O1289" t="s">
        <v>160</v>
      </c>
      <c r="P1289">
        <v>2.1592802818224007E-2</v>
      </c>
      <c r="Q1289" t="s">
        <v>157</v>
      </c>
      <c r="S1289" t="s">
        <v>478</v>
      </c>
      <c r="T1289" t="s">
        <v>160</v>
      </c>
      <c r="U1289">
        <v>2.0695100125210031E-2</v>
      </c>
      <c r="V1289" t="s">
        <v>157</v>
      </c>
    </row>
    <row r="1290" spans="9:22" x14ac:dyDescent="0.45">
      <c r="I1290" t="s">
        <v>256</v>
      </c>
      <c r="J1290" t="s">
        <v>161</v>
      </c>
      <c r="K1290">
        <v>1.7917746485650707E-3</v>
      </c>
      <c r="L1290" t="s">
        <v>157</v>
      </c>
      <c r="N1290" t="s">
        <v>367</v>
      </c>
      <c r="O1290" t="s">
        <v>161</v>
      </c>
      <c r="P1290">
        <v>0.10198237726910657</v>
      </c>
      <c r="Q1290" t="s">
        <v>157</v>
      </c>
      <c r="S1290" t="s">
        <v>478</v>
      </c>
      <c r="T1290" t="s">
        <v>161</v>
      </c>
      <c r="U1290">
        <v>0.1014382066277937</v>
      </c>
      <c r="V1290" t="s">
        <v>157</v>
      </c>
    </row>
    <row r="1291" spans="9:22" x14ac:dyDescent="0.45">
      <c r="I1291" t="s">
        <v>256</v>
      </c>
      <c r="J1291" t="s">
        <v>162</v>
      </c>
      <c r="K1291">
        <v>7.9490463084828517E-3</v>
      </c>
      <c r="L1291" t="s">
        <v>157</v>
      </c>
      <c r="N1291" t="s">
        <v>367</v>
      </c>
      <c r="O1291" t="s">
        <v>162</v>
      </c>
      <c r="P1291">
        <v>0.10722920956158286</v>
      </c>
      <c r="Q1291" t="s">
        <v>157</v>
      </c>
      <c r="S1291" t="s">
        <v>478</v>
      </c>
      <c r="T1291" t="s">
        <v>162</v>
      </c>
      <c r="U1291">
        <v>0.11025459691033651</v>
      </c>
      <c r="V1291" t="s">
        <v>157</v>
      </c>
    </row>
    <row r="1292" spans="9:22" x14ac:dyDescent="0.45">
      <c r="I1292" t="s">
        <v>256</v>
      </c>
      <c r="J1292" t="s">
        <v>163</v>
      </c>
      <c r="K1292">
        <v>0.25291905499289374</v>
      </c>
      <c r="L1292" t="s">
        <v>157</v>
      </c>
      <c r="N1292" t="s">
        <v>367</v>
      </c>
      <c r="O1292" t="s">
        <v>163</v>
      </c>
      <c r="P1292">
        <v>0.16163197426638171</v>
      </c>
      <c r="Q1292" t="s">
        <v>157</v>
      </c>
      <c r="S1292" t="s">
        <v>478</v>
      </c>
      <c r="T1292" t="s">
        <v>163</v>
      </c>
      <c r="U1292">
        <v>0.14937913462322966</v>
      </c>
      <c r="V1292" t="s">
        <v>157</v>
      </c>
    </row>
    <row r="1293" spans="9:22" x14ac:dyDescent="0.45">
      <c r="I1293" t="s">
        <v>256</v>
      </c>
      <c r="J1293" t="s">
        <v>164</v>
      </c>
      <c r="K1293">
        <v>1.3238529403265883E-2</v>
      </c>
      <c r="L1293" t="s">
        <v>157</v>
      </c>
      <c r="N1293" t="s">
        <v>367</v>
      </c>
      <c r="O1293" t="s">
        <v>164</v>
      </c>
      <c r="P1293">
        <v>1.6405978599885761E-2</v>
      </c>
      <c r="Q1293" t="s">
        <v>157</v>
      </c>
      <c r="S1293" t="s">
        <v>478</v>
      </c>
      <c r="T1293" t="s">
        <v>164</v>
      </c>
      <c r="U1293">
        <v>1.447181541193422E-2</v>
      </c>
      <c r="V1293" t="s">
        <v>157</v>
      </c>
    </row>
    <row r="1294" spans="9:22" x14ac:dyDescent="0.45">
      <c r="I1294" t="s">
        <v>256</v>
      </c>
      <c r="J1294" t="s">
        <v>165</v>
      </c>
      <c r="K1294">
        <v>2.1954169966708135E-3</v>
      </c>
      <c r="L1294" t="s">
        <v>157</v>
      </c>
      <c r="N1294" t="s">
        <v>367</v>
      </c>
      <c r="O1294" t="s">
        <v>165</v>
      </c>
      <c r="P1294">
        <v>1.6114923615771701E-2</v>
      </c>
      <c r="Q1294" t="s">
        <v>157</v>
      </c>
      <c r="S1294" t="s">
        <v>478</v>
      </c>
      <c r="T1294" t="s">
        <v>165</v>
      </c>
      <c r="U1294">
        <v>1.4612955771359133E-2</v>
      </c>
      <c r="V1294" t="s">
        <v>157</v>
      </c>
    </row>
    <row r="1295" spans="9:22" x14ac:dyDescent="0.45">
      <c r="I1295" t="s">
        <v>256</v>
      </c>
      <c r="J1295" t="s">
        <v>166</v>
      </c>
      <c r="K1295">
        <v>0</v>
      </c>
      <c r="L1295" t="s">
        <v>157</v>
      </c>
      <c r="N1295" t="s">
        <v>367</v>
      </c>
      <c r="O1295" t="s">
        <v>166</v>
      </c>
      <c r="P1295">
        <v>7.9537790217956122E-2</v>
      </c>
      <c r="Q1295" t="s">
        <v>157</v>
      </c>
      <c r="S1295" t="s">
        <v>478</v>
      </c>
      <c r="T1295" t="s">
        <v>166</v>
      </c>
      <c r="U1295">
        <v>7.4192661722200709E-2</v>
      </c>
      <c r="V1295" t="s">
        <v>157</v>
      </c>
    </row>
    <row r="1296" spans="9:22" x14ac:dyDescent="0.45">
      <c r="I1296" t="s">
        <v>256</v>
      </c>
      <c r="J1296" t="s">
        <v>167</v>
      </c>
      <c r="K1296">
        <v>2.1606141730050973E-2</v>
      </c>
      <c r="L1296" t="s">
        <v>157</v>
      </c>
      <c r="N1296" t="s">
        <v>367</v>
      </c>
      <c r="O1296" t="s">
        <v>167</v>
      </c>
      <c r="P1296">
        <v>3.4061549401381203E-2</v>
      </c>
      <c r="Q1296" t="s">
        <v>157</v>
      </c>
      <c r="S1296" t="s">
        <v>478</v>
      </c>
      <c r="T1296" t="s">
        <v>167</v>
      </c>
      <c r="U1296">
        <v>4.2279174204796932E-2</v>
      </c>
      <c r="V1296" t="s">
        <v>157</v>
      </c>
    </row>
    <row r="1297" spans="9:22" x14ac:dyDescent="0.45">
      <c r="I1297" t="s">
        <v>256</v>
      </c>
      <c r="J1297" t="s">
        <v>168</v>
      </c>
      <c r="K1297">
        <v>0.20318533627426982</v>
      </c>
      <c r="L1297" t="s">
        <v>157</v>
      </c>
      <c r="N1297" t="s">
        <v>367</v>
      </c>
      <c r="O1297" t="s">
        <v>168</v>
      </c>
      <c r="P1297">
        <v>5.0166678463436816E-2</v>
      </c>
      <c r="Q1297" t="s">
        <v>157</v>
      </c>
      <c r="S1297" t="s">
        <v>478</v>
      </c>
      <c r="T1297" t="s">
        <v>168</v>
      </c>
      <c r="U1297">
        <v>6.3577335733672316E-2</v>
      </c>
      <c r="V1297" t="s">
        <v>157</v>
      </c>
    </row>
    <row r="1298" spans="9:22" x14ac:dyDescent="0.45">
      <c r="I1298" t="s">
        <v>256</v>
      </c>
      <c r="J1298" t="s">
        <v>169</v>
      </c>
      <c r="K1298">
        <v>1.4192576651103708E-2</v>
      </c>
      <c r="L1298" t="s">
        <v>157</v>
      </c>
      <c r="N1298" t="s">
        <v>367</v>
      </c>
      <c r="O1298" t="s">
        <v>169</v>
      </c>
      <c r="P1298">
        <v>6.0443045470616229E-3</v>
      </c>
      <c r="Q1298" t="s">
        <v>157</v>
      </c>
      <c r="S1298" t="s">
        <v>478</v>
      </c>
      <c r="T1298" t="s">
        <v>169</v>
      </c>
      <c r="U1298">
        <v>6.1647083752480259E-3</v>
      </c>
      <c r="V1298" t="s">
        <v>157</v>
      </c>
    </row>
    <row r="1299" spans="9:22" x14ac:dyDescent="0.45">
      <c r="I1299" t="s">
        <v>256</v>
      </c>
      <c r="J1299" t="s">
        <v>170</v>
      </c>
      <c r="K1299">
        <v>9.2676903690233018E-3</v>
      </c>
      <c r="L1299" t="s">
        <v>157</v>
      </c>
      <c r="N1299" t="s">
        <v>367</v>
      </c>
      <c r="O1299" t="s">
        <v>170</v>
      </c>
      <c r="P1299">
        <v>6.0091752377625469E-3</v>
      </c>
      <c r="Q1299" t="s">
        <v>157</v>
      </c>
      <c r="S1299" t="s">
        <v>478</v>
      </c>
      <c r="T1299" t="s">
        <v>170</v>
      </c>
      <c r="U1299">
        <v>6.1149165142856433E-3</v>
      </c>
      <c r="V1299" t="s">
        <v>157</v>
      </c>
    </row>
    <row r="1300" spans="9:22" x14ac:dyDescent="0.45">
      <c r="I1300" t="s">
        <v>256</v>
      </c>
      <c r="J1300" t="s">
        <v>171</v>
      </c>
      <c r="K1300">
        <v>2.9368571508120098E-4</v>
      </c>
      <c r="L1300" t="s">
        <v>157</v>
      </c>
      <c r="N1300" t="s">
        <v>367</v>
      </c>
      <c r="O1300" t="s">
        <v>171</v>
      </c>
      <c r="P1300">
        <v>2.6342329948161745E-2</v>
      </c>
      <c r="Q1300" t="s">
        <v>157</v>
      </c>
      <c r="S1300" t="s">
        <v>478</v>
      </c>
      <c r="T1300" t="s">
        <v>171</v>
      </c>
      <c r="U1300">
        <v>3.0586922717151997E-2</v>
      </c>
      <c r="V1300" t="s">
        <v>157</v>
      </c>
    </row>
    <row r="1301" spans="9:22" x14ac:dyDescent="0.45">
      <c r="I1301" t="s">
        <v>257</v>
      </c>
      <c r="J1301" t="s">
        <v>156</v>
      </c>
      <c r="K1301">
        <v>2.0115802756523023E-2</v>
      </c>
      <c r="L1301" t="s">
        <v>157</v>
      </c>
      <c r="N1301" t="s">
        <v>368</v>
      </c>
      <c r="O1301" t="s">
        <v>156</v>
      </c>
      <c r="P1301">
        <v>0.13626384174311543</v>
      </c>
      <c r="Q1301" t="s">
        <v>157</v>
      </c>
      <c r="S1301" t="s">
        <v>479</v>
      </c>
      <c r="T1301" t="s">
        <v>156</v>
      </c>
      <c r="U1301">
        <v>0.14199174332600092</v>
      </c>
      <c r="V1301" t="s">
        <v>157</v>
      </c>
    </row>
    <row r="1302" spans="9:22" x14ac:dyDescent="0.45">
      <c r="I1302" t="s">
        <v>257</v>
      </c>
      <c r="J1302" t="s">
        <v>158</v>
      </c>
      <c r="K1302">
        <v>0.41495651751992063</v>
      </c>
      <c r="L1302" t="s">
        <v>157</v>
      </c>
      <c r="N1302" t="s">
        <v>368</v>
      </c>
      <c r="O1302" t="s">
        <v>158</v>
      </c>
      <c r="P1302">
        <v>0.18376915552156395</v>
      </c>
      <c r="Q1302" t="s">
        <v>157</v>
      </c>
      <c r="S1302" t="s">
        <v>479</v>
      </c>
      <c r="T1302" t="s">
        <v>158</v>
      </c>
      <c r="U1302">
        <v>0.19871329382098787</v>
      </c>
      <c r="V1302" t="s">
        <v>157</v>
      </c>
    </row>
    <row r="1303" spans="9:22" x14ac:dyDescent="0.45">
      <c r="I1303" t="s">
        <v>257</v>
      </c>
      <c r="J1303" t="s">
        <v>159</v>
      </c>
      <c r="K1303">
        <v>2.7655329302003033E-2</v>
      </c>
      <c r="L1303" t="s">
        <v>157</v>
      </c>
      <c r="N1303" t="s">
        <v>368</v>
      </c>
      <c r="O1303" t="s">
        <v>159</v>
      </c>
      <c r="P1303">
        <v>1.892312664628968E-2</v>
      </c>
      <c r="Q1303" t="s">
        <v>157</v>
      </c>
      <c r="S1303" t="s">
        <v>479</v>
      </c>
      <c r="T1303" t="s">
        <v>159</v>
      </c>
      <c r="U1303">
        <v>2.0237819819744131E-2</v>
      </c>
      <c r="V1303" t="s">
        <v>157</v>
      </c>
    </row>
    <row r="1304" spans="9:22" x14ac:dyDescent="0.45">
      <c r="I1304" t="s">
        <v>257</v>
      </c>
      <c r="J1304" t="s">
        <v>160</v>
      </c>
      <c r="K1304">
        <v>1.6357205385462877E-2</v>
      </c>
      <c r="L1304" t="s">
        <v>157</v>
      </c>
      <c r="N1304" t="s">
        <v>368</v>
      </c>
      <c r="O1304" t="s">
        <v>160</v>
      </c>
      <c r="P1304">
        <v>1.9398350099660119E-2</v>
      </c>
      <c r="Q1304" t="s">
        <v>157</v>
      </c>
      <c r="S1304" t="s">
        <v>479</v>
      </c>
      <c r="T1304" t="s">
        <v>160</v>
      </c>
      <c r="U1304">
        <v>2.0288024528206369E-2</v>
      </c>
      <c r="V1304" t="s">
        <v>157</v>
      </c>
    </row>
    <row r="1305" spans="9:22" x14ac:dyDescent="0.45">
      <c r="I1305" t="s">
        <v>257</v>
      </c>
      <c r="J1305" t="s">
        <v>161</v>
      </c>
      <c r="K1305">
        <v>4.5810440073341153E-3</v>
      </c>
      <c r="L1305" t="s">
        <v>157</v>
      </c>
      <c r="N1305" t="s">
        <v>368</v>
      </c>
      <c r="O1305" t="s">
        <v>161</v>
      </c>
      <c r="P1305">
        <v>9.8832172577372382E-2</v>
      </c>
      <c r="Q1305" t="s">
        <v>157</v>
      </c>
      <c r="S1305" t="s">
        <v>479</v>
      </c>
      <c r="T1305" t="s">
        <v>161</v>
      </c>
      <c r="U1305">
        <v>0.10061559204138684</v>
      </c>
      <c r="V1305" t="s">
        <v>157</v>
      </c>
    </row>
    <row r="1306" spans="9:22" x14ac:dyDescent="0.45">
      <c r="I1306" t="s">
        <v>257</v>
      </c>
      <c r="J1306" t="s">
        <v>162</v>
      </c>
      <c r="K1306">
        <v>8.8010160374634248E-3</v>
      </c>
      <c r="L1306" t="s">
        <v>157</v>
      </c>
      <c r="N1306" t="s">
        <v>368</v>
      </c>
      <c r="O1306" t="s">
        <v>162</v>
      </c>
      <c r="P1306">
        <v>0.11417937677406176</v>
      </c>
      <c r="Q1306" t="s">
        <v>157</v>
      </c>
      <c r="S1306" t="s">
        <v>479</v>
      </c>
      <c r="T1306" t="s">
        <v>162</v>
      </c>
      <c r="U1306">
        <v>0.11178969291911367</v>
      </c>
      <c r="V1306" t="s">
        <v>157</v>
      </c>
    </row>
    <row r="1307" spans="9:22" x14ac:dyDescent="0.45">
      <c r="I1307" t="s">
        <v>257</v>
      </c>
      <c r="J1307" t="s">
        <v>163</v>
      </c>
      <c r="K1307">
        <v>0.23780293505929551</v>
      </c>
      <c r="L1307" t="s">
        <v>157</v>
      </c>
      <c r="N1307" t="s">
        <v>368</v>
      </c>
      <c r="O1307" t="s">
        <v>163</v>
      </c>
      <c r="P1307">
        <v>0.15888956102665827</v>
      </c>
      <c r="Q1307" t="s">
        <v>157</v>
      </c>
      <c r="S1307" t="s">
        <v>479</v>
      </c>
      <c r="T1307" t="s">
        <v>163</v>
      </c>
      <c r="U1307">
        <v>0.15354807434306605</v>
      </c>
      <c r="V1307" t="s">
        <v>157</v>
      </c>
    </row>
    <row r="1308" spans="9:22" x14ac:dyDescent="0.45">
      <c r="I1308" t="s">
        <v>257</v>
      </c>
      <c r="J1308" t="s">
        <v>164</v>
      </c>
      <c r="K1308">
        <v>1.2374825883462795E-2</v>
      </c>
      <c r="L1308" t="s">
        <v>157</v>
      </c>
      <c r="N1308" t="s">
        <v>368</v>
      </c>
      <c r="O1308" t="s">
        <v>164</v>
      </c>
      <c r="P1308">
        <v>1.5459600394772937E-2</v>
      </c>
      <c r="Q1308" t="s">
        <v>157</v>
      </c>
      <c r="S1308" t="s">
        <v>479</v>
      </c>
      <c r="T1308" t="s">
        <v>164</v>
      </c>
      <c r="U1308">
        <v>1.5142918549618783E-2</v>
      </c>
      <c r="V1308" t="s">
        <v>157</v>
      </c>
    </row>
    <row r="1309" spans="9:22" x14ac:dyDescent="0.45">
      <c r="I1309" t="s">
        <v>257</v>
      </c>
      <c r="J1309" t="s">
        <v>165</v>
      </c>
      <c r="K1309">
        <v>2.7422317875577841E-3</v>
      </c>
      <c r="L1309" t="s">
        <v>157</v>
      </c>
      <c r="N1309" t="s">
        <v>368</v>
      </c>
      <c r="O1309" t="s">
        <v>165</v>
      </c>
      <c r="P1309">
        <v>1.5704782425472838E-2</v>
      </c>
      <c r="Q1309" t="s">
        <v>157</v>
      </c>
      <c r="S1309" t="s">
        <v>479</v>
      </c>
      <c r="T1309" t="s">
        <v>165</v>
      </c>
      <c r="U1309">
        <v>1.5195137540293334E-2</v>
      </c>
      <c r="V1309" t="s">
        <v>157</v>
      </c>
    </row>
    <row r="1310" spans="9:22" x14ac:dyDescent="0.45">
      <c r="I1310" t="s">
        <v>257</v>
      </c>
      <c r="J1310" t="s">
        <v>166</v>
      </c>
      <c r="K1310">
        <v>0</v>
      </c>
      <c r="L1310" t="s">
        <v>157</v>
      </c>
      <c r="N1310" t="s">
        <v>368</v>
      </c>
      <c r="O1310" t="s">
        <v>166</v>
      </c>
      <c r="P1310">
        <v>8.1879015974953367E-2</v>
      </c>
      <c r="Q1310" t="s">
        <v>157</v>
      </c>
      <c r="S1310" t="s">
        <v>479</v>
      </c>
      <c r="T1310" t="s">
        <v>166</v>
      </c>
      <c r="U1310">
        <v>7.7336272843019374E-2</v>
      </c>
      <c r="V1310" t="s">
        <v>157</v>
      </c>
    </row>
    <row r="1311" spans="9:22" x14ac:dyDescent="0.45">
      <c r="I1311" t="s">
        <v>257</v>
      </c>
      <c r="J1311" t="s">
        <v>167</v>
      </c>
      <c r="K1311">
        <v>2.2014165218742224E-2</v>
      </c>
      <c r="L1311" t="s">
        <v>157</v>
      </c>
      <c r="N1311" t="s">
        <v>368</v>
      </c>
      <c r="O1311" t="s">
        <v>167</v>
      </c>
      <c r="P1311">
        <v>4.5390094339024883E-2</v>
      </c>
      <c r="Q1311" t="s">
        <v>157</v>
      </c>
      <c r="S1311" t="s">
        <v>479</v>
      </c>
      <c r="T1311" t="s">
        <v>167</v>
      </c>
      <c r="U1311">
        <v>4.0978654235671548E-2</v>
      </c>
      <c r="V1311" t="s">
        <v>157</v>
      </c>
    </row>
    <row r="1312" spans="9:22" x14ac:dyDescent="0.45">
      <c r="I1312" t="s">
        <v>257</v>
      </c>
      <c r="J1312" t="s">
        <v>168</v>
      </c>
      <c r="K1312">
        <v>0.20508986269317875</v>
      </c>
      <c r="L1312" t="s">
        <v>157</v>
      </c>
      <c r="N1312" t="s">
        <v>368</v>
      </c>
      <c r="O1312" t="s">
        <v>168</v>
      </c>
      <c r="P1312">
        <v>6.4214114762966096E-2</v>
      </c>
      <c r="Q1312" t="s">
        <v>157</v>
      </c>
      <c r="S1312" t="s">
        <v>479</v>
      </c>
      <c r="T1312" t="s">
        <v>168</v>
      </c>
      <c r="U1312">
        <v>6.2195519911900483E-2</v>
      </c>
      <c r="V1312" t="s">
        <v>157</v>
      </c>
    </row>
    <row r="1313" spans="9:22" x14ac:dyDescent="0.45">
      <c r="I1313" t="s">
        <v>257</v>
      </c>
      <c r="J1313" t="s">
        <v>169</v>
      </c>
      <c r="K1313">
        <v>1.4897352205135113E-2</v>
      </c>
      <c r="L1313" t="s">
        <v>157</v>
      </c>
      <c r="N1313" t="s">
        <v>368</v>
      </c>
      <c r="O1313" t="s">
        <v>169</v>
      </c>
      <c r="P1313">
        <v>6.5950364457478981E-3</v>
      </c>
      <c r="Q1313" t="s">
        <v>157</v>
      </c>
      <c r="S1313" t="s">
        <v>479</v>
      </c>
      <c r="T1313" t="s">
        <v>169</v>
      </c>
      <c r="U1313">
        <v>6.1210942430049743E-3</v>
      </c>
      <c r="V1313" t="s">
        <v>157</v>
      </c>
    </row>
    <row r="1314" spans="9:22" x14ac:dyDescent="0.45">
      <c r="I1314" t="s">
        <v>257</v>
      </c>
      <c r="J1314" t="s">
        <v>170</v>
      </c>
      <c r="K1314">
        <v>9.9805623168161446E-3</v>
      </c>
      <c r="L1314" t="s">
        <v>157</v>
      </c>
      <c r="N1314" t="s">
        <v>368</v>
      </c>
      <c r="O1314" t="s">
        <v>170</v>
      </c>
      <c r="P1314">
        <v>6.5949126120497317E-3</v>
      </c>
      <c r="Q1314" t="s">
        <v>157</v>
      </c>
      <c r="S1314" t="s">
        <v>479</v>
      </c>
      <c r="T1314" t="s">
        <v>170</v>
      </c>
      <c r="U1314">
        <v>5.9101498334918085E-3</v>
      </c>
      <c r="V1314" t="s">
        <v>157</v>
      </c>
    </row>
    <row r="1315" spans="9:22" x14ac:dyDescent="0.45">
      <c r="I1315" t="s">
        <v>257</v>
      </c>
      <c r="J1315" t="s">
        <v>171</v>
      </c>
      <c r="K1315">
        <v>2.631149827104628E-3</v>
      </c>
      <c r="L1315" t="s">
        <v>157</v>
      </c>
      <c r="N1315" t="s">
        <v>368</v>
      </c>
      <c r="O1315" t="s">
        <v>171</v>
      </c>
      <c r="P1315">
        <v>3.3906858656290562E-2</v>
      </c>
      <c r="Q1315" t="s">
        <v>157</v>
      </c>
      <c r="S1315" t="s">
        <v>479</v>
      </c>
      <c r="T1315" t="s">
        <v>171</v>
      </c>
      <c r="U1315">
        <v>2.9936012044493792E-2</v>
      </c>
      <c r="V1315" t="s">
        <v>157</v>
      </c>
    </row>
    <row r="1316" spans="9:22" x14ac:dyDescent="0.45">
      <c r="I1316" t="s">
        <v>258</v>
      </c>
      <c r="J1316" t="s">
        <v>156</v>
      </c>
      <c r="K1316">
        <v>1.9663555437740118E-2</v>
      </c>
      <c r="L1316" t="s">
        <v>157</v>
      </c>
      <c r="N1316" t="s">
        <v>369</v>
      </c>
      <c r="O1316" t="s">
        <v>156</v>
      </c>
      <c r="P1316">
        <v>0.12984754144806246</v>
      </c>
      <c r="Q1316" t="s">
        <v>157</v>
      </c>
      <c r="S1316" t="s">
        <v>480</v>
      </c>
      <c r="T1316" t="s">
        <v>156</v>
      </c>
      <c r="U1316">
        <v>0.14143309570670759</v>
      </c>
      <c r="V1316" t="s">
        <v>157</v>
      </c>
    </row>
    <row r="1317" spans="9:22" x14ac:dyDescent="0.45">
      <c r="I1317" t="s">
        <v>258</v>
      </c>
      <c r="J1317" t="s">
        <v>158</v>
      </c>
      <c r="K1317">
        <v>0.42023218793267902</v>
      </c>
      <c r="L1317" t="s">
        <v>157</v>
      </c>
      <c r="N1317" t="s">
        <v>369</v>
      </c>
      <c r="O1317" t="s">
        <v>158</v>
      </c>
      <c r="P1317">
        <v>0.18430171660991754</v>
      </c>
      <c r="Q1317" t="s">
        <v>157</v>
      </c>
      <c r="S1317" t="s">
        <v>480</v>
      </c>
      <c r="T1317" t="s">
        <v>158</v>
      </c>
      <c r="U1317">
        <v>0.19245461983350834</v>
      </c>
      <c r="V1317" t="s">
        <v>157</v>
      </c>
    </row>
    <row r="1318" spans="9:22" x14ac:dyDescent="0.45">
      <c r="I1318" t="s">
        <v>258</v>
      </c>
      <c r="J1318" t="s">
        <v>159</v>
      </c>
      <c r="K1318">
        <v>2.8443717468892508E-2</v>
      </c>
      <c r="L1318" t="s">
        <v>157</v>
      </c>
      <c r="N1318" t="s">
        <v>369</v>
      </c>
      <c r="O1318" t="s">
        <v>159</v>
      </c>
      <c r="P1318">
        <v>1.8049181416401203E-2</v>
      </c>
      <c r="Q1318" t="s">
        <v>157</v>
      </c>
      <c r="S1318" t="s">
        <v>480</v>
      </c>
      <c r="T1318" t="s">
        <v>159</v>
      </c>
      <c r="U1318">
        <v>1.9970605971185731E-2</v>
      </c>
      <c r="V1318" t="s">
        <v>157</v>
      </c>
    </row>
    <row r="1319" spans="9:22" x14ac:dyDescent="0.45">
      <c r="I1319" t="s">
        <v>258</v>
      </c>
      <c r="J1319" t="s">
        <v>160</v>
      </c>
      <c r="K1319">
        <v>1.6814557634294371E-2</v>
      </c>
      <c r="L1319" t="s">
        <v>157</v>
      </c>
      <c r="N1319" t="s">
        <v>369</v>
      </c>
      <c r="O1319" t="s">
        <v>160</v>
      </c>
      <c r="P1319">
        <v>1.7998328920243632E-2</v>
      </c>
      <c r="Q1319" t="s">
        <v>157</v>
      </c>
      <c r="S1319" t="s">
        <v>480</v>
      </c>
      <c r="T1319" t="s">
        <v>160</v>
      </c>
      <c r="U1319">
        <v>1.9917368672082606E-2</v>
      </c>
      <c r="V1319" t="s">
        <v>157</v>
      </c>
    </row>
    <row r="1320" spans="9:22" x14ac:dyDescent="0.45">
      <c r="I1320" t="s">
        <v>258</v>
      </c>
      <c r="J1320" t="s">
        <v>161</v>
      </c>
      <c r="K1320">
        <v>4.4083928608140213E-3</v>
      </c>
      <c r="L1320" t="s">
        <v>157</v>
      </c>
      <c r="N1320" t="s">
        <v>369</v>
      </c>
      <c r="O1320" t="s">
        <v>161</v>
      </c>
      <c r="P1320">
        <v>8.8932990238887538E-2</v>
      </c>
      <c r="Q1320" t="s">
        <v>157</v>
      </c>
      <c r="S1320" t="s">
        <v>480</v>
      </c>
      <c r="T1320" t="s">
        <v>161</v>
      </c>
      <c r="U1320">
        <v>9.9334924698555468E-2</v>
      </c>
      <c r="V1320" t="s">
        <v>157</v>
      </c>
    </row>
    <row r="1321" spans="9:22" x14ac:dyDescent="0.45">
      <c r="I1321" t="s">
        <v>258</v>
      </c>
      <c r="J1321" t="s">
        <v>162</v>
      </c>
      <c r="K1321">
        <v>8.0225265311835124E-3</v>
      </c>
      <c r="L1321" t="s">
        <v>157</v>
      </c>
      <c r="N1321" t="s">
        <v>369</v>
      </c>
      <c r="O1321" t="s">
        <v>162</v>
      </c>
      <c r="P1321">
        <v>0.11665539456369342</v>
      </c>
      <c r="Q1321" t="s">
        <v>157</v>
      </c>
      <c r="S1321" t="s">
        <v>480</v>
      </c>
      <c r="T1321" t="s">
        <v>162</v>
      </c>
      <c r="U1321">
        <v>0.11403661182791706</v>
      </c>
      <c r="V1321" t="s">
        <v>157</v>
      </c>
    </row>
    <row r="1322" spans="9:22" x14ac:dyDescent="0.45">
      <c r="I1322" t="s">
        <v>258</v>
      </c>
      <c r="J1322" t="s">
        <v>163</v>
      </c>
      <c r="K1322">
        <v>0.23543587278929279</v>
      </c>
      <c r="L1322" t="s">
        <v>157</v>
      </c>
      <c r="N1322" t="s">
        <v>369</v>
      </c>
      <c r="O1322" t="s">
        <v>163</v>
      </c>
      <c r="P1322">
        <v>0.17485634090489305</v>
      </c>
      <c r="Q1322" t="s">
        <v>157</v>
      </c>
      <c r="S1322" t="s">
        <v>480</v>
      </c>
      <c r="T1322" t="s">
        <v>163</v>
      </c>
      <c r="U1322">
        <v>0.15894296147128942</v>
      </c>
      <c r="V1322" t="s">
        <v>157</v>
      </c>
    </row>
    <row r="1323" spans="9:22" x14ac:dyDescent="0.45">
      <c r="I1323" t="s">
        <v>258</v>
      </c>
      <c r="J1323" t="s">
        <v>164</v>
      </c>
      <c r="K1323">
        <v>1.2245599720629498E-2</v>
      </c>
      <c r="L1323" t="s">
        <v>157</v>
      </c>
      <c r="N1323" t="s">
        <v>369</v>
      </c>
      <c r="O1323" t="s">
        <v>164</v>
      </c>
      <c r="P1323">
        <v>1.680086497431155E-2</v>
      </c>
      <c r="Q1323" t="s">
        <v>157</v>
      </c>
      <c r="S1323" t="s">
        <v>480</v>
      </c>
      <c r="T1323" t="s">
        <v>164</v>
      </c>
      <c r="U1323">
        <v>1.5857921023087342E-2</v>
      </c>
      <c r="V1323" t="s">
        <v>157</v>
      </c>
    </row>
    <row r="1324" spans="9:22" x14ac:dyDescent="0.45">
      <c r="I1324" t="s">
        <v>258</v>
      </c>
      <c r="J1324" t="s">
        <v>165</v>
      </c>
      <c r="K1324">
        <v>2.468996309462782E-3</v>
      </c>
      <c r="L1324" t="s">
        <v>157</v>
      </c>
      <c r="N1324" t="s">
        <v>369</v>
      </c>
      <c r="O1324" t="s">
        <v>165</v>
      </c>
      <c r="P1324">
        <v>1.6847230783405436E-2</v>
      </c>
      <c r="Q1324" t="s">
        <v>157</v>
      </c>
      <c r="S1324" t="s">
        <v>480</v>
      </c>
      <c r="T1324" t="s">
        <v>165</v>
      </c>
      <c r="U1324">
        <v>1.5947858679893401E-2</v>
      </c>
      <c r="V1324" t="s">
        <v>157</v>
      </c>
    </row>
    <row r="1325" spans="9:22" x14ac:dyDescent="0.45">
      <c r="I1325" t="s">
        <v>258</v>
      </c>
      <c r="J1325" t="s">
        <v>166</v>
      </c>
      <c r="K1325">
        <v>0</v>
      </c>
      <c r="L1325" t="s">
        <v>157</v>
      </c>
      <c r="N1325" t="s">
        <v>369</v>
      </c>
      <c r="O1325" t="s">
        <v>166</v>
      </c>
      <c r="P1325">
        <v>8.563055536997588E-2</v>
      </c>
      <c r="Q1325" t="s">
        <v>157</v>
      </c>
      <c r="S1325" t="s">
        <v>480</v>
      </c>
      <c r="T1325" t="s">
        <v>166</v>
      </c>
      <c r="U1325">
        <v>8.0355415791274185E-2</v>
      </c>
      <c r="V1325" t="s">
        <v>157</v>
      </c>
    </row>
    <row r="1326" spans="9:22" x14ac:dyDescent="0.45">
      <c r="I1326" t="s">
        <v>258</v>
      </c>
      <c r="J1326" t="s">
        <v>167</v>
      </c>
      <c r="K1326">
        <v>2.0825257165033761E-2</v>
      </c>
      <c r="L1326" t="s">
        <v>157</v>
      </c>
      <c r="N1326" t="s">
        <v>369</v>
      </c>
      <c r="O1326" t="s">
        <v>167</v>
      </c>
      <c r="P1326">
        <v>4.0416414987916455E-2</v>
      </c>
      <c r="Q1326" t="s">
        <v>157</v>
      </c>
      <c r="S1326" t="s">
        <v>480</v>
      </c>
      <c r="T1326" t="s">
        <v>167</v>
      </c>
      <c r="U1326">
        <v>3.8887098693103972E-2</v>
      </c>
      <c r="V1326" t="s">
        <v>157</v>
      </c>
    </row>
    <row r="1327" spans="9:22" x14ac:dyDescent="0.45">
      <c r="I1327" t="s">
        <v>258</v>
      </c>
      <c r="J1327" t="s">
        <v>168</v>
      </c>
      <c r="K1327">
        <v>0.20275568192885357</v>
      </c>
      <c r="L1327" t="s">
        <v>157</v>
      </c>
      <c r="N1327" t="s">
        <v>369</v>
      </c>
      <c r="O1327" t="s">
        <v>168</v>
      </c>
      <c r="P1327">
        <v>6.5147661770312754E-2</v>
      </c>
      <c r="Q1327" t="s">
        <v>157</v>
      </c>
      <c r="S1327" t="s">
        <v>480</v>
      </c>
      <c r="T1327" t="s">
        <v>168</v>
      </c>
      <c r="U1327">
        <v>6.1832678821683876E-2</v>
      </c>
      <c r="V1327" t="s">
        <v>157</v>
      </c>
    </row>
    <row r="1328" spans="9:22" x14ac:dyDescent="0.45">
      <c r="I1328" t="s">
        <v>258</v>
      </c>
      <c r="J1328" t="s">
        <v>169</v>
      </c>
      <c r="K1328">
        <v>1.5216932687833805E-2</v>
      </c>
      <c r="L1328" t="s">
        <v>157</v>
      </c>
      <c r="N1328" t="s">
        <v>369</v>
      </c>
      <c r="O1328" t="s">
        <v>169</v>
      </c>
      <c r="P1328">
        <v>6.4721800750347537E-3</v>
      </c>
      <c r="Q1328" t="s">
        <v>157</v>
      </c>
      <c r="S1328" t="s">
        <v>480</v>
      </c>
      <c r="T1328" t="s">
        <v>169</v>
      </c>
      <c r="U1328">
        <v>6.3182120940767743E-3</v>
      </c>
      <c r="V1328" t="s">
        <v>157</v>
      </c>
    </row>
    <row r="1329" spans="9:22" x14ac:dyDescent="0.45">
      <c r="I1329" t="s">
        <v>258</v>
      </c>
      <c r="J1329" t="s">
        <v>170</v>
      </c>
      <c r="K1329">
        <v>1.0566209155976804E-2</v>
      </c>
      <c r="L1329" t="s">
        <v>157</v>
      </c>
      <c r="N1329" t="s">
        <v>369</v>
      </c>
      <c r="O1329" t="s">
        <v>170</v>
      </c>
      <c r="P1329">
        <v>6.39982578077562E-3</v>
      </c>
      <c r="Q1329" t="s">
        <v>157</v>
      </c>
      <c r="S1329" t="s">
        <v>480</v>
      </c>
      <c r="T1329" t="s">
        <v>170</v>
      </c>
      <c r="U1329">
        <v>5.916654941699284E-3</v>
      </c>
      <c r="V1329" t="s">
        <v>157</v>
      </c>
    </row>
    <row r="1330" spans="9:22" x14ac:dyDescent="0.45">
      <c r="I1330" t="s">
        <v>258</v>
      </c>
      <c r="J1330" t="s">
        <v>171</v>
      </c>
      <c r="K1330">
        <v>2.9005123773134067E-3</v>
      </c>
      <c r="L1330" t="s">
        <v>157</v>
      </c>
      <c r="N1330" t="s">
        <v>369</v>
      </c>
      <c r="O1330" t="s">
        <v>171</v>
      </c>
      <c r="P1330">
        <v>3.1643772156168669E-2</v>
      </c>
      <c r="Q1330" t="s">
        <v>157</v>
      </c>
      <c r="S1330" t="s">
        <v>480</v>
      </c>
      <c r="T1330" t="s">
        <v>171</v>
      </c>
      <c r="U1330">
        <v>2.8793971773934963E-2</v>
      </c>
      <c r="V1330" t="s">
        <v>157</v>
      </c>
    </row>
    <row r="1331" spans="9:22" x14ac:dyDescent="0.45">
      <c r="I1331" t="s">
        <v>259</v>
      </c>
      <c r="J1331" t="s">
        <v>156</v>
      </c>
      <c r="K1331">
        <v>1.9371416772378094E-2</v>
      </c>
      <c r="L1331" t="s">
        <v>157</v>
      </c>
      <c r="N1331" t="s">
        <v>370</v>
      </c>
      <c r="O1331" t="s">
        <v>156</v>
      </c>
      <c r="P1331">
        <v>0.11986160830979539</v>
      </c>
      <c r="Q1331" t="s">
        <v>157</v>
      </c>
      <c r="S1331" t="s">
        <v>481</v>
      </c>
      <c r="T1331" t="s">
        <v>156</v>
      </c>
      <c r="U1331">
        <v>0.13462937575376369</v>
      </c>
      <c r="V1331" t="s">
        <v>157</v>
      </c>
    </row>
    <row r="1332" spans="9:22" x14ac:dyDescent="0.45">
      <c r="I1332" t="s">
        <v>259</v>
      </c>
      <c r="J1332" t="s">
        <v>158</v>
      </c>
      <c r="K1332">
        <v>0.42181147589228218</v>
      </c>
      <c r="L1332" t="s">
        <v>157</v>
      </c>
      <c r="N1332" t="s">
        <v>370</v>
      </c>
      <c r="O1332" t="s">
        <v>158</v>
      </c>
      <c r="P1332">
        <v>0.17723979823122651</v>
      </c>
      <c r="Q1332" t="s">
        <v>157</v>
      </c>
      <c r="S1332" t="s">
        <v>481</v>
      </c>
      <c r="T1332" t="s">
        <v>158</v>
      </c>
      <c r="U1332">
        <v>0.19064695542732762</v>
      </c>
      <c r="V1332" t="s">
        <v>157</v>
      </c>
    </row>
    <row r="1333" spans="9:22" x14ac:dyDescent="0.45">
      <c r="I1333" t="s">
        <v>259</v>
      </c>
      <c r="J1333" t="s">
        <v>159</v>
      </c>
      <c r="K1333">
        <v>2.8622634141782431E-2</v>
      </c>
      <c r="L1333" t="s">
        <v>157</v>
      </c>
      <c r="N1333" t="s">
        <v>370</v>
      </c>
      <c r="O1333" t="s">
        <v>159</v>
      </c>
      <c r="P1333">
        <v>1.7850033132690912E-2</v>
      </c>
      <c r="Q1333" t="s">
        <v>157</v>
      </c>
      <c r="S1333" t="s">
        <v>481</v>
      </c>
      <c r="T1333" t="s">
        <v>159</v>
      </c>
      <c r="U1333">
        <v>1.9442090154979868E-2</v>
      </c>
      <c r="V1333" t="s">
        <v>157</v>
      </c>
    </row>
    <row r="1334" spans="9:22" x14ac:dyDescent="0.45">
      <c r="I1334" t="s">
        <v>259</v>
      </c>
      <c r="J1334" t="s">
        <v>160</v>
      </c>
      <c r="K1334">
        <v>1.6786847560492486E-2</v>
      </c>
      <c r="L1334" t="s">
        <v>157</v>
      </c>
      <c r="N1334" t="s">
        <v>370</v>
      </c>
      <c r="O1334" t="s">
        <v>160</v>
      </c>
      <c r="P1334">
        <v>1.7835244360027005E-2</v>
      </c>
      <c r="Q1334" t="s">
        <v>157</v>
      </c>
      <c r="S1334" t="s">
        <v>481</v>
      </c>
      <c r="T1334" t="s">
        <v>160</v>
      </c>
      <c r="U1334">
        <v>1.951801914643516E-2</v>
      </c>
      <c r="V1334" t="s">
        <v>157</v>
      </c>
    </row>
    <row r="1335" spans="9:22" x14ac:dyDescent="0.45">
      <c r="I1335" t="s">
        <v>259</v>
      </c>
      <c r="J1335" t="s">
        <v>161</v>
      </c>
      <c r="K1335">
        <v>4.1394349772298595E-3</v>
      </c>
      <c r="L1335" t="s">
        <v>157</v>
      </c>
      <c r="N1335" t="s">
        <v>370</v>
      </c>
      <c r="O1335" t="s">
        <v>161</v>
      </c>
      <c r="P1335">
        <v>8.5062845849405003E-2</v>
      </c>
      <c r="Q1335" t="s">
        <v>157</v>
      </c>
      <c r="S1335" t="s">
        <v>481</v>
      </c>
      <c r="T1335" t="s">
        <v>161</v>
      </c>
      <c r="U1335">
        <v>9.7466553756108992E-2</v>
      </c>
      <c r="V1335" t="s">
        <v>157</v>
      </c>
    </row>
    <row r="1336" spans="9:22" x14ac:dyDescent="0.45">
      <c r="I1336" t="s">
        <v>259</v>
      </c>
      <c r="J1336" t="s">
        <v>162</v>
      </c>
      <c r="K1336">
        <v>7.4876135462497292E-3</v>
      </c>
      <c r="L1336" t="s">
        <v>157</v>
      </c>
      <c r="N1336" t="s">
        <v>370</v>
      </c>
      <c r="O1336" t="s">
        <v>162</v>
      </c>
      <c r="P1336">
        <v>0.12170808070984777</v>
      </c>
      <c r="Q1336" t="s">
        <v>157</v>
      </c>
      <c r="S1336" t="s">
        <v>481</v>
      </c>
      <c r="T1336" t="s">
        <v>162</v>
      </c>
      <c r="U1336">
        <v>0.11663255211926284</v>
      </c>
      <c r="V1336" t="s">
        <v>157</v>
      </c>
    </row>
    <row r="1337" spans="9:22" x14ac:dyDescent="0.45">
      <c r="I1337" t="s">
        <v>259</v>
      </c>
      <c r="J1337" t="s">
        <v>163</v>
      </c>
      <c r="K1337">
        <v>0.23578905074200812</v>
      </c>
      <c r="L1337" t="s">
        <v>157</v>
      </c>
      <c r="N1337" t="s">
        <v>370</v>
      </c>
      <c r="O1337" t="s">
        <v>163</v>
      </c>
      <c r="P1337">
        <v>0.18669129499343734</v>
      </c>
      <c r="Q1337" t="s">
        <v>157</v>
      </c>
      <c r="S1337" t="s">
        <v>481</v>
      </c>
      <c r="T1337" t="s">
        <v>163</v>
      </c>
      <c r="U1337">
        <v>0.1710871878394348</v>
      </c>
      <c r="V1337" t="s">
        <v>157</v>
      </c>
    </row>
    <row r="1338" spans="9:22" x14ac:dyDescent="0.45">
      <c r="I1338" t="s">
        <v>259</v>
      </c>
      <c r="J1338" t="s">
        <v>164</v>
      </c>
      <c r="K1338">
        <v>1.2316668300846108E-2</v>
      </c>
      <c r="L1338" t="s">
        <v>157</v>
      </c>
      <c r="N1338" t="s">
        <v>370</v>
      </c>
      <c r="O1338" t="s">
        <v>164</v>
      </c>
      <c r="P1338">
        <v>1.8432366895146789E-2</v>
      </c>
      <c r="Q1338" t="s">
        <v>157</v>
      </c>
      <c r="S1338" t="s">
        <v>481</v>
      </c>
      <c r="T1338" t="s">
        <v>164</v>
      </c>
      <c r="U1338">
        <v>1.7196312461604309E-2</v>
      </c>
      <c r="V1338" t="s">
        <v>157</v>
      </c>
    </row>
    <row r="1339" spans="9:22" x14ac:dyDescent="0.45">
      <c r="I1339" t="s">
        <v>259</v>
      </c>
      <c r="J1339" t="s">
        <v>165</v>
      </c>
      <c r="K1339">
        <v>2.3520069984213549E-3</v>
      </c>
      <c r="L1339" t="s">
        <v>157</v>
      </c>
      <c r="N1339" t="s">
        <v>370</v>
      </c>
      <c r="O1339" t="s">
        <v>165</v>
      </c>
      <c r="P1339">
        <v>1.8401012068723535E-2</v>
      </c>
      <c r="Q1339" t="s">
        <v>157</v>
      </c>
      <c r="S1339" t="s">
        <v>481</v>
      </c>
      <c r="T1339" t="s">
        <v>165</v>
      </c>
      <c r="U1339">
        <v>1.7224058408939782E-2</v>
      </c>
      <c r="V1339" t="s">
        <v>157</v>
      </c>
    </row>
    <row r="1340" spans="9:22" x14ac:dyDescent="0.45">
      <c r="I1340" t="s">
        <v>259</v>
      </c>
      <c r="J1340" t="s">
        <v>166</v>
      </c>
      <c r="K1340">
        <v>0</v>
      </c>
      <c r="L1340" t="s">
        <v>157</v>
      </c>
      <c r="N1340" t="s">
        <v>370</v>
      </c>
      <c r="O1340" t="s">
        <v>166</v>
      </c>
      <c r="P1340">
        <v>9.1659084469813037E-2</v>
      </c>
      <c r="Q1340" t="s">
        <v>157</v>
      </c>
      <c r="S1340" t="s">
        <v>481</v>
      </c>
      <c r="T1340" t="s">
        <v>166</v>
      </c>
      <c r="U1340">
        <v>8.2671465931107746E-2</v>
      </c>
      <c r="V1340" t="s">
        <v>157</v>
      </c>
    </row>
    <row r="1341" spans="9:22" x14ac:dyDescent="0.45">
      <c r="I1341" t="s">
        <v>259</v>
      </c>
      <c r="J1341" t="s">
        <v>167</v>
      </c>
      <c r="K1341">
        <v>2.0257279288864449E-2</v>
      </c>
      <c r="L1341" t="s">
        <v>157</v>
      </c>
      <c r="N1341" t="s">
        <v>370</v>
      </c>
      <c r="O1341" t="s">
        <v>167</v>
      </c>
      <c r="P1341">
        <v>3.8587674974239324E-2</v>
      </c>
      <c r="Q1341" t="s">
        <v>157</v>
      </c>
      <c r="S1341" t="s">
        <v>481</v>
      </c>
      <c r="T1341" t="s">
        <v>167</v>
      </c>
      <c r="U1341">
        <v>3.5018255003046062E-2</v>
      </c>
      <c r="V1341" t="s">
        <v>157</v>
      </c>
    </row>
    <row r="1342" spans="9:22" x14ac:dyDescent="0.45">
      <c r="I1342" t="s">
        <v>259</v>
      </c>
      <c r="J1342" t="s">
        <v>168</v>
      </c>
      <c r="K1342">
        <v>0.20198550487434333</v>
      </c>
      <c r="L1342" t="s">
        <v>157</v>
      </c>
      <c r="N1342" t="s">
        <v>370</v>
      </c>
      <c r="O1342" t="s">
        <v>168</v>
      </c>
      <c r="P1342">
        <v>6.3186482371780692E-2</v>
      </c>
      <c r="Q1342" t="s">
        <v>157</v>
      </c>
      <c r="S1342" t="s">
        <v>481</v>
      </c>
      <c r="T1342" t="s">
        <v>168</v>
      </c>
      <c r="U1342">
        <v>6.0810116681195972E-2</v>
      </c>
      <c r="V1342" t="s">
        <v>157</v>
      </c>
    </row>
    <row r="1343" spans="9:22" x14ac:dyDescent="0.45">
      <c r="I1343" t="s">
        <v>259</v>
      </c>
      <c r="J1343" t="s">
        <v>169</v>
      </c>
      <c r="K1343">
        <v>1.5457131947329165E-2</v>
      </c>
      <c r="L1343" t="s">
        <v>157</v>
      </c>
      <c r="N1343" t="s">
        <v>370</v>
      </c>
      <c r="O1343" t="s">
        <v>169</v>
      </c>
      <c r="P1343">
        <v>6.6635461610153541E-3</v>
      </c>
      <c r="Q1343" t="s">
        <v>157</v>
      </c>
      <c r="S1343" t="s">
        <v>481</v>
      </c>
      <c r="T1343" t="s">
        <v>169</v>
      </c>
      <c r="U1343">
        <v>6.126173138163939E-3</v>
      </c>
      <c r="V1343" t="s">
        <v>157</v>
      </c>
    </row>
    <row r="1344" spans="9:22" x14ac:dyDescent="0.45">
      <c r="I1344" t="s">
        <v>259</v>
      </c>
      <c r="J1344" t="s">
        <v>170</v>
      </c>
      <c r="K1344">
        <v>1.0661551780109E-2</v>
      </c>
      <c r="L1344" t="s">
        <v>157</v>
      </c>
      <c r="N1344" t="s">
        <v>370</v>
      </c>
      <c r="O1344" t="s">
        <v>170</v>
      </c>
      <c r="P1344">
        <v>6.5579326786974331E-3</v>
      </c>
      <c r="Q1344" t="s">
        <v>157</v>
      </c>
      <c r="S1344" t="s">
        <v>481</v>
      </c>
      <c r="T1344" t="s">
        <v>170</v>
      </c>
      <c r="U1344">
        <v>5.6896390397458523E-3</v>
      </c>
      <c r="V1344" t="s">
        <v>157</v>
      </c>
    </row>
    <row r="1345" spans="9:22" x14ac:dyDescent="0.45">
      <c r="I1345" t="s">
        <v>259</v>
      </c>
      <c r="J1345" t="s">
        <v>171</v>
      </c>
      <c r="K1345">
        <v>2.9613831776636223E-3</v>
      </c>
      <c r="L1345" t="s">
        <v>157</v>
      </c>
      <c r="N1345" t="s">
        <v>370</v>
      </c>
      <c r="O1345" t="s">
        <v>171</v>
      </c>
      <c r="P1345">
        <v>3.0262994794153904E-2</v>
      </c>
      <c r="Q1345" t="s">
        <v>157</v>
      </c>
      <c r="S1345" t="s">
        <v>481</v>
      </c>
      <c r="T1345" t="s">
        <v>171</v>
      </c>
      <c r="U1345">
        <v>2.5841245138883331E-2</v>
      </c>
      <c r="V1345" t="s">
        <v>157</v>
      </c>
    </row>
    <row r="1346" spans="9:22" x14ac:dyDescent="0.45">
      <c r="I1346" t="s">
        <v>260</v>
      </c>
      <c r="J1346" t="s">
        <v>156</v>
      </c>
      <c r="K1346">
        <v>8.7220092176038492E-3</v>
      </c>
      <c r="L1346" t="s">
        <v>157</v>
      </c>
      <c r="N1346" t="s">
        <v>371</v>
      </c>
      <c r="O1346" t="s">
        <v>156</v>
      </c>
      <c r="P1346">
        <v>0.12598554025675582</v>
      </c>
      <c r="Q1346" t="s">
        <v>157</v>
      </c>
      <c r="S1346" t="s">
        <v>482</v>
      </c>
      <c r="T1346" t="s">
        <v>156</v>
      </c>
      <c r="U1346">
        <v>0.12503001354170137</v>
      </c>
      <c r="V1346" t="s">
        <v>157</v>
      </c>
    </row>
    <row r="1347" spans="9:22" x14ac:dyDescent="0.45">
      <c r="I1347" t="s">
        <v>260</v>
      </c>
      <c r="J1347" t="s">
        <v>158</v>
      </c>
      <c r="K1347">
        <v>0.40172499874414552</v>
      </c>
      <c r="L1347" t="s">
        <v>157</v>
      </c>
      <c r="N1347" t="s">
        <v>371</v>
      </c>
      <c r="O1347" t="s">
        <v>158</v>
      </c>
      <c r="P1347">
        <v>0.19857287048870045</v>
      </c>
      <c r="Q1347" t="s">
        <v>157</v>
      </c>
      <c r="S1347" t="s">
        <v>482</v>
      </c>
      <c r="T1347" t="s">
        <v>158</v>
      </c>
      <c r="U1347">
        <v>0.19684865778199154</v>
      </c>
      <c r="V1347" t="s">
        <v>157</v>
      </c>
    </row>
    <row r="1348" spans="9:22" x14ac:dyDescent="0.45">
      <c r="I1348" t="s">
        <v>260</v>
      </c>
      <c r="J1348" t="s">
        <v>159</v>
      </c>
      <c r="K1348">
        <v>3.1905864264803588E-2</v>
      </c>
      <c r="L1348" t="s">
        <v>157</v>
      </c>
      <c r="N1348" t="s">
        <v>371</v>
      </c>
      <c r="O1348" t="s">
        <v>159</v>
      </c>
      <c r="P1348">
        <v>2.0327290379770453E-2</v>
      </c>
      <c r="Q1348" t="s">
        <v>157</v>
      </c>
      <c r="S1348" t="s">
        <v>482</v>
      </c>
      <c r="T1348" t="s">
        <v>159</v>
      </c>
      <c r="U1348">
        <v>2.1643937319117932E-2</v>
      </c>
      <c r="V1348" t="s">
        <v>157</v>
      </c>
    </row>
    <row r="1349" spans="9:22" x14ac:dyDescent="0.45">
      <c r="I1349" t="s">
        <v>260</v>
      </c>
      <c r="J1349" t="s">
        <v>160</v>
      </c>
      <c r="K1349">
        <v>2.2519726420577011E-2</v>
      </c>
      <c r="L1349" t="s">
        <v>157</v>
      </c>
      <c r="N1349" t="s">
        <v>371</v>
      </c>
      <c r="O1349" t="s">
        <v>160</v>
      </c>
      <c r="P1349">
        <v>1.9300266834584658E-2</v>
      </c>
      <c r="Q1349" t="s">
        <v>157</v>
      </c>
      <c r="S1349" t="s">
        <v>482</v>
      </c>
      <c r="T1349" t="s">
        <v>160</v>
      </c>
      <c r="U1349">
        <v>2.0293839520135734E-2</v>
      </c>
      <c r="V1349" t="s">
        <v>157</v>
      </c>
    </row>
    <row r="1350" spans="9:22" x14ac:dyDescent="0.45">
      <c r="I1350" t="s">
        <v>260</v>
      </c>
      <c r="J1350" t="s">
        <v>161</v>
      </c>
      <c r="K1350">
        <v>1.0728293038153324E-2</v>
      </c>
      <c r="L1350" t="s">
        <v>157</v>
      </c>
      <c r="N1350" t="s">
        <v>371</v>
      </c>
      <c r="O1350" t="s">
        <v>161</v>
      </c>
      <c r="P1350">
        <v>8.9918189140554952E-2</v>
      </c>
      <c r="Q1350" t="s">
        <v>157</v>
      </c>
      <c r="S1350" t="s">
        <v>482</v>
      </c>
      <c r="T1350" t="s">
        <v>161</v>
      </c>
      <c r="U1350">
        <v>8.7417861534687807E-2</v>
      </c>
      <c r="V1350" t="s">
        <v>157</v>
      </c>
    </row>
    <row r="1351" spans="9:22" x14ac:dyDescent="0.45">
      <c r="I1351" t="s">
        <v>260</v>
      </c>
      <c r="J1351" t="s">
        <v>162</v>
      </c>
      <c r="K1351">
        <v>2.7996228490955255E-3</v>
      </c>
      <c r="L1351" t="s">
        <v>157</v>
      </c>
      <c r="N1351" t="s">
        <v>371</v>
      </c>
      <c r="O1351" t="s">
        <v>162</v>
      </c>
      <c r="P1351">
        <v>0.11324667646099887</v>
      </c>
      <c r="Q1351" t="s">
        <v>157</v>
      </c>
      <c r="S1351" t="s">
        <v>482</v>
      </c>
      <c r="T1351" t="s">
        <v>162</v>
      </c>
      <c r="U1351">
        <v>0.10912503252247875</v>
      </c>
      <c r="V1351" t="s">
        <v>157</v>
      </c>
    </row>
    <row r="1352" spans="9:22" x14ac:dyDescent="0.45">
      <c r="I1352" t="s">
        <v>260</v>
      </c>
      <c r="J1352" t="s">
        <v>163</v>
      </c>
      <c r="K1352">
        <v>0.22282210855454426</v>
      </c>
      <c r="L1352" t="s">
        <v>157</v>
      </c>
      <c r="N1352" t="s">
        <v>371</v>
      </c>
      <c r="O1352" t="s">
        <v>163</v>
      </c>
      <c r="P1352">
        <v>0.17291713866027086</v>
      </c>
      <c r="Q1352" t="s">
        <v>157</v>
      </c>
      <c r="S1352" t="s">
        <v>482</v>
      </c>
      <c r="T1352" t="s">
        <v>163</v>
      </c>
      <c r="U1352">
        <v>0.16865250003135013</v>
      </c>
      <c r="V1352" t="s">
        <v>157</v>
      </c>
    </row>
    <row r="1353" spans="9:22" x14ac:dyDescent="0.45">
      <c r="I1353" t="s">
        <v>260</v>
      </c>
      <c r="J1353" t="s">
        <v>164</v>
      </c>
      <c r="K1353">
        <v>1.5962977862738432E-2</v>
      </c>
      <c r="L1353" t="s">
        <v>157</v>
      </c>
      <c r="N1353" t="s">
        <v>371</v>
      </c>
      <c r="O1353" t="s">
        <v>164</v>
      </c>
      <c r="P1353">
        <v>1.7023971829991987E-2</v>
      </c>
      <c r="Q1353" t="s">
        <v>157</v>
      </c>
      <c r="S1353" t="s">
        <v>482</v>
      </c>
      <c r="T1353" t="s">
        <v>164</v>
      </c>
      <c r="U1353">
        <v>1.6660053564390518E-2</v>
      </c>
      <c r="V1353" t="s">
        <v>157</v>
      </c>
    </row>
    <row r="1354" spans="9:22" x14ac:dyDescent="0.45">
      <c r="I1354" t="s">
        <v>260</v>
      </c>
      <c r="J1354" t="s">
        <v>165</v>
      </c>
      <c r="K1354">
        <v>6.52153920655669E-3</v>
      </c>
      <c r="L1354" t="s">
        <v>157</v>
      </c>
      <c r="N1354" t="s">
        <v>371</v>
      </c>
      <c r="O1354" t="s">
        <v>165</v>
      </c>
      <c r="P1354">
        <v>1.6489722742261528E-2</v>
      </c>
      <c r="Q1354" t="s">
        <v>157</v>
      </c>
      <c r="S1354" t="s">
        <v>482</v>
      </c>
      <c r="T1354" t="s">
        <v>165</v>
      </c>
      <c r="U1354">
        <v>1.6531434029164283E-2</v>
      </c>
      <c r="V1354" t="s">
        <v>157</v>
      </c>
    </row>
    <row r="1355" spans="9:22" x14ac:dyDescent="0.45">
      <c r="I1355" t="s">
        <v>260</v>
      </c>
      <c r="J1355" t="s">
        <v>166</v>
      </c>
      <c r="K1355">
        <v>0</v>
      </c>
      <c r="L1355" t="s">
        <v>157</v>
      </c>
      <c r="N1355" t="s">
        <v>371</v>
      </c>
      <c r="O1355" t="s">
        <v>166</v>
      </c>
      <c r="P1355">
        <v>7.8508960038328537E-2</v>
      </c>
      <c r="Q1355" t="s">
        <v>157</v>
      </c>
      <c r="S1355" t="s">
        <v>482</v>
      </c>
      <c r="T1355" t="s">
        <v>166</v>
      </c>
      <c r="U1355">
        <v>8.0171383574269714E-2</v>
      </c>
      <c r="V1355" t="s">
        <v>157</v>
      </c>
    </row>
    <row r="1356" spans="9:22" x14ac:dyDescent="0.45">
      <c r="I1356" t="s">
        <v>260</v>
      </c>
      <c r="J1356" t="s">
        <v>167</v>
      </c>
      <c r="K1356">
        <v>1.7168849623682647E-2</v>
      </c>
      <c r="L1356" t="s">
        <v>157</v>
      </c>
      <c r="N1356" t="s">
        <v>371</v>
      </c>
      <c r="O1356" t="s">
        <v>167</v>
      </c>
      <c r="P1356">
        <v>3.5111219848334083E-2</v>
      </c>
      <c r="Q1356" t="s">
        <v>157</v>
      </c>
      <c r="S1356" t="s">
        <v>482</v>
      </c>
      <c r="T1356" t="s">
        <v>167</v>
      </c>
      <c r="U1356">
        <v>3.797798695638515E-2</v>
      </c>
      <c r="V1356" t="s">
        <v>157</v>
      </c>
    </row>
    <row r="1357" spans="9:22" x14ac:dyDescent="0.45">
      <c r="I1357" t="s">
        <v>260</v>
      </c>
      <c r="J1357" t="s">
        <v>168</v>
      </c>
      <c r="K1357">
        <v>0.21656661022554585</v>
      </c>
      <c r="L1357" t="s">
        <v>157</v>
      </c>
      <c r="N1357" t="s">
        <v>371</v>
      </c>
      <c r="O1357" t="s">
        <v>168</v>
      </c>
      <c r="P1357">
        <v>6.9131960995249764E-2</v>
      </c>
      <c r="Q1357" t="s">
        <v>157</v>
      </c>
      <c r="S1357" t="s">
        <v>482</v>
      </c>
      <c r="T1357" t="s">
        <v>168</v>
      </c>
      <c r="U1357">
        <v>7.3369231202133012E-2</v>
      </c>
      <c r="V1357" t="s">
        <v>157</v>
      </c>
    </row>
    <row r="1358" spans="9:22" x14ac:dyDescent="0.45">
      <c r="I1358" t="s">
        <v>260</v>
      </c>
      <c r="J1358" t="s">
        <v>169</v>
      </c>
      <c r="K1358">
        <v>1.8008723156535119E-2</v>
      </c>
      <c r="L1358" t="s">
        <v>157</v>
      </c>
      <c r="N1358" t="s">
        <v>371</v>
      </c>
      <c r="O1358" t="s">
        <v>169</v>
      </c>
      <c r="P1358">
        <v>7.5284446872220367E-3</v>
      </c>
      <c r="Q1358" t="s">
        <v>157</v>
      </c>
      <c r="S1358" t="s">
        <v>482</v>
      </c>
      <c r="T1358" t="s">
        <v>169</v>
      </c>
      <c r="U1358">
        <v>8.3121630780124117E-3</v>
      </c>
      <c r="V1358" t="s">
        <v>157</v>
      </c>
    </row>
    <row r="1359" spans="9:22" x14ac:dyDescent="0.45">
      <c r="I1359" t="s">
        <v>260</v>
      </c>
      <c r="J1359" t="s">
        <v>170</v>
      </c>
      <c r="K1359">
        <v>1.4960044747144125E-2</v>
      </c>
      <c r="L1359" t="s">
        <v>157</v>
      </c>
      <c r="N1359" t="s">
        <v>371</v>
      </c>
      <c r="O1359" t="s">
        <v>170</v>
      </c>
      <c r="P1359">
        <v>6.9264420227989395E-3</v>
      </c>
      <c r="Q1359" t="s">
        <v>157</v>
      </c>
      <c r="S1359" t="s">
        <v>482</v>
      </c>
      <c r="T1359" t="s">
        <v>170</v>
      </c>
      <c r="U1359">
        <v>7.7020785258927159E-3</v>
      </c>
      <c r="V1359" t="s">
        <v>157</v>
      </c>
    </row>
    <row r="1360" spans="9:22" x14ac:dyDescent="0.45">
      <c r="I1360" t="s">
        <v>260</v>
      </c>
      <c r="J1360" t="s">
        <v>171</v>
      </c>
      <c r="K1360">
        <v>9.5886320888740051E-3</v>
      </c>
      <c r="L1360" t="s">
        <v>157</v>
      </c>
      <c r="N1360" t="s">
        <v>371</v>
      </c>
      <c r="O1360" t="s">
        <v>171</v>
      </c>
      <c r="P1360">
        <v>2.9011305614177016E-2</v>
      </c>
      <c r="Q1360" t="s">
        <v>157</v>
      </c>
      <c r="S1360" t="s">
        <v>482</v>
      </c>
      <c r="T1360" t="s">
        <v>171</v>
      </c>
      <c r="U1360">
        <v>3.0263826818288913E-2</v>
      </c>
      <c r="V1360" t="s">
        <v>157</v>
      </c>
    </row>
    <row r="1361" spans="9:22" x14ac:dyDescent="0.45">
      <c r="I1361" t="s">
        <v>261</v>
      </c>
      <c r="J1361" t="s">
        <v>156</v>
      </c>
      <c r="K1361">
        <v>1.945058897023192E-2</v>
      </c>
      <c r="L1361" t="s">
        <v>157</v>
      </c>
      <c r="N1361" t="s">
        <v>372</v>
      </c>
      <c r="O1361" t="s">
        <v>156</v>
      </c>
      <c r="P1361">
        <v>0.11840971474801282</v>
      </c>
      <c r="Q1361" t="s">
        <v>157</v>
      </c>
      <c r="S1361" t="s">
        <v>483</v>
      </c>
      <c r="T1361" t="s">
        <v>156</v>
      </c>
      <c r="U1361">
        <v>0.12779823618417913</v>
      </c>
      <c r="V1361" t="s">
        <v>157</v>
      </c>
    </row>
    <row r="1362" spans="9:22" x14ac:dyDescent="0.45">
      <c r="I1362" t="s">
        <v>261</v>
      </c>
      <c r="J1362" t="s">
        <v>158</v>
      </c>
      <c r="K1362">
        <v>0.42649981407206028</v>
      </c>
      <c r="L1362" t="s">
        <v>157</v>
      </c>
      <c r="N1362" t="s">
        <v>372</v>
      </c>
      <c r="O1362" t="s">
        <v>158</v>
      </c>
      <c r="P1362">
        <v>0.1732775315168166</v>
      </c>
      <c r="Q1362" t="s">
        <v>157</v>
      </c>
      <c r="S1362" t="s">
        <v>483</v>
      </c>
      <c r="T1362" t="s">
        <v>158</v>
      </c>
      <c r="U1362">
        <v>0.19171367140473372</v>
      </c>
      <c r="V1362" t="s">
        <v>157</v>
      </c>
    </row>
    <row r="1363" spans="9:22" x14ac:dyDescent="0.45">
      <c r="I1363" t="s">
        <v>261</v>
      </c>
      <c r="J1363" t="s">
        <v>159</v>
      </c>
      <c r="K1363">
        <v>2.8797684936995006E-2</v>
      </c>
      <c r="L1363" t="s">
        <v>157</v>
      </c>
      <c r="N1363" t="s">
        <v>372</v>
      </c>
      <c r="O1363" t="s">
        <v>159</v>
      </c>
      <c r="P1363">
        <v>1.8330448081138175E-2</v>
      </c>
      <c r="Q1363" t="s">
        <v>157</v>
      </c>
      <c r="S1363" t="s">
        <v>483</v>
      </c>
      <c r="T1363" t="s">
        <v>159</v>
      </c>
      <c r="U1363">
        <v>2.1083826288568804E-2</v>
      </c>
      <c r="V1363" t="s">
        <v>157</v>
      </c>
    </row>
    <row r="1364" spans="9:22" x14ac:dyDescent="0.45">
      <c r="I1364" t="s">
        <v>261</v>
      </c>
      <c r="J1364" t="s">
        <v>160</v>
      </c>
      <c r="K1364">
        <v>1.6979610904770188E-2</v>
      </c>
      <c r="L1364" t="s">
        <v>157</v>
      </c>
      <c r="N1364" t="s">
        <v>372</v>
      </c>
      <c r="O1364" t="s">
        <v>160</v>
      </c>
      <c r="P1364">
        <v>1.839927614202749E-2</v>
      </c>
      <c r="Q1364" t="s">
        <v>157</v>
      </c>
      <c r="S1364" t="s">
        <v>483</v>
      </c>
      <c r="T1364" t="s">
        <v>160</v>
      </c>
      <c r="U1364">
        <v>2.027445862579931E-2</v>
      </c>
      <c r="V1364" t="s">
        <v>157</v>
      </c>
    </row>
    <row r="1365" spans="9:22" x14ac:dyDescent="0.45">
      <c r="I1365" t="s">
        <v>261</v>
      </c>
      <c r="J1365" t="s">
        <v>161</v>
      </c>
      <c r="K1365">
        <v>3.9540495450484199E-3</v>
      </c>
      <c r="L1365" t="s">
        <v>157</v>
      </c>
      <c r="N1365" t="s">
        <v>372</v>
      </c>
      <c r="O1365" t="s">
        <v>161</v>
      </c>
      <c r="P1365">
        <v>8.8365157235432715E-2</v>
      </c>
      <c r="Q1365" t="s">
        <v>157</v>
      </c>
      <c r="S1365" t="s">
        <v>483</v>
      </c>
      <c r="T1365" t="s">
        <v>161</v>
      </c>
      <c r="U1365">
        <v>8.9087624094189438E-2</v>
      </c>
      <c r="V1365" t="s">
        <v>157</v>
      </c>
    </row>
    <row r="1366" spans="9:22" x14ac:dyDescent="0.45">
      <c r="I1366" t="s">
        <v>261</v>
      </c>
      <c r="J1366" t="s">
        <v>162</v>
      </c>
      <c r="K1366">
        <v>7.1439700974342754E-3</v>
      </c>
      <c r="L1366" t="s">
        <v>157</v>
      </c>
      <c r="N1366" t="s">
        <v>372</v>
      </c>
      <c r="O1366" t="s">
        <v>162</v>
      </c>
      <c r="P1366">
        <v>0.12473454292861094</v>
      </c>
      <c r="Q1366" t="s">
        <v>157</v>
      </c>
      <c r="S1366" t="s">
        <v>483</v>
      </c>
      <c r="T1366" t="s">
        <v>162</v>
      </c>
      <c r="U1366">
        <v>0.10835784462076012</v>
      </c>
      <c r="V1366" t="s">
        <v>157</v>
      </c>
    </row>
    <row r="1367" spans="9:22" x14ac:dyDescent="0.45">
      <c r="I1367" t="s">
        <v>261</v>
      </c>
      <c r="J1367" t="s">
        <v>163</v>
      </c>
      <c r="K1367">
        <v>0.23449727449232949</v>
      </c>
      <c r="L1367" t="s">
        <v>157</v>
      </c>
      <c r="N1367" t="s">
        <v>372</v>
      </c>
      <c r="O1367" t="s">
        <v>163</v>
      </c>
      <c r="P1367">
        <v>0.18582291379789709</v>
      </c>
      <c r="Q1367" t="s">
        <v>157</v>
      </c>
      <c r="S1367" t="s">
        <v>483</v>
      </c>
      <c r="T1367" t="s">
        <v>163</v>
      </c>
      <c r="U1367">
        <v>0.16168294189797922</v>
      </c>
      <c r="V1367" t="s">
        <v>157</v>
      </c>
    </row>
    <row r="1368" spans="9:22" x14ac:dyDescent="0.45">
      <c r="I1368" t="s">
        <v>261</v>
      </c>
      <c r="J1368" t="s">
        <v>164</v>
      </c>
      <c r="K1368">
        <v>1.2444172388194301E-2</v>
      </c>
      <c r="L1368" t="s">
        <v>157</v>
      </c>
      <c r="N1368" t="s">
        <v>372</v>
      </c>
      <c r="O1368" t="s">
        <v>164</v>
      </c>
      <c r="P1368">
        <v>1.8868343524697892E-2</v>
      </c>
      <c r="Q1368" t="s">
        <v>157</v>
      </c>
      <c r="S1368" t="s">
        <v>483</v>
      </c>
      <c r="T1368" t="s">
        <v>164</v>
      </c>
      <c r="U1368">
        <v>1.6549232622809863E-2</v>
      </c>
      <c r="V1368" t="s">
        <v>157</v>
      </c>
    </row>
    <row r="1369" spans="9:22" x14ac:dyDescent="0.45">
      <c r="I1369" t="s">
        <v>261</v>
      </c>
      <c r="J1369" t="s">
        <v>165</v>
      </c>
      <c r="K1369">
        <v>2.300378502151243E-3</v>
      </c>
      <c r="L1369" t="s">
        <v>157</v>
      </c>
      <c r="N1369" t="s">
        <v>372</v>
      </c>
      <c r="O1369" t="s">
        <v>165</v>
      </c>
      <c r="P1369">
        <v>1.8836060267672386E-2</v>
      </c>
      <c r="Q1369" t="s">
        <v>157</v>
      </c>
      <c r="S1369" t="s">
        <v>483</v>
      </c>
      <c r="T1369" t="s">
        <v>165</v>
      </c>
      <c r="U1369">
        <v>1.6519543965956791E-2</v>
      </c>
      <c r="V1369" t="s">
        <v>157</v>
      </c>
    </row>
    <row r="1370" spans="9:22" x14ac:dyDescent="0.45">
      <c r="I1370" t="s">
        <v>261</v>
      </c>
      <c r="J1370" t="s">
        <v>166</v>
      </c>
      <c r="K1370">
        <v>0</v>
      </c>
      <c r="L1370" t="s">
        <v>157</v>
      </c>
      <c r="N1370" t="s">
        <v>372</v>
      </c>
      <c r="O1370" t="s">
        <v>166</v>
      </c>
      <c r="P1370">
        <v>9.3320717917877771E-2</v>
      </c>
      <c r="Q1370" t="s">
        <v>157</v>
      </c>
      <c r="S1370" t="s">
        <v>483</v>
      </c>
      <c r="T1370" t="s">
        <v>166</v>
      </c>
      <c r="U1370">
        <v>8.0032880080743857E-2</v>
      </c>
      <c r="V1370" t="s">
        <v>157</v>
      </c>
    </row>
    <row r="1371" spans="9:22" x14ac:dyDescent="0.45">
      <c r="I1371" t="s">
        <v>261</v>
      </c>
      <c r="J1371" t="s">
        <v>167</v>
      </c>
      <c r="K1371">
        <v>2.0292438050831287E-2</v>
      </c>
      <c r="L1371" t="s">
        <v>157</v>
      </c>
      <c r="N1371" t="s">
        <v>372</v>
      </c>
      <c r="O1371" t="s">
        <v>167</v>
      </c>
      <c r="P1371">
        <v>3.7804312732973244E-2</v>
      </c>
      <c r="Q1371" t="s">
        <v>157</v>
      </c>
      <c r="S1371" t="s">
        <v>483</v>
      </c>
      <c r="T1371" t="s">
        <v>167</v>
      </c>
      <c r="U1371">
        <v>4.320259351141098E-2</v>
      </c>
      <c r="V1371" t="s">
        <v>157</v>
      </c>
    </row>
    <row r="1372" spans="9:22" x14ac:dyDescent="0.45">
      <c r="I1372" t="s">
        <v>261</v>
      </c>
      <c r="J1372" t="s">
        <v>168</v>
      </c>
      <c r="K1372">
        <v>0.19970107511571394</v>
      </c>
      <c r="L1372" t="s">
        <v>157</v>
      </c>
      <c r="N1372" t="s">
        <v>372</v>
      </c>
      <c r="O1372" t="s">
        <v>168</v>
      </c>
      <c r="P1372">
        <v>6.1449344143747975E-2</v>
      </c>
      <c r="Q1372" t="s">
        <v>157</v>
      </c>
      <c r="S1372" t="s">
        <v>483</v>
      </c>
      <c r="T1372" t="s">
        <v>168</v>
      </c>
      <c r="U1372">
        <v>7.2755962705684185E-2</v>
      </c>
      <c r="V1372" t="s">
        <v>157</v>
      </c>
    </row>
    <row r="1373" spans="9:22" x14ac:dyDescent="0.45">
      <c r="I1373" t="s">
        <v>261</v>
      </c>
      <c r="J1373" t="s">
        <v>169</v>
      </c>
      <c r="K1373">
        <v>1.4913215486326577E-2</v>
      </c>
      <c r="L1373" t="s">
        <v>157</v>
      </c>
      <c r="N1373" t="s">
        <v>372</v>
      </c>
      <c r="O1373" t="s">
        <v>169</v>
      </c>
      <c r="P1373">
        <v>6.553209032095021E-3</v>
      </c>
      <c r="Q1373" t="s">
        <v>157</v>
      </c>
      <c r="S1373" t="s">
        <v>483</v>
      </c>
      <c r="T1373" t="s">
        <v>169</v>
      </c>
      <c r="U1373">
        <v>8.2717070118595616E-3</v>
      </c>
      <c r="V1373" t="s">
        <v>157</v>
      </c>
    </row>
    <row r="1374" spans="9:22" x14ac:dyDescent="0.45">
      <c r="I1374" t="s">
        <v>261</v>
      </c>
      <c r="J1374" t="s">
        <v>170</v>
      </c>
      <c r="K1374">
        <v>1.0258974703267268E-2</v>
      </c>
      <c r="L1374" t="s">
        <v>157</v>
      </c>
      <c r="N1374" t="s">
        <v>372</v>
      </c>
      <c r="O1374" t="s">
        <v>170</v>
      </c>
      <c r="P1374">
        <v>6.3697922903687022E-3</v>
      </c>
      <c r="Q1374" t="s">
        <v>157</v>
      </c>
      <c r="S1374" t="s">
        <v>483</v>
      </c>
      <c r="T1374" t="s">
        <v>170</v>
      </c>
      <c r="U1374">
        <v>8.1257566765794292E-3</v>
      </c>
      <c r="V1374" t="s">
        <v>157</v>
      </c>
    </row>
    <row r="1375" spans="9:22" x14ac:dyDescent="0.45">
      <c r="I1375" t="s">
        <v>261</v>
      </c>
      <c r="J1375" t="s">
        <v>171</v>
      </c>
      <c r="K1375">
        <v>2.7667527346457929E-3</v>
      </c>
      <c r="L1375" t="s">
        <v>157</v>
      </c>
      <c r="N1375" t="s">
        <v>372</v>
      </c>
      <c r="O1375" t="s">
        <v>171</v>
      </c>
      <c r="P1375">
        <v>2.9458635640631163E-2</v>
      </c>
      <c r="Q1375" t="s">
        <v>157</v>
      </c>
      <c r="S1375" t="s">
        <v>483</v>
      </c>
      <c r="T1375" t="s">
        <v>171</v>
      </c>
      <c r="U1375">
        <v>3.4543720308745605E-2</v>
      </c>
      <c r="V1375" t="s">
        <v>157</v>
      </c>
    </row>
    <row r="1376" spans="9:22" x14ac:dyDescent="0.45">
      <c r="I1376" t="s">
        <v>262</v>
      </c>
      <c r="J1376" t="s">
        <v>156</v>
      </c>
      <c r="K1376">
        <v>1.9454346216542216E-2</v>
      </c>
      <c r="L1376" t="s">
        <v>157</v>
      </c>
      <c r="N1376" t="s">
        <v>373</v>
      </c>
      <c r="O1376" t="s">
        <v>156</v>
      </c>
      <c r="P1376">
        <v>0.12073470684840504</v>
      </c>
      <c r="Q1376" t="s">
        <v>157</v>
      </c>
      <c r="S1376" t="s">
        <v>484</v>
      </c>
      <c r="T1376" t="s">
        <v>156</v>
      </c>
      <c r="U1376">
        <v>0.13146223042387764</v>
      </c>
      <c r="V1376" t="s">
        <v>157</v>
      </c>
    </row>
    <row r="1377" spans="9:22" x14ac:dyDescent="0.45">
      <c r="I1377" t="s">
        <v>262</v>
      </c>
      <c r="J1377" t="s">
        <v>158</v>
      </c>
      <c r="K1377">
        <v>0.43505444821445427</v>
      </c>
      <c r="L1377" t="s">
        <v>157</v>
      </c>
      <c r="N1377" t="s">
        <v>373</v>
      </c>
      <c r="O1377" t="s">
        <v>158</v>
      </c>
      <c r="P1377">
        <v>0.18122450878631891</v>
      </c>
      <c r="Q1377" t="s">
        <v>157</v>
      </c>
      <c r="S1377" t="s">
        <v>484</v>
      </c>
      <c r="T1377" t="s">
        <v>158</v>
      </c>
      <c r="U1377">
        <v>0.18857717582839226</v>
      </c>
      <c r="V1377" t="s">
        <v>157</v>
      </c>
    </row>
    <row r="1378" spans="9:22" x14ac:dyDescent="0.45">
      <c r="I1378" t="s">
        <v>262</v>
      </c>
      <c r="J1378" t="s">
        <v>159</v>
      </c>
      <c r="K1378">
        <v>2.9269976166370296E-2</v>
      </c>
      <c r="L1378" t="s">
        <v>157</v>
      </c>
      <c r="N1378" t="s">
        <v>373</v>
      </c>
      <c r="O1378" t="s">
        <v>159</v>
      </c>
      <c r="P1378">
        <v>1.9325744715089722E-2</v>
      </c>
      <c r="Q1378" t="s">
        <v>157</v>
      </c>
      <c r="S1378" t="s">
        <v>484</v>
      </c>
      <c r="T1378" t="s">
        <v>159</v>
      </c>
      <c r="U1378">
        <v>1.9828205724524789E-2</v>
      </c>
      <c r="V1378" t="s">
        <v>157</v>
      </c>
    </row>
    <row r="1379" spans="9:22" x14ac:dyDescent="0.45">
      <c r="I1379" t="s">
        <v>262</v>
      </c>
      <c r="J1379" t="s">
        <v>160</v>
      </c>
      <c r="K1379">
        <v>1.7575637998389664E-2</v>
      </c>
      <c r="L1379" t="s">
        <v>157</v>
      </c>
      <c r="N1379" t="s">
        <v>373</v>
      </c>
      <c r="O1379" t="s">
        <v>160</v>
      </c>
      <c r="P1379">
        <v>1.900156986938056E-2</v>
      </c>
      <c r="Q1379" t="s">
        <v>157</v>
      </c>
      <c r="S1379" t="s">
        <v>484</v>
      </c>
      <c r="T1379" t="s">
        <v>160</v>
      </c>
      <c r="U1379">
        <v>1.9154489563387396E-2</v>
      </c>
      <c r="V1379" t="s">
        <v>157</v>
      </c>
    </row>
    <row r="1380" spans="9:22" x14ac:dyDescent="0.45">
      <c r="I1380" t="s">
        <v>262</v>
      </c>
      <c r="J1380" t="s">
        <v>161</v>
      </c>
      <c r="K1380">
        <v>4.0180987775026503E-3</v>
      </c>
      <c r="L1380" t="s">
        <v>157</v>
      </c>
      <c r="N1380" t="s">
        <v>373</v>
      </c>
      <c r="O1380" t="s">
        <v>161</v>
      </c>
      <c r="P1380">
        <v>8.9518838201736894E-2</v>
      </c>
      <c r="Q1380" t="s">
        <v>157</v>
      </c>
      <c r="S1380" t="s">
        <v>484</v>
      </c>
      <c r="T1380" t="s">
        <v>161</v>
      </c>
      <c r="U1380">
        <v>8.949612174015828E-2</v>
      </c>
      <c r="V1380" t="s">
        <v>157</v>
      </c>
    </row>
    <row r="1381" spans="9:22" x14ac:dyDescent="0.45">
      <c r="I1381" t="s">
        <v>262</v>
      </c>
      <c r="J1381" t="s">
        <v>162</v>
      </c>
      <c r="K1381">
        <v>6.7664775660984666E-3</v>
      </c>
      <c r="L1381" t="s">
        <v>157</v>
      </c>
      <c r="N1381" t="s">
        <v>373</v>
      </c>
      <c r="O1381" t="s">
        <v>162</v>
      </c>
      <c r="P1381">
        <v>0.12300986006653551</v>
      </c>
      <c r="Q1381" t="s">
        <v>157</v>
      </c>
      <c r="S1381" t="s">
        <v>484</v>
      </c>
      <c r="T1381" t="s">
        <v>162</v>
      </c>
      <c r="U1381">
        <v>0.11120061888892691</v>
      </c>
      <c r="V1381" t="s">
        <v>157</v>
      </c>
    </row>
    <row r="1382" spans="9:22" x14ac:dyDescent="0.45">
      <c r="I1382" t="s">
        <v>262</v>
      </c>
      <c r="J1382" t="s">
        <v>163</v>
      </c>
      <c r="K1382">
        <v>0.23007907237210473</v>
      </c>
      <c r="L1382" t="s">
        <v>157</v>
      </c>
      <c r="N1382" t="s">
        <v>373</v>
      </c>
      <c r="O1382" t="s">
        <v>163</v>
      </c>
      <c r="P1382">
        <v>0.18333030791808066</v>
      </c>
      <c r="Q1382" t="s">
        <v>157</v>
      </c>
      <c r="S1382" t="s">
        <v>484</v>
      </c>
      <c r="T1382" t="s">
        <v>163</v>
      </c>
      <c r="U1382">
        <v>0.16368578320439248</v>
      </c>
      <c r="V1382" t="s">
        <v>157</v>
      </c>
    </row>
    <row r="1383" spans="9:22" x14ac:dyDescent="0.45">
      <c r="I1383" t="s">
        <v>262</v>
      </c>
      <c r="J1383" t="s">
        <v>164</v>
      </c>
      <c r="K1383">
        <v>1.2422234025672097E-2</v>
      </c>
      <c r="L1383" t="s">
        <v>157</v>
      </c>
      <c r="N1383" t="s">
        <v>373</v>
      </c>
      <c r="O1383" t="s">
        <v>164</v>
      </c>
      <c r="P1383">
        <v>1.8622013894411437E-2</v>
      </c>
      <c r="Q1383" t="s">
        <v>157</v>
      </c>
      <c r="S1383" t="s">
        <v>484</v>
      </c>
      <c r="T1383" t="s">
        <v>164</v>
      </c>
      <c r="U1383">
        <v>1.6446587139515318E-2</v>
      </c>
      <c r="V1383" t="s">
        <v>157</v>
      </c>
    </row>
    <row r="1384" spans="9:22" x14ac:dyDescent="0.45">
      <c r="I1384" t="s">
        <v>262</v>
      </c>
      <c r="J1384" t="s">
        <v>165</v>
      </c>
      <c r="K1384">
        <v>2.2885809617818626E-3</v>
      </c>
      <c r="L1384" t="s">
        <v>157</v>
      </c>
      <c r="N1384" t="s">
        <v>373</v>
      </c>
      <c r="O1384" t="s">
        <v>165</v>
      </c>
      <c r="P1384">
        <v>1.8496905857477253E-2</v>
      </c>
      <c r="Q1384" t="s">
        <v>157</v>
      </c>
      <c r="S1384" t="s">
        <v>484</v>
      </c>
      <c r="T1384" t="s">
        <v>165</v>
      </c>
      <c r="U1384">
        <v>1.6446672923888215E-2</v>
      </c>
      <c r="V1384" t="s">
        <v>157</v>
      </c>
    </row>
    <row r="1385" spans="9:22" x14ac:dyDescent="0.45">
      <c r="I1385" t="s">
        <v>262</v>
      </c>
      <c r="J1385" t="s">
        <v>166</v>
      </c>
      <c r="K1385">
        <v>0</v>
      </c>
      <c r="L1385" t="s">
        <v>157</v>
      </c>
      <c r="N1385" t="s">
        <v>373</v>
      </c>
      <c r="O1385" t="s">
        <v>166</v>
      </c>
      <c r="P1385">
        <v>9.2088246071916666E-2</v>
      </c>
      <c r="Q1385" t="s">
        <v>157</v>
      </c>
      <c r="S1385" t="s">
        <v>484</v>
      </c>
      <c r="T1385" t="s">
        <v>166</v>
      </c>
      <c r="U1385">
        <v>7.9310350228263451E-2</v>
      </c>
      <c r="V1385" t="s">
        <v>157</v>
      </c>
    </row>
    <row r="1386" spans="9:22" x14ac:dyDescent="0.45">
      <c r="I1386" t="s">
        <v>262</v>
      </c>
      <c r="J1386" t="s">
        <v>167</v>
      </c>
      <c r="K1386">
        <v>2.0573874218708467E-2</v>
      </c>
      <c r="L1386" t="s">
        <v>157</v>
      </c>
      <c r="N1386" t="s">
        <v>373</v>
      </c>
      <c r="O1386" t="s">
        <v>167</v>
      </c>
      <c r="P1386">
        <v>3.5719125064223749E-2</v>
      </c>
      <c r="Q1386" t="s">
        <v>157</v>
      </c>
      <c r="S1386" t="s">
        <v>484</v>
      </c>
      <c r="T1386" t="s">
        <v>167</v>
      </c>
      <c r="U1386">
        <v>4.548256448106941E-2</v>
      </c>
      <c r="V1386" t="s">
        <v>157</v>
      </c>
    </row>
    <row r="1387" spans="9:22" x14ac:dyDescent="0.45">
      <c r="I1387" t="s">
        <v>262</v>
      </c>
      <c r="J1387" t="s">
        <v>168</v>
      </c>
      <c r="K1387">
        <v>0.19631231001155675</v>
      </c>
      <c r="L1387" t="s">
        <v>157</v>
      </c>
      <c r="N1387" t="s">
        <v>373</v>
      </c>
      <c r="O1387" t="s">
        <v>168</v>
      </c>
      <c r="P1387">
        <v>6.0127647868468817E-2</v>
      </c>
      <c r="Q1387" t="s">
        <v>157</v>
      </c>
      <c r="S1387" t="s">
        <v>484</v>
      </c>
      <c r="T1387" t="s">
        <v>168</v>
      </c>
      <c r="U1387">
        <v>6.8378252354814859E-2</v>
      </c>
      <c r="V1387" t="s">
        <v>157</v>
      </c>
    </row>
    <row r="1388" spans="9:22" x14ac:dyDescent="0.45">
      <c r="I1388" t="s">
        <v>262</v>
      </c>
      <c r="J1388" t="s">
        <v>169</v>
      </c>
      <c r="K1388">
        <v>1.3886406244849214E-2</v>
      </c>
      <c r="L1388" t="s">
        <v>157</v>
      </c>
      <c r="N1388" t="s">
        <v>373</v>
      </c>
      <c r="O1388" t="s">
        <v>169</v>
      </c>
      <c r="P1388">
        <v>6.0998841319556928E-3</v>
      </c>
      <c r="Q1388" t="s">
        <v>157</v>
      </c>
      <c r="S1388" t="s">
        <v>484</v>
      </c>
      <c r="T1388" t="s">
        <v>169</v>
      </c>
      <c r="U1388">
        <v>7.5063068729984911E-3</v>
      </c>
      <c r="V1388" t="s">
        <v>157</v>
      </c>
    </row>
    <row r="1389" spans="9:22" x14ac:dyDescent="0.45">
      <c r="I1389" t="s">
        <v>262</v>
      </c>
      <c r="J1389" t="s">
        <v>170</v>
      </c>
      <c r="K1389">
        <v>9.7637511407851086E-3</v>
      </c>
      <c r="L1389" t="s">
        <v>157</v>
      </c>
      <c r="N1389" t="s">
        <v>373</v>
      </c>
      <c r="O1389" t="s">
        <v>170</v>
      </c>
      <c r="P1389">
        <v>5.7983234090405074E-3</v>
      </c>
      <c r="Q1389" t="s">
        <v>157</v>
      </c>
      <c r="S1389" t="s">
        <v>484</v>
      </c>
      <c r="T1389" t="s">
        <v>170</v>
      </c>
      <c r="U1389">
        <v>7.6204272538552475E-3</v>
      </c>
      <c r="V1389" t="s">
        <v>157</v>
      </c>
    </row>
    <row r="1390" spans="9:22" x14ac:dyDescent="0.45">
      <c r="I1390" t="s">
        <v>262</v>
      </c>
      <c r="J1390" t="s">
        <v>171</v>
      </c>
      <c r="K1390">
        <v>2.5347860851841933E-3</v>
      </c>
      <c r="L1390" t="s">
        <v>157</v>
      </c>
      <c r="N1390" t="s">
        <v>373</v>
      </c>
      <c r="O1390" t="s">
        <v>171</v>
      </c>
      <c r="P1390">
        <v>2.6902317296958578E-2</v>
      </c>
      <c r="Q1390" t="s">
        <v>157</v>
      </c>
      <c r="S1390" t="s">
        <v>484</v>
      </c>
      <c r="T1390" t="s">
        <v>171</v>
      </c>
      <c r="U1390">
        <v>3.5404213371935216E-2</v>
      </c>
      <c r="V1390" t="s">
        <v>157</v>
      </c>
    </row>
    <row r="1391" spans="9:22" x14ac:dyDescent="0.45">
      <c r="I1391" t="s">
        <v>263</v>
      </c>
      <c r="J1391" t="s">
        <v>156</v>
      </c>
      <c r="K1391">
        <v>1.8851154811448785E-2</v>
      </c>
      <c r="L1391" t="s">
        <v>157</v>
      </c>
      <c r="N1391" t="s">
        <v>374</v>
      </c>
      <c r="O1391" t="s">
        <v>156</v>
      </c>
      <c r="P1391">
        <v>0.11689014317227053</v>
      </c>
      <c r="Q1391" t="s">
        <v>157</v>
      </c>
      <c r="S1391" t="s">
        <v>485</v>
      </c>
      <c r="T1391" t="s">
        <v>156</v>
      </c>
      <c r="U1391">
        <v>0.13340567513196699</v>
      </c>
      <c r="V1391" t="s">
        <v>157</v>
      </c>
    </row>
    <row r="1392" spans="9:22" x14ac:dyDescent="0.45">
      <c r="I1392" t="s">
        <v>263</v>
      </c>
      <c r="J1392" t="s">
        <v>158</v>
      </c>
      <c r="K1392">
        <v>0.43985505438405725</v>
      </c>
      <c r="L1392" t="s">
        <v>157</v>
      </c>
      <c r="N1392" t="s">
        <v>374</v>
      </c>
      <c r="O1392" t="s">
        <v>158</v>
      </c>
      <c r="P1392">
        <v>0.19757331723933622</v>
      </c>
      <c r="Q1392" t="s">
        <v>157</v>
      </c>
      <c r="S1392" t="s">
        <v>485</v>
      </c>
      <c r="T1392" t="s">
        <v>158</v>
      </c>
      <c r="U1392">
        <v>0.18574180040993477</v>
      </c>
      <c r="V1392" t="s">
        <v>157</v>
      </c>
    </row>
    <row r="1393" spans="9:22" x14ac:dyDescent="0.45">
      <c r="I1393" t="s">
        <v>263</v>
      </c>
      <c r="J1393" t="s">
        <v>159</v>
      </c>
      <c r="K1393">
        <v>2.940257223246804E-2</v>
      </c>
      <c r="L1393" t="s">
        <v>157</v>
      </c>
      <c r="N1393" t="s">
        <v>374</v>
      </c>
      <c r="O1393" t="s">
        <v>159</v>
      </c>
      <c r="P1393">
        <v>2.0671317090665671E-2</v>
      </c>
      <c r="Q1393" t="s">
        <v>157</v>
      </c>
      <c r="S1393" t="s">
        <v>485</v>
      </c>
      <c r="T1393" t="s">
        <v>159</v>
      </c>
      <c r="U1393">
        <v>1.885133937003931E-2</v>
      </c>
      <c r="V1393" t="s">
        <v>157</v>
      </c>
    </row>
    <row r="1394" spans="9:22" x14ac:dyDescent="0.45">
      <c r="I1394" t="s">
        <v>263</v>
      </c>
      <c r="J1394" t="s">
        <v>160</v>
      </c>
      <c r="K1394">
        <v>1.7914905221192972E-2</v>
      </c>
      <c r="L1394" t="s">
        <v>157</v>
      </c>
      <c r="N1394" t="s">
        <v>374</v>
      </c>
      <c r="O1394" t="s">
        <v>160</v>
      </c>
      <c r="P1394">
        <v>1.9786462062940807E-2</v>
      </c>
      <c r="Q1394" t="s">
        <v>157</v>
      </c>
      <c r="S1394" t="s">
        <v>485</v>
      </c>
      <c r="T1394" t="s">
        <v>160</v>
      </c>
      <c r="U1394">
        <v>1.8167945071616509E-2</v>
      </c>
      <c r="V1394" t="s">
        <v>157</v>
      </c>
    </row>
    <row r="1395" spans="9:22" x14ac:dyDescent="0.45">
      <c r="I1395" t="s">
        <v>263</v>
      </c>
      <c r="J1395" t="s">
        <v>161</v>
      </c>
      <c r="K1395">
        <v>4.225937195076023E-3</v>
      </c>
      <c r="L1395" t="s">
        <v>157</v>
      </c>
      <c r="N1395" t="s">
        <v>374</v>
      </c>
      <c r="O1395" t="s">
        <v>161</v>
      </c>
      <c r="P1395">
        <v>8.5640445749788727E-2</v>
      </c>
      <c r="Q1395" t="s">
        <v>157</v>
      </c>
      <c r="S1395" t="s">
        <v>485</v>
      </c>
      <c r="T1395" t="s">
        <v>161</v>
      </c>
      <c r="U1395">
        <v>8.7225239603964388E-2</v>
      </c>
      <c r="V1395" t="s">
        <v>157</v>
      </c>
    </row>
    <row r="1396" spans="9:22" x14ac:dyDescent="0.45">
      <c r="I1396" t="s">
        <v>263</v>
      </c>
      <c r="J1396" t="s">
        <v>162</v>
      </c>
      <c r="K1396">
        <v>6.3727641892481523E-3</v>
      </c>
      <c r="L1396" t="s">
        <v>157</v>
      </c>
      <c r="N1396" t="s">
        <v>374</v>
      </c>
      <c r="O1396" t="s">
        <v>162</v>
      </c>
      <c r="P1396">
        <v>0.11650492565663569</v>
      </c>
      <c r="Q1396" t="s">
        <v>157</v>
      </c>
      <c r="S1396" t="s">
        <v>485</v>
      </c>
      <c r="T1396" t="s">
        <v>162</v>
      </c>
      <c r="U1396">
        <v>0.11408002444325906</v>
      </c>
      <c r="V1396" t="s">
        <v>157</v>
      </c>
    </row>
    <row r="1397" spans="9:22" x14ac:dyDescent="0.45">
      <c r="I1397" t="s">
        <v>263</v>
      </c>
      <c r="J1397" t="s">
        <v>163</v>
      </c>
      <c r="K1397">
        <v>0.22556977857841026</v>
      </c>
      <c r="L1397" t="s">
        <v>157</v>
      </c>
      <c r="N1397" t="s">
        <v>374</v>
      </c>
      <c r="O1397" t="s">
        <v>163</v>
      </c>
      <c r="P1397">
        <v>0.18993460533121362</v>
      </c>
      <c r="Q1397" t="s">
        <v>157</v>
      </c>
      <c r="S1397" t="s">
        <v>485</v>
      </c>
      <c r="T1397" t="s">
        <v>163</v>
      </c>
      <c r="U1397">
        <v>0.1666590721609188</v>
      </c>
      <c r="V1397" t="s">
        <v>157</v>
      </c>
    </row>
    <row r="1398" spans="9:22" x14ac:dyDescent="0.45">
      <c r="I1398" t="s">
        <v>263</v>
      </c>
      <c r="J1398" t="s">
        <v>164</v>
      </c>
      <c r="K1398">
        <v>1.2217003038934807E-2</v>
      </c>
      <c r="L1398" t="s">
        <v>157</v>
      </c>
      <c r="N1398" t="s">
        <v>374</v>
      </c>
      <c r="O1398" t="s">
        <v>164</v>
      </c>
      <c r="P1398">
        <v>1.8447234578712807E-2</v>
      </c>
      <c r="Q1398" t="s">
        <v>157</v>
      </c>
      <c r="S1398" t="s">
        <v>485</v>
      </c>
      <c r="T1398" t="s">
        <v>164</v>
      </c>
      <c r="U1398">
        <v>1.6878648251637405E-2</v>
      </c>
      <c r="V1398" t="s">
        <v>157</v>
      </c>
    </row>
    <row r="1399" spans="9:22" x14ac:dyDescent="0.45">
      <c r="I1399" t="s">
        <v>263</v>
      </c>
      <c r="J1399" t="s">
        <v>165</v>
      </c>
      <c r="K1399">
        <v>2.2287090015622674E-3</v>
      </c>
      <c r="L1399" t="s">
        <v>157</v>
      </c>
      <c r="N1399" t="s">
        <v>374</v>
      </c>
      <c r="O1399" t="s">
        <v>165</v>
      </c>
      <c r="P1399">
        <v>1.791101575055817E-2</v>
      </c>
      <c r="Q1399" t="s">
        <v>157</v>
      </c>
      <c r="S1399" t="s">
        <v>485</v>
      </c>
      <c r="T1399" t="s">
        <v>165</v>
      </c>
      <c r="U1399">
        <v>1.6783917172022596E-2</v>
      </c>
      <c r="V1399" t="s">
        <v>157</v>
      </c>
    </row>
    <row r="1400" spans="9:22" x14ac:dyDescent="0.45">
      <c r="I1400" t="s">
        <v>263</v>
      </c>
      <c r="J1400" t="s">
        <v>166</v>
      </c>
      <c r="K1400">
        <v>0</v>
      </c>
      <c r="L1400" t="s">
        <v>157</v>
      </c>
      <c r="N1400" t="s">
        <v>374</v>
      </c>
      <c r="O1400" t="s">
        <v>166</v>
      </c>
      <c r="P1400">
        <v>8.9556047504141964E-2</v>
      </c>
      <c r="Q1400" t="s">
        <v>157</v>
      </c>
      <c r="S1400" t="s">
        <v>485</v>
      </c>
      <c r="T1400" t="s">
        <v>166</v>
      </c>
      <c r="U1400">
        <v>8.0927905583886156E-2</v>
      </c>
      <c r="V1400" t="s">
        <v>157</v>
      </c>
    </row>
    <row r="1401" spans="9:22" x14ac:dyDescent="0.45">
      <c r="I1401" t="s">
        <v>263</v>
      </c>
      <c r="J1401" t="s">
        <v>167</v>
      </c>
      <c r="K1401">
        <v>2.1078370369988813E-2</v>
      </c>
      <c r="L1401" t="s">
        <v>157</v>
      </c>
      <c r="N1401" t="s">
        <v>374</v>
      </c>
      <c r="O1401" t="s">
        <v>167</v>
      </c>
      <c r="P1401">
        <v>3.2786846170532763E-2</v>
      </c>
      <c r="Q1401" t="s">
        <v>157</v>
      </c>
      <c r="S1401" t="s">
        <v>485</v>
      </c>
      <c r="T1401" t="s">
        <v>167</v>
      </c>
      <c r="U1401">
        <v>4.4660725535812074E-2</v>
      </c>
      <c r="V1401" t="s">
        <v>157</v>
      </c>
    </row>
    <row r="1402" spans="9:22" x14ac:dyDescent="0.45">
      <c r="I1402" t="s">
        <v>263</v>
      </c>
      <c r="J1402" t="s">
        <v>168</v>
      </c>
      <c r="K1402">
        <v>0.19651969259369609</v>
      </c>
      <c r="L1402" t="s">
        <v>157</v>
      </c>
      <c r="N1402" t="s">
        <v>374</v>
      </c>
      <c r="O1402" t="s">
        <v>168</v>
      </c>
      <c r="P1402">
        <v>6.0558927833436332E-2</v>
      </c>
      <c r="Q1402" t="s">
        <v>157</v>
      </c>
      <c r="S1402" t="s">
        <v>485</v>
      </c>
      <c r="T1402" t="s">
        <v>168</v>
      </c>
      <c r="U1402">
        <v>6.7405144409723117E-2</v>
      </c>
      <c r="V1402" t="s">
        <v>157</v>
      </c>
    </row>
    <row r="1403" spans="9:22" x14ac:dyDescent="0.45">
      <c r="I1403" t="s">
        <v>263</v>
      </c>
      <c r="J1403" t="s">
        <v>169</v>
      </c>
      <c r="K1403">
        <v>1.3620043991733305E-2</v>
      </c>
      <c r="L1403" t="s">
        <v>157</v>
      </c>
      <c r="N1403" t="s">
        <v>374</v>
      </c>
      <c r="O1403" t="s">
        <v>169</v>
      </c>
      <c r="P1403">
        <v>5.8679832005512555E-3</v>
      </c>
      <c r="Q1403" t="s">
        <v>157</v>
      </c>
      <c r="S1403" t="s">
        <v>485</v>
      </c>
      <c r="T1403" t="s">
        <v>169</v>
      </c>
      <c r="U1403">
        <v>7.2508964716615316E-3</v>
      </c>
      <c r="V1403" t="s">
        <v>157</v>
      </c>
    </row>
    <row r="1404" spans="9:22" x14ac:dyDescent="0.45">
      <c r="I1404" t="s">
        <v>263</v>
      </c>
      <c r="J1404" t="s">
        <v>170</v>
      </c>
      <c r="K1404">
        <v>9.7472729712065158E-3</v>
      </c>
      <c r="L1404" t="s">
        <v>157</v>
      </c>
      <c r="N1404" t="s">
        <v>374</v>
      </c>
      <c r="O1404" t="s">
        <v>170</v>
      </c>
      <c r="P1404">
        <v>5.4327414728120626E-3</v>
      </c>
      <c r="Q1404" t="s">
        <v>157</v>
      </c>
      <c r="S1404" t="s">
        <v>485</v>
      </c>
      <c r="T1404" t="s">
        <v>170</v>
      </c>
      <c r="U1404">
        <v>7.3189865202439586E-3</v>
      </c>
      <c r="V1404" t="s">
        <v>157</v>
      </c>
    </row>
    <row r="1405" spans="9:22" x14ac:dyDescent="0.45">
      <c r="I1405" t="s">
        <v>263</v>
      </c>
      <c r="J1405" t="s">
        <v>171</v>
      </c>
      <c r="K1405">
        <v>2.3967414209767925E-3</v>
      </c>
      <c r="L1405" t="s">
        <v>157</v>
      </c>
      <c r="N1405" t="s">
        <v>374</v>
      </c>
      <c r="O1405" t="s">
        <v>171</v>
      </c>
      <c r="P1405">
        <v>2.2437987186403337E-2</v>
      </c>
      <c r="Q1405" t="s">
        <v>157</v>
      </c>
      <c r="S1405" t="s">
        <v>485</v>
      </c>
      <c r="T1405" t="s">
        <v>171</v>
      </c>
      <c r="U1405">
        <v>3.4642679863313319E-2</v>
      </c>
      <c r="V1405" t="s">
        <v>157</v>
      </c>
    </row>
    <row r="1406" spans="9:22" x14ac:dyDescent="0.45">
      <c r="I1406" t="s">
        <v>264</v>
      </c>
      <c r="J1406" t="s">
        <v>156</v>
      </c>
      <c r="K1406">
        <v>1.7976967472598585E-2</v>
      </c>
      <c r="L1406" t="s">
        <v>157</v>
      </c>
      <c r="N1406" t="s">
        <v>375</v>
      </c>
      <c r="O1406" t="s">
        <v>156</v>
      </c>
      <c r="P1406">
        <v>0.10577555840871698</v>
      </c>
      <c r="Q1406" t="s">
        <v>157</v>
      </c>
      <c r="S1406" t="s">
        <v>486</v>
      </c>
      <c r="T1406" t="s">
        <v>156</v>
      </c>
      <c r="U1406">
        <v>0.13085507793871501</v>
      </c>
      <c r="V1406" t="s">
        <v>157</v>
      </c>
    </row>
    <row r="1407" spans="9:22" x14ac:dyDescent="0.45">
      <c r="I1407" t="s">
        <v>264</v>
      </c>
      <c r="J1407" t="s">
        <v>158</v>
      </c>
      <c r="K1407">
        <v>0.43581597443445852</v>
      </c>
      <c r="L1407" t="s">
        <v>157</v>
      </c>
      <c r="N1407" t="s">
        <v>375</v>
      </c>
      <c r="O1407" t="s">
        <v>158</v>
      </c>
      <c r="P1407">
        <v>0.19275113950804967</v>
      </c>
      <c r="Q1407" t="s">
        <v>157</v>
      </c>
      <c r="S1407" t="s">
        <v>486</v>
      </c>
      <c r="T1407" t="s">
        <v>158</v>
      </c>
      <c r="U1407">
        <v>0.18156267915798768</v>
      </c>
      <c r="V1407" t="s">
        <v>157</v>
      </c>
    </row>
    <row r="1408" spans="9:22" x14ac:dyDescent="0.45">
      <c r="I1408" t="s">
        <v>264</v>
      </c>
      <c r="J1408" t="s">
        <v>159</v>
      </c>
      <c r="K1408">
        <v>2.8566997477616842E-2</v>
      </c>
      <c r="L1408" t="s">
        <v>157</v>
      </c>
      <c r="N1408" t="s">
        <v>375</v>
      </c>
      <c r="O1408" t="s">
        <v>159</v>
      </c>
      <c r="P1408">
        <v>2.0524592580675148E-2</v>
      </c>
      <c r="Q1408" t="s">
        <v>157</v>
      </c>
      <c r="S1408" t="s">
        <v>486</v>
      </c>
      <c r="T1408" t="s">
        <v>159</v>
      </c>
      <c r="U1408">
        <v>1.7871388582438124E-2</v>
      </c>
      <c r="V1408" t="s">
        <v>157</v>
      </c>
    </row>
    <row r="1409" spans="9:22" x14ac:dyDescent="0.45">
      <c r="I1409" t="s">
        <v>264</v>
      </c>
      <c r="J1409" t="s">
        <v>160</v>
      </c>
      <c r="K1409">
        <v>1.7574645755501103E-2</v>
      </c>
      <c r="L1409" t="s">
        <v>157</v>
      </c>
      <c r="N1409" t="s">
        <v>375</v>
      </c>
      <c r="O1409" t="s">
        <v>160</v>
      </c>
      <c r="P1409">
        <v>2.0208071055767385E-2</v>
      </c>
      <c r="Q1409" t="s">
        <v>157</v>
      </c>
      <c r="S1409" t="s">
        <v>486</v>
      </c>
      <c r="T1409" t="s">
        <v>160</v>
      </c>
      <c r="U1409">
        <v>1.7645649631960646E-2</v>
      </c>
      <c r="V1409" t="s">
        <v>157</v>
      </c>
    </row>
    <row r="1410" spans="9:22" x14ac:dyDescent="0.45">
      <c r="I1410" t="s">
        <v>264</v>
      </c>
      <c r="J1410" t="s">
        <v>161</v>
      </c>
      <c r="K1410">
        <v>4.210460726826939E-3</v>
      </c>
      <c r="L1410" t="s">
        <v>157</v>
      </c>
      <c r="N1410" t="s">
        <v>375</v>
      </c>
      <c r="O1410" t="s">
        <v>161</v>
      </c>
      <c r="P1410">
        <v>8.603309199688941E-2</v>
      </c>
      <c r="Q1410" t="s">
        <v>157</v>
      </c>
      <c r="S1410" t="s">
        <v>486</v>
      </c>
      <c r="T1410" t="s">
        <v>161</v>
      </c>
      <c r="U1410">
        <v>8.6866553862344528E-2</v>
      </c>
      <c r="V1410" t="s">
        <v>157</v>
      </c>
    </row>
    <row r="1411" spans="9:22" x14ac:dyDescent="0.45">
      <c r="I1411" t="s">
        <v>264</v>
      </c>
      <c r="J1411" t="s">
        <v>162</v>
      </c>
      <c r="K1411">
        <v>6.2850645333588683E-3</v>
      </c>
      <c r="L1411" t="s">
        <v>157</v>
      </c>
      <c r="N1411" t="s">
        <v>375</v>
      </c>
      <c r="O1411" t="s">
        <v>162</v>
      </c>
      <c r="P1411">
        <v>0.111559739275331</v>
      </c>
      <c r="Q1411" t="s">
        <v>157</v>
      </c>
      <c r="S1411" t="s">
        <v>486</v>
      </c>
      <c r="T1411" t="s">
        <v>162</v>
      </c>
      <c r="U1411">
        <v>0.11917018537860181</v>
      </c>
      <c r="V1411" t="s">
        <v>157</v>
      </c>
    </row>
    <row r="1412" spans="9:22" x14ac:dyDescent="0.45">
      <c r="I1412" t="s">
        <v>264</v>
      </c>
      <c r="J1412" t="s">
        <v>163</v>
      </c>
      <c r="K1412">
        <v>0.2248678926434553</v>
      </c>
      <c r="L1412" t="s">
        <v>157</v>
      </c>
      <c r="N1412" t="s">
        <v>375</v>
      </c>
      <c r="O1412" t="s">
        <v>163</v>
      </c>
      <c r="P1412">
        <v>0.20494042988806488</v>
      </c>
      <c r="Q1412" t="s">
        <v>157</v>
      </c>
      <c r="S1412" t="s">
        <v>486</v>
      </c>
      <c r="T1412" t="s">
        <v>163</v>
      </c>
      <c r="U1412">
        <v>0.1702654679576702</v>
      </c>
      <c r="V1412" t="s">
        <v>157</v>
      </c>
    </row>
    <row r="1413" spans="9:22" x14ac:dyDescent="0.45">
      <c r="I1413" t="s">
        <v>264</v>
      </c>
      <c r="J1413" t="s">
        <v>164</v>
      </c>
      <c r="K1413">
        <v>1.206334481091687E-2</v>
      </c>
      <c r="L1413" t="s">
        <v>157</v>
      </c>
      <c r="N1413" t="s">
        <v>375</v>
      </c>
      <c r="O1413" t="s">
        <v>164</v>
      </c>
      <c r="P1413">
        <v>1.8125452255828581E-2</v>
      </c>
      <c r="Q1413" t="s">
        <v>157</v>
      </c>
      <c r="S1413" t="s">
        <v>486</v>
      </c>
      <c r="T1413" t="s">
        <v>164</v>
      </c>
      <c r="U1413">
        <v>1.7503198509910351E-2</v>
      </c>
      <c r="V1413" t="s">
        <v>157</v>
      </c>
    </row>
    <row r="1414" spans="9:22" x14ac:dyDescent="0.45">
      <c r="I1414" t="s">
        <v>264</v>
      </c>
      <c r="J1414" t="s">
        <v>165</v>
      </c>
      <c r="K1414">
        <v>2.0035998344315434E-3</v>
      </c>
      <c r="L1414" t="s">
        <v>157</v>
      </c>
      <c r="N1414" t="s">
        <v>375</v>
      </c>
      <c r="O1414" t="s">
        <v>165</v>
      </c>
      <c r="P1414">
        <v>1.6959986657761057E-2</v>
      </c>
      <c r="Q1414" t="s">
        <v>157</v>
      </c>
      <c r="S1414" t="s">
        <v>486</v>
      </c>
      <c r="T1414" t="s">
        <v>165</v>
      </c>
      <c r="U1414">
        <v>1.7165289462403335E-2</v>
      </c>
      <c r="V1414" t="s">
        <v>157</v>
      </c>
    </row>
    <row r="1415" spans="9:22" x14ac:dyDescent="0.45">
      <c r="I1415" t="s">
        <v>264</v>
      </c>
      <c r="J1415" t="s">
        <v>166</v>
      </c>
      <c r="K1415">
        <v>0</v>
      </c>
      <c r="L1415" t="s">
        <v>157</v>
      </c>
      <c r="N1415" t="s">
        <v>375</v>
      </c>
      <c r="O1415" t="s">
        <v>166</v>
      </c>
      <c r="P1415">
        <v>8.2918437109041523E-2</v>
      </c>
      <c r="Q1415" t="s">
        <v>157</v>
      </c>
      <c r="S1415" t="s">
        <v>486</v>
      </c>
      <c r="T1415" t="s">
        <v>166</v>
      </c>
      <c r="U1415">
        <v>8.4157400116629796E-2</v>
      </c>
      <c r="V1415" t="s">
        <v>157</v>
      </c>
    </row>
    <row r="1416" spans="9:22" x14ac:dyDescent="0.45">
      <c r="I1416" t="s">
        <v>264</v>
      </c>
      <c r="J1416" t="s">
        <v>167</v>
      </c>
      <c r="K1416">
        <v>2.1451997021093801E-2</v>
      </c>
      <c r="L1416" t="s">
        <v>157</v>
      </c>
      <c r="N1416" t="s">
        <v>375</v>
      </c>
      <c r="O1416" t="s">
        <v>167</v>
      </c>
      <c r="P1416">
        <v>3.2239696744668811E-2</v>
      </c>
      <c r="Q1416" t="s">
        <v>157</v>
      </c>
      <c r="S1416" t="s">
        <v>486</v>
      </c>
      <c r="T1416" t="s">
        <v>167</v>
      </c>
      <c r="U1416">
        <v>4.3258357742585678E-2</v>
      </c>
      <c r="V1416" t="s">
        <v>157</v>
      </c>
    </row>
    <row r="1417" spans="9:22" x14ac:dyDescent="0.45">
      <c r="I1417" t="s">
        <v>264</v>
      </c>
      <c r="J1417" t="s">
        <v>168</v>
      </c>
      <c r="K1417">
        <v>0.20189802376244201</v>
      </c>
      <c r="L1417" t="s">
        <v>157</v>
      </c>
      <c r="N1417" t="s">
        <v>375</v>
      </c>
      <c r="O1417" t="s">
        <v>168</v>
      </c>
      <c r="P1417">
        <v>7.0985337986166852E-2</v>
      </c>
      <c r="Q1417" t="s">
        <v>157</v>
      </c>
      <c r="S1417" t="s">
        <v>486</v>
      </c>
      <c r="T1417" t="s">
        <v>168</v>
      </c>
      <c r="U1417">
        <v>6.5800754166544545E-2</v>
      </c>
      <c r="V1417" t="s">
        <v>157</v>
      </c>
    </row>
    <row r="1418" spans="9:22" x14ac:dyDescent="0.45">
      <c r="I1418" t="s">
        <v>264</v>
      </c>
      <c r="J1418" t="s">
        <v>169</v>
      </c>
      <c r="K1418">
        <v>1.4750768551964839E-2</v>
      </c>
      <c r="L1418" t="s">
        <v>157</v>
      </c>
      <c r="N1418" t="s">
        <v>375</v>
      </c>
      <c r="O1418" t="s">
        <v>169</v>
      </c>
      <c r="P1418">
        <v>6.9280059123893491E-3</v>
      </c>
      <c r="Q1418" t="s">
        <v>157</v>
      </c>
      <c r="S1418" t="s">
        <v>486</v>
      </c>
      <c r="T1418" t="s">
        <v>169</v>
      </c>
      <c r="U1418">
        <v>7.0993388695388153E-3</v>
      </c>
      <c r="V1418" t="s">
        <v>157</v>
      </c>
    </row>
    <row r="1419" spans="9:22" x14ac:dyDescent="0.45">
      <c r="I1419" t="s">
        <v>264</v>
      </c>
      <c r="J1419" t="s">
        <v>170</v>
      </c>
      <c r="K1419">
        <v>1.0318275901707526E-2</v>
      </c>
      <c r="L1419" t="s">
        <v>157</v>
      </c>
      <c r="N1419" t="s">
        <v>375</v>
      </c>
      <c r="O1419" t="s">
        <v>170</v>
      </c>
      <c r="P1419">
        <v>6.4254678519829684E-3</v>
      </c>
      <c r="Q1419" t="s">
        <v>157</v>
      </c>
      <c r="S1419" t="s">
        <v>486</v>
      </c>
      <c r="T1419" t="s">
        <v>170</v>
      </c>
      <c r="U1419">
        <v>7.0326471050824778E-3</v>
      </c>
      <c r="V1419" t="s">
        <v>157</v>
      </c>
    </row>
    <row r="1420" spans="9:22" x14ac:dyDescent="0.45">
      <c r="I1420" t="s">
        <v>264</v>
      </c>
      <c r="J1420" t="s">
        <v>171</v>
      </c>
      <c r="K1420">
        <v>2.2159870736272241E-3</v>
      </c>
      <c r="L1420" t="s">
        <v>157</v>
      </c>
      <c r="N1420" t="s">
        <v>375</v>
      </c>
      <c r="O1420" t="s">
        <v>171</v>
      </c>
      <c r="P1420">
        <v>2.3624992768666381E-2</v>
      </c>
      <c r="Q1420" t="s">
        <v>157</v>
      </c>
      <c r="S1420" t="s">
        <v>486</v>
      </c>
      <c r="T1420" t="s">
        <v>171</v>
      </c>
      <c r="U1420">
        <v>3.3746011517587E-2</v>
      </c>
      <c r="V1420" t="s">
        <v>157</v>
      </c>
    </row>
    <row r="1421" spans="9:22" x14ac:dyDescent="0.45">
      <c r="I1421" t="s">
        <v>265</v>
      </c>
      <c r="J1421" t="s">
        <v>156</v>
      </c>
      <c r="K1421">
        <v>1.8229986753713633E-2</v>
      </c>
      <c r="L1421" t="s">
        <v>157</v>
      </c>
      <c r="N1421" t="s">
        <v>376</v>
      </c>
      <c r="O1421" t="s">
        <v>156</v>
      </c>
      <c r="P1421">
        <v>0.1068507799756467</v>
      </c>
      <c r="Q1421" t="s">
        <v>157</v>
      </c>
      <c r="S1421" t="s">
        <v>487</v>
      </c>
      <c r="T1421" t="s">
        <v>156</v>
      </c>
      <c r="U1421">
        <v>0.13085472629246783</v>
      </c>
      <c r="V1421" t="s">
        <v>157</v>
      </c>
    </row>
    <row r="1422" spans="9:22" x14ac:dyDescent="0.45">
      <c r="I1422" t="s">
        <v>265</v>
      </c>
      <c r="J1422" t="s">
        <v>158</v>
      </c>
      <c r="K1422">
        <v>0.43345052895496261</v>
      </c>
      <c r="L1422" t="s">
        <v>157</v>
      </c>
      <c r="N1422" t="s">
        <v>376</v>
      </c>
      <c r="O1422" t="s">
        <v>158</v>
      </c>
      <c r="P1422">
        <v>0.17934989909662483</v>
      </c>
      <c r="Q1422" t="s">
        <v>157</v>
      </c>
      <c r="S1422" t="s">
        <v>487</v>
      </c>
      <c r="T1422" t="s">
        <v>158</v>
      </c>
      <c r="U1422">
        <v>0.18065779654983063</v>
      </c>
      <c r="V1422" t="s">
        <v>157</v>
      </c>
    </row>
    <row r="1423" spans="9:22" x14ac:dyDescent="0.45">
      <c r="I1423" t="s">
        <v>265</v>
      </c>
      <c r="J1423" t="s">
        <v>159</v>
      </c>
      <c r="K1423">
        <v>2.7630811477536783E-2</v>
      </c>
      <c r="L1423" t="s">
        <v>157</v>
      </c>
      <c r="N1423" t="s">
        <v>376</v>
      </c>
      <c r="O1423" t="s">
        <v>159</v>
      </c>
      <c r="P1423">
        <v>2.0252604410834811E-2</v>
      </c>
      <c r="Q1423" t="s">
        <v>157</v>
      </c>
      <c r="S1423" t="s">
        <v>487</v>
      </c>
      <c r="T1423" t="s">
        <v>159</v>
      </c>
      <c r="U1423">
        <v>1.7963849519902847E-2</v>
      </c>
      <c r="V1423" t="s">
        <v>157</v>
      </c>
    </row>
    <row r="1424" spans="9:22" x14ac:dyDescent="0.45">
      <c r="I1424" t="s">
        <v>265</v>
      </c>
      <c r="J1424" t="s">
        <v>160</v>
      </c>
      <c r="K1424">
        <v>1.7529661994503717E-2</v>
      </c>
      <c r="L1424" t="s">
        <v>157</v>
      </c>
      <c r="N1424" t="s">
        <v>376</v>
      </c>
      <c r="O1424" t="s">
        <v>160</v>
      </c>
      <c r="P1424">
        <v>1.990481133886253E-2</v>
      </c>
      <c r="Q1424" t="s">
        <v>157</v>
      </c>
      <c r="S1424" t="s">
        <v>487</v>
      </c>
      <c r="T1424" t="s">
        <v>160</v>
      </c>
      <c r="U1424">
        <v>1.7738945441563361E-2</v>
      </c>
      <c r="V1424" t="s">
        <v>157</v>
      </c>
    </row>
    <row r="1425" spans="9:22" x14ac:dyDescent="0.45">
      <c r="I1425" t="s">
        <v>265</v>
      </c>
      <c r="J1425" t="s">
        <v>161</v>
      </c>
      <c r="K1425">
        <v>3.8702600333093478E-3</v>
      </c>
      <c r="L1425" t="s">
        <v>157</v>
      </c>
      <c r="N1425" t="s">
        <v>376</v>
      </c>
      <c r="O1425" t="s">
        <v>161</v>
      </c>
      <c r="P1425">
        <v>8.7699462965394659E-2</v>
      </c>
      <c r="Q1425" t="s">
        <v>157</v>
      </c>
      <c r="S1425" t="s">
        <v>487</v>
      </c>
      <c r="T1425" t="s">
        <v>161</v>
      </c>
      <c r="U1425">
        <v>8.8125023722599963E-2</v>
      </c>
      <c r="V1425" t="s">
        <v>157</v>
      </c>
    </row>
    <row r="1426" spans="9:22" x14ac:dyDescent="0.45">
      <c r="I1426" t="s">
        <v>265</v>
      </c>
      <c r="J1426" t="s">
        <v>162</v>
      </c>
      <c r="K1426">
        <v>6.7860943465325591E-3</v>
      </c>
      <c r="L1426" t="s">
        <v>157</v>
      </c>
      <c r="N1426" t="s">
        <v>376</v>
      </c>
      <c r="O1426" t="s">
        <v>162</v>
      </c>
      <c r="P1426">
        <v>0.11657182586915521</v>
      </c>
      <c r="Q1426" t="s">
        <v>157</v>
      </c>
      <c r="S1426" t="s">
        <v>487</v>
      </c>
      <c r="T1426" t="s">
        <v>162</v>
      </c>
      <c r="U1426">
        <v>0.11948386244368597</v>
      </c>
      <c r="V1426" t="s">
        <v>157</v>
      </c>
    </row>
    <row r="1427" spans="9:22" x14ac:dyDescent="0.45">
      <c r="I1427" t="s">
        <v>265</v>
      </c>
      <c r="J1427" t="s">
        <v>163</v>
      </c>
      <c r="K1427">
        <v>0.22769012067704114</v>
      </c>
      <c r="L1427" t="s">
        <v>157</v>
      </c>
      <c r="N1427" t="s">
        <v>376</v>
      </c>
      <c r="O1427" t="s">
        <v>163</v>
      </c>
      <c r="P1427">
        <v>0.20305283905487961</v>
      </c>
      <c r="Q1427" t="s">
        <v>157</v>
      </c>
      <c r="S1427" t="s">
        <v>487</v>
      </c>
      <c r="T1427" t="s">
        <v>163</v>
      </c>
      <c r="U1427">
        <v>0.17040302896310805</v>
      </c>
      <c r="V1427" t="s">
        <v>157</v>
      </c>
    </row>
    <row r="1428" spans="9:22" x14ac:dyDescent="0.45">
      <c r="I1428" t="s">
        <v>265</v>
      </c>
      <c r="J1428" t="s">
        <v>164</v>
      </c>
      <c r="K1428">
        <v>1.2063388075557683E-2</v>
      </c>
      <c r="L1428" t="s">
        <v>157</v>
      </c>
      <c r="N1428" t="s">
        <v>376</v>
      </c>
      <c r="O1428" t="s">
        <v>164</v>
      </c>
      <c r="P1428">
        <v>1.7952981522238936E-2</v>
      </c>
      <c r="Q1428" t="s">
        <v>157</v>
      </c>
      <c r="S1428" t="s">
        <v>487</v>
      </c>
      <c r="T1428" t="s">
        <v>164</v>
      </c>
      <c r="U1428">
        <v>1.7235871170402223E-2</v>
      </c>
      <c r="V1428" t="s">
        <v>157</v>
      </c>
    </row>
    <row r="1429" spans="9:22" x14ac:dyDescent="0.45">
      <c r="I1429" t="s">
        <v>265</v>
      </c>
      <c r="J1429" t="s">
        <v>165</v>
      </c>
      <c r="K1429">
        <v>2.0139196424875413E-3</v>
      </c>
      <c r="L1429" t="s">
        <v>157</v>
      </c>
      <c r="N1429" t="s">
        <v>376</v>
      </c>
      <c r="O1429" t="s">
        <v>165</v>
      </c>
      <c r="P1429">
        <v>1.7218598798881296E-2</v>
      </c>
      <c r="Q1429" t="s">
        <v>157</v>
      </c>
      <c r="S1429" t="s">
        <v>487</v>
      </c>
      <c r="T1429" t="s">
        <v>165</v>
      </c>
      <c r="U1429">
        <v>1.6930863020477433E-2</v>
      </c>
      <c r="V1429" t="s">
        <v>157</v>
      </c>
    </row>
    <row r="1430" spans="9:22" x14ac:dyDescent="0.45">
      <c r="I1430" t="s">
        <v>265</v>
      </c>
      <c r="J1430" t="s">
        <v>166</v>
      </c>
      <c r="K1430">
        <v>0</v>
      </c>
      <c r="L1430" t="s">
        <v>157</v>
      </c>
      <c r="N1430" t="s">
        <v>376</v>
      </c>
      <c r="O1430" t="s">
        <v>166</v>
      </c>
      <c r="P1430">
        <v>8.4955456610858349E-2</v>
      </c>
      <c r="Q1430" t="s">
        <v>157</v>
      </c>
      <c r="S1430" t="s">
        <v>487</v>
      </c>
      <c r="T1430" t="s">
        <v>166</v>
      </c>
      <c r="U1430">
        <v>8.2850643313465755E-2</v>
      </c>
      <c r="V1430" t="s">
        <v>157</v>
      </c>
    </row>
    <row r="1431" spans="9:22" x14ac:dyDescent="0.45">
      <c r="I1431" t="s">
        <v>265</v>
      </c>
      <c r="J1431" t="s">
        <v>167</v>
      </c>
      <c r="K1431">
        <v>2.0379504479921484E-2</v>
      </c>
      <c r="L1431" t="s">
        <v>157</v>
      </c>
      <c r="N1431" t="s">
        <v>376</v>
      </c>
      <c r="O1431" t="s">
        <v>167</v>
      </c>
      <c r="P1431">
        <v>3.3766972313601831E-2</v>
      </c>
      <c r="Q1431" t="s">
        <v>157</v>
      </c>
      <c r="S1431" t="s">
        <v>487</v>
      </c>
      <c r="T1431" t="s">
        <v>167</v>
      </c>
      <c r="U1431">
        <v>4.3993136211674624E-2</v>
      </c>
      <c r="V1431" t="s">
        <v>157</v>
      </c>
    </row>
    <row r="1432" spans="9:22" x14ac:dyDescent="0.45">
      <c r="I1432" t="s">
        <v>265</v>
      </c>
      <c r="J1432" t="s">
        <v>168</v>
      </c>
      <c r="K1432">
        <v>0.2027594712211758</v>
      </c>
      <c r="L1432" t="s">
        <v>157</v>
      </c>
      <c r="N1432" t="s">
        <v>376</v>
      </c>
      <c r="O1432" t="s">
        <v>168</v>
      </c>
      <c r="P1432">
        <v>7.1032372442717651E-2</v>
      </c>
      <c r="Q1432" t="s">
        <v>157</v>
      </c>
      <c r="S1432" t="s">
        <v>487</v>
      </c>
      <c r="T1432" t="s">
        <v>168</v>
      </c>
      <c r="U1432">
        <v>6.6198171136497549E-2</v>
      </c>
      <c r="V1432" t="s">
        <v>157</v>
      </c>
    </row>
    <row r="1433" spans="9:22" x14ac:dyDescent="0.45">
      <c r="I1433" t="s">
        <v>265</v>
      </c>
      <c r="J1433" t="s">
        <v>169</v>
      </c>
      <c r="K1433">
        <v>1.5478413648902171E-2</v>
      </c>
      <c r="L1433" t="s">
        <v>157</v>
      </c>
      <c r="N1433" t="s">
        <v>376</v>
      </c>
      <c r="O1433" t="s">
        <v>169</v>
      </c>
      <c r="P1433">
        <v>7.3476318107833019E-3</v>
      </c>
      <c r="Q1433" t="s">
        <v>157</v>
      </c>
      <c r="S1433" t="s">
        <v>487</v>
      </c>
      <c r="T1433" t="s">
        <v>169</v>
      </c>
      <c r="U1433">
        <v>7.0358584788575273E-3</v>
      </c>
      <c r="V1433" t="s">
        <v>157</v>
      </c>
    </row>
    <row r="1434" spans="9:22" x14ac:dyDescent="0.45">
      <c r="I1434" t="s">
        <v>265</v>
      </c>
      <c r="J1434" t="s">
        <v>170</v>
      </c>
      <c r="K1434">
        <v>1.0299716511206772E-2</v>
      </c>
      <c r="L1434" t="s">
        <v>157</v>
      </c>
      <c r="N1434" t="s">
        <v>376</v>
      </c>
      <c r="O1434" t="s">
        <v>170</v>
      </c>
      <c r="P1434">
        <v>6.7845250914680445E-3</v>
      </c>
      <c r="Q1434" t="s">
        <v>157</v>
      </c>
      <c r="S1434" t="s">
        <v>487</v>
      </c>
      <c r="T1434" t="s">
        <v>170</v>
      </c>
      <c r="U1434">
        <v>6.9475697147778981E-3</v>
      </c>
      <c r="V1434" t="s">
        <v>157</v>
      </c>
    </row>
    <row r="1435" spans="9:22" x14ac:dyDescent="0.45">
      <c r="I1435" t="s">
        <v>265</v>
      </c>
      <c r="J1435" t="s">
        <v>171</v>
      </c>
      <c r="K1435">
        <v>1.8181221831487008E-3</v>
      </c>
      <c r="L1435" t="s">
        <v>157</v>
      </c>
      <c r="N1435" t="s">
        <v>376</v>
      </c>
      <c r="O1435" t="s">
        <v>171</v>
      </c>
      <c r="P1435">
        <v>2.7259238698052347E-2</v>
      </c>
      <c r="Q1435" t="s">
        <v>157</v>
      </c>
      <c r="S1435" t="s">
        <v>487</v>
      </c>
      <c r="T1435" t="s">
        <v>171</v>
      </c>
      <c r="U1435">
        <v>3.3580654020688279E-2</v>
      </c>
      <c r="V1435" t="s">
        <v>157</v>
      </c>
    </row>
    <row r="1436" spans="9:22" x14ac:dyDescent="0.45">
      <c r="I1436" t="s">
        <v>266</v>
      </c>
      <c r="J1436" t="s">
        <v>156</v>
      </c>
      <c r="K1436">
        <v>1.8754597569767599E-2</v>
      </c>
      <c r="L1436" t="s">
        <v>157</v>
      </c>
      <c r="N1436" t="s">
        <v>377</v>
      </c>
      <c r="O1436" t="s">
        <v>156</v>
      </c>
      <c r="P1436">
        <v>9.9096872169850941E-2</v>
      </c>
      <c r="Q1436" t="s">
        <v>157</v>
      </c>
      <c r="S1436" t="s">
        <v>488</v>
      </c>
      <c r="T1436" t="s">
        <v>156</v>
      </c>
      <c r="U1436">
        <v>0.14449928768721262</v>
      </c>
      <c r="V1436" t="s">
        <v>157</v>
      </c>
    </row>
    <row r="1437" spans="9:22" x14ac:dyDescent="0.45">
      <c r="I1437" t="s">
        <v>266</v>
      </c>
      <c r="J1437" t="s">
        <v>158</v>
      </c>
      <c r="K1437">
        <v>0.43040134644870165</v>
      </c>
      <c r="L1437" t="s">
        <v>157</v>
      </c>
      <c r="N1437" t="s">
        <v>377</v>
      </c>
      <c r="O1437" t="s">
        <v>158</v>
      </c>
      <c r="P1437">
        <v>0.18180931114348925</v>
      </c>
      <c r="Q1437" t="s">
        <v>157</v>
      </c>
      <c r="S1437" t="s">
        <v>488</v>
      </c>
      <c r="T1437" t="s">
        <v>158</v>
      </c>
      <c r="U1437">
        <v>0.20818468835468509</v>
      </c>
      <c r="V1437" t="s">
        <v>157</v>
      </c>
    </row>
    <row r="1438" spans="9:22" x14ac:dyDescent="0.45">
      <c r="I1438" t="s">
        <v>266</v>
      </c>
      <c r="J1438" t="s">
        <v>159</v>
      </c>
      <c r="K1438">
        <v>2.6877912019497598E-2</v>
      </c>
      <c r="L1438" t="s">
        <v>157</v>
      </c>
      <c r="N1438" t="s">
        <v>377</v>
      </c>
      <c r="O1438" t="s">
        <v>159</v>
      </c>
      <c r="P1438">
        <v>2.1057995201389228E-2</v>
      </c>
      <c r="Q1438" t="s">
        <v>157</v>
      </c>
      <c r="S1438" t="s">
        <v>488</v>
      </c>
      <c r="T1438" t="s">
        <v>159</v>
      </c>
      <c r="U1438">
        <v>2.1459511994901734E-2</v>
      </c>
      <c r="V1438" t="s">
        <v>157</v>
      </c>
    </row>
    <row r="1439" spans="9:22" x14ac:dyDescent="0.45">
      <c r="I1439" t="s">
        <v>266</v>
      </c>
      <c r="J1439" t="s">
        <v>160</v>
      </c>
      <c r="K1439">
        <v>1.6783460927331562E-2</v>
      </c>
      <c r="L1439" t="s">
        <v>157</v>
      </c>
      <c r="N1439" t="s">
        <v>377</v>
      </c>
      <c r="O1439" t="s">
        <v>160</v>
      </c>
      <c r="P1439">
        <v>2.0102136020547372E-2</v>
      </c>
      <c r="Q1439" t="s">
        <v>157</v>
      </c>
      <c r="S1439" t="s">
        <v>488</v>
      </c>
      <c r="T1439" t="s">
        <v>160</v>
      </c>
      <c r="U1439">
        <v>2.1378234538105282E-2</v>
      </c>
      <c r="V1439" t="s">
        <v>157</v>
      </c>
    </row>
    <row r="1440" spans="9:22" x14ac:dyDescent="0.45">
      <c r="I1440" t="s">
        <v>266</v>
      </c>
      <c r="J1440" t="s">
        <v>161</v>
      </c>
      <c r="K1440">
        <v>3.4954241185360569E-3</v>
      </c>
      <c r="L1440" t="s">
        <v>157</v>
      </c>
      <c r="N1440" t="s">
        <v>377</v>
      </c>
      <c r="O1440" t="s">
        <v>161</v>
      </c>
      <c r="P1440">
        <v>8.3165271972078819E-2</v>
      </c>
      <c r="Q1440" t="s">
        <v>157</v>
      </c>
      <c r="S1440" t="s">
        <v>488</v>
      </c>
      <c r="T1440" t="s">
        <v>161</v>
      </c>
      <c r="U1440">
        <v>0.10500364511051101</v>
      </c>
      <c r="V1440" t="s">
        <v>157</v>
      </c>
    </row>
    <row r="1441" spans="9:22" x14ac:dyDescent="0.45">
      <c r="I1441" t="s">
        <v>266</v>
      </c>
      <c r="J1441" t="s">
        <v>162</v>
      </c>
      <c r="K1441">
        <v>7.6267456113838783E-3</v>
      </c>
      <c r="L1441" t="s">
        <v>157</v>
      </c>
      <c r="N1441" t="s">
        <v>377</v>
      </c>
      <c r="O1441" t="s">
        <v>162</v>
      </c>
      <c r="P1441">
        <v>0.11696220653100572</v>
      </c>
      <c r="Q1441" t="s">
        <v>157</v>
      </c>
      <c r="S1441" t="s">
        <v>488</v>
      </c>
      <c r="T1441" t="s">
        <v>162</v>
      </c>
      <c r="U1441">
        <v>9.9524688735100314E-2</v>
      </c>
      <c r="V1441" t="s">
        <v>157</v>
      </c>
    </row>
    <row r="1442" spans="9:22" x14ac:dyDescent="0.45">
      <c r="I1442" t="s">
        <v>266</v>
      </c>
      <c r="J1442" t="s">
        <v>163</v>
      </c>
      <c r="K1442">
        <v>0.23334303652292362</v>
      </c>
      <c r="L1442" t="s">
        <v>157</v>
      </c>
      <c r="N1442" t="s">
        <v>377</v>
      </c>
      <c r="O1442" t="s">
        <v>163</v>
      </c>
      <c r="P1442">
        <v>0.20516359606748444</v>
      </c>
      <c r="Q1442" t="s">
        <v>157</v>
      </c>
      <c r="S1442" t="s">
        <v>488</v>
      </c>
      <c r="T1442" t="s">
        <v>163</v>
      </c>
      <c r="U1442">
        <v>0.1471684083578827</v>
      </c>
      <c r="V1442" t="s">
        <v>157</v>
      </c>
    </row>
    <row r="1443" spans="9:22" x14ac:dyDescent="0.45">
      <c r="I1443" t="s">
        <v>266</v>
      </c>
      <c r="J1443" t="s">
        <v>164</v>
      </c>
      <c r="K1443">
        <v>1.2025954903458334E-2</v>
      </c>
      <c r="L1443" t="s">
        <v>157</v>
      </c>
      <c r="N1443" t="s">
        <v>377</v>
      </c>
      <c r="O1443" t="s">
        <v>164</v>
      </c>
      <c r="P1443">
        <v>1.8696532640638388E-2</v>
      </c>
      <c r="Q1443" t="s">
        <v>157</v>
      </c>
      <c r="S1443" t="s">
        <v>488</v>
      </c>
      <c r="T1443" t="s">
        <v>164</v>
      </c>
      <c r="U1443">
        <v>1.4699512490510302E-2</v>
      </c>
      <c r="V1443" t="s">
        <v>157</v>
      </c>
    </row>
    <row r="1444" spans="9:22" x14ac:dyDescent="0.45">
      <c r="I1444" t="s">
        <v>266</v>
      </c>
      <c r="J1444" t="s">
        <v>165</v>
      </c>
      <c r="K1444">
        <v>1.9469255635095016E-3</v>
      </c>
      <c r="L1444" t="s">
        <v>157</v>
      </c>
      <c r="N1444" t="s">
        <v>377</v>
      </c>
      <c r="O1444" t="s">
        <v>165</v>
      </c>
      <c r="P1444">
        <v>1.8043859365296202E-2</v>
      </c>
      <c r="Q1444" t="s">
        <v>157</v>
      </c>
      <c r="S1444" t="s">
        <v>488</v>
      </c>
      <c r="T1444" t="s">
        <v>165</v>
      </c>
      <c r="U1444">
        <v>1.4524108113754325E-2</v>
      </c>
      <c r="V1444" t="s">
        <v>157</v>
      </c>
    </row>
    <row r="1445" spans="9:22" x14ac:dyDescent="0.45">
      <c r="I1445" t="s">
        <v>266</v>
      </c>
      <c r="J1445" t="s">
        <v>166</v>
      </c>
      <c r="K1445">
        <v>0</v>
      </c>
      <c r="L1445" t="s">
        <v>157</v>
      </c>
      <c r="N1445" t="s">
        <v>377</v>
      </c>
      <c r="O1445" t="s">
        <v>166</v>
      </c>
      <c r="P1445">
        <v>8.5550486258357469E-2</v>
      </c>
      <c r="Q1445" t="s">
        <v>157</v>
      </c>
      <c r="S1445" t="s">
        <v>488</v>
      </c>
      <c r="T1445" t="s">
        <v>166</v>
      </c>
      <c r="U1445">
        <v>7.12892091544228E-2</v>
      </c>
      <c r="V1445" t="s">
        <v>157</v>
      </c>
    </row>
    <row r="1446" spans="9:22" x14ac:dyDescent="0.45">
      <c r="I1446" t="s">
        <v>266</v>
      </c>
      <c r="J1446" t="s">
        <v>167</v>
      </c>
      <c r="K1446">
        <v>1.9801493325467986E-2</v>
      </c>
      <c r="L1446" t="s">
        <v>157</v>
      </c>
      <c r="N1446" t="s">
        <v>377</v>
      </c>
      <c r="O1446" t="s">
        <v>167</v>
      </c>
      <c r="P1446">
        <v>3.2630731476380993E-2</v>
      </c>
      <c r="Q1446" t="s">
        <v>157</v>
      </c>
      <c r="S1446" t="s">
        <v>488</v>
      </c>
      <c r="T1446" t="s">
        <v>167</v>
      </c>
      <c r="U1446">
        <v>4.2321027094566227E-2</v>
      </c>
      <c r="V1446" t="s">
        <v>157</v>
      </c>
    </row>
    <row r="1447" spans="9:22" x14ac:dyDescent="0.45">
      <c r="I1447" t="s">
        <v>266</v>
      </c>
      <c r="J1447" t="s">
        <v>168</v>
      </c>
      <c r="K1447">
        <v>0.20176572552329125</v>
      </c>
      <c r="L1447" t="s">
        <v>157</v>
      </c>
      <c r="N1447" t="s">
        <v>377</v>
      </c>
      <c r="O1447" t="s">
        <v>168</v>
      </c>
      <c r="P1447">
        <v>7.3808311848164623E-2</v>
      </c>
      <c r="Q1447" t="s">
        <v>157</v>
      </c>
      <c r="S1447" t="s">
        <v>488</v>
      </c>
      <c r="T1447" t="s">
        <v>168</v>
      </c>
      <c r="U1447">
        <v>6.7224319896563189E-2</v>
      </c>
      <c r="V1447" t="s">
        <v>157</v>
      </c>
    </row>
    <row r="1448" spans="9:22" x14ac:dyDescent="0.45">
      <c r="I1448" t="s">
        <v>266</v>
      </c>
      <c r="J1448" t="s">
        <v>169</v>
      </c>
      <c r="K1448">
        <v>1.557970071547494E-2</v>
      </c>
      <c r="L1448" t="s">
        <v>157</v>
      </c>
      <c r="N1448" t="s">
        <v>377</v>
      </c>
      <c r="O1448" t="s">
        <v>169</v>
      </c>
      <c r="P1448">
        <v>8.0082524229813934E-3</v>
      </c>
      <c r="Q1448" t="s">
        <v>157</v>
      </c>
      <c r="S1448" t="s">
        <v>488</v>
      </c>
      <c r="T1448" t="s">
        <v>169</v>
      </c>
      <c r="U1448">
        <v>6.3579799391105642E-3</v>
      </c>
      <c r="V1448" t="s">
        <v>157</v>
      </c>
    </row>
    <row r="1449" spans="9:22" x14ac:dyDescent="0.45">
      <c r="I1449" t="s">
        <v>266</v>
      </c>
      <c r="J1449" t="s">
        <v>170</v>
      </c>
      <c r="K1449">
        <v>1.0021015630809822E-2</v>
      </c>
      <c r="L1449" t="s">
        <v>157</v>
      </c>
      <c r="N1449" t="s">
        <v>377</v>
      </c>
      <c r="O1449" t="s">
        <v>170</v>
      </c>
      <c r="P1449">
        <v>7.4668409506499387E-3</v>
      </c>
      <c r="Q1449" t="s">
        <v>157</v>
      </c>
      <c r="S1449" t="s">
        <v>488</v>
      </c>
      <c r="T1449" t="s">
        <v>170</v>
      </c>
      <c r="U1449">
        <v>6.2047341793361995E-3</v>
      </c>
      <c r="V1449" t="s">
        <v>157</v>
      </c>
    </row>
    <row r="1450" spans="9:22" x14ac:dyDescent="0.45">
      <c r="I1450" t="s">
        <v>266</v>
      </c>
      <c r="J1450" t="s">
        <v>171</v>
      </c>
      <c r="K1450">
        <v>1.5766611198462675E-3</v>
      </c>
      <c r="L1450" t="s">
        <v>157</v>
      </c>
      <c r="N1450" t="s">
        <v>377</v>
      </c>
      <c r="O1450" t="s">
        <v>171</v>
      </c>
      <c r="P1450">
        <v>2.8437595931685298E-2</v>
      </c>
      <c r="Q1450" t="s">
        <v>157</v>
      </c>
      <c r="S1450" t="s">
        <v>488</v>
      </c>
      <c r="T1450" t="s">
        <v>171</v>
      </c>
      <c r="U1450">
        <v>3.0160644353337613E-2</v>
      </c>
      <c r="V1450" t="s">
        <v>157</v>
      </c>
    </row>
    <row r="1451" spans="9:22" x14ac:dyDescent="0.45">
      <c r="I1451" t="s">
        <v>267</v>
      </c>
      <c r="J1451" t="s">
        <v>156</v>
      </c>
      <c r="K1451">
        <v>1.8480679046647235E-2</v>
      </c>
      <c r="L1451" t="s">
        <v>157</v>
      </c>
      <c r="N1451" t="s">
        <v>378</v>
      </c>
      <c r="O1451" t="s">
        <v>156</v>
      </c>
      <c r="P1451">
        <v>0.10782383279264313</v>
      </c>
      <c r="Q1451" t="s">
        <v>157</v>
      </c>
      <c r="S1451" t="s">
        <v>489</v>
      </c>
      <c r="T1451" t="s">
        <v>156</v>
      </c>
      <c r="U1451">
        <v>0.14417041287287191</v>
      </c>
      <c r="V1451" t="s">
        <v>157</v>
      </c>
    </row>
    <row r="1452" spans="9:22" x14ac:dyDescent="0.45">
      <c r="I1452" t="s">
        <v>267</v>
      </c>
      <c r="J1452" t="s">
        <v>158</v>
      </c>
      <c r="K1452">
        <v>0.42609074461370428</v>
      </c>
      <c r="L1452" t="s">
        <v>157</v>
      </c>
      <c r="N1452" t="s">
        <v>378</v>
      </c>
      <c r="O1452" t="s">
        <v>158</v>
      </c>
      <c r="P1452">
        <v>0.18313934701198031</v>
      </c>
      <c r="Q1452" t="s">
        <v>157</v>
      </c>
      <c r="S1452" t="s">
        <v>489</v>
      </c>
      <c r="T1452" t="s">
        <v>158</v>
      </c>
      <c r="U1452">
        <v>0.2073922340217626</v>
      </c>
      <c r="V1452" t="s">
        <v>157</v>
      </c>
    </row>
    <row r="1453" spans="9:22" x14ac:dyDescent="0.45">
      <c r="I1453" t="s">
        <v>267</v>
      </c>
      <c r="J1453" t="s">
        <v>159</v>
      </c>
      <c r="K1453">
        <v>2.6404567781839226E-2</v>
      </c>
      <c r="L1453" t="s">
        <v>157</v>
      </c>
      <c r="N1453" t="s">
        <v>378</v>
      </c>
      <c r="O1453" t="s">
        <v>159</v>
      </c>
      <c r="P1453">
        <v>2.1568102328275308E-2</v>
      </c>
      <c r="Q1453" t="s">
        <v>157</v>
      </c>
      <c r="S1453" t="s">
        <v>489</v>
      </c>
      <c r="T1453" t="s">
        <v>159</v>
      </c>
      <c r="U1453">
        <v>2.1356099975886608E-2</v>
      </c>
      <c r="V1453" t="s">
        <v>157</v>
      </c>
    </row>
    <row r="1454" spans="9:22" x14ac:dyDescent="0.45">
      <c r="I1454" t="s">
        <v>267</v>
      </c>
      <c r="J1454" t="s">
        <v>160</v>
      </c>
      <c r="K1454">
        <v>1.5162742510877595E-2</v>
      </c>
      <c r="L1454" t="s">
        <v>157</v>
      </c>
      <c r="N1454" t="s">
        <v>378</v>
      </c>
      <c r="O1454" t="s">
        <v>160</v>
      </c>
      <c r="P1454">
        <v>2.1384938642749332E-2</v>
      </c>
      <c r="Q1454" t="s">
        <v>157</v>
      </c>
      <c r="S1454" t="s">
        <v>489</v>
      </c>
      <c r="T1454" t="s">
        <v>160</v>
      </c>
      <c r="U1454">
        <v>2.134278141809514E-2</v>
      </c>
      <c r="V1454" t="s">
        <v>157</v>
      </c>
    </row>
    <row r="1455" spans="9:22" x14ac:dyDescent="0.45">
      <c r="I1455" t="s">
        <v>267</v>
      </c>
      <c r="J1455" t="s">
        <v>161</v>
      </c>
      <c r="K1455">
        <v>3.1468164841722654E-3</v>
      </c>
      <c r="L1455" t="s">
        <v>157</v>
      </c>
      <c r="N1455" t="s">
        <v>378</v>
      </c>
      <c r="O1455" t="s">
        <v>161</v>
      </c>
      <c r="P1455">
        <v>8.7998891018463865E-2</v>
      </c>
      <c r="Q1455" t="s">
        <v>157</v>
      </c>
      <c r="S1455" t="s">
        <v>489</v>
      </c>
      <c r="T1455" t="s">
        <v>161</v>
      </c>
      <c r="U1455">
        <v>0.10444933038128917</v>
      </c>
      <c r="V1455" t="s">
        <v>157</v>
      </c>
    </row>
    <row r="1456" spans="9:22" x14ac:dyDescent="0.45">
      <c r="I1456" t="s">
        <v>267</v>
      </c>
      <c r="J1456" t="s">
        <v>162</v>
      </c>
      <c r="K1456">
        <v>7.9197955455445942E-3</v>
      </c>
      <c r="L1456" t="s">
        <v>157</v>
      </c>
      <c r="N1456" t="s">
        <v>378</v>
      </c>
      <c r="O1456" t="s">
        <v>162</v>
      </c>
      <c r="P1456">
        <v>0.11818882844223463</v>
      </c>
      <c r="Q1456" t="s">
        <v>157</v>
      </c>
      <c r="S1456" t="s">
        <v>489</v>
      </c>
      <c r="T1456" t="s">
        <v>162</v>
      </c>
      <c r="U1456">
        <v>9.984578640603442E-2</v>
      </c>
      <c r="V1456" t="s">
        <v>157</v>
      </c>
    </row>
    <row r="1457" spans="9:22" x14ac:dyDescent="0.45">
      <c r="I1457" t="s">
        <v>267</v>
      </c>
      <c r="J1457" t="s">
        <v>163</v>
      </c>
      <c r="K1457">
        <v>0.23975133698135079</v>
      </c>
      <c r="L1457" t="s">
        <v>157</v>
      </c>
      <c r="N1457" t="s">
        <v>378</v>
      </c>
      <c r="O1457" t="s">
        <v>163</v>
      </c>
      <c r="P1457">
        <v>0.19116291493027696</v>
      </c>
      <c r="Q1457" t="s">
        <v>157</v>
      </c>
      <c r="S1457" t="s">
        <v>489</v>
      </c>
      <c r="T1457" t="s">
        <v>163</v>
      </c>
      <c r="U1457">
        <v>0.14819186684078886</v>
      </c>
      <c r="V1457" t="s">
        <v>157</v>
      </c>
    </row>
    <row r="1458" spans="9:22" x14ac:dyDescent="0.45">
      <c r="I1458" t="s">
        <v>267</v>
      </c>
      <c r="J1458" t="s">
        <v>164</v>
      </c>
      <c r="K1458">
        <v>1.1865501157013724E-2</v>
      </c>
      <c r="L1458" t="s">
        <v>157</v>
      </c>
      <c r="N1458" t="s">
        <v>378</v>
      </c>
      <c r="O1458" t="s">
        <v>164</v>
      </c>
      <c r="P1458">
        <v>1.7525680121499004E-2</v>
      </c>
      <c r="Q1458" t="s">
        <v>157</v>
      </c>
      <c r="S1458" t="s">
        <v>489</v>
      </c>
      <c r="T1458" t="s">
        <v>164</v>
      </c>
      <c r="U1458">
        <v>1.4804057142237996E-2</v>
      </c>
      <c r="V1458" t="s">
        <v>157</v>
      </c>
    </row>
    <row r="1459" spans="9:22" x14ac:dyDescent="0.45">
      <c r="I1459" t="s">
        <v>267</v>
      </c>
      <c r="J1459" t="s">
        <v>165</v>
      </c>
      <c r="K1459">
        <v>2.3050781306574153E-3</v>
      </c>
      <c r="L1459" t="s">
        <v>157</v>
      </c>
      <c r="N1459" t="s">
        <v>378</v>
      </c>
      <c r="O1459" t="s">
        <v>165</v>
      </c>
      <c r="P1459">
        <v>1.7410675426870942E-2</v>
      </c>
      <c r="Q1459" t="s">
        <v>157</v>
      </c>
      <c r="S1459" t="s">
        <v>489</v>
      </c>
      <c r="T1459" t="s">
        <v>165</v>
      </c>
      <c r="U1459">
        <v>1.455425998008765E-2</v>
      </c>
      <c r="V1459" t="s">
        <v>157</v>
      </c>
    </row>
    <row r="1460" spans="9:22" x14ac:dyDescent="0.45">
      <c r="I1460" t="s">
        <v>267</v>
      </c>
      <c r="J1460" t="s">
        <v>166</v>
      </c>
      <c r="K1460">
        <v>0</v>
      </c>
      <c r="L1460" t="s">
        <v>157</v>
      </c>
      <c r="N1460" t="s">
        <v>378</v>
      </c>
      <c r="O1460" t="s">
        <v>166</v>
      </c>
      <c r="P1460">
        <v>8.5692359394793013E-2</v>
      </c>
      <c r="Q1460" t="s">
        <v>157</v>
      </c>
      <c r="S1460" t="s">
        <v>489</v>
      </c>
      <c r="T1460" t="s">
        <v>166</v>
      </c>
      <c r="U1460">
        <v>7.1507283740686517E-2</v>
      </c>
      <c r="V1460" t="s">
        <v>157</v>
      </c>
    </row>
    <row r="1461" spans="9:22" x14ac:dyDescent="0.45">
      <c r="I1461" t="s">
        <v>267</v>
      </c>
      <c r="J1461" t="s">
        <v>167</v>
      </c>
      <c r="K1461">
        <v>2.0612070694337657E-2</v>
      </c>
      <c r="L1461" t="s">
        <v>157</v>
      </c>
      <c r="N1461" t="s">
        <v>378</v>
      </c>
      <c r="O1461" t="s">
        <v>167</v>
      </c>
      <c r="P1461">
        <v>3.3924378030260868E-2</v>
      </c>
      <c r="Q1461" t="s">
        <v>157</v>
      </c>
      <c r="S1461" t="s">
        <v>489</v>
      </c>
      <c r="T1461" t="s">
        <v>167</v>
      </c>
      <c r="U1461">
        <v>4.2322585767958276E-2</v>
      </c>
      <c r="V1461" t="s">
        <v>157</v>
      </c>
    </row>
    <row r="1462" spans="9:22" x14ac:dyDescent="0.45">
      <c r="I1462" t="s">
        <v>267</v>
      </c>
      <c r="J1462" t="s">
        <v>168</v>
      </c>
      <c r="K1462">
        <v>0.20223948105930997</v>
      </c>
      <c r="L1462" t="s">
        <v>157</v>
      </c>
      <c r="N1462" t="s">
        <v>378</v>
      </c>
      <c r="O1462" t="s">
        <v>168</v>
      </c>
      <c r="P1462">
        <v>7.0140859847997908E-2</v>
      </c>
      <c r="Q1462" t="s">
        <v>157</v>
      </c>
      <c r="S1462" t="s">
        <v>489</v>
      </c>
      <c r="T1462" t="s">
        <v>168</v>
      </c>
      <c r="U1462">
        <v>6.7023671922370021E-2</v>
      </c>
      <c r="V1462" t="s">
        <v>157</v>
      </c>
    </row>
    <row r="1463" spans="9:22" x14ac:dyDescent="0.45">
      <c r="I1463" t="s">
        <v>267</v>
      </c>
      <c r="J1463" t="s">
        <v>169</v>
      </c>
      <c r="K1463">
        <v>1.5025434645866044E-2</v>
      </c>
      <c r="L1463" t="s">
        <v>157</v>
      </c>
      <c r="N1463" t="s">
        <v>378</v>
      </c>
      <c r="O1463" t="s">
        <v>169</v>
      </c>
      <c r="P1463">
        <v>7.7474274032681787E-3</v>
      </c>
      <c r="Q1463" t="s">
        <v>157</v>
      </c>
      <c r="S1463" t="s">
        <v>489</v>
      </c>
      <c r="T1463" t="s">
        <v>169</v>
      </c>
      <c r="U1463">
        <v>6.4676573925060892E-3</v>
      </c>
      <c r="V1463" t="s">
        <v>157</v>
      </c>
    </row>
    <row r="1464" spans="9:22" x14ac:dyDescent="0.45">
      <c r="I1464" t="s">
        <v>267</v>
      </c>
      <c r="J1464" t="s">
        <v>170</v>
      </c>
      <c r="K1464">
        <v>9.7521793477042401E-3</v>
      </c>
      <c r="L1464" t="s">
        <v>157</v>
      </c>
      <c r="N1464" t="s">
        <v>378</v>
      </c>
      <c r="O1464" t="s">
        <v>170</v>
      </c>
      <c r="P1464">
        <v>7.2813268700049946E-3</v>
      </c>
      <c r="Q1464" t="s">
        <v>157</v>
      </c>
      <c r="S1464" t="s">
        <v>489</v>
      </c>
      <c r="T1464" t="s">
        <v>170</v>
      </c>
      <c r="U1464">
        <v>6.2725273290987447E-3</v>
      </c>
      <c r="V1464" t="s">
        <v>157</v>
      </c>
    </row>
    <row r="1465" spans="9:22" x14ac:dyDescent="0.45">
      <c r="I1465" t="s">
        <v>267</v>
      </c>
      <c r="J1465" t="s">
        <v>171</v>
      </c>
      <c r="K1465">
        <v>1.2435720009750203E-3</v>
      </c>
      <c r="L1465" t="s">
        <v>157</v>
      </c>
      <c r="N1465" t="s">
        <v>378</v>
      </c>
      <c r="O1465" t="s">
        <v>171</v>
      </c>
      <c r="P1465">
        <v>2.9010437738681519E-2</v>
      </c>
      <c r="Q1465" t="s">
        <v>157</v>
      </c>
      <c r="S1465" t="s">
        <v>489</v>
      </c>
      <c r="T1465" t="s">
        <v>171</v>
      </c>
      <c r="U1465">
        <v>3.029944480832596E-2</v>
      </c>
      <c r="V1465" t="s">
        <v>157</v>
      </c>
    </row>
    <row r="1466" spans="9:22" x14ac:dyDescent="0.45">
      <c r="I1466" t="s">
        <v>268</v>
      </c>
      <c r="J1466" t="s">
        <v>156</v>
      </c>
      <c r="K1466">
        <v>1.7963875973200559E-2</v>
      </c>
      <c r="L1466" t="s">
        <v>157</v>
      </c>
      <c r="N1466" t="s">
        <v>379</v>
      </c>
      <c r="O1466" t="s">
        <v>156</v>
      </c>
      <c r="P1466">
        <v>0.11497590129424667</v>
      </c>
      <c r="Q1466" t="s">
        <v>157</v>
      </c>
      <c r="S1466" t="s">
        <v>490</v>
      </c>
      <c r="T1466" t="s">
        <v>156</v>
      </c>
      <c r="U1466">
        <v>0.14379842202564005</v>
      </c>
      <c r="V1466" t="s">
        <v>157</v>
      </c>
    </row>
    <row r="1467" spans="9:22" x14ac:dyDescent="0.45">
      <c r="I1467" t="s">
        <v>268</v>
      </c>
      <c r="J1467" t="s">
        <v>158</v>
      </c>
      <c r="K1467">
        <v>0.42517952364428857</v>
      </c>
      <c r="L1467" t="s">
        <v>157</v>
      </c>
      <c r="N1467" t="s">
        <v>379</v>
      </c>
      <c r="O1467" t="s">
        <v>158</v>
      </c>
      <c r="P1467">
        <v>0.18905754851777784</v>
      </c>
      <c r="Q1467" t="s">
        <v>157</v>
      </c>
      <c r="S1467" t="s">
        <v>490</v>
      </c>
      <c r="T1467" t="s">
        <v>158</v>
      </c>
      <c r="U1467">
        <v>0.2061259898555716</v>
      </c>
      <c r="V1467" t="s">
        <v>157</v>
      </c>
    </row>
    <row r="1468" spans="9:22" x14ac:dyDescent="0.45">
      <c r="I1468" t="s">
        <v>268</v>
      </c>
      <c r="J1468" t="s">
        <v>159</v>
      </c>
      <c r="K1468">
        <v>2.5767170786356146E-2</v>
      </c>
      <c r="L1468" t="s">
        <v>157</v>
      </c>
      <c r="N1468" t="s">
        <v>379</v>
      </c>
      <c r="O1468" t="s">
        <v>159</v>
      </c>
      <c r="P1468">
        <v>2.1704444970671404E-2</v>
      </c>
      <c r="Q1468" t="s">
        <v>157</v>
      </c>
      <c r="S1468" t="s">
        <v>490</v>
      </c>
      <c r="T1468" t="s">
        <v>159</v>
      </c>
      <c r="U1468">
        <v>2.1109890993114479E-2</v>
      </c>
      <c r="V1468" t="s">
        <v>157</v>
      </c>
    </row>
    <row r="1469" spans="9:22" x14ac:dyDescent="0.45">
      <c r="I1469" t="s">
        <v>268</v>
      </c>
      <c r="J1469" t="s">
        <v>160</v>
      </c>
      <c r="K1469">
        <v>1.4655524187862307E-2</v>
      </c>
      <c r="L1469" t="s">
        <v>157</v>
      </c>
      <c r="N1469" t="s">
        <v>379</v>
      </c>
      <c r="O1469" t="s">
        <v>160</v>
      </c>
      <c r="P1469">
        <v>2.1487366096034976E-2</v>
      </c>
      <c r="Q1469" t="s">
        <v>157</v>
      </c>
      <c r="S1469" t="s">
        <v>490</v>
      </c>
      <c r="T1469" t="s">
        <v>160</v>
      </c>
      <c r="U1469">
        <v>2.105420495790435E-2</v>
      </c>
      <c r="V1469" t="s">
        <v>157</v>
      </c>
    </row>
    <row r="1470" spans="9:22" x14ac:dyDescent="0.45">
      <c r="I1470" t="s">
        <v>268</v>
      </c>
      <c r="J1470" t="s">
        <v>161</v>
      </c>
      <c r="K1470">
        <v>2.4494066782000425E-3</v>
      </c>
      <c r="L1470" t="s">
        <v>157</v>
      </c>
      <c r="N1470" t="s">
        <v>379</v>
      </c>
      <c r="O1470" t="s">
        <v>161</v>
      </c>
      <c r="P1470">
        <v>9.4225162725030329E-2</v>
      </c>
      <c r="Q1470" t="s">
        <v>157</v>
      </c>
      <c r="S1470" t="s">
        <v>490</v>
      </c>
      <c r="T1470" t="s">
        <v>161</v>
      </c>
      <c r="U1470">
        <v>0.10374707130015541</v>
      </c>
      <c r="V1470" t="s">
        <v>157</v>
      </c>
    </row>
    <row r="1471" spans="9:22" x14ac:dyDescent="0.45">
      <c r="I1471" t="s">
        <v>268</v>
      </c>
      <c r="J1471" t="s">
        <v>162</v>
      </c>
      <c r="K1471">
        <v>8.2567665651122699E-3</v>
      </c>
      <c r="L1471" t="s">
        <v>157</v>
      </c>
      <c r="N1471" t="s">
        <v>379</v>
      </c>
      <c r="O1471" t="s">
        <v>162</v>
      </c>
      <c r="P1471">
        <v>0.11585450288767397</v>
      </c>
      <c r="Q1471" t="s">
        <v>157</v>
      </c>
      <c r="S1471" t="s">
        <v>490</v>
      </c>
      <c r="T1471" t="s">
        <v>162</v>
      </c>
      <c r="U1471">
        <v>0.10050528928411558</v>
      </c>
      <c r="V1471" t="s">
        <v>157</v>
      </c>
    </row>
    <row r="1472" spans="9:22" x14ac:dyDescent="0.45">
      <c r="I1472" t="s">
        <v>268</v>
      </c>
      <c r="J1472" t="s">
        <v>163</v>
      </c>
      <c r="K1472">
        <v>0.24449520422812862</v>
      </c>
      <c r="L1472" t="s">
        <v>157</v>
      </c>
      <c r="N1472" t="s">
        <v>379</v>
      </c>
      <c r="O1472" t="s">
        <v>163</v>
      </c>
      <c r="P1472">
        <v>0.18563410353233023</v>
      </c>
      <c r="Q1472" t="s">
        <v>157</v>
      </c>
      <c r="S1472" t="s">
        <v>490</v>
      </c>
      <c r="T1472" t="s">
        <v>163</v>
      </c>
      <c r="U1472">
        <v>0.14922613485478314</v>
      </c>
      <c r="V1472" t="s">
        <v>157</v>
      </c>
    </row>
    <row r="1473" spans="9:22" x14ac:dyDescent="0.45">
      <c r="I1473" t="s">
        <v>268</v>
      </c>
      <c r="J1473" t="s">
        <v>164</v>
      </c>
      <c r="K1473">
        <v>1.191264618318535E-2</v>
      </c>
      <c r="L1473" t="s">
        <v>157</v>
      </c>
      <c r="N1473" t="s">
        <v>379</v>
      </c>
      <c r="O1473" t="s">
        <v>164</v>
      </c>
      <c r="P1473">
        <v>1.7373118263615778E-2</v>
      </c>
      <c r="Q1473" t="s">
        <v>157</v>
      </c>
      <c r="S1473" t="s">
        <v>490</v>
      </c>
      <c r="T1473" t="s">
        <v>164</v>
      </c>
      <c r="U1473">
        <v>1.4721440821049521E-2</v>
      </c>
      <c r="V1473" t="s">
        <v>157</v>
      </c>
    </row>
    <row r="1474" spans="9:22" x14ac:dyDescent="0.45">
      <c r="I1474" t="s">
        <v>268</v>
      </c>
      <c r="J1474" t="s">
        <v>165</v>
      </c>
      <c r="K1474">
        <v>2.0896058465476488E-3</v>
      </c>
      <c r="L1474" t="s">
        <v>157</v>
      </c>
      <c r="N1474" t="s">
        <v>379</v>
      </c>
      <c r="O1474" t="s">
        <v>165</v>
      </c>
      <c r="P1474">
        <v>1.6590496420716659E-2</v>
      </c>
      <c r="Q1474" t="s">
        <v>157</v>
      </c>
      <c r="S1474" t="s">
        <v>490</v>
      </c>
      <c r="T1474" t="s">
        <v>165</v>
      </c>
      <c r="U1474">
        <v>1.4490647952311513E-2</v>
      </c>
      <c r="V1474" t="s">
        <v>157</v>
      </c>
    </row>
    <row r="1475" spans="9:22" x14ac:dyDescent="0.45">
      <c r="I1475" t="s">
        <v>268</v>
      </c>
      <c r="J1475" t="s">
        <v>166</v>
      </c>
      <c r="K1475">
        <v>0</v>
      </c>
      <c r="L1475" t="s">
        <v>157</v>
      </c>
      <c r="N1475" t="s">
        <v>379</v>
      </c>
      <c r="O1475" t="s">
        <v>166</v>
      </c>
      <c r="P1475">
        <v>8.2443144027493309E-2</v>
      </c>
      <c r="Q1475" t="s">
        <v>157</v>
      </c>
      <c r="S1475" t="s">
        <v>490</v>
      </c>
      <c r="T1475" t="s">
        <v>166</v>
      </c>
      <c r="U1475">
        <v>7.1967993179041248E-2</v>
      </c>
      <c r="V1475" t="s">
        <v>157</v>
      </c>
    </row>
    <row r="1476" spans="9:22" x14ac:dyDescent="0.45">
      <c r="I1476" t="s">
        <v>268</v>
      </c>
      <c r="J1476" t="s">
        <v>167</v>
      </c>
      <c r="K1476">
        <v>2.1576523267552293E-2</v>
      </c>
      <c r="L1476" t="s">
        <v>157</v>
      </c>
      <c r="N1476" t="s">
        <v>379</v>
      </c>
      <c r="O1476" t="s">
        <v>167</v>
      </c>
      <c r="P1476">
        <v>3.3832466490311477E-2</v>
      </c>
      <c r="Q1476" t="s">
        <v>157</v>
      </c>
      <c r="S1476" t="s">
        <v>490</v>
      </c>
      <c r="T1476" t="s">
        <v>167</v>
      </c>
      <c r="U1476">
        <v>4.2618360861007037E-2</v>
      </c>
      <c r="V1476" t="s">
        <v>157</v>
      </c>
    </row>
    <row r="1477" spans="9:22" x14ac:dyDescent="0.45">
      <c r="I1477" t="s">
        <v>268</v>
      </c>
      <c r="J1477" t="s">
        <v>168</v>
      </c>
      <c r="K1477">
        <v>0.20139204400780902</v>
      </c>
      <c r="L1477" t="s">
        <v>157</v>
      </c>
      <c r="N1477" t="s">
        <v>379</v>
      </c>
      <c r="O1477" t="s">
        <v>168</v>
      </c>
      <c r="P1477">
        <v>6.4888453094086154E-2</v>
      </c>
      <c r="Q1477" t="s">
        <v>157</v>
      </c>
      <c r="S1477" t="s">
        <v>490</v>
      </c>
      <c r="T1477" t="s">
        <v>168</v>
      </c>
      <c r="U1477">
        <v>6.6837337586114598E-2</v>
      </c>
      <c r="V1477" t="s">
        <v>157</v>
      </c>
    </row>
    <row r="1478" spans="9:22" x14ac:dyDescent="0.45">
      <c r="I1478" t="s">
        <v>268</v>
      </c>
      <c r="J1478" t="s">
        <v>169</v>
      </c>
      <c r="K1478">
        <v>1.4261211320805602E-2</v>
      </c>
      <c r="L1478" t="s">
        <v>157</v>
      </c>
      <c r="N1478" t="s">
        <v>379</v>
      </c>
      <c r="O1478" t="s">
        <v>169</v>
      </c>
      <c r="P1478">
        <v>7.2167134738247247E-3</v>
      </c>
      <c r="Q1478" t="s">
        <v>157</v>
      </c>
      <c r="S1478" t="s">
        <v>490</v>
      </c>
      <c r="T1478" t="s">
        <v>169</v>
      </c>
      <c r="U1478">
        <v>6.4865243319647808E-3</v>
      </c>
      <c r="V1478" t="s">
        <v>157</v>
      </c>
    </row>
    <row r="1479" spans="9:22" x14ac:dyDescent="0.45">
      <c r="I1479" t="s">
        <v>268</v>
      </c>
      <c r="J1479" t="s">
        <v>170</v>
      </c>
      <c r="K1479">
        <v>9.2634729817574635E-3</v>
      </c>
      <c r="L1479" t="s">
        <v>157</v>
      </c>
      <c r="N1479" t="s">
        <v>379</v>
      </c>
      <c r="O1479" t="s">
        <v>170</v>
      </c>
      <c r="P1479">
        <v>6.5845288711008755E-3</v>
      </c>
      <c r="Q1479" t="s">
        <v>157</v>
      </c>
      <c r="S1479" t="s">
        <v>490</v>
      </c>
      <c r="T1479" t="s">
        <v>170</v>
      </c>
      <c r="U1479">
        <v>6.309708936679803E-3</v>
      </c>
      <c r="V1479" t="s">
        <v>157</v>
      </c>
    </row>
    <row r="1480" spans="9:22" x14ac:dyDescent="0.45">
      <c r="I1480" t="s">
        <v>268</v>
      </c>
      <c r="J1480" t="s">
        <v>171</v>
      </c>
      <c r="K1480">
        <v>7.370243291941359E-4</v>
      </c>
      <c r="L1480" t="s">
        <v>157</v>
      </c>
      <c r="N1480" t="s">
        <v>379</v>
      </c>
      <c r="O1480" t="s">
        <v>171</v>
      </c>
      <c r="P1480">
        <v>2.8132049335085615E-2</v>
      </c>
      <c r="Q1480" t="s">
        <v>157</v>
      </c>
      <c r="S1480" t="s">
        <v>490</v>
      </c>
      <c r="T1480" t="s">
        <v>171</v>
      </c>
      <c r="U1480">
        <v>3.1000983060546876E-2</v>
      </c>
      <c r="V1480" t="s">
        <v>157</v>
      </c>
    </row>
    <row r="1481" spans="9:22" x14ac:dyDescent="0.45">
      <c r="I1481" t="s">
        <v>269</v>
      </c>
      <c r="J1481" t="s">
        <v>156</v>
      </c>
      <c r="K1481">
        <v>1.6813632460794363E-2</v>
      </c>
      <c r="L1481" t="s">
        <v>157</v>
      </c>
      <c r="N1481" t="s">
        <v>380</v>
      </c>
      <c r="O1481" t="s">
        <v>156</v>
      </c>
      <c r="P1481">
        <v>0.1365729227321528</v>
      </c>
      <c r="Q1481" t="s">
        <v>157</v>
      </c>
      <c r="S1481" t="s">
        <v>491</v>
      </c>
      <c r="T1481" t="s">
        <v>156</v>
      </c>
      <c r="U1481">
        <v>0.14334731590127292</v>
      </c>
      <c r="V1481" t="s">
        <v>157</v>
      </c>
    </row>
    <row r="1482" spans="9:22" x14ac:dyDescent="0.45">
      <c r="I1482" t="s">
        <v>269</v>
      </c>
      <c r="J1482" t="s">
        <v>158</v>
      </c>
      <c r="K1482">
        <v>0.42378206695043391</v>
      </c>
      <c r="L1482" t="s">
        <v>157</v>
      </c>
      <c r="N1482" t="s">
        <v>380</v>
      </c>
      <c r="O1482" t="s">
        <v>158</v>
      </c>
      <c r="P1482">
        <v>0.18595740666408048</v>
      </c>
      <c r="Q1482" t="s">
        <v>157</v>
      </c>
      <c r="S1482" t="s">
        <v>491</v>
      </c>
      <c r="T1482" t="s">
        <v>158</v>
      </c>
      <c r="U1482">
        <v>0.20469458599629334</v>
      </c>
      <c r="V1482" t="s">
        <v>157</v>
      </c>
    </row>
    <row r="1483" spans="9:22" x14ac:dyDescent="0.45">
      <c r="I1483" t="s">
        <v>269</v>
      </c>
      <c r="J1483" t="s">
        <v>159</v>
      </c>
      <c r="K1483">
        <v>2.5645287272345271E-2</v>
      </c>
      <c r="L1483" t="s">
        <v>157</v>
      </c>
      <c r="N1483" t="s">
        <v>380</v>
      </c>
      <c r="O1483" t="s">
        <v>159</v>
      </c>
      <c r="P1483">
        <v>2.1112755053859684E-2</v>
      </c>
      <c r="Q1483" t="s">
        <v>157</v>
      </c>
      <c r="S1483" t="s">
        <v>491</v>
      </c>
      <c r="T1483" t="s">
        <v>159</v>
      </c>
      <c r="U1483">
        <v>2.1068565920968705E-2</v>
      </c>
      <c r="V1483" t="s">
        <v>157</v>
      </c>
    </row>
    <row r="1484" spans="9:22" x14ac:dyDescent="0.45">
      <c r="I1484" t="s">
        <v>269</v>
      </c>
      <c r="J1484" t="s">
        <v>160</v>
      </c>
      <c r="K1484">
        <v>1.4183031070232714E-2</v>
      </c>
      <c r="L1484" t="s">
        <v>157</v>
      </c>
      <c r="N1484" t="s">
        <v>380</v>
      </c>
      <c r="O1484" t="s">
        <v>160</v>
      </c>
      <c r="P1484">
        <v>2.1473372411648504E-2</v>
      </c>
      <c r="Q1484" t="s">
        <v>157</v>
      </c>
      <c r="S1484" t="s">
        <v>491</v>
      </c>
      <c r="T1484" t="s">
        <v>160</v>
      </c>
      <c r="U1484">
        <v>2.085440837258503E-2</v>
      </c>
      <c r="V1484" t="s">
        <v>157</v>
      </c>
    </row>
    <row r="1485" spans="9:22" x14ac:dyDescent="0.45">
      <c r="I1485" t="s">
        <v>269</v>
      </c>
      <c r="J1485" t="s">
        <v>161</v>
      </c>
      <c r="K1485">
        <v>1.559627106989332E-3</v>
      </c>
      <c r="L1485" t="s">
        <v>157</v>
      </c>
      <c r="N1485" t="s">
        <v>380</v>
      </c>
      <c r="O1485" t="s">
        <v>161</v>
      </c>
      <c r="P1485">
        <v>0.10567848670634361</v>
      </c>
      <c r="Q1485" t="s">
        <v>157</v>
      </c>
      <c r="S1485" t="s">
        <v>491</v>
      </c>
      <c r="T1485" t="s">
        <v>161</v>
      </c>
      <c r="U1485">
        <v>0.10249879929944912</v>
      </c>
      <c r="V1485" t="s">
        <v>157</v>
      </c>
    </row>
    <row r="1486" spans="9:22" x14ac:dyDescent="0.45">
      <c r="I1486" t="s">
        <v>269</v>
      </c>
      <c r="J1486" t="s">
        <v>162</v>
      </c>
      <c r="K1486">
        <v>8.6437951455031036E-3</v>
      </c>
      <c r="L1486" t="s">
        <v>157</v>
      </c>
      <c r="N1486" t="s">
        <v>380</v>
      </c>
      <c r="O1486" t="s">
        <v>162</v>
      </c>
      <c r="P1486">
        <v>0.11463664067044803</v>
      </c>
      <c r="Q1486" t="s">
        <v>157</v>
      </c>
      <c r="S1486" t="s">
        <v>491</v>
      </c>
      <c r="T1486" t="s">
        <v>162</v>
      </c>
      <c r="U1486">
        <v>0.10323058673833357</v>
      </c>
      <c r="V1486" t="s">
        <v>157</v>
      </c>
    </row>
    <row r="1487" spans="9:22" x14ac:dyDescent="0.45">
      <c r="I1487" t="s">
        <v>269</v>
      </c>
      <c r="J1487" t="s">
        <v>163</v>
      </c>
      <c r="K1487">
        <v>0.24644771176144448</v>
      </c>
      <c r="L1487" t="s">
        <v>157</v>
      </c>
      <c r="N1487" t="s">
        <v>380</v>
      </c>
      <c r="O1487" t="s">
        <v>163</v>
      </c>
      <c r="P1487">
        <v>0.16623898374102289</v>
      </c>
      <c r="Q1487" t="s">
        <v>157</v>
      </c>
      <c r="S1487" t="s">
        <v>491</v>
      </c>
      <c r="T1487" t="s">
        <v>163</v>
      </c>
      <c r="U1487">
        <v>0.14923099097321335</v>
      </c>
      <c r="V1487" t="s">
        <v>157</v>
      </c>
    </row>
    <row r="1488" spans="9:22" x14ac:dyDescent="0.45">
      <c r="I1488" t="s">
        <v>269</v>
      </c>
      <c r="J1488" t="s">
        <v>164</v>
      </c>
      <c r="K1488">
        <v>1.1801683047893044E-2</v>
      </c>
      <c r="L1488" t="s">
        <v>157</v>
      </c>
      <c r="N1488" t="s">
        <v>380</v>
      </c>
      <c r="O1488" t="s">
        <v>164</v>
      </c>
      <c r="P1488">
        <v>1.6682790823558877E-2</v>
      </c>
      <c r="Q1488" t="s">
        <v>157</v>
      </c>
      <c r="S1488" t="s">
        <v>491</v>
      </c>
      <c r="T1488" t="s">
        <v>164</v>
      </c>
      <c r="U1488">
        <v>1.4468245132209311E-2</v>
      </c>
      <c r="V1488" t="s">
        <v>157</v>
      </c>
    </row>
    <row r="1489" spans="9:22" x14ac:dyDescent="0.45">
      <c r="I1489" t="s">
        <v>269</v>
      </c>
      <c r="J1489" t="s">
        <v>165</v>
      </c>
      <c r="K1489">
        <v>1.9085860461849735E-3</v>
      </c>
      <c r="L1489" t="s">
        <v>157</v>
      </c>
      <c r="N1489" t="s">
        <v>380</v>
      </c>
      <c r="O1489" t="s">
        <v>165</v>
      </c>
      <c r="P1489">
        <v>1.6206672006348528E-2</v>
      </c>
      <c r="Q1489" t="s">
        <v>157</v>
      </c>
      <c r="S1489" t="s">
        <v>491</v>
      </c>
      <c r="T1489" t="s">
        <v>165</v>
      </c>
      <c r="U1489">
        <v>1.4331904487982735E-2</v>
      </c>
      <c r="V1489" t="s">
        <v>157</v>
      </c>
    </row>
    <row r="1490" spans="9:22" x14ac:dyDescent="0.45">
      <c r="I1490" t="s">
        <v>269</v>
      </c>
      <c r="J1490" t="s">
        <v>166</v>
      </c>
      <c r="K1490">
        <v>0</v>
      </c>
      <c r="L1490" t="s">
        <v>157</v>
      </c>
      <c r="N1490" t="s">
        <v>380</v>
      </c>
      <c r="O1490" t="s">
        <v>166</v>
      </c>
      <c r="P1490">
        <v>8.0592855233692001E-2</v>
      </c>
      <c r="Q1490" t="s">
        <v>157</v>
      </c>
      <c r="S1490" t="s">
        <v>491</v>
      </c>
      <c r="T1490" t="s">
        <v>166</v>
      </c>
      <c r="U1490">
        <v>7.2213986596903437E-2</v>
      </c>
      <c r="V1490" t="s">
        <v>157</v>
      </c>
    </row>
    <row r="1491" spans="9:22" x14ac:dyDescent="0.45">
      <c r="I1491" t="s">
        <v>269</v>
      </c>
      <c r="J1491" t="s">
        <v>167</v>
      </c>
      <c r="K1491">
        <v>2.1562259499809715E-2</v>
      </c>
      <c r="L1491" t="s">
        <v>157</v>
      </c>
      <c r="N1491" t="s">
        <v>380</v>
      </c>
      <c r="O1491" t="s">
        <v>167</v>
      </c>
      <c r="P1491">
        <v>3.6824623569946188E-2</v>
      </c>
      <c r="Q1491" t="s">
        <v>157</v>
      </c>
      <c r="S1491" t="s">
        <v>491</v>
      </c>
      <c r="T1491" t="s">
        <v>167</v>
      </c>
      <c r="U1491">
        <v>4.3421710626317563E-2</v>
      </c>
      <c r="V1491" t="s">
        <v>157</v>
      </c>
    </row>
    <row r="1492" spans="9:22" x14ac:dyDescent="0.45">
      <c r="I1492" t="s">
        <v>269</v>
      </c>
      <c r="J1492" t="s">
        <v>168</v>
      </c>
      <c r="K1492">
        <v>0.2040062228767964</v>
      </c>
      <c r="L1492" t="s">
        <v>157</v>
      </c>
      <c r="N1492" t="s">
        <v>380</v>
      </c>
      <c r="O1492" t="s">
        <v>168</v>
      </c>
      <c r="P1492">
        <v>5.474348512684802E-2</v>
      </c>
      <c r="Q1492" t="s">
        <v>157</v>
      </c>
      <c r="S1492" t="s">
        <v>491</v>
      </c>
      <c r="T1492" t="s">
        <v>168</v>
      </c>
      <c r="U1492">
        <v>6.6632752455339297E-2</v>
      </c>
      <c r="V1492" t="s">
        <v>157</v>
      </c>
    </row>
    <row r="1493" spans="9:22" x14ac:dyDescent="0.45">
      <c r="I1493" t="s">
        <v>269</v>
      </c>
      <c r="J1493" t="s">
        <v>169</v>
      </c>
      <c r="K1493">
        <v>1.4016379887499033E-2</v>
      </c>
      <c r="L1493" t="s">
        <v>157</v>
      </c>
      <c r="N1493" t="s">
        <v>380</v>
      </c>
      <c r="O1493" t="s">
        <v>169</v>
      </c>
      <c r="P1493">
        <v>6.4938539244007608E-3</v>
      </c>
      <c r="Q1493" t="s">
        <v>157</v>
      </c>
      <c r="S1493" t="s">
        <v>491</v>
      </c>
      <c r="T1493" t="s">
        <v>169</v>
      </c>
      <c r="U1493">
        <v>6.5390860732755813E-3</v>
      </c>
      <c r="V1493" t="s">
        <v>157</v>
      </c>
    </row>
    <row r="1494" spans="9:22" x14ac:dyDescent="0.45">
      <c r="I1494" t="s">
        <v>269</v>
      </c>
      <c r="J1494" t="s">
        <v>170</v>
      </c>
      <c r="K1494">
        <v>9.1832170873494406E-3</v>
      </c>
      <c r="L1494" t="s">
        <v>157</v>
      </c>
      <c r="N1494" t="s">
        <v>380</v>
      </c>
      <c r="O1494" t="s">
        <v>170</v>
      </c>
      <c r="P1494">
        <v>6.3736313112745732E-3</v>
      </c>
      <c r="Q1494" t="s">
        <v>157</v>
      </c>
      <c r="S1494" t="s">
        <v>491</v>
      </c>
      <c r="T1494" t="s">
        <v>170</v>
      </c>
      <c r="U1494">
        <v>6.322440823264097E-3</v>
      </c>
      <c r="V1494" t="s">
        <v>157</v>
      </c>
    </row>
    <row r="1495" spans="9:22" x14ac:dyDescent="0.45">
      <c r="I1495" t="s">
        <v>269</v>
      </c>
      <c r="J1495" t="s">
        <v>171</v>
      </c>
      <c r="K1495">
        <v>4.4649978672414047E-4</v>
      </c>
      <c r="L1495" t="s">
        <v>157</v>
      </c>
      <c r="N1495" t="s">
        <v>380</v>
      </c>
      <c r="O1495" t="s">
        <v>171</v>
      </c>
      <c r="P1495">
        <v>3.0411520024375114E-2</v>
      </c>
      <c r="Q1495" t="s">
        <v>157</v>
      </c>
      <c r="S1495" t="s">
        <v>491</v>
      </c>
      <c r="T1495" t="s">
        <v>171</v>
      </c>
      <c r="U1495">
        <v>3.1144620602591856E-2</v>
      </c>
      <c r="V1495" t="s">
        <v>157</v>
      </c>
    </row>
    <row r="1496" spans="9:22" x14ac:dyDescent="0.45">
      <c r="I1496" t="s">
        <v>270</v>
      </c>
      <c r="J1496" t="s">
        <v>156</v>
      </c>
      <c r="K1496">
        <v>1.5718664228008453E-2</v>
      </c>
      <c r="L1496" t="s">
        <v>157</v>
      </c>
      <c r="N1496" t="s">
        <v>381</v>
      </c>
      <c r="O1496" t="s">
        <v>156</v>
      </c>
      <c r="P1496">
        <v>0.14512491862117757</v>
      </c>
      <c r="Q1496" t="s">
        <v>157</v>
      </c>
      <c r="S1496" t="s">
        <v>492</v>
      </c>
      <c r="T1496" t="s">
        <v>156</v>
      </c>
      <c r="U1496">
        <v>0.14335601612694174</v>
      </c>
      <c r="V1496" t="s">
        <v>157</v>
      </c>
    </row>
    <row r="1497" spans="9:22" x14ac:dyDescent="0.45">
      <c r="I1497" t="s">
        <v>270</v>
      </c>
      <c r="J1497" t="s">
        <v>158</v>
      </c>
      <c r="K1497">
        <v>0.42143333843218667</v>
      </c>
      <c r="L1497" t="s">
        <v>157</v>
      </c>
      <c r="N1497" t="s">
        <v>381</v>
      </c>
      <c r="O1497" t="s">
        <v>158</v>
      </c>
      <c r="P1497">
        <v>0.18951096738627024</v>
      </c>
      <c r="Q1497" t="s">
        <v>157</v>
      </c>
      <c r="S1497" t="s">
        <v>492</v>
      </c>
      <c r="T1497" t="s">
        <v>158</v>
      </c>
      <c r="U1497">
        <v>0.20434678967414013</v>
      </c>
      <c r="V1497" t="s">
        <v>157</v>
      </c>
    </row>
    <row r="1498" spans="9:22" x14ac:dyDescent="0.45">
      <c r="I1498" t="s">
        <v>270</v>
      </c>
      <c r="J1498" t="s">
        <v>159</v>
      </c>
      <c r="K1498">
        <v>2.5743630859572444E-2</v>
      </c>
      <c r="L1498" t="s">
        <v>157</v>
      </c>
      <c r="N1498" t="s">
        <v>381</v>
      </c>
      <c r="O1498" t="s">
        <v>159</v>
      </c>
      <c r="P1498">
        <v>2.0750423232788133E-2</v>
      </c>
      <c r="Q1498" t="s">
        <v>157</v>
      </c>
      <c r="S1498" t="s">
        <v>492</v>
      </c>
      <c r="T1498" t="s">
        <v>159</v>
      </c>
      <c r="U1498">
        <v>2.0803128803052975E-2</v>
      </c>
      <c r="V1498" t="s">
        <v>157</v>
      </c>
    </row>
    <row r="1499" spans="9:22" x14ac:dyDescent="0.45">
      <c r="I1499" t="s">
        <v>270</v>
      </c>
      <c r="J1499" t="s">
        <v>160</v>
      </c>
      <c r="K1499">
        <v>1.3670478722562844E-2</v>
      </c>
      <c r="L1499" t="s">
        <v>157</v>
      </c>
      <c r="N1499" t="s">
        <v>381</v>
      </c>
      <c r="O1499" t="s">
        <v>160</v>
      </c>
      <c r="P1499">
        <v>2.1259169247033978E-2</v>
      </c>
      <c r="Q1499" t="s">
        <v>157</v>
      </c>
      <c r="S1499" t="s">
        <v>492</v>
      </c>
      <c r="T1499" t="s">
        <v>160</v>
      </c>
      <c r="U1499">
        <v>2.0617915324983801E-2</v>
      </c>
      <c r="V1499" t="s">
        <v>157</v>
      </c>
    </row>
    <row r="1500" spans="9:22" x14ac:dyDescent="0.45">
      <c r="I1500" t="s">
        <v>270</v>
      </c>
      <c r="J1500" t="s">
        <v>161</v>
      </c>
      <c r="K1500">
        <v>8.8421860425092922E-4</v>
      </c>
      <c r="L1500" t="s">
        <v>157</v>
      </c>
      <c r="N1500" t="s">
        <v>381</v>
      </c>
      <c r="O1500" t="s">
        <v>161</v>
      </c>
      <c r="P1500">
        <v>0.10810673482590075</v>
      </c>
      <c r="Q1500" t="s">
        <v>157</v>
      </c>
      <c r="S1500" t="s">
        <v>492</v>
      </c>
      <c r="T1500" t="s">
        <v>161</v>
      </c>
      <c r="U1500">
        <v>0.10175052797484682</v>
      </c>
      <c r="V1500" t="s">
        <v>157</v>
      </c>
    </row>
    <row r="1501" spans="9:22" x14ac:dyDescent="0.45">
      <c r="I1501" t="s">
        <v>270</v>
      </c>
      <c r="J1501" t="s">
        <v>162</v>
      </c>
      <c r="K1501">
        <v>8.7781489274995766E-3</v>
      </c>
      <c r="L1501" t="s">
        <v>157</v>
      </c>
      <c r="N1501" t="s">
        <v>381</v>
      </c>
      <c r="O1501" t="s">
        <v>162</v>
      </c>
      <c r="P1501">
        <v>0.11346878579621661</v>
      </c>
      <c r="Q1501" t="s">
        <v>157</v>
      </c>
      <c r="S1501" t="s">
        <v>492</v>
      </c>
      <c r="T1501" t="s">
        <v>162</v>
      </c>
      <c r="U1501">
        <v>0.10450405315151601</v>
      </c>
      <c r="V1501" t="s">
        <v>157</v>
      </c>
    </row>
    <row r="1502" spans="9:22" x14ac:dyDescent="0.45">
      <c r="I1502" t="s">
        <v>270</v>
      </c>
      <c r="J1502" t="s">
        <v>163</v>
      </c>
      <c r="K1502">
        <v>0.24812524517038981</v>
      </c>
      <c r="L1502" t="s">
        <v>157</v>
      </c>
      <c r="N1502" t="s">
        <v>381</v>
      </c>
      <c r="O1502" t="s">
        <v>163</v>
      </c>
      <c r="P1502">
        <v>0.15668510409380884</v>
      </c>
      <c r="Q1502" t="s">
        <v>157</v>
      </c>
      <c r="S1502" t="s">
        <v>492</v>
      </c>
      <c r="T1502" t="s">
        <v>163</v>
      </c>
      <c r="U1502">
        <v>0.14864371805617171</v>
      </c>
      <c r="V1502" t="s">
        <v>157</v>
      </c>
    </row>
    <row r="1503" spans="9:22" x14ac:dyDescent="0.45">
      <c r="I1503" t="s">
        <v>270</v>
      </c>
      <c r="J1503" t="s">
        <v>164</v>
      </c>
      <c r="K1503">
        <v>1.1903264774649813E-2</v>
      </c>
      <c r="L1503" t="s">
        <v>157</v>
      </c>
      <c r="N1503" t="s">
        <v>381</v>
      </c>
      <c r="O1503" t="s">
        <v>164</v>
      </c>
      <c r="P1503">
        <v>1.6399698944342844E-2</v>
      </c>
      <c r="Q1503" t="s">
        <v>157</v>
      </c>
      <c r="S1503" t="s">
        <v>492</v>
      </c>
      <c r="T1503" t="s">
        <v>164</v>
      </c>
      <c r="U1503">
        <v>1.4244069409985086E-2</v>
      </c>
      <c r="V1503" t="s">
        <v>157</v>
      </c>
    </row>
    <row r="1504" spans="9:22" x14ac:dyDescent="0.45">
      <c r="I1504" t="s">
        <v>270</v>
      </c>
      <c r="J1504" t="s">
        <v>165</v>
      </c>
      <c r="K1504">
        <v>1.7118767084674479E-3</v>
      </c>
      <c r="L1504" t="s">
        <v>157</v>
      </c>
      <c r="N1504" t="s">
        <v>381</v>
      </c>
      <c r="O1504" t="s">
        <v>165</v>
      </c>
      <c r="P1504">
        <v>1.6173810426233958E-2</v>
      </c>
      <c r="Q1504" t="s">
        <v>157</v>
      </c>
      <c r="S1504" t="s">
        <v>492</v>
      </c>
      <c r="T1504" t="s">
        <v>165</v>
      </c>
      <c r="U1504">
        <v>1.4278932945452879E-2</v>
      </c>
      <c r="V1504" t="s">
        <v>157</v>
      </c>
    </row>
    <row r="1505" spans="9:22" x14ac:dyDescent="0.45">
      <c r="I1505" t="s">
        <v>270</v>
      </c>
      <c r="J1505" t="s">
        <v>166</v>
      </c>
      <c r="K1505">
        <v>0</v>
      </c>
      <c r="L1505" t="s">
        <v>157</v>
      </c>
      <c r="N1505" t="s">
        <v>381</v>
      </c>
      <c r="O1505" t="s">
        <v>166</v>
      </c>
      <c r="P1505">
        <v>8.0324878621968354E-2</v>
      </c>
      <c r="Q1505" t="s">
        <v>157</v>
      </c>
      <c r="S1505" t="s">
        <v>492</v>
      </c>
      <c r="T1505" t="s">
        <v>166</v>
      </c>
      <c r="U1505">
        <v>7.2646470514018402E-2</v>
      </c>
      <c r="V1505" t="s">
        <v>157</v>
      </c>
    </row>
    <row r="1506" spans="9:22" x14ac:dyDescent="0.45">
      <c r="I1506" t="s">
        <v>270</v>
      </c>
      <c r="J1506" t="s">
        <v>167</v>
      </c>
      <c r="K1506">
        <v>2.1101266473210624E-2</v>
      </c>
      <c r="L1506" t="s">
        <v>157</v>
      </c>
      <c r="N1506" t="s">
        <v>381</v>
      </c>
      <c r="O1506" t="s">
        <v>167</v>
      </c>
      <c r="P1506">
        <v>3.8333085822357484E-2</v>
      </c>
      <c r="Q1506" t="s">
        <v>157</v>
      </c>
      <c r="S1506" t="s">
        <v>492</v>
      </c>
      <c r="T1506" t="s">
        <v>167</v>
      </c>
      <c r="U1506">
        <v>4.4499116644207852E-2</v>
      </c>
      <c r="V1506" t="s">
        <v>157</v>
      </c>
    </row>
    <row r="1507" spans="9:22" x14ac:dyDescent="0.45">
      <c r="I1507" t="s">
        <v>270</v>
      </c>
      <c r="J1507" t="s">
        <v>168</v>
      </c>
      <c r="K1507">
        <v>0.20728855223310894</v>
      </c>
      <c r="L1507" t="s">
        <v>157</v>
      </c>
      <c r="N1507" t="s">
        <v>381</v>
      </c>
      <c r="O1507" t="s">
        <v>168</v>
      </c>
      <c r="P1507">
        <v>4.9964961139599806E-2</v>
      </c>
      <c r="Q1507" t="s">
        <v>157</v>
      </c>
      <c r="S1507" t="s">
        <v>492</v>
      </c>
      <c r="T1507" t="s">
        <v>168</v>
      </c>
      <c r="U1507">
        <v>6.6409683773520481E-2</v>
      </c>
      <c r="V1507" t="s">
        <v>157</v>
      </c>
    </row>
    <row r="1508" spans="9:22" x14ac:dyDescent="0.45">
      <c r="I1508" t="s">
        <v>270</v>
      </c>
      <c r="J1508" t="s">
        <v>169</v>
      </c>
      <c r="K1508">
        <v>1.4147227886016349E-2</v>
      </c>
      <c r="L1508" t="s">
        <v>157</v>
      </c>
      <c r="N1508" t="s">
        <v>381</v>
      </c>
      <c r="O1508" t="s">
        <v>169</v>
      </c>
      <c r="P1508">
        <v>6.1966012905484858E-3</v>
      </c>
      <c r="Q1508" t="s">
        <v>157</v>
      </c>
      <c r="S1508" t="s">
        <v>492</v>
      </c>
      <c r="T1508" t="s">
        <v>169</v>
      </c>
      <c r="U1508">
        <v>6.5467536608092977E-3</v>
      </c>
      <c r="V1508" t="s">
        <v>157</v>
      </c>
    </row>
    <row r="1509" spans="9:22" x14ac:dyDescent="0.45">
      <c r="I1509" t="s">
        <v>270</v>
      </c>
      <c r="J1509" t="s">
        <v>170</v>
      </c>
      <c r="K1509">
        <v>9.3526271708313843E-3</v>
      </c>
      <c r="L1509" t="s">
        <v>157</v>
      </c>
      <c r="N1509" t="s">
        <v>381</v>
      </c>
      <c r="O1509" t="s">
        <v>170</v>
      </c>
      <c r="P1509">
        <v>6.3910513594111354E-3</v>
      </c>
      <c r="Q1509" t="s">
        <v>157</v>
      </c>
      <c r="S1509" t="s">
        <v>492</v>
      </c>
      <c r="T1509" t="s">
        <v>170</v>
      </c>
      <c r="U1509">
        <v>6.3590652127291352E-3</v>
      </c>
      <c r="V1509" t="s">
        <v>157</v>
      </c>
    </row>
    <row r="1510" spans="9:22" x14ac:dyDescent="0.45">
      <c r="I1510" t="s">
        <v>270</v>
      </c>
      <c r="J1510" t="s">
        <v>171</v>
      </c>
      <c r="K1510">
        <v>1.4145980924464203E-4</v>
      </c>
      <c r="L1510" t="s">
        <v>157</v>
      </c>
      <c r="N1510" t="s">
        <v>381</v>
      </c>
      <c r="O1510" t="s">
        <v>171</v>
      </c>
      <c r="P1510">
        <v>3.1309809192341859E-2</v>
      </c>
      <c r="Q1510" t="s">
        <v>157</v>
      </c>
      <c r="S1510" t="s">
        <v>492</v>
      </c>
      <c r="T1510" t="s">
        <v>171</v>
      </c>
      <c r="U1510">
        <v>3.0993758727623652E-2</v>
      </c>
      <c r="V1510" t="s">
        <v>157</v>
      </c>
    </row>
    <row r="1511" spans="9:22" x14ac:dyDescent="0.45">
      <c r="I1511" t="s">
        <v>271</v>
      </c>
      <c r="J1511" t="s">
        <v>156</v>
      </c>
      <c r="K1511">
        <v>1.1756622427845505E-2</v>
      </c>
      <c r="L1511" t="s">
        <v>157</v>
      </c>
      <c r="N1511" t="s">
        <v>382</v>
      </c>
      <c r="O1511" t="s">
        <v>156</v>
      </c>
      <c r="P1511">
        <v>0.13894752248185013</v>
      </c>
      <c r="Q1511" t="s">
        <v>157</v>
      </c>
      <c r="S1511" t="s">
        <v>493</v>
      </c>
      <c r="T1511" t="s">
        <v>156</v>
      </c>
      <c r="U1511">
        <v>0.14160589493692768</v>
      </c>
      <c r="V1511" t="s">
        <v>157</v>
      </c>
    </row>
    <row r="1512" spans="9:22" x14ac:dyDescent="0.45">
      <c r="I1512" t="s">
        <v>271</v>
      </c>
      <c r="J1512" t="s">
        <v>158</v>
      </c>
      <c r="K1512">
        <v>0.3833185956420771</v>
      </c>
      <c r="L1512" t="s">
        <v>157</v>
      </c>
      <c r="N1512" t="s">
        <v>382</v>
      </c>
      <c r="O1512" t="s">
        <v>158</v>
      </c>
      <c r="P1512">
        <v>0.19204224092892161</v>
      </c>
      <c r="Q1512" t="s">
        <v>157</v>
      </c>
      <c r="S1512" t="s">
        <v>493</v>
      </c>
      <c r="T1512" t="s">
        <v>158</v>
      </c>
      <c r="U1512">
        <v>0.20490174668639077</v>
      </c>
      <c r="V1512" t="s">
        <v>157</v>
      </c>
    </row>
    <row r="1513" spans="9:22" x14ac:dyDescent="0.45">
      <c r="I1513" t="s">
        <v>271</v>
      </c>
      <c r="J1513" t="s">
        <v>159</v>
      </c>
      <c r="K1513">
        <v>2.8275821932740593E-2</v>
      </c>
      <c r="L1513" t="s">
        <v>157</v>
      </c>
      <c r="N1513" t="s">
        <v>382</v>
      </c>
      <c r="O1513" t="s">
        <v>159</v>
      </c>
      <c r="P1513">
        <v>2.0321116191224144E-2</v>
      </c>
      <c r="Q1513" t="s">
        <v>157</v>
      </c>
      <c r="S1513" t="s">
        <v>493</v>
      </c>
      <c r="T1513" t="s">
        <v>159</v>
      </c>
      <c r="U1513">
        <v>2.0717836036478761E-2</v>
      </c>
      <c r="V1513" t="s">
        <v>157</v>
      </c>
    </row>
    <row r="1514" spans="9:22" x14ac:dyDescent="0.45">
      <c r="I1514" t="s">
        <v>271</v>
      </c>
      <c r="J1514" t="s">
        <v>160</v>
      </c>
      <c r="K1514">
        <v>2.0422476670418292E-2</v>
      </c>
      <c r="L1514" t="s">
        <v>157</v>
      </c>
      <c r="N1514" t="s">
        <v>382</v>
      </c>
      <c r="O1514" t="s">
        <v>160</v>
      </c>
      <c r="P1514">
        <v>2.0750113781068145E-2</v>
      </c>
      <c r="Q1514" t="s">
        <v>157</v>
      </c>
      <c r="S1514" t="s">
        <v>493</v>
      </c>
      <c r="T1514" t="s">
        <v>160</v>
      </c>
      <c r="U1514">
        <v>2.0883982953263092E-2</v>
      </c>
      <c r="V1514" t="s">
        <v>157</v>
      </c>
    </row>
    <row r="1515" spans="9:22" x14ac:dyDescent="0.45">
      <c r="I1515" t="s">
        <v>271</v>
      </c>
      <c r="J1515" t="s">
        <v>161</v>
      </c>
      <c r="K1515">
        <v>1.022445511569571E-2</v>
      </c>
      <c r="L1515" t="s">
        <v>157</v>
      </c>
      <c r="N1515" t="s">
        <v>382</v>
      </c>
      <c r="O1515" t="s">
        <v>161</v>
      </c>
      <c r="P1515">
        <v>0.10354048311816481</v>
      </c>
      <c r="Q1515" t="s">
        <v>157</v>
      </c>
      <c r="S1515" t="s">
        <v>493</v>
      </c>
      <c r="T1515" t="s">
        <v>161</v>
      </c>
      <c r="U1515">
        <v>0.10092729436655516</v>
      </c>
      <c r="V1515" t="s">
        <v>157</v>
      </c>
    </row>
    <row r="1516" spans="9:22" x14ac:dyDescent="0.45">
      <c r="I1516" t="s">
        <v>271</v>
      </c>
      <c r="J1516" t="s">
        <v>162</v>
      </c>
      <c r="K1516">
        <v>4.7484133075640688E-3</v>
      </c>
      <c r="L1516" t="s">
        <v>157</v>
      </c>
      <c r="N1516" t="s">
        <v>382</v>
      </c>
      <c r="O1516" t="s">
        <v>162</v>
      </c>
      <c r="P1516">
        <v>0.1118879394830012</v>
      </c>
      <c r="Q1516" t="s">
        <v>157</v>
      </c>
      <c r="S1516" t="s">
        <v>493</v>
      </c>
      <c r="T1516" t="s">
        <v>162</v>
      </c>
      <c r="U1516">
        <v>0.10736060744523124</v>
      </c>
      <c r="V1516" t="s">
        <v>157</v>
      </c>
    </row>
    <row r="1517" spans="9:22" x14ac:dyDescent="0.45">
      <c r="I1517" t="s">
        <v>271</v>
      </c>
      <c r="J1517" t="s">
        <v>163</v>
      </c>
      <c r="K1517">
        <v>0.23885684393086948</v>
      </c>
      <c r="L1517" t="s">
        <v>157</v>
      </c>
      <c r="N1517" t="s">
        <v>382</v>
      </c>
      <c r="O1517" t="s">
        <v>163</v>
      </c>
      <c r="P1517">
        <v>0.15987790861559795</v>
      </c>
      <c r="Q1517" t="s">
        <v>157</v>
      </c>
      <c r="S1517" t="s">
        <v>493</v>
      </c>
      <c r="T1517" t="s">
        <v>163</v>
      </c>
      <c r="U1517">
        <v>0.14968310732955808</v>
      </c>
      <c r="V1517" t="s">
        <v>157</v>
      </c>
    </row>
    <row r="1518" spans="9:22" x14ac:dyDescent="0.45">
      <c r="I1518" t="s">
        <v>271</v>
      </c>
      <c r="J1518" t="s">
        <v>164</v>
      </c>
      <c r="K1518">
        <v>1.7228519197641099E-2</v>
      </c>
      <c r="L1518" t="s">
        <v>157</v>
      </c>
      <c r="N1518" t="s">
        <v>382</v>
      </c>
      <c r="O1518" t="s">
        <v>164</v>
      </c>
      <c r="P1518">
        <v>1.6163930069179908E-2</v>
      </c>
      <c r="Q1518" t="s">
        <v>157</v>
      </c>
      <c r="S1518" t="s">
        <v>493</v>
      </c>
      <c r="T1518" t="s">
        <v>164</v>
      </c>
      <c r="U1518">
        <v>1.4237002809020027E-2</v>
      </c>
      <c r="V1518" t="s">
        <v>157</v>
      </c>
    </row>
    <row r="1519" spans="9:22" x14ac:dyDescent="0.45">
      <c r="I1519" t="s">
        <v>271</v>
      </c>
      <c r="J1519" t="s">
        <v>165</v>
      </c>
      <c r="K1519">
        <v>8.0320769851628809E-3</v>
      </c>
      <c r="L1519" t="s">
        <v>157</v>
      </c>
      <c r="N1519" t="s">
        <v>382</v>
      </c>
      <c r="O1519" t="s">
        <v>165</v>
      </c>
      <c r="P1519">
        <v>1.6396978879647542E-2</v>
      </c>
      <c r="Q1519" t="s">
        <v>157</v>
      </c>
      <c r="S1519" t="s">
        <v>493</v>
      </c>
      <c r="T1519" t="s">
        <v>165</v>
      </c>
      <c r="U1519">
        <v>1.4229345229355336E-2</v>
      </c>
      <c r="V1519" t="s">
        <v>157</v>
      </c>
    </row>
    <row r="1520" spans="9:22" x14ac:dyDescent="0.45">
      <c r="I1520" t="s">
        <v>271</v>
      </c>
      <c r="J1520" t="s">
        <v>166</v>
      </c>
      <c r="K1520">
        <v>0</v>
      </c>
      <c r="L1520" t="s">
        <v>157</v>
      </c>
      <c r="N1520" t="s">
        <v>382</v>
      </c>
      <c r="O1520" t="s">
        <v>166</v>
      </c>
      <c r="P1520">
        <v>7.9813551245636202E-2</v>
      </c>
      <c r="Q1520" t="s">
        <v>157</v>
      </c>
      <c r="S1520" t="s">
        <v>493</v>
      </c>
      <c r="T1520" t="s">
        <v>166</v>
      </c>
      <c r="U1520">
        <v>7.2650426962353895E-2</v>
      </c>
      <c r="V1520" t="s">
        <v>157</v>
      </c>
    </row>
    <row r="1521" spans="9:22" x14ac:dyDescent="0.45">
      <c r="I1521" t="s">
        <v>271</v>
      </c>
      <c r="J1521" t="s">
        <v>167</v>
      </c>
      <c r="K1521">
        <v>2.0777213928807204E-2</v>
      </c>
      <c r="L1521" t="s">
        <v>157</v>
      </c>
      <c r="N1521" t="s">
        <v>382</v>
      </c>
      <c r="O1521" t="s">
        <v>167</v>
      </c>
      <c r="P1521">
        <v>3.6832763616493028E-2</v>
      </c>
      <c r="Q1521" t="s">
        <v>157</v>
      </c>
      <c r="S1521" t="s">
        <v>493</v>
      </c>
      <c r="T1521" t="s">
        <v>167</v>
      </c>
      <c r="U1521">
        <v>4.4052706186638674E-2</v>
      </c>
      <c r="V1521" t="s">
        <v>157</v>
      </c>
    </row>
    <row r="1522" spans="9:22" x14ac:dyDescent="0.45">
      <c r="I1522" t="s">
        <v>271</v>
      </c>
      <c r="J1522" t="s">
        <v>168</v>
      </c>
      <c r="K1522">
        <v>0.21815265976415066</v>
      </c>
      <c r="L1522" t="s">
        <v>157</v>
      </c>
      <c r="N1522" t="s">
        <v>382</v>
      </c>
      <c r="O1522" t="s">
        <v>168</v>
      </c>
      <c r="P1522">
        <v>6.2773503981603779E-2</v>
      </c>
      <c r="Q1522" t="s">
        <v>157</v>
      </c>
      <c r="S1522" t="s">
        <v>493</v>
      </c>
      <c r="T1522" t="s">
        <v>168</v>
      </c>
      <c r="U1522">
        <v>6.5769617682006593E-2</v>
      </c>
      <c r="V1522" t="s">
        <v>157</v>
      </c>
    </row>
    <row r="1523" spans="9:22" x14ac:dyDescent="0.45">
      <c r="I1523" t="s">
        <v>271</v>
      </c>
      <c r="J1523" t="s">
        <v>169</v>
      </c>
      <c r="K1523">
        <v>1.6657805890907131E-2</v>
      </c>
      <c r="L1523" t="s">
        <v>157</v>
      </c>
      <c r="N1523" t="s">
        <v>382</v>
      </c>
      <c r="O1523" t="s">
        <v>169</v>
      </c>
      <c r="P1523">
        <v>6.6277331372855495E-3</v>
      </c>
      <c r="Q1523" t="s">
        <v>157</v>
      </c>
      <c r="S1523" t="s">
        <v>493</v>
      </c>
      <c r="T1523" t="s">
        <v>169</v>
      </c>
      <c r="U1523">
        <v>6.3577567208933285E-3</v>
      </c>
      <c r="V1523" t="s">
        <v>157</v>
      </c>
    </row>
    <row r="1524" spans="9:22" x14ac:dyDescent="0.45">
      <c r="I1524" t="s">
        <v>271</v>
      </c>
      <c r="J1524" t="s">
        <v>170</v>
      </c>
      <c r="K1524">
        <v>1.3212746903939421E-2</v>
      </c>
      <c r="L1524" t="s">
        <v>157</v>
      </c>
      <c r="N1524" t="s">
        <v>382</v>
      </c>
      <c r="O1524" t="s">
        <v>170</v>
      </c>
      <c r="P1524">
        <v>6.2503830886740672E-3</v>
      </c>
      <c r="Q1524" t="s">
        <v>157</v>
      </c>
      <c r="S1524" t="s">
        <v>493</v>
      </c>
      <c r="T1524" t="s">
        <v>170</v>
      </c>
      <c r="U1524">
        <v>6.3231868056849725E-3</v>
      </c>
      <c r="V1524" t="s">
        <v>157</v>
      </c>
    </row>
    <row r="1525" spans="9:22" x14ac:dyDescent="0.45">
      <c r="I1525" t="s">
        <v>271</v>
      </c>
      <c r="J1525" t="s">
        <v>171</v>
      </c>
      <c r="K1525">
        <v>8.3357483021808641E-3</v>
      </c>
      <c r="L1525" t="s">
        <v>157</v>
      </c>
      <c r="N1525" t="s">
        <v>382</v>
      </c>
      <c r="O1525" t="s">
        <v>171</v>
      </c>
      <c r="P1525">
        <v>2.7773831381651931E-2</v>
      </c>
      <c r="Q1525" t="s">
        <v>157</v>
      </c>
      <c r="S1525" t="s">
        <v>493</v>
      </c>
      <c r="T1525" t="s">
        <v>171</v>
      </c>
      <c r="U1525">
        <v>3.0299487849642346E-2</v>
      </c>
      <c r="V1525" t="s">
        <v>157</v>
      </c>
    </row>
    <row r="1526" spans="9:22" x14ac:dyDescent="0.45">
      <c r="I1526" t="s">
        <v>272</v>
      </c>
      <c r="J1526" t="s">
        <v>156</v>
      </c>
      <c r="K1526">
        <v>2.1318881216833313E-2</v>
      </c>
      <c r="L1526" t="s">
        <v>157</v>
      </c>
      <c r="N1526" t="s">
        <v>383</v>
      </c>
      <c r="O1526" t="s">
        <v>156</v>
      </c>
      <c r="P1526">
        <v>0.1285476526365949</v>
      </c>
      <c r="Q1526" t="s">
        <v>157</v>
      </c>
      <c r="S1526" t="s">
        <v>494</v>
      </c>
      <c r="T1526" t="s">
        <v>156</v>
      </c>
      <c r="U1526">
        <v>0.14228614587977664</v>
      </c>
      <c r="V1526" t="s">
        <v>157</v>
      </c>
    </row>
    <row r="1527" spans="9:22" x14ac:dyDescent="0.45">
      <c r="I1527" t="s">
        <v>272</v>
      </c>
      <c r="J1527" t="s">
        <v>158</v>
      </c>
      <c r="K1527">
        <v>0.41795892452708105</v>
      </c>
      <c r="L1527" t="s">
        <v>157</v>
      </c>
      <c r="N1527" t="s">
        <v>383</v>
      </c>
      <c r="O1527" t="s">
        <v>158</v>
      </c>
      <c r="P1527">
        <v>0.18672746391460601</v>
      </c>
      <c r="Q1527" t="s">
        <v>157</v>
      </c>
      <c r="S1527" t="s">
        <v>494</v>
      </c>
      <c r="T1527" t="s">
        <v>158</v>
      </c>
      <c r="U1527">
        <v>0.20435834740558928</v>
      </c>
      <c r="V1527" t="s">
        <v>157</v>
      </c>
    </row>
    <row r="1528" spans="9:22" x14ac:dyDescent="0.45">
      <c r="I1528" t="s">
        <v>272</v>
      </c>
      <c r="J1528" t="s">
        <v>159</v>
      </c>
      <c r="K1528">
        <v>2.7220676131006254E-2</v>
      </c>
      <c r="L1528" t="s">
        <v>157</v>
      </c>
      <c r="N1528" t="s">
        <v>383</v>
      </c>
      <c r="O1528" t="s">
        <v>159</v>
      </c>
      <c r="P1528">
        <v>1.9370370033751156E-2</v>
      </c>
      <c r="Q1528" t="s">
        <v>157</v>
      </c>
      <c r="S1528" t="s">
        <v>494</v>
      </c>
      <c r="T1528" t="s">
        <v>159</v>
      </c>
      <c r="U1528">
        <v>2.0533998644387992E-2</v>
      </c>
      <c r="V1528" t="s">
        <v>157</v>
      </c>
    </row>
    <row r="1529" spans="9:22" x14ac:dyDescent="0.45">
      <c r="I1529" t="s">
        <v>272</v>
      </c>
      <c r="J1529" t="s">
        <v>160</v>
      </c>
      <c r="K1529">
        <v>1.5865059292165001E-2</v>
      </c>
      <c r="L1529" t="s">
        <v>157</v>
      </c>
      <c r="N1529" t="s">
        <v>383</v>
      </c>
      <c r="O1529" t="s">
        <v>160</v>
      </c>
      <c r="P1529">
        <v>1.9618139007162354E-2</v>
      </c>
      <c r="Q1529" t="s">
        <v>157</v>
      </c>
      <c r="S1529" t="s">
        <v>494</v>
      </c>
      <c r="T1529" t="s">
        <v>160</v>
      </c>
      <c r="U1529">
        <v>2.0687632134894499E-2</v>
      </c>
      <c r="V1529" t="s">
        <v>157</v>
      </c>
    </row>
    <row r="1530" spans="9:22" x14ac:dyDescent="0.45">
      <c r="I1530" t="s">
        <v>272</v>
      </c>
      <c r="J1530" t="s">
        <v>161</v>
      </c>
      <c r="K1530">
        <v>3.852351308365377E-3</v>
      </c>
      <c r="L1530" t="s">
        <v>157</v>
      </c>
      <c r="N1530" t="s">
        <v>383</v>
      </c>
      <c r="O1530" t="s">
        <v>161</v>
      </c>
      <c r="P1530">
        <v>9.6734859277780222E-2</v>
      </c>
      <c r="Q1530" t="s">
        <v>157</v>
      </c>
      <c r="S1530" t="s">
        <v>494</v>
      </c>
      <c r="T1530" t="s">
        <v>161</v>
      </c>
      <c r="U1530">
        <v>0.10168958002411244</v>
      </c>
      <c r="V1530" t="s">
        <v>157</v>
      </c>
    </row>
    <row r="1531" spans="9:22" x14ac:dyDescent="0.45">
      <c r="I1531" t="s">
        <v>272</v>
      </c>
      <c r="J1531" t="s">
        <v>162</v>
      </c>
      <c r="K1531">
        <v>9.3970975079403132E-3</v>
      </c>
      <c r="L1531" t="s">
        <v>157</v>
      </c>
      <c r="N1531" t="s">
        <v>383</v>
      </c>
      <c r="O1531" t="s">
        <v>162</v>
      </c>
      <c r="P1531">
        <v>0.11691761282788099</v>
      </c>
      <c r="Q1531" t="s">
        <v>157</v>
      </c>
      <c r="S1531" t="s">
        <v>494</v>
      </c>
      <c r="T1531" t="s">
        <v>162</v>
      </c>
      <c r="U1531">
        <v>0.10823132494674408</v>
      </c>
      <c r="V1531" t="s">
        <v>157</v>
      </c>
    </row>
    <row r="1532" spans="9:22" x14ac:dyDescent="0.45">
      <c r="I1532" t="s">
        <v>272</v>
      </c>
      <c r="J1532" t="s">
        <v>163</v>
      </c>
      <c r="K1532">
        <v>0.23976804575599286</v>
      </c>
      <c r="L1532" t="s">
        <v>157</v>
      </c>
      <c r="N1532" t="s">
        <v>383</v>
      </c>
      <c r="O1532" t="s">
        <v>163</v>
      </c>
      <c r="P1532">
        <v>0.16939158628019055</v>
      </c>
      <c r="Q1532" t="s">
        <v>157</v>
      </c>
      <c r="S1532" t="s">
        <v>494</v>
      </c>
      <c r="T1532" t="s">
        <v>163</v>
      </c>
      <c r="U1532">
        <v>0.14945151615780386</v>
      </c>
      <c r="V1532" t="s">
        <v>157</v>
      </c>
    </row>
    <row r="1533" spans="9:22" x14ac:dyDescent="0.45">
      <c r="I1533" t="s">
        <v>272</v>
      </c>
      <c r="J1533" t="s">
        <v>164</v>
      </c>
      <c r="K1533">
        <v>1.2348242522175555E-2</v>
      </c>
      <c r="L1533" t="s">
        <v>157</v>
      </c>
      <c r="N1533" t="s">
        <v>383</v>
      </c>
      <c r="O1533" t="s">
        <v>164</v>
      </c>
      <c r="P1533">
        <v>1.6150167348141693E-2</v>
      </c>
      <c r="Q1533" t="s">
        <v>157</v>
      </c>
      <c r="S1533" t="s">
        <v>494</v>
      </c>
      <c r="T1533" t="s">
        <v>164</v>
      </c>
      <c r="U1533">
        <v>1.4180635066988998E-2</v>
      </c>
      <c r="V1533" t="s">
        <v>157</v>
      </c>
    </row>
    <row r="1534" spans="9:22" x14ac:dyDescent="0.45">
      <c r="I1534" t="s">
        <v>272</v>
      </c>
      <c r="J1534" t="s">
        <v>165</v>
      </c>
      <c r="K1534">
        <v>2.006937974306179E-3</v>
      </c>
      <c r="L1534" t="s">
        <v>157</v>
      </c>
      <c r="N1534" t="s">
        <v>383</v>
      </c>
      <c r="O1534" t="s">
        <v>165</v>
      </c>
      <c r="P1534">
        <v>1.6038854571824492E-2</v>
      </c>
      <c r="Q1534" t="s">
        <v>157</v>
      </c>
      <c r="S1534" t="s">
        <v>494</v>
      </c>
      <c r="T1534" t="s">
        <v>165</v>
      </c>
      <c r="U1534">
        <v>1.4282717870487968E-2</v>
      </c>
      <c r="V1534" t="s">
        <v>157</v>
      </c>
    </row>
    <row r="1535" spans="9:22" x14ac:dyDescent="0.45">
      <c r="I1535" t="s">
        <v>272</v>
      </c>
      <c r="J1535" t="s">
        <v>166</v>
      </c>
      <c r="K1535">
        <v>0</v>
      </c>
      <c r="L1535" t="s">
        <v>157</v>
      </c>
      <c r="N1535" t="s">
        <v>383</v>
      </c>
      <c r="O1535" t="s">
        <v>166</v>
      </c>
      <c r="P1535">
        <v>8.4148317595853298E-2</v>
      </c>
      <c r="Q1535" t="s">
        <v>157</v>
      </c>
      <c r="S1535" t="s">
        <v>494</v>
      </c>
      <c r="T1535" t="s">
        <v>166</v>
      </c>
      <c r="U1535">
        <v>7.236274932812374E-2</v>
      </c>
      <c r="V1535" t="s">
        <v>157</v>
      </c>
    </row>
    <row r="1536" spans="9:22" x14ac:dyDescent="0.45">
      <c r="I1536" t="s">
        <v>272</v>
      </c>
      <c r="J1536" t="s">
        <v>167</v>
      </c>
      <c r="K1536">
        <v>2.228823322086488E-2</v>
      </c>
      <c r="L1536" t="s">
        <v>157</v>
      </c>
      <c r="N1536" t="s">
        <v>383</v>
      </c>
      <c r="O1536" t="s">
        <v>167</v>
      </c>
      <c r="P1536">
        <v>4.0467171775764782E-2</v>
      </c>
      <c r="Q1536" t="s">
        <v>157</v>
      </c>
      <c r="S1536" t="s">
        <v>494</v>
      </c>
      <c r="T1536" t="s">
        <v>167</v>
      </c>
      <c r="U1536">
        <v>4.3046212909730583E-2</v>
      </c>
      <c r="V1536" t="s">
        <v>157</v>
      </c>
    </row>
    <row r="1537" spans="9:22" x14ac:dyDescent="0.45">
      <c r="I1537" t="s">
        <v>272</v>
      </c>
      <c r="J1537" t="s">
        <v>168</v>
      </c>
      <c r="K1537">
        <v>0.20127365206376624</v>
      </c>
      <c r="L1537" t="s">
        <v>157</v>
      </c>
      <c r="N1537" t="s">
        <v>383</v>
      </c>
      <c r="O1537" t="s">
        <v>168</v>
      </c>
      <c r="P1537">
        <v>6.1289359266052036E-2</v>
      </c>
      <c r="Q1537" t="s">
        <v>157</v>
      </c>
      <c r="S1537" t="s">
        <v>494</v>
      </c>
      <c r="T1537" t="s">
        <v>168</v>
      </c>
      <c r="U1537">
        <v>6.559102991173886E-2</v>
      </c>
      <c r="V1537" t="s">
        <v>157</v>
      </c>
    </row>
    <row r="1538" spans="9:22" x14ac:dyDescent="0.45">
      <c r="I1538" t="s">
        <v>272</v>
      </c>
      <c r="J1538" t="s">
        <v>169</v>
      </c>
      <c r="K1538">
        <v>1.415268103018495E-2</v>
      </c>
      <c r="L1538" t="s">
        <v>157</v>
      </c>
      <c r="N1538" t="s">
        <v>383</v>
      </c>
      <c r="O1538" t="s">
        <v>169</v>
      </c>
      <c r="P1538">
        <v>6.4664583205849731E-3</v>
      </c>
      <c r="Q1538" t="s">
        <v>157</v>
      </c>
      <c r="S1538" t="s">
        <v>494</v>
      </c>
      <c r="T1538" t="s">
        <v>169</v>
      </c>
      <c r="U1538">
        <v>6.3467566378184667E-3</v>
      </c>
      <c r="V1538" t="s">
        <v>157</v>
      </c>
    </row>
    <row r="1539" spans="9:22" x14ac:dyDescent="0.45">
      <c r="I1539" t="s">
        <v>272</v>
      </c>
      <c r="J1539" t="s">
        <v>170</v>
      </c>
      <c r="K1539">
        <v>9.9545031260331283E-3</v>
      </c>
      <c r="L1539" t="s">
        <v>157</v>
      </c>
      <c r="N1539" t="s">
        <v>383</v>
      </c>
      <c r="O1539" t="s">
        <v>170</v>
      </c>
      <c r="P1539">
        <v>6.5065846004496415E-3</v>
      </c>
      <c r="Q1539" t="s">
        <v>157</v>
      </c>
      <c r="S1539" t="s">
        <v>494</v>
      </c>
      <c r="T1539" t="s">
        <v>170</v>
      </c>
      <c r="U1539">
        <v>6.312101912372991E-3</v>
      </c>
      <c r="V1539" t="s">
        <v>157</v>
      </c>
    </row>
    <row r="1540" spans="9:22" x14ac:dyDescent="0.45">
      <c r="I1540" t="s">
        <v>272</v>
      </c>
      <c r="J1540" t="s">
        <v>171</v>
      </c>
      <c r="K1540">
        <v>2.5947143232849185E-3</v>
      </c>
      <c r="L1540" t="s">
        <v>157</v>
      </c>
      <c r="N1540" t="s">
        <v>383</v>
      </c>
      <c r="O1540" t="s">
        <v>171</v>
      </c>
      <c r="P1540">
        <v>3.1625402543362859E-2</v>
      </c>
      <c r="Q1540" t="s">
        <v>157</v>
      </c>
      <c r="S1540" t="s">
        <v>494</v>
      </c>
      <c r="T1540" t="s">
        <v>171</v>
      </c>
      <c r="U1540">
        <v>3.0639251169429626E-2</v>
      </c>
      <c r="V1540" t="s">
        <v>157</v>
      </c>
    </row>
    <row r="1541" spans="9:22" x14ac:dyDescent="0.45">
      <c r="I1541" t="s">
        <v>273</v>
      </c>
      <c r="J1541" t="s">
        <v>156</v>
      </c>
      <c r="K1541">
        <v>2.1258281131170995E-2</v>
      </c>
      <c r="L1541" t="s">
        <v>157</v>
      </c>
      <c r="N1541" t="s">
        <v>384</v>
      </c>
      <c r="O1541" t="s">
        <v>156</v>
      </c>
      <c r="P1541">
        <v>0.11709563365831921</v>
      </c>
      <c r="Q1541" t="s">
        <v>157</v>
      </c>
      <c r="S1541" t="s">
        <v>495</v>
      </c>
      <c r="T1541" t="s">
        <v>156</v>
      </c>
      <c r="U1541">
        <v>0.14337951687638209</v>
      </c>
      <c r="V1541" t="s">
        <v>157</v>
      </c>
    </row>
    <row r="1542" spans="9:22" x14ac:dyDescent="0.45">
      <c r="I1542" t="s">
        <v>273</v>
      </c>
      <c r="J1542" t="s">
        <v>158</v>
      </c>
      <c r="K1542">
        <v>0.42330707220166741</v>
      </c>
      <c r="L1542" t="s">
        <v>157</v>
      </c>
      <c r="N1542" t="s">
        <v>384</v>
      </c>
      <c r="O1542" t="s">
        <v>158</v>
      </c>
      <c r="P1542">
        <v>0.17988495042931352</v>
      </c>
      <c r="Q1542" t="s">
        <v>157</v>
      </c>
      <c r="S1542" t="s">
        <v>495</v>
      </c>
      <c r="T1542" t="s">
        <v>158</v>
      </c>
      <c r="U1542">
        <v>0.20335801578785534</v>
      </c>
      <c r="V1542" t="s">
        <v>157</v>
      </c>
    </row>
    <row r="1543" spans="9:22" x14ac:dyDescent="0.45">
      <c r="I1543" t="s">
        <v>273</v>
      </c>
      <c r="J1543" t="s">
        <v>159</v>
      </c>
      <c r="K1543">
        <v>2.7943482871310935E-2</v>
      </c>
      <c r="L1543" t="s">
        <v>157</v>
      </c>
      <c r="N1543" t="s">
        <v>384</v>
      </c>
      <c r="O1543" t="s">
        <v>159</v>
      </c>
      <c r="P1543">
        <v>1.8196932799952208E-2</v>
      </c>
      <c r="Q1543" t="s">
        <v>157</v>
      </c>
      <c r="S1543" t="s">
        <v>495</v>
      </c>
      <c r="T1543" t="s">
        <v>159</v>
      </c>
      <c r="U1543">
        <v>2.026881096468152E-2</v>
      </c>
      <c r="V1543" t="s">
        <v>157</v>
      </c>
    </row>
    <row r="1544" spans="9:22" x14ac:dyDescent="0.45">
      <c r="I1544" t="s">
        <v>273</v>
      </c>
      <c r="J1544" t="s">
        <v>160</v>
      </c>
      <c r="K1544">
        <v>1.6388319240546356E-2</v>
      </c>
      <c r="L1544" t="s">
        <v>157</v>
      </c>
      <c r="N1544" t="s">
        <v>384</v>
      </c>
      <c r="O1544" t="s">
        <v>160</v>
      </c>
      <c r="P1544">
        <v>1.8204874620848504E-2</v>
      </c>
      <c r="Q1544" t="s">
        <v>157</v>
      </c>
      <c r="S1544" t="s">
        <v>495</v>
      </c>
      <c r="T1544" t="s">
        <v>160</v>
      </c>
      <c r="U1544">
        <v>2.0290430270990374E-2</v>
      </c>
      <c r="V1544" t="s">
        <v>157</v>
      </c>
    </row>
    <row r="1545" spans="9:22" x14ac:dyDescent="0.45">
      <c r="I1545" t="s">
        <v>273</v>
      </c>
      <c r="J1545" t="s">
        <v>161</v>
      </c>
      <c r="K1545">
        <v>3.7414214427934312E-3</v>
      </c>
      <c r="L1545" t="s">
        <v>157</v>
      </c>
      <c r="N1545" t="s">
        <v>384</v>
      </c>
      <c r="O1545" t="s">
        <v>161</v>
      </c>
      <c r="P1545">
        <v>8.5058825688901218E-2</v>
      </c>
      <c r="Q1545" t="s">
        <v>157</v>
      </c>
      <c r="S1545" t="s">
        <v>495</v>
      </c>
      <c r="T1545" t="s">
        <v>161</v>
      </c>
      <c r="U1545">
        <v>0.10179434079649306</v>
      </c>
      <c r="V1545" t="s">
        <v>157</v>
      </c>
    </row>
    <row r="1546" spans="9:22" x14ac:dyDescent="0.45">
      <c r="I1546" t="s">
        <v>273</v>
      </c>
      <c r="J1546" t="s">
        <v>162</v>
      </c>
      <c r="K1546">
        <v>8.6493984799012047E-3</v>
      </c>
      <c r="L1546" t="s">
        <v>157</v>
      </c>
      <c r="N1546" t="s">
        <v>384</v>
      </c>
      <c r="O1546" t="s">
        <v>162</v>
      </c>
      <c r="P1546">
        <v>0.12135951139036505</v>
      </c>
      <c r="Q1546" t="s">
        <v>157</v>
      </c>
      <c r="S1546" t="s">
        <v>495</v>
      </c>
      <c r="T1546" t="s">
        <v>162</v>
      </c>
      <c r="U1546">
        <v>0.10960229952946961</v>
      </c>
      <c r="V1546" t="s">
        <v>157</v>
      </c>
    </row>
    <row r="1547" spans="9:22" x14ac:dyDescent="0.45">
      <c r="I1547" t="s">
        <v>273</v>
      </c>
      <c r="J1547" t="s">
        <v>163</v>
      </c>
      <c r="K1547">
        <v>0.23769497594495237</v>
      </c>
      <c r="L1547" t="s">
        <v>157</v>
      </c>
      <c r="N1547" t="s">
        <v>384</v>
      </c>
      <c r="O1547" t="s">
        <v>163</v>
      </c>
      <c r="P1547">
        <v>0.19047026257697255</v>
      </c>
      <c r="Q1547" t="s">
        <v>157</v>
      </c>
      <c r="S1547" t="s">
        <v>495</v>
      </c>
      <c r="T1547" t="s">
        <v>163</v>
      </c>
      <c r="U1547">
        <v>0.15031984696101824</v>
      </c>
      <c r="V1547" t="s">
        <v>157</v>
      </c>
    </row>
    <row r="1548" spans="9:22" x14ac:dyDescent="0.45">
      <c r="I1548" t="s">
        <v>273</v>
      </c>
      <c r="J1548" t="s">
        <v>164</v>
      </c>
      <c r="K1548">
        <v>1.2696678354258275E-2</v>
      </c>
      <c r="L1548" t="s">
        <v>157</v>
      </c>
      <c r="N1548" t="s">
        <v>384</v>
      </c>
      <c r="O1548" t="s">
        <v>164</v>
      </c>
      <c r="P1548">
        <v>1.7947345774781277E-2</v>
      </c>
      <c r="Q1548" t="s">
        <v>157</v>
      </c>
      <c r="S1548" t="s">
        <v>495</v>
      </c>
      <c r="T1548" t="s">
        <v>164</v>
      </c>
      <c r="U1548">
        <v>1.4145309759644191E-2</v>
      </c>
      <c r="V1548" t="s">
        <v>157</v>
      </c>
    </row>
    <row r="1549" spans="9:22" x14ac:dyDescent="0.45">
      <c r="I1549" t="s">
        <v>273</v>
      </c>
      <c r="J1549" t="s">
        <v>165</v>
      </c>
      <c r="K1549">
        <v>1.8942217130624346E-3</v>
      </c>
      <c r="L1549" t="s">
        <v>157</v>
      </c>
      <c r="N1549" t="s">
        <v>384</v>
      </c>
      <c r="O1549" t="s">
        <v>165</v>
      </c>
      <c r="P1549">
        <v>1.7500399049731656E-2</v>
      </c>
      <c r="Q1549" t="s">
        <v>157</v>
      </c>
      <c r="S1549" t="s">
        <v>495</v>
      </c>
      <c r="T1549" t="s">
        <v>165</v>
      </c>
      <c r="U1549">
        <v>1.4299127872777581E-2</v>
      </c>
      <c r="V1549" t="s">
        <v>157</v>
      </c>
    </row>
    <row r="1550" spans="9:22" x14ac:dyDescent="0.45">
      <c r="I1550" t="s">
        <v>273</v>
      </c>
      <c r="J1550" t="s">
        <v>166</v>
      </c>
      <c r="K1550">
        <v>0</v>
      </c>
      <c r="L1550" t="s">
        <v>157</v>
      </c>
      <c r="N1550" t="s">
        <v>384</v>
      </c>
      <c r="O1550" t="s">
        <v>166</v>
      </c>
      <c r="P1550">
        <v>8.7935624851720226E-2</v>
      </c>
      <c r="Q1550" t="s">
        <v>157</v>
      </c>
      <c r="S1550" t="s">
        <v>495</v>
      </c>
      <c r="T1550" t="s">
        <v>166</v>
      </c>
      <c r="U1550">
        <v>7.2459126958897918E-2</v>
      </c>
      <c r="V1550" t="s">
        <v>157</v>
      </c>
    </row>
    <row r="1551" spans="9:22" x14ac:dyDescent="0.45">
      <c r="I1551" t="s">
        <v>273</v>
      </c>
      <c r="J1551" t="s">
        <v>167</v>
      </c>
      <c r="K1551">
        <v>2.1235665006504655E-2</v>
      </c>
      <c r="L1551" t="s">
        <v>157</v>
      </c>
      <c r="N1551" t="s">
        <v>384</v>
      </c>
      <c r="O1551" t="s">
        <v>167</v>
      </c>
      <c r="P1551">
        <v>3.9151721400671233E-2</v>
      </c>
      <c r="Q1551" t="s">
        <v>157</v>
      </c>
      <c r="S1551" t="s">
        <v>495</v>
      </c>
      <c r="T1551" t="s">
        <v>167</v>
      </c>
      <c r="U1551">
        <v>4.2212088325347272E-2</v>
      </c>
      <c r="V1551" t="s">
        <v>157</v>
      </c>
    </row>
    <row r="1552" spans="9:22" x14ac:dyDescent="0.45">
      <c r="I1552" t="s">
        <v>273</v>
      </c>
      <c r="J1552" t="s">
        <v>168</v>
      </c>
      <c r="K1552">
        <v>0.19870874317749504</v>
      </c>
      <c r="L1552" t="s">
        <v>157</v>
      </c>
      <c r="N1552" t="s">
        <v>384</v>
      </c>
      <c r="O1552" t="s">
        <v>168</v>
      </c>
      <c r="P1552">
        <v>6.4475665162615964E-2</v>
      </c>
      <c r="Q1552" t="s">
        <v>157</v>
      </c>
      <c r="S1552" t="s">
        <v>495</v>
      </c>
      <c r="T1552" t="s">
        <v>168</v>
      </c>
      <c r="U1552">
        <v>6.4779434819984702E-2</v>
      </c>
      <c r="V1552" t="s">
        <v>157</v>
      </c>
    </row>
    <row r="1553" spans="9:22" x14ac:dyDescent="0.45">
      <c r="I1553" t="s">
        <v>273</v>
      </c>
      <c r="J1553" t="s">
        <v>169</v>
      </c>
      <c r="K1553">
        <v>1.4120546863939798E-2</v>
      </c>
      <c r="L1553" t="s">
        <v>157</v>
      </c>
      <c r="N1553" t="s">
        <v>384</v>
      </c>
      <c r="O1553" t="s">
        <v>169</v>
      </c>
      <c r="P1553">
        <v>6.6860407533591588E-3</v>
      </c>
      <c r="Q1553" t="s">
        <v>157</v>
      </c>
      <c r="S1553" t="s">
        <v>495</v>
      </c>
      <c r="T1553" t="s">
        <v>169</v>
      </c>
      <c r="U1553">
        <v>6.2266870713288689E-3</v>
      </c>
      <c r="V1553" t="s">
        <v>157</v>
      </c>
    </row>
    <row r="1554" spans="9:22" x14ac:dyDescent="0.45">
      <c r="I1554" t="s">
        <v>273</v>
      </c>
      <c r="J1554" t="s">
        <v>170</v>
      </c>
      <c r="K1554">
        <v>9.7456991695272568E-3</v>
      </c>
      <c r="L1554" t="s">
        <v>157</v>
      </c>
      <c r="N1554" t="s">
        <v>384</v>
      </c>
      <c r="O1554" t="s">
        <v>170</v>
      </c>
      <c r="P1554">
        <v>6.4952311349565474E-3</v>
      </c>
      <c r="Q1554" t="s">
        <v>157</v>
      </c>
      <c r="S1554" t="s">
        <v>495</v>
      </c>
      <c r="T1554" t="s">
        <v>170</v>
      </c>
      <c r="U1554">
        <v>6.1891304808777874E-3</v>
      </c>
      <c r="V1554" t="s">
        <v>157</v>
      </c>
    </row>
    <row r="1555" spans="9:22" x14ac:dyDescent="0.45">
      <c r="I1555" t="s">
        <v>273</v>
      </c>
      <c r="J1555" t="s">
        <v>171</v>
      </c>
      <c r="K1555">
        <v>2.6154944028698615E-3</v>
      </c>
      <c r="L1555" t="s">
        <v>157</v>
      </c>
      <c r="N1555" t="s">
        <v>384</v>
      </c>
      <c r="O1555" t="s">
        <v>171</v>
      </c>
      <c r="P1555">
        <v>2.9536980707491643E-2</v>
      </c>
      <c r="Q1555" t="s">
        <v>157</v>
      </c>
      <c r="S1555" t="s">
        <v>495</v>
      </c>
      <c r="T1555" t="s">
        <v>171</v>
      </c>
      <c r="U1555">
        <v>3.0675833524251368E-2</v>
      </c>
      <c r="V1555" t="s">
        <v>157</v>
      </c>
    </row>
    <row r="1556" spans="9:22" x14ac:dyDescent="0.45">
      <c r="I1556" t="s">
        <v>274</v>
      </c>
      <c r="J1556" t="s">
        <v>156</v>
      </c>
      <c r="K1556">
        <v>2.1280137926582402E-2</v>
      </c>
      <c r="L1556" t="s">
        <v>157</v>
      </c>
      <c r="N1556" t="s">
        <v>385</v>
      </c>
      <c r="O1556" t="s">
        <v>156</v>
      </c>
      <c r="P1556">
        <v>0.10834514384776892</v>
      </c>
      <c r="Q1556" t="s">
        <v>157</v>
      </c>
      <c r="S1556" t="s">
        <v>496</v>
      </c>
      <c r="T1556" t="s">
        <v>156</v>
      </c>
      <c r="U1556">
        <v>0.1434256485481738</v>
      </c>
      <c r="V1556" t="s">
        <v>157</v>
      </c>
    </row>
    <row r="1557" spans="9:22" x14ac:dyDescent="0.45">
      <c r="I1557" t="s">
        <v>274</v>
      </c>
      <c r="J1557" t="s">
        <v>158</v>
      </c>
      <c r="K1557">
        <v>0.4313200646397552</v>
      </c>
      <c r="L1557" t="s">
        <v>157</v>
      </c>
      <c r="N1557" t="s">
        <v>385</v>
      </c>
      <c r="O1557" t="s">
        <v>158</v>
      </c>
      <c r="P1557">
        <v>0.17632361924927134</v>
      </c>
      <c r="Q1557" t="s">
        <v>157</v>
      </c>
      <c r="S1557" t="s">
        <v>496</v>
      </c>
      <c r="T1557" t="s">
        <v>158</v>
      </c>
      <c r="U1557">
        <v>0.20087193116370167</v>
      </c>
      <c r="V1557" t="s">
        <v>157</v>
      </c>
    </row>
    <row r="1558" spans="9:22" x14ac:dyDescent="0.45">
      <c r="I1558" t="s">
        <v>274</v>
      </c>
      <c r="J1558" t="s">
        <v>159</v>
      </c>
      <c r="K1558">
        <v>2.8666845776753373E-2</v>
      </c>
      <c r="L1558" t="s">
        <v>157</v>
      </c>
      <c r="N1558" t="s">
        <v>385</v>
      </c>
      <c r="O1558" t="s">
        <v>159</v>
      </c>
      <c r="P1558">
        <v>1.7244125478126416E-2</v>
      </c>
      <c r="Q1558" t="s">
        <v>157</v>
      </c>
      <c r="S1558" t="s">
        <v>496</v>
      </c>
      <c r="T1558" t="s">
        <v>159</v>
      </c>
      <c r="U1558">
        <v>1.9984759466996998E-2</v>
      </c>
      <c r="V1558" t="s">
        <v>157</v>
      </c>
    </row>
    <row r="1559" spans="9:22" x14ac:dyDescent="0.45">
      <c r="I1559" t="s">
        <v>274</v>
      </c>
      <c r="J1559" t="s">
        <v>160</v>
      </c>
      <c r="K1559">
        <v>1.6854114893346681E-2</v>
      </c>
      <c r="L1559" t="s">
        <v>157</v>
      </c>
      <c r="N1559" t="s">
        <v>385</v>
      </c>
      <c r="O1559" t="s">
        <v>160</v>
      </c>
      <c r="P1559">
        <v>1.6879247284100521E-2</v>
      </c>
      <c r="Q1559" t="s">
        <v>157</v>
      </c>
      <c r="S1559" t="s">
        <v>496</v>
      </c>
      <c r="T1559" t="s">
        <v>160</v>
      </c>
      <c r="U1559">
        <v>1.9926321826981445E-2</v>
      </c>
      <c r="V1559" t="s">
        <v>157</v>
      </c>
    </row>
    <row r="1560" spans="9:22" x14ac:dyDescent="0.45">
      <c r="I1560" t="s">
        <v>274</v>
      </c>
      <c r="J1560" t="s">
        <v>161</v>
      </c>
      <c r="K1560">
        <v>3.6382541298024397E-3</v>
      </c>
      <c r="L1560" t="s">
        <v>157</v>
      </c>
      <c r="N1560" t="s">
        <v>385</v>
      </c>
      <c r="O1560" t="s">
        <v>161</v>
      </c>
      <c r="P1560">
        <v>7.8328845469159275E-2</v>
      </c>
      <c r="Q1560" t="s">
        <v>157</v>
      </c>
      <c r="S1560" t="s">
        <v>496</v>
      </c>
      <c r="T1560" t="s">
        <v>161</v>
      </c>
      <c r="U1560">
        <v>0.10108928927729495</v>
      </c>
      <c r="V1560" t="s">
        <v>157</v>
      </c>
    </row>
    <row r="1561" spans="9:22" x14ac:dyDescent="0.45">
      <c r="I1561" t="s">
        <v>274</v>
      </c>
      <c r="J1561" t="s">
        <v>162</v>
      </c>
      <c r="K1561">
        <v>7.884917704744197E-3</v>
      </c>
      <c r="L1561" t="s">
        <v>157</v>
      </c>
      <c r="N1561" t="s">
        <v>385</v>
      </c>
      <c r="O1561" t="s">
        <v>162</v>
      </c>
      <c r="P1561">
        <v>0.12603015378666724</v>
      </c>
      <c r="Q1561" t="s">
        <v>157</v>
      </c>
      <c r="S1561" t="s">
        <v>496</v>
      </c>
      <c r="T1561" t="s">
        <v>162</v>
      </c>
      <c r="U1561">
        <v>0.11153009642982635</v>
      </c>
      <c r="V1561" t="s">
        <v>157</v>
      </c>
    </row>
    <row r="1562" spans="9:22" x14ac:dyDescent="0.45">
      <c r="I1562" t="s">
        <v>274</v>
      </c>
      <c r="J1562" t="s">
        <v>163</v>
      </c>
      <c r="K1562">
        <v>0.23400968927451998</v>
      </c>
      <c r="L1562" t="s">
        <v>157</v>
      </c>
      <c r="N1562" t="s">
        <v>385</v>
      </c>
      <c r="O1562" t="s">
        <v>163</v>
      </c>
      <c r="P1562">
        <v>0.20658287471228537</v>
      </c>
      <c r="Q1562" t="s">
        <v>157</v>
      </c>
      <c r="S1562" t="s">
        <v>496</v>
      </c>
      <c r="T1562" t="s">
        <v>163</v>
      </c>
      <c r="U1562">
        <v>0.15286999158450915</v>
      </c>
      <c r="V1562" t="s">
        <v>157</v>
      </c>
    </row>
    <row r="1563" spans="9:22" x14ac:dyDescent="0.45">
      <c r="I1563" t="s">
        <v>274</v>
      </c>
      <c r="J1563" t="s">
        <v>164</v>
      </c>
      <c r="K1563">
        <v>1.269085278904167E-2</v>
      </c>
      <c r="L1563" t="s">
        <v>157</v>
      </c>
      <c r="N1563" t="s">
        <v>385</v>
      </c>
      <c r="O1563" t="s">
        <v>164</v>
      </c>
      <c r="P1563">
        <v>1.9168949422560089E-2</v>
      </c>
      <c r="Q1563" t="s">
        <v>157</v>
      </c>
      <c r="S1563" t="s">
        <v>496</v>
      </c>
      <c r="T1563" t="s">
        <v>164</v>
      </c>
      <c r="U1563">
        <v>1.4405632704100753E-2</v>
      </c>
      <c r="V1563" t="s">
        <v>157</v>
      </c>
    </row>
    <row r="1564" spans="9:22" x14ac:dyDescent="0.45">
      <c r="I1564" t="s">
        <v>274</v>
      </c>
      <c r="J1564" t="s">
        <v>165</v>
      </c>
      <c r="K1564">
        <v>1.7959285385100801E-3</v>
      </c>
      <c r="L1564" t="s">
        <v>157</v>
      </c>
      <c r="N1564" t="s">
        <v>385</v>
      </c>
      <c r="O1564" t="s">
        <v>165</v>
      </c>
      <c r="P1564">
        <v>1.8355747865759737E-2</v>
      </c>
      <c r="Q1564" t="s">
        <v>157</v>
      </c>
      <c r="S1564" t="s">
        <v>496</v>
      </c>
      <c r="T1564" t="s">
        <v>165</v>
      </c>
      <c r="U1564">
        <v>1.4434137645818189E-2</v>
      </c>
      <c r="V1564" t="s">
        <v>157</v>
      </c>
    </row>
    <row r="1565" spans="9:22" x14ac:dyDescent="0.45">
      <c r="I1565" t="s">
        <v>274</v>
      </c>
      <c r="J1565" t="s">
        <v>166</v>
      </c>
      <c r="K1565">
        <v>0</v>
      </c>
      <c r="L1565" t="s">
        <v>157</v>
      </c>
      <c r="N1565" t="s">
        <v>385</v>
      </c>
      <c r="O1565" t="s">
        <v>166</v>
      </c>
      <c r="P1565">
        <v>9.0629755847574725E-2</v>
      </c>
      <c r="Q1565" t="s">
        <v>157</v>
      </c>
      <c r="S1565" t="s">
        <v>496</v>
      </c>
      <c r="T1565" t="s">
        <v>166</v>
      </c>
      <c r="U1565">
        <v>7.3940230508228594E-2</v>
      </c>
      <c r="V1565" t="s">
        <v>157</v>
      </c>
    </row>
    <row r="1566" spans="9:22" x14ac:dyDescent="0.45">
      <c r="I1566" t="s">
        <v>274</v>
      </c>
      <c r="J1566" t="s">
        <v>167</v>
      </c>
      <c r="K1566">
        <v>2.0526875790800286E-2</v>
      </c>
      <c r="L1566" t="s">
        <v>157</v>
      </c>
      <c r="N1566" t="s">
        <v>385</v>
      </c>
      <c r="O1566" t="s">
        <v>167</v>
      </c>
      <c r="P1566">
        <v>3.6263478629087249E-2</v>
      </c>
      <c r="Q1566" t="s">
        <v>157</v>
      </c>
      <c r="S1566" t="s">
        <v>496</v>
      </c>
      <c r="T1566" t="s">
        <v>167</v>
      </c>
      <c r="U1566">
        <v>4.1696699005493942E-2</v>
      </c>
      <c r="V1566" t="s">
        <v>157</v>
      </c>
    </row>
    <row r="1567" spans="9:22" x14ac:dyDescent="0.45">
      <c r="I1567" t="s">
        <v>274</v>
      </c>
      <c r="J1567" t="s">
        <v>168</v>
      </c>
      <c r="K1567">
        <v>0.19623308587466223</v>
      </c>
      <c r="L1567" t="s">
        <v>157</v>
      </c>
      <c r="N1567" t="s">
        <v>385</v>
      </c>
      <c r="O1567" t="s">
        <v>168</v>
      </c>
      <c r="P1567">
        <v>6.6782316277118475E-2</v>
      </c>
      <c r="Q1567" t="s">
        <v>157</v>
      </c>
      <c r="S1567" t="s">
        <v>496</v>
      </c>
      <c r="T1567" t="s">
        <v>168</v>
      </c>
      <c r="U1567">
        <v>6.3715314038045909E-2</v>
      </c>
      <c r="V1567" t="s">
        <v>157</v>
      </c>
    </row>
    <row r="1568" spans="9:22" x14ac:dyDescent="0.45">
      <c r="I1568" t="s">
        <v>274</v>
      </c>
      <c r="J1568" t="s">
        <v>169</v>
      </c>
      <c r="K1568">
        <v>1.3551046058449931E-2</v>
      </c>
      <c r="L1568" t="s">
        <v>157</v>
      </c>
      <c r="N1568" t="s">
        <v>385</v>
      </c>
      <c r="O1568" t="s">
        <v>169</v>
      </c>
      <c r="P1568">
        <v>6.539947919157141E-3</v>
      </c>
      <c r="Q1568" t="s">
        <v>157</v>
      </c>
      <c r="S1568" t="s">
        <v>496</v>
      </c>
      <c r="T1568" t="s">
        <v>169</v>
      </c>
      <c r="U1568">
        <v>6.0873975966316048E-3</v>
      </c>
      <c r="V1568" t="s">
        <v>157</v>
      </c>
    </row>
    <row r="1569" spans="9:22" x14ac:dyDescent="0.45">
      <c r="I1569" t="s">
        <v>274</v>
      </c>
      <c r="J1569" t="s">
        <v>170</v>
      </c>
      <c r="K1569">
        <v>9.1798920038220367E-3</v>
      </c>
      <c r="L1569" t="s">
        <v>157</v>
      </c>
      <c r="N1569" t="s">
        <v>385</v>
      </c>
      <c r="O1569" t="s">
        <v>170</v>
      </c>
      <c r="P1569">
        <v>6.0233622556691412E-3</v>
      </c>
      <c r="Q1569" t="s">
        <v>157</v>
      </c>
      <c r="S1569" t="s">
        <v>496</v>
      </c>
      <c r="T1569" t="s">
        <v>170</v>
      </c>
      <c r="U1569">
        <v>5.9901263948601204E-3</v>
      </c>
      <c r="V1569" t="s">
        <v>157</v>
      </c>
    </row>
    <row r="1570" spans="9:22" x14ac:dyDescent="0.45">
      <c r="I1570" t="s">
        <v>274</v>
      </c>
      <c r="J1570" t="s">
        <v>171</v>
      </c>
      <c r="K1570">
        <v>2.368294599209524E-3</v>
      </c>
      <c r="L1570" t="s">
        <v>157</v>
      </c>
      <c r="N1570" t="s">
        <v>385</v>
      </c>
      <c r="O1570" t="s">
        <v>171</v>
      </c>
      <c r="P1570">
        <v>2.6502431955694423E-2</v>
      </c>
      <c r="Q1570" t="s">
        <v>157</v>
      </c>
      <c r="S1570" t="s">
        <v>496</v>
      </c>
      <c r="T1570" t="s">
        <v>171</v>
      </c>
      <c r="U1570">
        <v>3.0032423809336621E-2</v>
      </c>
      <c r="V1570" t="s">
        <v>157</v>
      </c>
    </row>
    <row r="1571" spans="9:22" x14ac:dyDescent="0.45">
      <c r="I1571" t="s">
        <v>275</v>
      </c>
      <c r="J1571" t="s">
        <v>156</v>
      </c>
      <c r="K1571">
        <v>2.1111308946350046E-2</v>
      </c>
      <c r="L1571" t="s">
        <v>157</v>
      </c>
      <c r="N1571" t="s">
        <v>386</v>
      </c>
      <c r="O1571" t="s">
        <v>156</v>
      </c>
      <c r="P1571">
        <v>0.10428874277743802</v>
      </c>
      <c r="Q1571" t="s">
        <v>157</v>
      </c>
      <c r="S1571" t="s">
        <v>497</v>
      </c>
      <c r="T1571" t="s">
        <v>156</v>
      </c>
      <c r="U1571">
        <v>0.14151583140089924</v>
      </c>
      <c r="V1571" t="s">
        <v>157</v>
      </c>
    </row>
    <row r="1572" spans="9:22" x14ac:dyDescent="0.45">
      <c r="I1572" t="s">
        <v>275</v>
      </c>
      <c r="J1572" t="s">
        <v>158</v>
      </c>
      <c r="K1572">
        <v>0.43844444646786063</v>
      </c>
      <c r="L1572" t="s">
        <v>157</v>
      </c>
      <c r="N1572" t="s">
        <v>386</v>
      </c>
      <c r="O1572" t="s">
        <v>158</v>
      </c>
      <c r="P1572">
        <v>0.17707440630113924</v>
      </c>
      <c r="Q1572" t="s">
        <v>157</v>
      </c>
      <c r="S1572" t="s">
        <v>497</v>
      </c>
      <c r="T1572" t="s">
        <v>158</v>
      </c>
      <c r="U1572">
        <v>0.19578509125504168</v>
      </c>
      <c r="V1572" t="s">
        <v>157</v>
      </c>
    </row>
    <row r="1573" spans="9:22" x14ac:dyDescent="0.45">
      <c r="I1573" t="s">
        <v>275</v>
      </c>
      <c r="J1573" t="s">
        <v>159</v>
      </c>
      <c r="K1573">
        <v>2.8928759676136437E-2</v>
      </c>
      <c r="L1573" t="s">
        <v>157</v>
      </c>
      <c r="N1573" t="s">
        <v>386</v>
      </c>
      <c r="O1573" t="s">
        <v>159</v>
      </c>
      <c r="P1573">
        <v>1.6651941925498851E-2</v>
      </c>
      <c r="Q1573" t="s">
        <v>157</v>
      </c>
      <c r="S1573" t="s">
        <v>497</v>
      </c>
      <c r="T1573" t="s">
        <v>159</v>
      </c>
      <c r="U1573">
        <v>1.9877414895276203E-2</v>
      </c>
      <c r="V1573" t="s">
        <v>157</v>
      </c>
    </row>
    <row r="1574" spans="9:22" x14ac:dyDescent="0.45">
      <c r="I1574" t="s">
        <v>275</v>
      </c>
      <c r="J1574" t="s">
        <v>160</v>
      </c>
      <c r="K1574">
        <v>1.704506238432086E-2</v>
      </c>
      <c r="L1574" t="s">
        <v>157</v>
      </c>
      <c r="N1574" t="s">
        <v>386</v>
      </c>
      <c r="O1574" t="s">
        <v>160</v>
      </c>
      <c r="P1574">
        <v>1.602515170577179E-2</v>
      </c>
      <c r="Q1574" t="s">
        <v>157</v>
      </c>
      <c r="S1574" t="s">
        <v>497</v>
      </c>
      <c r="T1574" t="s">
        <v>160</v>
      </c>
      <c r="U1574">
        <v>1.9880690151500232E-2</v>
      </c>
      <c r="V1574" t="s">
        <v>157</v>
      </c>
    </row>
    <row r="1575" spans="9:22" x14ac:dyDescent="0.45">
      <c r="I1575" t="s">
        <v>275</v>
      </c>
      <c r="J1575" t="s">
        <v>161</v>
      </c>
      <c r="K1575">
        <v>3.5996149775404588E-3</v>
      </c>
      <c r="L1575" t="s">
        <v>157</v>
      </c>
      <c r="N1575" t="s">
        <v>386</v>
      </c>
      <c r="O1575" t="s">
        <v>161</v>
      </c>
      <c r="P1575">
        <v>7.554520079482413E-2</v>
      </c>
      <c r="Q1575" t="s">
        <v>157</v>
      </c>
      <c r="S1575" t="s">
        <v>497</v>
      </c>
      <c r="T1575" t="s">
        <v>161</v>
      </c>
      <c r="U1575">
        <v>0.10037816228247171</v>
      </c>
      <c r="V1575" t="s">
        <v>157</v>
      </c>
    </row>
    <row r="1576" spans="9:22" x14ac:dyDescent="0.45">
      <c r="I1576" t="s">
        <v>275</v>
      </c>
      <c r="J1576" t="s">
        <v>162</v>
      </c>
      <c r="K1576">
        <v>7.1514502197496379E-3</v>
      </c>
      <c r="L1576" t="s">
        <v>157</v>
      </c>
      <c r="N1576" t="s">
        <v>386</v>
      </c>
      <c r="O1576" t="s">
        <v>162</v>
      </c>
      <c r="P1576">
        <v>0.13456168822809522</v>
      </c>
      <c r="Q1576" t="s">
        <v>157</v>
      </c>
      <c r="S1576" t="s">
        <v>497</v>
      </c>
      <c r="T1576" t="s">
        <v>162</v>
      </c>
      <c r="U1576">
        <v>0.11424370552859987</v>
      </c>
      <c r="V1576" t="s">
        <v>157</v>
      </c>
    </row>
    <row r="1577" spans="9:22" x14ac:dyDescent="0.45">
      <c r="I1577" t="s">
        <v>275</v>
      </c>
      <c r="J1577" t="s">
        <v>163</v>
      </c>
      <c r="K1577">
        <v>0.23110482525148474</v>
      </c>
      <c r="L1577" t="s">
        <v>157</v>
      </c>
      <c r="N1577" t="s">
        <v>386</v>
      </c>
      <c r="O1577" t="s">
        <v>163</v>
      </c>
      <c r="P1577">
        <v>0.21317878935012663</v>
      </c>
      <c r="Q1577" t="s">
        <v>157</v>
      </c>
      <c r="S1577" t="s">
        <v>497</v>
      </c>
      <c r="T1577" t="s">
        <v>163</v>
      </c>
      <c r="U1577">
        <v>0.15614738286514562</v>
      </c>
      <c r="V1577" t="s">
        <v>157</v>
      </c>
    </row>
    <row r="1578" spans="9:22" x14ac:dyDescent="0.45">
      <c r="I1578" t="s">
        <v>275</v>
      </c>
      <c r="J1578" t="s">
        <v>164</v>
      </c>
      <c r="K1578">
        <v>1.2398271632506034E-2</v>
      </c>
      <c r="L1578" t="s">
        <v>157</v>
      </c>
      <c r="N1578" t="s">
        <v>386</v>
      </c>
      <c r="O1578" t="s">
        <v>164</v>
      </c>
      <c r="P1578">
        <v>1.9454210182653857E-2</v>
      </c>
      <c r="Q1578" t="s">
        <v>157</v>
      </c>
      <c r="S1578" t="s">
        <v>497</v>
      </c>
      <c r="T1578" t="s">
        <v>164</v>
      </c>
      <c r="U1578">
        <v>1.4992719430075341E-2</v>
      </c>
      <c r="V1578" t="s">
        <v>157</v>
      </c>
    </row>
    <row r="1579" spans="9:22" x14ac:dyDescent="0.45">
      <c r="I1579" t="s">
        <v>275</v>
      </c>
      <c r="J1579" t="s">
        <v>165</v>
      </c>
      <c r="K1579">
        <v>1.7944621838043126E-3</v>
      </c>
      <c r="L1579" t="s">
        <v>157</v>
      </c>
      <c r="N1579" t="s">
        <v>386</v>
      </c>
      <c r="O1579" t="s">
        <v>165</v>
      </c>
      <c r="P1579">
        <v>1.8609101274220864E-2</v>
      </c>
      <c r="Q1579" t="s">
        <v>157</v>
      </c>
      <c r="S1579" t="s">
        <v>497</v>
      </c>
      <c r="T1579" t="s">
        <v>165</v>
      </c>
      <c r="U1579">
        <v>1.4925844575484922E-2</v>
      </c>
      <c r="V1579" t="s">
        <v>157</v>
      </c>
    </row>
    <row r="1580" spans="9:22" x14ac:dyDescent="0.45">
      <c r="I1580" t="s">
        <v>275</v>
      </c>
      <c r="J1580" t="s">
        <v>166</v>
      </c>
      <c r="K1580">
        <v>0</v>
      </c>
      <c r="L1580" t="s">
        <v>157</v>
      </c>
      <c r="N1580" t="s">
        <v>386</v>
      </c>
      <c r="O1580" t="s">
        <v>166</v>
      </c>
      <c r="P1580">
        <v>9.4360659933602903E-2</v>
      </c>
      <c r="Q1580" t="s">
        <v>157</v>
      </c>
      <c r="S1580" t="s">
        <v>497</v>
      </c>
      <c r="T1580" t="s">
        <v>166</v>
      </c>
      <c r="U1580">
        <v>7.6536091915856863E-2</v>
      </c>
      <c r="V1580" t="s">
        <v>157</v>
      </c>
    </row>
    <row r="1581" spans="9:22" x14ac:dyDescent="0.45">
      <c r="I1581" t="s">
        <v>275</v>
      </c>
      <c r="J1581" t="s">
        <v>167</v>
      </c>
      <c r="K1581">
        <v>2.0368376035689553E-2</v>
      </c>
      <c r="L1581" t="s">
        <v>157</v>
      </c>
      <c r="N1581" t="s">
        <v>386</v>
      </c>
      <c r="O1581" t="s">
        <v>167</v>
      </c>
      <c r="P1581">
        <v>3.3307504443090087E-2</v>
      </c>
      <c r="Q1581" t="s">
        <v>157</v>
      </c>
      <c r="S1581" t="s">
        <v>497</v>
      </c>
      <c r="T1581" t="s">
        <v>167</v>
      </c>
      <c r="U1581">
        <v>4.0904669879525603E-2</v>
      </c>
      <c r="V1581" t="s">
        <v>157</v>
      </c>
    </row>
    <row r="1582" spans="9:22" x14ac:dyDescent="0.45">
      <c r="I1582" t="s">
        <v>275</v>
      </c>
      <c r="J1582" t="s">
        <v>168</v>
      </c>
      <c r="K1582">
        <v>0.19488294967592207</v>
      </c>
      <c r="L1582" t="s">
        <v>157</v>
      </c>
      <c r="N1582" t="s">
        <v>386</v>
      </c>
      <c r="O1582" t="s">
        <v>168</v>
      </c>
      <c r="P1582">
        <v>6.3307388961844388E-2</v>
      </c>
      <c r="Q1582" t="s">
        <v>157</v>
      </c>
      <c r="S1582" t="s">
        <v>497</v>
      </c>
      <c r="T1582" t="s">
        <v>168</v>
      </c>
      <c r="U1582">
        <v>6.3201662028353756E-2</v>
      </c>
      <c r="V1582" t="s">
        <v>157</v>
      </c>
    </row>
    <row r="1583" spans="9:22" x14ac:dyDescent="0.45">
      <c r="I1583" t="s">
        <v>275</v>
      </c>
      <c r="J1583" t="s">
        <v>169</v>
      </c>
      <c r="K1583">
        <v>1.2597354702409773E-2</v>
      </c>
      <c r="L1583" t="s">
        <v>157</v>
      </c>
      <c r="N1583" t="s">
        <v>386</v>
      </c>
      <c r="O1583" t="s">
        <v>169</v>
      </c>
      <c r="P1583">
        <v>5.7090701766007081E-3</v>
      </c>
      <c r="Q1583" t="s">
        <v>157</v>
      </c>
      <c r="S1583" t="s">
        <v>497</v>
      </c>
      <c r="T1583" t="s">
        <v>169</v>
      </c>
      <c r="U1583">
        <v>6.1253281186514821E-3</v>
      </c>
      <c r="V1583" t="s">
        <v>157</v>
      </c>
    </row>
    <row r="1584" spans="9:22" x14ac:dyDescent="0.45">
      <c r="I1584" t="s">
        <v>275</v>
      </c>
      <c r="J1584" t="s">
        <v>170</v>
      </c>
      <c r="K1584">
        <v>8.6058859591220879E-3</v>
      </c>
      <c r="L1584" t="s">
        <v>157</v>
      </c>
      <c r="N1584" t="s">
        <v>386</v>
      </c>
      <c r="O1584" t="s">
        <v>170</v>
      </c>
      <c r="P1584">
        <v>5.1063407728589374E-3</v>
      </c>
      <c r="Q1584" t="s">
        <v>157</v>
      </c>
      <c r="S1584" t="s">
        <v>497</v>
      </c>
      <c r="T1584" t="s">
        <v>170</v>
      </c>
      <c r="U1584">
        <v>5.9582254677097522E-3</v>
      </c>
      <c r="V1584" t="s">
        <v>157</v>
      </c>
    </row>
    <row r="1585" spans="9:22" x14ac:dyDescent="0.45">
      <c r="I1585" t="s">
        <v>275</v>
      </c>
      <c r="J1585" t="s">
        <v>171</v>
      </c>
      <c r="K1585">
        <v>1.9672318871033472E-3</v>
      </c>
      <c r="L1585" t="s">
        <v>157</v>
      </c>
      <c r="N1585" t="s">
        <v>386</v>
      </c>
      <c r="O1585" t="s">
        <v>171</v>
      </c>
      <c r="P1585">
        <v>2.2819803172234355E-2</v>
      </c>
      <c r="Q1585" t="s">
        <v>157</v>
      </c>
      <c r="S1585" t="s">
        <v>497</v>
      </c>
      <c r="T1585" t="s">
        <v>171</v>
      </c>
      <c r="U1585">
        <v>2.9527180205407712E-2</v>
      </c>
      <c r="V1585" t="s">
        <v>157</v>
      </c>
    </row>
    <row r="1586" spans="9:22" x14ac:dyDescent="0.45">
      <c r="I1586" t="s">
        <v>276</v>
      </c>
      <c r="J1586" t="s">
        <v>156</v>
      </c>
      <c r="K1586">
        <v>1.9744657594909492E-2</v>
      </c>
      <c r="L1586" t="s">
        <v>157</v>
      </c>
      <c r="N1586" t="s">
        <v>387</v>
      </c>
      <c r="O1586" t="s">
        <v>156</v>
      </c>
      <c r="P1586">
        <v>0.10320969124110391</v>
      </c>
      <c r="Q1586" t="s">
        <v>157</v>
      </c>
      <c r="S1586" t="s">
        <v>498</v>
      </c>
      <c r="T1586" t="s">
        <v>156</v>
      </c>
      <c r="U1586">
        <v>0.13896007762136328</v>
      </c>
      <c r="V1586" t="s">
        <v>157</v>
      </c>
    </row>
    <row r="1587" spans="9:22" x14ac:dyDescent="0.45">
      <c r="I1587" t="s">
        <v>276</v>
      </c>
      <c r="J1587" t="s">
        <v>158</v>
      </c>
      <c r="K1587">
        <v>0.43974293124699482</v>
      </c>
      <c r="L1587" t="s">
        <v>157</v>
      </c>
      <c r="N1587" t="s">
        <v>387</v>
      </c>
      <c r="O1587" t="s">
        <v>158</v>
      </c>
      <c r="P1587">
        <v>0.17974761175227499</v>
      </c>
      <c r="Q1587" t="s">
        <v>157</v>
      </c>
      <c r="S1587" t="s">
        <v>498</v>
      </c>
      <c r="T1587" t="s">
        <v>158</v>
      </c>
      <c r="U1587">
        <v>0.18898286399815797</v>
      </c>
      <c r="V1587" t="s">
        <v>157</v>
      </c>
    </row>
    <row r="1588" spans="9:22" x14ac:dyDescent="0.45">
      <c r="I1588" t="s">
        <v>276</v>
      </c>
      <c r="J1588" t="s">
        <v>159</v>
      </c>
      <c r="K1588">
        <v>2.8613825840039936E-2</v>
      </c>
      <c r="L1588" t="s">
        <v>157</v>
      </c>
      <c r="N1588" t="s">
        <v>387</v>
      </c>
      <c r="O1588" t="s">
        <v>159</v>
      </c>
      <c r="P1588">
        <v>1.6660706919330481E-2</v>
      </c>
      <c r="Q1588" t="s">
        <v>157</v>
      </c>
      <c r="S1588" t="s">
        <v>498</v>
      </c>
      <c r="T1588" t="s">
        <v>159</v>
      </c>
      <c r="U1588">
        <v>1.9639317445935063E-2</v>
      </c>
      <c r="V1588" t="s">
        <v>157</v>
      </c>
    </row>
    <row r="1589" spans="9:22" x14ac:dyDescent="0.45">
      <c r="I1589" t="s">
        <v>276</v>
      </c>
      <c r="J1589" t="s">
        <v>160</v>
      </c>
      <c r="K1589">
        <v>1.6947216190395482E-2</v>
      </c>
      <c r="L1589" t="s">
        <v>157</v>
      </c>
      <c r="N1589" t="s">
        <v>387</v>
      </c>
      <c r="O1589" t="s">
        <v>160</v>
      </c>
      <c r="P1589">
        <v>1.6263261002370386E-2</v>
      </c>
      <c r="Q1589" t="s">
        <v>157</v>
      </c>
      <c r="S1589" t="s">
        <v>498</v>
      </c>
      <c r="T1589" t="s">
        <v>160</v>
      </c>
      <c r="U1589">
        <v>1.9871854833539915E-2</v>
      </c>
      <c r="V1589" t="s">
        <v>157</v>
      </c>
    </row>
    <row r="1590" spans="9:22" x14ac:dyDescent="0.45">
      <c r="I1590" t="s">
        <v>276</v>
      </c>
      <c r="J1590" t="s">
        <v>161</v>
      </c>
      <c r="K1590">
        <v>3.7052191004760477E-3</v>
      </c>
      <c r="L1590" t="s">
        <v>157</v>
      </c>
      <c r="N1590" t="s">
        <v>387</v>
      </c>
      <c r="O1590" t="s">
        <v>161</v>
      </c>
      <c r="P1590">
        <v>7.503739436523682E-2</v>
      </c>
      <c r="Q1590" t="s">
        <v>157</v>
      </c>
      <c r="S1590" t="s">
        <v>498</v>
      </c>
      <c r="T1590" t="s">
        <v>161</v>
      </c>
      <c r="U1590">
        <v>9.8987839875268824E-2</v>
      </c>
      <c r="V1590" t="s">
        <v>157</v>
      </c>
    </row>
    <row r="1591" spans="9:22" x14ac:dyDescent="0.45">
      <c r="I1591" t="s">
        <v>276</v>
      </c>
      <c r="J1591" t="s">
        <v>162</v>
      </c>
      <c r="K1591">
        <v>6.5794768696493039E-3</v>
      </c>
      <c r="L1591" t="s">
        <v>157</v>
      </c>
      <c r="N1591" t="s">
        <v>387</v>
      </c>
      <c r="O1591" t="s">
        <v>162</v>
      </c>
      <c r="P1591">
        <v>0.13822376106252007</v>
      </c>
      <c r="Q1591" t="s">
        <v>157</v>
      </c>
      <c r="S1591" t="s">
        <v>498</v>
      </c>
      <c r="T1591" t="s">
        <v>162</v>
      </c>
      <c r="U1591">
        <v>0.11793219856092002</v>
      </c>
      <c r="V1591" t="s">
        <v>157</v>
      </c>
    </row>
    <row r="1592" spans="9:22" x14ac:dyDescent="0.45">
      <c r="I1592" t="s">
        <v>276</v>
      </c>
      <c r="J1592" t="s">
        <v>163</v>
      </c>
      <c r="K1592">
        <v>0.23036304666736182</v>
      </c>
      <c r="L1592" t="s">
        <v>157</v>
      </c>
      <c r="N1592" t="s">
        <v>387</v>
      </c>
      <c r="O1592" t="s">
        <v>163</v>
      </c>
      <c r="P1592">
        <v>0.21325878538956344</v>
      </c>
      <c r="Q1592" t="s">
        <v>157</v>
      </c>
      <c r="S1592" t="s">
        <v>498</v>
      </c>
      <c r="T1592" t="s">
        <v>163</v>
      </c>
      <c r="U1592">
        <v>0.15934836933404378</v>
      </c>
      <c r="V1592" t="s">
        <v>157</v>
      </c>
    </row>
    <row r="1593" spans="9:22" x14ac:dyDescent="0.45">
      <c r="I1593" t="s">
        <v>276</v>
      </c>
      <c r="J1593" t="s">
        <v>164</v>
      </c>
      <c r="K1593">
        <v>1.2259588072812893E-2</v>
      </c>
      <c r="L1593" t="s">
        <v>157</v>
      </c>
      <c r="N1593" t="s">
        <v>387</v>
      </c>
      <c r="O1593" t="s">
        <v>164</v>
      </c>
      <c r="P1593">
        <v>1.9164572448798795E-2</v>
      </c>
      <c r="Q1593" t="s">
        <v>157</v>
      </c>
      <c r="S1593" t="s">
        <v>498</v>
      </c>
      <c r="T1593" t="s">
        <v>164</v>
      </c>
      <c r="U1593">
        <v>1.5597649919253234E-2</v>
      </c>
      <c r="V1593" t="s">
        <v>157</v>
      </c>
    </row>
    <row r="1594" spans="9:22" x14ac:dyDescent="0.45">
      <c r="I1594" t="s">
        <v>276</v>
      </c>
      <c r="J1594" t="s">
        <v>165</v>
      </c>
      <c r="K1594">
        <v>1.7863135370429846E-3</v>
      </c>
      <c r="L1594" t="s">
        <v>157</v>
      </c>
      <c r="N1594" t="s">
        <v>387</v>
      </c>
      <c r="O1594" t="s">
        <v>165</v>
      </c>
      <c r="P1594">
        <v>1.8663632547654435E-2</v>
      </c>
      <c r="Q1594" t="s">
        <v>157</v>
      </c>
      <c r="S1594" t="s">
        <v>498</v>
      </c>
      <c r="T1594" t="s">
        <v>165</v>
      </c>
      <c r="U1594">
        <v>1.5568981769905716E-2</v>
      </c>
      <c r="V1594" t="s">
        <v>157</v>
      </c>
    </row>
    <row r="1595" spans="9:22" x14ac:dyDescent="0.45">
      <c r="I1595" t="s">
        <v>276</v>
      </c>
      <c r="J1595" t="s">
        <v>166</v>
      </c>
      <c r="K1595">
        <v>0</v>
      </c>
      <c r="L1595" t="s">
        <v>157</v>
      </c>
      <c r="N1595" t="s">
        <v>387</v>
      </c>
      <c r="O1595" t="s">
        <v>166</v>
      </c>
      <c r="P1595">
        <v>9.6025971241333066E-2</v>
      </c>
      <c r="Q1595" t="s">
        <v>157</v>
      </c>
      <c r="S1595" t="s">
        <v>498</v>
      </c>
      <c r="T1595" t="s">
        <v>166</v>
      </c>
      <c r="U1595">
        <v>8.030361558929687E-2</v>
      </c>
      <c r="V1595" t="s">
        <v>157</v>
      </c>
    </row>
    <row r="1596" spans="9:22" x14ac:dyDescent="0.45">
      <c r="I1596" t="s">
        <v>276</v>
      </c>
      <c r="J1596" t="s">
        <v>167</v>
      </c>
      <c r="K1596">
        <v>2.0108096877511483E-2</v>
      </c>
      <c r="L1596" t="s">
        <v>157</v>
      </c>
      <c r="N1596" t="s">
        <v>387</v>
      </c>
      <c r="O1596" t="s">
        <v>167</v>
      </c>
      <c r="P1596">
        <v>3.2989088889663759E-2</v>
      </c>
      <c r="Q1596" t="s">
        <v>157</v>
      </c>
      <c r="S1596" t="s">
        <v>498</v>
      </c>
      <c r="T1596" t="s">
        <v>167</v>
      </c>
      <c r="U1596">
        <v>4.0453567500953642E-2</v>
      </c>
      <c r="V1596" t="s">
        <v>157</v>
      </c>
    </row>
    <row r="1597" spans="9:22" x14ac:dyDescent="0.45">
      <c r="I1597" t="s">
        <v>276</v>
      </c>
      <c r="J1597" t="s">
        <v>168</v>
      </c>
      <c r="K1597">
        <v>0.19762043810966687</v>
      </c>
      <c r="L1597" t="s">
        <v>157</v>
      </c>
      <c r="N1597" t="s">
        <v>387</v>
      </c>
      <c r="O1597" t="s">
        <v>168</v>
      </c>
      <c r="P1597">
        <v>5.929860006367961E-2</v>
      </c>
      <c r="Q1597" t="s">
        <v>157</v>
      </c>
      <c r="S1597" t="s">
        <v>498</v>
      </c>
      <c r="T1597" t="s">
        <v>168</v>
      </c>
      <c r="U1597">
        <v>6.2250332267221292E-2</v>
      </c>
      <c r="V1597" t="s">
        <v>157</v>
      </c>
    </row>
    <row r="1598" spans="9:22" x14ac:dyDescent="0.45">
      <c r="I1598" t="s">
        <v>276</v>
      </c>
      <c r="J1598" t="s">
        <v>169</v>
      </c>
      <c r="K1598">
        <v>1.2396892520092713E-2</v>
      </c>
      <c r="L1598" t="s">
        <v>157</v>
      </c>
      <c r="N1598" t="s">
        <v>387</v>
      </c>
      <c r="O1598" t="s">
        <v>169</v>
      </c>
      <c r="P1598">
        <v>5.3713968089445499E-3</v>
      </c>
      <c r="Q1598" t="s">
        <v>157</v>
      </c>
      <c r="S1598" t="s">
        <v>498</v>
      </c>
      <c r="T1598" t="s">
        <v>169</v>
      </c>
      <c r="U1598">
        <v>6.3156460336369182E-3</v>
      </c>
      <c r="V1598" t="s">
        <v>157</v>
      </c>
    </row>
    <row r="1599" spans="9:22" x14ac:dyDescent="0.45">
      <c r="I1599" t="s">
        <v>276</v>
      </c>
      <c r="J1599" t="s">
        <v>170</v>
      </c>
      <c r="K1599">
        <v>8.534645334990416E-3</v>
      </c>
      <c r="L1599" t="s">
        <v>157</v>
      </c>
      <c r="N1599" t="s">
        <v>387</v>
      </c>
      <c r="O1599" t="s">
        <v>170</v>
      </c>
      <c r="P1599">
        <v>4.9004427354811409E-3</v>
      </c>
      <c r="Q1599" t="s">
        <v>157</v>
      </c>
      <c r="S1599" t="s">
        <v>498</v>
      </c>
      <c r="T1599" t="s">
        <v>170</v>
      </c>
      <c r="U1599">
        <v>6.125617669899391E-3</v>
      </c>
      <c r="V1599" t="s">
        <v>157</v>
      </c>
    </row>
    <row r="1600" spans="9:22" x14ac:dyDescent="0.45">
      <c r="I1600" t="s">
        <v>276</v>
      </c>
      <c r="J1600" t="s">
        <v>171</v>
      </c>
      <c r="K1600">
        <v>1.5976520380558215E-3</v>
      </c>
      <c r="L1600" t="s">
        <v>157</v>
      </c>
      <c r="N1600" t="s">
        <v>387</v>
      </c>
      <c r="O1600" t="s">
        <v>171</v>
      </c>
      <c r="P1600">
        <v>2.1185083532044603E-2</v>
      </c>
      <c r="Q1600" t="s">
        <v>157</v>
      </c>
      <c r="S1600" t="s">
        <v>498</v>
      </c>
      <c r="T1600" t="s">
        <v>171</v>
      </c>
      <c r="U1600">
        <v>2.9662067580604062E-2</v>
      </c>
      <c r="V1600" t="s">
        <v>157</v>
      </c>
    </row>
    <row r="1601" spans="9:22" x14ac:dyDescent="0.45">
      <c r="I1601" t="s">
        <v>277</v>
      </c>
      <c r="J1601" t="s">
        <v>156</v>
      </c>
      <c r="K1601">
        <v>1.7514246587929692E-2</v>
      </c>
      <c r="L1601" t="s">
        <v>157</v>
      </c>
      <c r="N1601" t="s">
        <v>388</v>
      </c>
      <c r="O1601" t="s">
        <v>156</v>
      </c>
      <c r="P1601">
        <v>0.10188399765205172</v>
      </c>
      <c r="Q1601" t="s">
        <v>157</v>
      </c>
      <c r="S1601" t="s">
        <v>499</v>
      </c>
      <c r="T1601" t="s">
        <v>156</v>
      </c>
      <c r="U1601">
        <v>0.13378445365569699</v>
      </c>
      <c r="V1601" t="s">
        <v>157</v>
      </c>
    </row>
    <row r="1602" spans="9:22" x14ac:dyDescent="0.45">
      <c r="I1602" t="s">
        <v>277</v>
      </c>
      <c r="J1602" t="s">
        <v>158</v>
      </c>
      <c r="K1602">
        <v>0.43623569567408499</v>
      </c>
      <c r="L1602" t="s">
        <v>157</v>
      </c>
      <c r="N1602" t="s">
        <v>388</v>
      </c>
      <c r="O1602" t="s">
        <v>158</v>
      </c>
      <c r="P1602">
        <v>0.18091173531239066</v>
      </c>
      <c r="Q1602" t="s">
        <v>157</v>
      </c>
      <c r="S1602" t="s">
        <v>499</v>
      </c>
      <c r="T1602" t="s">
        <v>158</v>
      </c>
      <c r="U1602">
        <v>0.18676052360421311</v>
      </c>
      <c r="V1602" t="s">
        <v>157</v>
      </c>
    </row>
    <row r="1603" spans="9:22" x14ac:dyDescent="0.45">
      <c r="I1603" t="s">
        <v>277</v>
      </c>
      <c r="J1603" t="s">
        <v>159</v>
      </c>
      <c r="K1603">
        <v>2.8007176753072356E-2</v>
      </c>
      <c r="L1603" t="s">
        <v>157</v>
      </c>
      <c r="N1603" t="s">
        <v>388</v>
      </c>
      <c r="O1603" t="s">
        <v>159</v>
      </c>
      <c r="P1603">
        <v>1.7658977019431775E-2</v>
      </c>
      <c r="Q1603" t="s">
        <v>157</v>
      </c>
      <c r="S1603" t="s">
        <v>499</v>
      </c>
      <c r="T1603" t="s">
        <v>159</v>
      </c>
      <c r="U1603">
        <v>1.9242802158595574E-2</v>
      </c>
      <c r="V1603" t="s">
        <v>157</v>
      </c>
    </row>
    <row r="1604" spans="9:22" x14ac:dyDescent="0.45">
      <c r="I1604" t="s">
        <v>277</v>
      </c>
      <c r="J1604" t="s">
        <v>160</v>
      </c>
      <c r="K1604">
        <v>1.6834454480064116E-2</v>
      </c>
      <c r="L1604" t="s">
        <v>157</v>
      </c>
      <c r="N1604" t="s">
        <v>388</v>
      </c>
      <c r="O1604" t="s">
        <v>160</v>
      </c>
      <c r="P1604">
        <v>1.7994803886711409E-2</v>
      </c>
      <c r="Q1604" t="s">
        <v>157</v>
      </c>
      <c r="S1604" t="s">
        <v>499</v>
      </c>
      <c r="T1604" t="s">
        <v>160</v>
      </c>
      <c r="U1604">
        <v>1.9158436920949245E-2</v>
      </c>
      <c r="V1604" t="s">
        <v>157</v>
      </c>
    </row>
    <row r="1605" spans="9:22" x14ac:dyDescent="0.45">
      <c r="I1605" t="s">
        <v>277</v>
      </c>
      <c r="J1605" t="s">
        <v>161</v>
      </c>
      <c r="K1605">
        <v>3.7529074968069677E-3</v>
      </c>
      <c r="L1605" t="s">
        <v>157</v>
      </c>
      <c r="N1605" t="s">
        <v>388</v>
      </c>
      <c r="O1605" t="s">
        <v>161</v>
      </c>
      <c r="P1605">
        <v>8.201078044804351E-2</v>
      </c>
      <c r="Q1605" t="s">
        <v>157</v>
      </c>
      <c r="S1605" t="s">
        <v>499</v>
      </c>
      <c r="T1605" t="s">
        <v>161</v>
      </c>
      <c r="U1605">
        <v>9.5434876597444818E-2</v>
      </c>
      <c r="V1605" t="s">
        <v>157</v>
      </c>
    </row>
    <row r="1606" spans="9:22" x14ac:dyDescent="0.45">
      <c r="I1606" t="s">
        <v>277</v>
      </c>
      <c r="J1606" t="s">
        <v>162</v>
      </c>
      <c r="K1606">
        <v>6.3025691895654346E-3</v>
      </c>
      <c r="L1606" t="s">
        <v>157</v>
      </c>
      <c r="N1606" t="s">
        <v>388</v>
      </c>
      <c r="O1606" t="s">
        <v>162</v>
      </c>
      <c r="P1606">
        <v>0.12210743405755056</v>
      </c>
      <c r="Q1606" t="s">
        <v>157</v>
      </c>
      <c r="S1606" t="s">
        <v>499</v>
      </c>
      <c r="T1606" t="s">
        <v>162</v>
      </c>
      <c r="U1606">
        <v>0.11576167681363665</v>
      </c>
      <c r="V1606" t="s">
        <v>157</v>
      </c>
    </row>
    <row r="1607" spans="9:22" x14ac:dyDescent="0.45">
      <c r="I1607" t="s">
        <v>277</v>
      </c>
      <c r="J1607" t="s">
        <v>163</v>
      </c>
      <c r="K1607">
        <v>0.22995247471879912</v>
      </c>
      <c r="L1607" t="s">
        <v>157</v>
      </c>
      <c r="N1607" t="s">
        <v>388</v>
      </c>
      <c r="O1607" t="s">
        <v>163</v>
      </c>
      <c r="P1607">
        <v>0.22184381505610906</v>
      </c>
      <c r="Q1607" t="s">
        <v>157</v>
      </c>
      <c r="S1607" t="s">
        <v>499</v>
      </c>
      <c r="T1607" t="s">
        <v>163</v>
      </c>
      <c r="U1607">
        <v>0.1656207112185627</v>
      </c>
      <c r="V1607" t="s">
        <v>157</v>
      </c>
    </row>
    <row r="1608" spans="9:22" x14ac:dyDescent="0.45">
      <c r="I1608" t="s">
        <v>277</v>
      </c>
      <c r="J1608" t="s">
        <v>164</v>
      </c>
      <c r="K1608">
        <v>1.2449594890925833E-2</v>
      </c>
      <c r="L1608" t="s">
        <v>157</v>
      </c>
      <c r="N1608" t="s">
        <v>388</v>
      </c>
      <c r="O1608" t="s">
        <v>164</v>
      </c>
      <c r="P1608">
        <v>1.870762697829462E-2</v>
      </c>
      <c r="Q1608" t="s">
        <v>157</v>
      </c>
      <c r="S1608" t="s">
        <v>499</v>
      </c>
      <c r="T1608" t="s">
        <v>164</v>
      </c>
      <c r="U1608">
        <v>1.7469301183190202E-2</v>
      </c>
      <c r="V1608" t="s">
        <v>157</v>
      </c>
    </row>
    <row r="1609" spans="9:22" x14ac:dyDescent="0.45">
      <c r="I1609" t="s">
        <v>277</v>
      </c>
      <c r="J1609" t="s">
        <v>165</v>
      </c>
      <c r="K1609">
        <v>1.4986140169903331E-3</v>
      </c>
      <c r="L1609" t="s">
        <v>157</v>
      </c>
      <c r="N1609" t="s">
        <v>388</v>
      </c>
      <c r="O1609" t="s">
        <v>165</v>
      </c>
      <c r="P1609">
        <v>1.7635142439318748E-2</v>
      </c>
      <c r="Q1609" t="s">
        <v>157</v>
      </c>
      <c r="S1609" t="s">
        <v>499</v>
      </c>
      <c r="T1609" t="s">
        <v>165</v>
      </c>
      <c r="U1609">
        <v>1.7143952235103878E-2</v>
      </c>
      <c r="V1609" t="s">
        <v>157</v>
      </c>
    </row>
    <row r="1610" spans="9:22" x14ac:dyDescent="0.45">
      <c r="I1610" t="s">
        <v>277</v>
      </c>
      <c r="J1610" t="s">
        <v>166</v>
      </c>
      <c r="K1610">
        <v>0</v>
      </c>
      <c r="L1610" t="s">
        <v>157</v>
      </c>
      <c r="N1610" t="s">
        <v>388</v>
      </c>
      <c r="O1610" t="s">
        <v>166</v>
      </c>
      <c r="P1610">
        <v>8.6357804925633025E-2</v>
      </c>
      <c r="Q1610" t="s">
        <v>157</v>
      </c>
      <c r="S1610" t="s">
        <v>499</v>
      </c>
      <c r="T1610" t="s">
        <v>166</v>
      </c>
      <c r="U1610">
        <v>8.383346209359184E-2</v>
      </c>
      <c r="V1610" t="s">
        <v>157</v>
      </c>
    </row>
    <row r="1611" spans="9:22" x14ac:dyDescent="0.45">
      <c r="I1611" t="s">
        <v>277</v>
      </c>
      <c r="J1611" t="s">
        <v>167</v>
      </c>
      <c r="K1611">
        <v>1.9499911986767253E-2</v>
      </c>
      <c r="L1611" t="s">
        <v>157</v>
      </c>
      <c r="N1611" t="s">
        <v>388</v>
      </c>
      <c r="O1611" t="s">
        <v>167</v>
      </c>
      <c r="P1611">
        <v>3.1036938674697534E-2</v>
      </c>
      <c r="Q1611" t="s">
        <v>157</v>
      </c>
      <c r="S1611" t="s">
        <v>499</v>
      </c>
      <c r="T1611" t="s">
        <v>167</v>
      </c>
      <c r="U1611">
        <v>3.7973431247223549E-2</v>
      </c>
      <c r="V1611" t="s">
        <v>157</v>
      </c>
    </row>
    <row r="1612" spans="9:22" x14ac:dyDescent="0.45">
      <c r="I1612" t="s">
        <v>277</v>
      </c>
      <c r="J1612" t="s">
        <v>168</v>
      </c>
      <c r="K1612">
        <v>0.20400293997867494</v>
      </c>
      <c r="L1612" t="s">
        <v>157</v>
      </c>
      <c r="N1612" t="s">
        <v>388</v>
      </c>
      <c r="O1612" t="s">
        <v>168</v>
      </c>
      <c r="P1612">
        <v>6.5862677864907251E-2</v>
      </c>
      <c r="Q1612" t="s">
        <v>157</v>
      </c>
      <c r="S1612" t="s">
        <v>499</v>
      </c>
      <c r="T1612" t="s">
        <v>168</v>
      </c>
      <c r="U1612">
        <v>6.5493328673250681E-2</v>
      </c>
      <c r="V1612" t="s">
        <v>157</v>
      </c>
    </row>
    <row r="1613" spans="9:22" x14ac:dyDescent="0.45">
      <c r="I1613" t="s">
        <v>277</v>
      </c>
      <c r="J1613" t="s">
        <v>169</v>
      </c>
      <c r="K1613">
        <v>1.345679455108153E-2</v>
      </c>
      <c r="L1613" t="s">
        <v>157</v>
      </c>
      <c r="N1613" t="s">
        <v>388</v>
      </c>
      <c r="O1613" t="s">
        <v>169</v>
      </c>
      <c r="P1613">
        <v>6.582980080025779E-3</v>
      </c>
      <c r="Q1613" t="s">
        <v>157</v>
      </c>
      <c r="S1613" t="s">
        <v>499</v>
      </c>
      <c r="T1613" t="s">
        <v>169</v>
      </c>
      <c r="U1613">
        <v>6.7369384506444328E-3</v>
      </c>
      <c r="V1613" t="s">
        <v>157</v>
      </c>
    </row>
    <row r="1614" spans="9:22" x14ac:dyDescent="0.45">
      <c r="I1614" t="s">
        <v>277</v>
      </c>
      <c r="J1614" t="s">
        <v>170</v>
      </c>
      <c r="K1614">
        <v>9.1624977526607917E-3</v>
      </c>
      <c r="L1614" t="s">
        <v>157</v>
      </c>
      <c r="N1614" t="s">
        <v>388</v>
      </c>
      <c r="O1614" t="s">
        <v>170</v>
      </c>
      <c r="P1614">
        <v>6.034255861149228E-3</v>
      </c>
      <c r="Q1614" t="s">
        <v>157</v>
      </c>
      <c r="S1614" t="s">
        <v>499</v>
      </c>
      <c r="T1614" t="s">
        <v>170</v>
      </c>
      <c r="U1614">
        <v>6.3341326478632406E-3</v>
      </c>
      <c r="V1614" t="s">
        <v>157</v>
      </c>
    </row>
    <row r="1615" spans="9:22" x14ac:dyDescent="0.45">
      <c r="I1615" t="s">
        <v>277</v>
      </c>
      <c r="J1615" t="s">
        <v>171</v>
      </c>
      <c r="K1615">
        <v>1.3301219225767195E-3</v>
      </c>
      <c r="L1615" t="s">
        <v>157</v>
      </c>
      <c r="N1615" t="s">
        <v>388</v>
      </c>
      <c r="O1615" t="s">
        <v>171</v>
      </c>
      <c r="P1615">
        <v>2.3371029743685087E-2</v>
      </c>
      <c r="Q1615" t="s">
        <v>157</v>
      </c>
      <c r="S1615" t="s">
        <v>499</v>
      </c>
      <c r="T1615" t="s">
        <v>171</v>
      </c>
      <c r="U1615">
        <v>2.9251972500033151E-2</v>
      </c>
      <c r="V1615" t="s">
        <v>157</v>
      </c>
    </row>
    <row r="1616" spans="9:22" x14ac:dyDescent="0.45">
      <c r="I1616" t="s">
        <v>278</v>
      </c>
      <c r="J1616" t="s">
        <v>156</v>
      </c>
      <c r="K1616">
        <v>1.810674812678903E-2</v>
      </c>
      <c r="L1616" t="s">
        <v>157</v>
      </c>
      <c r="N1616" t="s">
        <v>389</v>
      </c>
      <c r="O1616" t="s">
        <v>156</v>
      </c>
      <c r="P1616">
        <v>0.10139679640808937</v>
      </c>
      <c r="Q1616" t="s">
        <v>157</v>
      </c>
      <c r="S1616" t="s">
        <v>500</v>
      </c>
      <c r="T1616" t="s">
        <v>156</v>
      </c>
      <c r="U1616">
        <v>0.1215937903315832</v>
      </c>
      <c r="V1616" t="s">
        <v>157</v>
      </c>
    </row>
    <row r="1617" spans="9:22" x14ac:dyDescent="0.45">
      <c r="I1617" t="s">
        <v>278</v>
      </c>
      <c r="J1617" t="s">
        <v>158</v>
      </c>
      <c r="K1617">
        <v>0.43454696106202739</v>
      </c>
      <c r="L1617" t="s">
        <v>157</v>
      </c>
      <c r="N1617" t="s">
        <v>389</v>
      </c>
      <c r="O1617" t="s">
        <v>158</v>
      </c>
      <c r="P1617">
        <v>0.17598013980259439</v>
      </c>
      <c r="Q1617" t="s">
        <v>157</v>
      </c>
      <c r="S1617" t="s">
        <v>500</v>
      </c>
      <c r="T1617" t="s">
        <v>158</v>
      </c>
      <c r="U1617">
        <v>0.19376572135710357</v>
      </c>
      <c r="V1617" t="s">
        <v>157</v>
      </c>
    </row>
    <row r="1618" spans="9:22" x14ac:dyDescent="0.45">
      <c r="I1618" t="s">
        <v>278</v>
      </c>
      <c r="J1618" t="s">
        <v>159</v>
      </c>
      <c r="K1618">
        <v>2.7205316897075213E-2</v>
      </c>
      <c r="L1618" t="s">
        <v>157</v>
      </c>
      <c r="N1618" t="s">
        <v>389</v>
      </c>
      <c r="O1618" t="s">
        <v>159</v>
      </c>
      <c r="P1618">
        <v>1.9069344449451076E-2</v>
      </c>
      <c r="Q1618" t="s">
        <v>157</v>
      </c>
      <c r="S1618" t="s">
        <v>500</v>
      </c>
      <c r="T1618" t="s">
        <v>159</v>
      </c>
      <c r="U1618">
        <v>2.0279568799849376E-2</v>
      </c>
      <c r="V1618" t="s">
        <v>157</v>
      </c>
    </row>
    <row r="1619" spans="9:22" x14ac:dyDescent="0.45">
      <c r="I1619" t="s">
        <v>278</v>
      </c>
      <c r="J1619" t="s">
        <v>160</v>
      </c>
      <c r="K1619">
        <v>1.6770769939009934E-2</v>
      </c>
      <c r="L1619" t="s">
        <v>157</v>
      </c>
      <c r="N1619" t="s">
        <v>389</v>
      </c>
      <c r="O1619" t="s">
        <v>160</v>
      </c>
      <c r="P1619">
        <v>1.9942540640761907E-2</v>
      </c>
      <c r="Q1619" t="s">
        <v>157</v>
      </c>
      <c r="S1619" t="s">
        <v>500</v>
      </c>
      <c r="T1619" t="s">
        <v>160</v>
      </c>
      <c r="U1619">
        <v>1.8329130502263133E-2</v>
      </c>
      <c r="V1619" t="s">
        <v>157</v>
      </c>
    </row>
    <row r="1620" spans="9:22" x14ac:dyDescent="0.45">
      <c r="I1620" t="s">
        <v>278</v>
      </c>
      <c r="J1620" t="s">
        <v>161</v>
      </c>
      <c r="K1620">
        <v>3.2416913603952693E-3</v>
      </c>
      <c r="L1620" t="s">
        <v>157</v>
      </c>
      <c r="N1620" t="s">
        <v>389</v>
      </c>
      <c r="O1620" t="s">
        <v>161</v>
      </c>
      <c r="P1620">
        <v>8.9107928715368545E-2</v>
      </c>
      <c r="Q1620" t="s">
        <v>157</v>
      </c>
      <c r="S1620" t="s">
        <v>500</v>
      </c>
      <c r="T1620" t="s">
        <v>161</v>
      </c>
      <c r="U1620">
        <v>8.2193572591082287E-2</v>
      </c>
      <c r="V1620" t="s">
        <v>157</v>
      </c>
    </row>
    <row r="1621" spans="9:22" x14ac:dyDescent="0.45">
      <c r="I1621" t="s">
        <v>278</v>
      </c>
      <c r="J1621" t="s">
        <v>162</v>
      </c>
      <c r="K1621">
        <v>6.8410136806612955E-3</v>
      </c>
      <c r="L1621" t="s">
        <v>157</v>
      </c>
      <c r="N1621" t="s">
        <v>389</v>
      </c>
      <c r="O1621" t="s">
        <v>162</v>
      </c>
      <c r="P1621">
        <v>0.11673061805715963</v>
      </c>
      <c r="Q1621" t="s">
        <v>157</v>
      </c>
      <c r="S1621" t="s">
        <v>500</v>
      </c>
      <c r="T1621" t="s">
        <v>162</v>
      </c>
      <c r="U1621">
        <v>0.12854901816426811</v>
      </c>
      <c r="V1621" t="s">
        <v>157</v>
      </c>
    </row>
    <row r="1622" spans="9:22" x14ac:dyDescent="0.45">
      <c r="I1622" t="s">
        <v>278</v>
      </c>
      <c r="J1622" t="s">
        <v>163</v>
      </c>
      <c r="K1622">
        <v>0.22996655062395041</v>
      </c>
      <c r="L1622" t="s">
        <v>157</v>
      </c>
      <c r="N1622" t="s">
        <v>389</v>
      </c>
      <c r="O1622" t="s">
        <v>163</v>
      </c>
      <c r="P1622">
        <v>0.21563496283156802</v>
      </c>
      <c r="Q1622" t="s">
        <v>157</v>
      </c>
      <c r="S1622" t="s">
        <v>500</v>
      </c>
      <c r="T1622" t="s">
        <v>163</v>
      </c>
      <c r="U1622">
        <v>0.18711563643882659</v>
      </c>
      <c r="V1622" t="s">
        <v>157</v>
      </c>
    </row>
    <row r="1623" spans="9:22" x14ac:dyDescent="0.45">
      <c r="I1623" t="s">
        <v>278</v>
      </c>
      <c r="J1623" t="s">
        <v>164</v>
      </c>
      <c r="K1623">
        <v>1.2154373716606088E-2</v>
      </c>
      <c r="L1623" t="s">
        <v>157</v>
      </c>
      <c r="N1623" t="s">
        <v>389</v>
      </c>
      <c r="O1623" t="s">
        <v>164</v>
      </c>
      <c r="P1623">
        <v>1.8799504780673906E-2</v>
      </c>
      <c r="Q1623" t="s">
        <v>157</v>
      </c>
      <c r="S1623" t="s">
        <v>500</v>
      </c>
      <c r="T1623" t="s">
        <v>164</v>
      </c>
      <c r="U1623">
        <v>1.6928931201874397E-2</v>
      </c>
      <c r="V1623" t="s">
        <v>157</v>
      </c>
    </row>
    <row r="1624" spans="9:22" x14ac:dyDescent="0.45">
      <c r="I1624" t="s">
        <v>278</v>
      </c>
      <c r="J1624" t="s">
        <v>165</v>
      </c>
      <c r="K1624">
        <v>1.4870159263341066E-3</v>
      </c>
      <c r="L1624" t="s">
        <v>157</v>
      </c>
      <c r="N1624" t="s">
        <v>389</v>
      </c>
      <c r="O1624" t="s">
        <v>165</v>
      </c>
      <c r="P1624">
        <v>1.7995104309766138E-2</v>
      </c>
      <c r="Q1624" t="s">
        <v>157</v>
      </c>
      <c r="S1624" t="s">
        <v>500</v>
      </c>
      <c r="T1624" t="s">
        <v>165</v>
      </c>
      <c r="U1624">
        <v>1.669251933635215E-2</v>
      </c>
      <c r="V1624" t="s">
        <v>157</v>
      </c>
    </row>
    <row r="1625" spans="9:22" x14ac:dyDescent="0.45">
      <c r="I1625" t="s">
        <v>278</v>
      </c>
      <c r="J1625" t="s">
        <v>166</v>
      </c>
      <c r="K1625">
        <v>0</v>
      </c>
      <c r="L1625" t="s">
        <v>157</v>
      </c>
      <c r="N1625" t="s">
        <v>389</v>
      </c>
      <c r="O1625" t="s">
        <v>166</v>
      </c>
      <c r="P1625">
        <v>8.5853105874069482E-2</v>
      </c>
      <c r="Q1625" t="s">
        <v>157</v>
      </c>
      <c r="S1625" t="s">
        <v>500</v>
      </c>
      <c r="T1625" t="s">
        <v>166</v>
      </c>
      <c r="U1625">
        <v>8.7019799453614294E-2</v>
      </c>
      <c r="V1625" t="s">
        <v>157</v>
      </c>
    </row>
    <row r="1626" spans="9:22" x14ac:dyDescent="0.45">
      <c r="I1626" t="s">
        <v>278</v>
      </c>
      <c r="J1626" t="s">
        <v>167</v>
      </c>
      <c r="K1626">
        <v>1.9794409015440648E-2</v>
      </c>
      <c r="L1626" t="s">
        <v>157</v>
      </c>
      <c r="N1626" t="s">
        <v>389</v>
      </c>
      <c r="O1626" t="s">
        <v>167</v>
      </c>
      <c r="P1626">
        <v>3.1550943982628199E-2</v>
      </c>
      <c r="Q1626" t="s">
        <v>157</v>
      </c>
      <c r="S1626" t="s">
        <v>500</v>
      </c>
      <c r="T1626" t="s">
        <v>167</v>
      </c>
      <c r="U1626">
        <v>2.7573663900640578E-2</v>
      </c>
      <c r="V1626" t="s">
        <v>157</v>
      </c>
    </row>
    <row r="1627" spans="9:22" x14ac:dyDescent="0.45">
      <c r="I1627" t="s">
        <v>278</v>
      </c>
      <c r="J1627" t="s">
        <v>168</v>
      </c>
      <c r="K1627">
        <v>0.20475852795739866</v>
      </c>
      <c r="L1627" t="s">
        <v>157</v>
      </c>
      <c r="N1627" t="s">
        <v>389</v>
      </c>
      <c r="O1627" t="s">
        <v>168</v>
      </c>
      <c r="P1627">
        <v>6.6159120193210963E-2</v>
      </c>
      <c r="Q1627" t="s">
        <v>157</v>
      </c>
      <c r="S1627" t="s">
        <v>500</v>
      </c>
      <c r="T1627" t="s">
        <v>168</v>
      </c>
      <c r="U1627">
        <v>6.6907140452867997E-2</v>
      </c>
      <c r="V1627" t="s">
        <v>157</v>
      </c>
    </row>
    <row r="1628" spans="9:22" x14ac:dyDescent="0.45">
      <c r="I1628" t="s">
        <v>278</v>
      </c>
      <c r="J1628" t="s">
        <v>169</v>
      </c>
      <c r="K1628">
        <v>1.4353121321420971E-2</v>
      </c>
      <c r="L1628" t="s">
        <v>157</v>
      </c>
      <c r="N1628" t="s">
        <v>389</v>
      </c>
      <c r="O1628" t="s">
        <v>169</v>
      </c>
      <c r="P1628">
        <v>6.9694566772196325E-3</v>
      </c>
      <c r="Q1628" t="s">
        <v>157</v>
      </c>
      <c r="S1628" t="s">
        <v>500</v>
      </c>
      <c r="T1628" t="s">
        <v>169</v>
      </c>
      <c r="U1628">
        <v>6.6648725860394328E-3</v>
      </c>
      <c r="V1628" t="s">
        <v>157</v>
      </c>
    </row>
    <row r="1629" spans="9:22" x14ac:dyDescent="0.45">
      <c r="I1629" t="s">
        <v>278</v>
      </c>
      <c r="J1629" t="s">
        <v>170</v>
      </c>
      <c r="K1629">
        <v>9.8185718564967085E-3</v>
      </c>
      <c r="L1629" t="s">
        <v>157</v>
      </c>
      <c r="N1629" t="s">
        <v>389</v>
      </c>
      <c r="O1629" t="s">
        <v>170</v>
      </c>
      <c r="P1629">
        <v>6.7525661905861126E-3</v>
      </c>
      <c r="Q1629" t="s">
        <v>157</v>
      </c>
      <c r="S1629" t="s">
        <v>500</v>
      </c>
      <c r="T1629" t="s">
        <v>170</v>
      </c>
      <c r="U1629">
        <v>5.694600039893122E-3</v>
      </c>
      <c r="V1629" t="s">
        <v>157</v>
      </c>
    </row>
    <row r="1630" spans="9:22" x14ac:dyDescent="0.45">
      <c r="I1630" t="s">
        <v>278</v>
      </c>
      <c r="J1630" t="s">
        <v>171</v>
      </c>
      <c r="K1630">
        <v>9.5492851639425967E-4</v>
      </c>
      <c r="L1630" t="s">
        <v>157</v>
      </c>
      <c r="N1630" t="s">
        <v>389</v>
      </c>
      <c r="O1630" t="s">
        <v>171</v>
      </c>
      <c r="P1630">
        <v>2.805786708685264E-2</v>
      </c>
      <c r="Q1630" t="s">
        <v>157</v>
      </c>
      <c r="S1630" t="s">
        <v>500</v>
      </c>
      <c r="T1630" t="s">
        <v>171</v>
      </c>
      <c r="U1630">
        <v>2.0692034843741807E-2</v>
      </c>
      <c r="V1630" t="s">
        <v>157</v>
      </c>
    </row>
    <row r="1631" spans="9:22" x14ac:dyDescent="0.45">
      <c r="I1631" t="s">
        <v>279</v>
      </c>
      <c r="J1631" t="s">
        <v>156</v>
      </c>
      <c r="K1631">
        <v>1.9025663666155272E-2</v>
      </c>
      <c r="L1631" t="s">
        <v>157</v>
      </c>
      <c r="N1631" t="s">
        <v>390</v>
      </c>
      <c r="O1631" t="s">
        <v>156</v>
      </c>
      <c r="P1631">
        <v>0.1072109903072628</v>
      </c>
      <c r="Q1631" t="s">
        <v>157</v>
      </c>
      <c r="S1631" t="s">
        <v>501</v>
      </c>
      <c r="T1631" t="s">
        <v>156</v>
      </c>
      <c r="U1631">
        <v>0.12476279973752488</v>
      </c>
      <c r="V1631" t="s">
        <v>157</v>
      </c>
    </row>
    <row r="1632" spans="9:22" x14ac:dyDescent="0.45">
      <c r="I1632" t="s">
        <v>279</v>
      </c>
      <c r="J1632" t="s">
        <v>158</v>
      </c>
      <c r="K1632">
        <v>0.43150382827707706</v>
      </c>
      <c r="L1632" t="s">
        <v>157</v>
      </c>
      <c r="N1632" t="s">
        <v>390</v>
      </c>
      <c r="O1632" t="s">
        <v>158</v>
      </c>
      <c r="P1632">
        <v>0.17784746133139065</v>
      </c>
      <c r="Q1632" t="s">
        <v>157</v>
      </c>
      <c r="S1632" t="s">
        <v>501</v>
      </c>
      <c r="T1632" t="s">
        <v>158</v>
      </c>
      <c r="U1632">
        <v>0.19300503918311426</v>
      </c>
      <c r="V1632" t="s">
        <v>157</v>
      </c>
    </row>
    <row r="1633" spans="9:22" x14ac:dyDescent="0.45">
      <c r="I1633" t="s">
        <v>279</v>
      </c>
      <c r="J1633" t="s">
        <v>159</v>
      </c>
      <c r="K1633">
        <v>2.6613628126293146E-2</v>
      </c>
      <c r="L1633" t="s">
        <v>157</v>
      </c>
      <c r="N1633" t="s">
        <v>390</v>
      </c>
      <c r="O1633" t="s">
        <v>159</v>
      </c>
      <c r="P1633">
        <v>1.974173923846681E-2</v>
      </c>
      <c r="Q1633" t="s">
        <v>157</v>
      </c>
      <c r="S1633" t="s">
        <v>501</v>
      </c>
      <c r="T1633" t="s">
        <v>159</v>
      </c>
      <c r="U1633">
        <v>2.0881718848221004E-2</v>
      </c>
      <c r="V1633" t="s">
        <v>157</v>
      </c>
    </row>
    <row r="1634" spans="9:22" x14ac:dyDescent="0.45">
      <c r="I1634" t="s">
        <v>279</v>
      </c>
      <c r="J1634" t="s">
        <v>160</v>
      </c>
      <c r="K1634">
        <v>1.6107405853245525E-2</v>
      </c>
      <c r="L1634" t="s">
        <v>157</v>
      </c>
      <c r="N1634" t="s">
        <v>390</v>
      </c>
      <c r="O1634" t="s">
        <v>160</v>
      </c>
      <c r="P1634">
        <v>1.9937640818762929E-2</v>
      </c>
      <c r="Q1634" t="s">
        <v>157</v>
      </c>
      <c r="S1634" t="s">
        <v>501</v>
      </c>
      <c r="T1634" t="s">
        <v>160</v>
      </c>
      <c r="U1634">
        <v>1.9336772483978949E-2</v>
      </c>
      <c r="V1634" t="s">
        <v>157</v>
      </c>
    </row>
    <row r="1635" spans="9:22" x14ac:dyDescent="0.45">
      <c r="I1635" t="s">
        <v>279</v>
      </c>
      <c r="J1635" t="s">
        <v>161</v>
      </c>
      <c r="K1635">
        <v>2.6664339612747076E-3</v>
      </c>
      <c r="L1635" t="s">
        <v>157</v>
      </c>
      <c r="N1635" t="s">
        <v>390</v>
      </c>
      <c r="O1635" t="s">
        <v>161</v>
      </c>
      <c r="P1635">
        <v>8.8030331668186815E-2</v>
      </c>
      <c r="Q1635" t="s">
        <v>157</v>
      </c>
      <c r="S1635" t="s">
        <v>501</v>
      </c>
      <c r="T1635" t="s">
        <v>161</v>
      </c>
      <c r="U1635">
        <v>8.418525324513712E-2</v>
      </c>
      <c r="V1635" t="s">
        <v>157</v>
      </c>
    </row>
    <row r="1636" spans="9:22" x14ac:dyDescent="0.45">
      <c r="I1636" t="s">
        <v>279</v>
      </c>
      <c r="J1636" t="s">
        <v>162</v>
      </c>
      <c r="K1636">
        <v>7.9533460070738173E-3</v>
      </c>
      <c r="L1636" t="s">
        <v>157</v>
      </c>
      <c r="N1636" t="s">
        <v>390</v>
      </c>
      <c r="O1636" t="s">
        <v>162</v>
      </c>
      <c r="P1636">
        <v>0.11369894910694908</v>
      </c>
      <c r="Q1636" t="s">
        <v>157</v>
      </c>
      <c r="S1636" t="s">
        <v>501</v>
      </c>
      <c r="T1636" t="s">
        <v>162</v>
      </c>
      <c r="U1636">
        <v>0.11568609081932982</v>
      </c>
      <c r="V1636" t="s">
        <v>157</v>
      </c>
    </row>
    <row r="1637" spans="9:22" x14ac:dyDescent="0.45">
      <c r="I1637" t="s">
        <v>279</v>
      </c>
      <c r="J1637" t="s">
        <v>163</v>
      </c>
      <c r="K1637">
        <v>0.23483994306100023</v>
      </c>
      <c r="L1637" t="s">
        <v>157</v>
      </c>
      <c r="N1637" t="s">
        <v>390</v>
      </c>
      <c r="O1637" t="s">
        <v>163</v>
      </c>
      <c r="P1637">
        <v>0.21499416312120007</v>
      </c>
      <c r="Q1637" t="s">
        <v>157</v>
      </c>
      <c r="S1637" t="s">
        <v>501</v>
      </c>
      <c r="T1637" t="s">
        <v>163</v>
      </c>
      <c r="U1637">
        <v>0.17671423506163703</v>
      </c>
      <c r="V1637" t="s">
        <v>157</v>
      </c>
    </row>
    <row r="1638" spans="9:22" x14ac:dyDescent="0.45">
      <c r="I1638" t="s">
        <v>279</v>
      </c>
      <c r="J1638" t="s">
        <v>164</v>
      </c>
      <c r="K1638">
        <v>1.1798107129599266E-2</v>
      </c>
      <c r="L1638" t="s">
        <v>157</v>
      </c>
      <c r="N1638" t="s">
        <v>390</v>
      </c>
      <c r="O1638" t="s">
        <v>164</v>
      </c>
      <c r="P1638">
        <v>1.8855476684274636E-2</v>
      </c>
      <c r="Q1638" t="s">
        <v>157</v>
      </c>
      <c r="S1638" t="s">
        <v>501</v>
      </c>
      <c r="T1638" t="s">
        <v>164</v>
      </c>
      <c r="U1638">
        <v>1.6780493838313367E-2</v>
      </c>
      <c r="V1638" t="s">
        <v>157</v>
      </c>
    </row>
    <row r="1639" spans="9:22" x14ac:dyDescent="0.45">
      <c r="I1639" t="s">
        <v>279</v>
      </c>
      <c r="J1639" t="s">
        <v>165</v>
      </c>
      <c r="K1639">
        <v>1.3644264544793712E-3</v>
      </c>
      <c r="L1639" t="s">
        <v>157</v>
      </c>
      <c r="N1639" t="s">
        <v>390</v>
      </c>
      <c r="O1639" t="s">
        <v>165</v>
      </c>
      <c r="P1639">
        <v>1.7724044732637424E-2</v>
      </c>
      <c r="Q1639" t="s">
        <v>157</v>
      </c>
      <c r="S1639" t="s">
        <v>501</v>
      </c>
      <c r="T1639" t="s">
        <v>165</v>
      </c>
      <c r="U1639">
        <v>1.6282478450669335E-2</v>
      </c>
      <c r="V1639" t="s">
        <v>157</v>
      </c>
    </row>
    <row r="1640" spans="9:22" x14ac:dyDescent="0.45">
      <c r="I1640" t="s">
        <v>279</v>
      </c>
      <c r="J1640" t="s">
        <v>166</v>
      </c>
      <c r="K1640">
        <v>0</v>
      </c>
      <c r="L1640" t="s">
        <v>157</v>
      </c>
      <c r="N1640" t="s">
        <v>390</v>
      </c>
      <c r="O1640" t="s">
        <v>166</v>
      </c>
      <c r="P1640">
        <v>8.1089928697113151E-2</v>
      </c>
      <c r="Q1640" t="s">
        <v>157</v>
      </c>
      <c r="S1640" t="s">
        <v>501</v>
      </c>
      <c r="T1640" t="s">
        <v>166</v>
      </c>
      <c r="U1640">
        <v>8.1935811800339778E-2</v>
      </c>
      <c r="V1640" t="s">
        <v>157</v>
      </c>
    </row>
    <row r="1641" spans="9:22" x14ac:dyDescent="0.45">
      <c r="I1641" t="s">
        <v>279</v>
      </c>
      <c r="J1641" t="s">
        <v>167</v>
      </c>
      <c r="K1641">
        <v>2.0400656413071643E-2</v>
      </c>
      <c r="L1641" t="s">
        <v>157</v>
      </c>
      <c r="N1641" t="s">
        <v>390</v>
      </c>
      <c r="O1641" t="s">
        <v>167</v>
      </c>
      <c r="P1641">
        <v>3.0521014456877427E-2</v>
      </c>
      <c r="Q1641" t="s">
        <v>157</v>
      </c>
      <c r="S1641" t="s">
        <v>501</v>
      </c>
      <c r="T1641" t="s">
        <v>167</v>
      </c>
      <c r="U1641">
        <v>3.5280347996847636E-2</v>
      </c>
      <c r="V1641" t="s">
        <v>157</v>
      </c>
    </row>
    <row r="1642" spans="9:22" x14ac:dyDescent="0.45">
      <c r="I1642" t="s">
        <v>279</v>
      </c>
      <c r="J1642" t="s">
        <v>168</v>
      </c>
      <c r="K1642">
        <v>0.20243691454252735</v>
      </c>
      <c r="L1642" t="s">
        <v>157</v>
      </c>
      <c r="N1642" t="s">
        <v>390</v>
      </c>
      <c r="O1642" t="s">
        <v>168</v>
      </c>
      <c r="P1642">
        <v>6.9325985597569389E-2</v>
      </c>
      <c r="Q1642" t="s">
        <v>157</v>
      </c>
      <c r="S1642" t="s">
        <v>501</v>
      </c>
      <c r="T1642" t="s">
        <v>168</v>
      </c>
      <c r="U1642">
        <v>7.1018080436679468E-2</v>
      </c>
      <c r="V1642" t="s">
        <v>157</v>
      </c>
    </row>
    <row r="1643" spans="9:22" x14ac:dyDescent="0.45">
      <c r="I1643" t="s">
        <v>279</v>
      </c>
      <c r="J1643" t="s">
        <v>169</v>
      </c>
      <c r="K1643">
        <v>1.4696498006500108E-2</v>
      </c>
      <c r="L1643" t="s">
        <v>157</v>
      </c>
      <c r="N1643" t="s">
        <v>390</v>
      </c>
      <c r="O1643" t="s">
        <v>169</v>
      </c>
      <c r="P1643">
        <v>7.5726553859629831E-3</v>
      </c>
      <c r="Q1643" t="s">
        <v>157</v>
      </c>
      <c r="S1643" t="s">
        <v>501</v>
      </c>
      <c r="T1643" t="s">
        <v>169</v>
      </c>
      <c r="U1643">
        <v>7.804866092524323E-3</v>
      </c>
      <c r="V1643" t="s">
        <v>157</v>
      </c>
    </row>
    <row r="1644" spans="9:22" x14ac:dyDescent="0.45">
      <c r="I1644" t="s">
        <v>279</v>
      </c>
      <c r="J1644" t="s">
        <v>170</v>
      </c>
      <c r="K1644">
        <v>9.9848932027616043E-3</v>
      </c>
      <c r="L1644" t="s">
        <v>157</v>
      </c>
      <c r="N1644" t="s">
        <v>390</v>
      </c>
      <c r="O1644" t="s">
        <v>170</v>
      </c>
      <c r="P1644">
        <v>6.7106454546424135E-3</v>
      </c>
      <c r="Q1644" t="s">
        <v>157</v>
      </c>
      <c r="S1644" t="s">
        <v>501</v>
      </c>
      <c r="T1644" t="s">
        <v>170</v>
      </c>
      <c r="U1644">
        <v>7.3343105313963741E-3</v>
      </c>
      <c r="V1644" t="s">
        <v>157</v>
      </c>
    </row>
    <row r="1645" spans="9:22" x14ac:dyDescent="0.45">
      <c r="I1645" t="s">
        <v>279</v>
      </c>
      <c r="J1645" t="s">
        <v>171</v>
      </c>
      <c r="K1645">
        <v>6.08255298940831E-4</v>
      </c>
      <c r="L1645" t="s">
        <v>157</v>
      </c>
      <c r="N1645" t="s">
        <v>390</v>
      </c>
      <c r="O1645" t="s">
        <v>171</v>
      </c>
      <c r="P1645">
        <v>2.6738973398703507E-2</v>
      </c>
      <c r="Q1645" t="s">
        <v>157</v>
      </c>
      <c r="S1645" t="s">
        <v>501</v>
      </c>
      <c r="T1645" t="s">
        <v>171</v>
      </c>
      <c r="U1645">
        <v>2.8991701474286619E-2</v>
      </c>
      <c r="V1645" t="s">
        <v>157</v>
      </c>
    </row>
    <row r="1646" spans="9:22" x14ac:dyDescent="0.45">
      <c r="I1646" t="s">
        <v>280</v>
      </c>
      <c r="J1646" t="s">
        <v>156</v>
      </c>
      <c r="K1646">
        <v>1.909622129280596E-2</v>
      </c>
      <c r="L1646" t="s">
        <v>157</v>
      </c>
      <c r="N1646" t="s">
        <v>391</v>
      </c>
      <c r="O1646" t="s">
        <v>156</v>
      </c>
      <c r="P1646">
        <v>0.1132413137373931</v>
      </c>
      <c r="Q1646" t="s">
        <v>157</v>
      </c>
      <c r="S1646" t="s">
        <v>502</v>
      </c>
      <c r="T1646" t="s">
        <v>156</v>
      </c>
      <c r="U1646">
        <v>0.12900309974668783</v>
      </c>
      <c r="V1646" t="s">
        <v>157</v>
      </c>
    </row>
    <row r="1647" spans="9:22" x14ac:dyDescent="0.45">
      <c r="I1647" t="s">
        <v>280</v>
      </c>
      <c r="J1647" t="s">
        <v>158</v>
      </c>
      <c r="K1647">
        <v>0.42674183609196148</v>
      </c>
      <c r="L1647" t="s">
        <v>157</v>
      </c>
      <c r="N1647" t="s">
        <v>391</v>
      </c>
      <c r="O1647" t="s">
        <v>158</v>
      </c>
      <c r="P1647">
        <v>0.18114132640431124</v>
      </c>
      <c r="Q1647" t="s">
        <v>157</v>
      </c>
      <c r="S1647" t="s">
        <v>502</v>
      </c>
      <c r="T1647" t="s">
        <v>158</v>
      </c>
      <c r="U1647">
        <v>0.18839976510880327</v>
      </c>
      <c r="V1647" t="s">
        <v>157</v>
      </c>
    </row>
    <row r="1648" spans="9:22" x14ac:dyDescent="0.45">
      <c r="I1648" t="s">
        <v>280</v>
      </c>
      <c r="J1648" t="s">
        <v>159</v>
      </c>
      <c r="K1648">
        <v>2.6069691229699217E-2</v>
      </c>
      <c r="L1648" t="s">
        <v>157</v>
      </c>
      <c r="N1648" t="s">
        <v>391</v>
      </c>
      <c r="O1648" t="s">
        <v>159</v>
      </c>
      <c r="P1648">
        <v>2.0648306555421835E-2</v>
      </c>
      <c r="Q1648" t="s">
        <v>157</v>
      </c>
      <c r="S1648" t="s">
        <v>502</v>
      </c>
      <c r="T1648" t="s">
        <v>159</v>
      </c>
      <c r="U1648">
        <v>2.0680259328060408E-2</v>
      </c>
      <c r="V1648" t="s">
        <v>157</v>
      </c>
    </row>
    <row r="1649" spans="9:22" x14ac:dyDescent="0.45">
      <c r="I1649" t="s">
        <v>280</v>
      </c>
      <c r="J1649" t="s">
        <v>160</v>
      </c>
      <c r="K1649">
        <v>1.4951470607713664E-2</v>
      </c>
      <c r="L1649" t="s">
        <v>157</v>
      </c>
      <c r="N1649" t="s">
        <v>391</v>
      </c>
      <c r="O1649" t="s">
        <v>160</v>
      </c>
      <c r="P1649">
        <v>2.0377584693395071E-2</v>
      </c>
      <c r="Q1649" t="s">
        <v>157</v>
      </c>
      <c r="S1649" t="s">
        <v>502</v>
      </c>
      <c r="T1649" t="s">
        <v>160</v>
      </c>
      <c r="U1649">
        <v>1.9929802859643995E-2</v>
      </c>
      <c r="V1649" t="s">
        <v>157</v>
      </c>
    </row>
    <row r="1650" spans="9:22" x14ac:dyDescent="0.45">
      <c r="I1650" t="s">
        <v>280</v>
      </c>
      <c r="J1650" t="s">
        <v>161</v>
      </c>
      <c r="K1650">
        <v>1.5201844951086077E-3</v>
      </c>
      <c r="L1650" t="s">
        <v>157</v>
      </c>
      <c r="N1650" t="s">
        <v>391</v>
      </c>
      <c r="O1650" t="s">
        <v>161</v>
      </c>
      <c r="P1650">
        <v>9.4029118167023709E-2</v>
      </c>
      <c r="Q1650" t="s">
        <v>157</v>
      </c>
      <c r="S1650" t="s">
        <v>502</v>
      </c>
      <c r="T1650" t="s">
        <v>161</v>
      </c>
      <c r="U1650">
        <v>8.8604471174630522E-2</v>
      </c>
      <c r="V1650" t="s">
        <v>157</v>
      </c>
    </row>
    <row r="1651" spans="9:22" x14ac:dyDescent="0.45">
      <c r="I1651" t="s">
        <v>280</v>
      </c>
      <c r="J1651" t="s">
        <v>162</v>
      </c>
      <c r="K1651">
        <v>9.1059963725574483E-3</v>
      </c>
      <c r="L1651" t="s">
        <v>157</v>
      </c>
      <c r="N1651" t="s">
        <v>391</v>
      </c>
      <c r="O1651" t="s">
        <v>162</v>
      </c>
      <c r="P1651">
        <v>0.11223932292553271</v>
      </c>
      <c r="Q1651" t="s">
        <v>157</v>
      </c>
      <c r="S1651" t="s">
        <v>502</v>
      </c>
      <c r="T1651" t="s">
        <v>162</v>
      </c>
      <c r="U1651">
        <v>0.1103190859685855</v>
      </c>
      <c r="V1651" t="s">
        <v>157</v>
      </c>
    </row>
    <row r="1652" spans="9:22" x14ac:dyDescent="0.45">
      <c r="I1652" t="s">
        <v>280</v>
      </c>
      <c r="J1652" t="s">
        <v>163</v>
      </c>
      <c r="K1652">
        <v>0.24247934497707413</v>
      </c>
      <c r="L1652" t="s">
        <v>157</v>
      </c>
      <c r="N1652" t="s">
        <v>391</v>
      </c>
      <c r="O1652" t="s">
        <v>163</v>
      </c>
      <c r="P1652">
        <v>0.19175648728109912</v>
      </c>
      <c r="Q1652" t="s">
        <v>157</v>
      </c>
      <c r="S1652" t="s">
        <v>502</v>
      </c>
      <c r="T1652" t="s">
        <v>163</v>
      </c>
      <c r="U1652">
        <v>0.16607672482532529</v>
      </c>
      <c r="V1652" t="s">
        <v>157</v>
      </c>
    </row>
    <row r="1653" spans="9:22" x14ac:dyDescent="0.45">
      <c r="I1653" t="s">
        <v>280</v>
      </c>
      <c r="J1653" t="s">
        <v>164</v>
      </c>
      <c r="K1653">
        <v>1.162871073492942E-2</v>
      </c>
      <c r="L1653" t="s">
        <v>157</v>
      </c>
      <c r="N1653" t="s">
        <v>391</v>
      </c>
      <c r="O1653" t="s">
        <v>164</v>
      </c>
      <c r="P1653">
        <v>1.8784582131945744E-2</v>
      </c>
      <c r="Q1653" t="s">
        <v>157</v>
      </c>
      <c r="S1653" t="s">
        <v>502</v>
      </c>
      <c r="T1653" t="s">
        <v>164</v>
      </c>
      <c r="U1653">
        <v>1.7011217336828852E-2</v>
      </c>
      <c r="V1653" t="s">
        <v>157</v>
      </c>
    </row>
    <row r="1654" spans="9:22" x14ac:dyDescent="0.45">
      <c r="I1654" t="s">
        <v>280</v>
      </c>
      <c r="J1654" t="s">
        <v>165</v>
      </c>
      <c r="K1654">
        <v>1.6465841391126023E-3</v>
      </c>
      <c r="L1654" t="s">
        <v>157</v>
      </c>
      <c r="N1654" t="s">
        <v>391</v>
      </c>
      <c r="O1654" t="s">
        <v>165</v>
      </c>
      <c r="P1654">
        <v>1.7533061385484775E-2</v>
      </c>
      <c r="Q1654" t="s">
        <v>157</v>
      </c>
      <c r="S1654" t="s">
        <v>502</v>
      </c>
      <c r="T1654" t="s">
        <v>165</v>
      </c>
      <c r="U1654">
        <v>1.6717760385897548E-2</v>
      </c>
      <c r="V1654" t="s">
        <v>157</v>
      </c>
    </row>
    <row r="1655" spans="9:22" x14ac:dyDescent="0.45">
      <c r="I1655" t="s">
        <v>280</v>
      </c>
      <c r="J1655" t="s">
        <v>166</v>
      </c>
      <c r="K1655">
        <v>0</v>
      </c>
      <c r="L1655" t="s">
        <v>157</v>
      </c>
      <c r="N1655" t="s">
        <v>391</v>
      </c>
      <c r="O1655" t="s">
        <v>166</v>
      </c>
      <c r="P1655">
        <v>8.1937763320436646E-2</v>
      </c>
      <c r="Q1655" t="s">
        <v>157</v>
      </c>
      <c r="S1655" t="s">
        <v>502</v>
      </c>
      <c r="T1655" t="s">
        <v>166</v>
      </c>
      <c r="U1655">
        <v>8.2240282578595003E-2</v>
      </c>
      <c r="V1655" t="s">
        <v>157</v>
      </c>
    </row>
    <row r="1656" spans="9:22" x14ac:dyDescent="0.45">
      <c r="I1656" t="s">
        <v>280</v>
      </c>
      <c r="J1656" t="s">
        <v>167</v>
      </c>
      <c r="K1656">
        <v>2.1195920750757668E-2</v>
      </c>
      <c r="L1656" t="s">
        <v>157</v>
      </c>
      <c r="N1656" t="s">
        <v>391</v>
      </c>
      <c r="O1656" t="s">
        <v>167</v>
      </c>
      <c r="P1656">
        <v>3.6142849024292073E-2</v>
      </c>
      <c r="Q1656" t="s">
        <v>157</v>
      </c>
      <c r="S1656" t="s">
        <v>502</v>
      </c>
      <c r="T1656" t="s">
        <v>167</v>
      </c>
      <c r="U1656">
        <v>4.1881807532050182E-2</v>
      </c>
      <c r="V1656" t="s">
        <v>157</v>
      </c>
    </row>
    <row r="1657" spans="9:22" x14ac:dyDescent="0.45">
      <c r="I1657" t="s">
        <v>280</v>
      </c>
      <c r="J1657" t="s">
        <v>168</v>
      </c>
      <c r="K1657">
        <v>0.20094336638498445</v>
      </c>
      <c r="L1657" t="s">
        <v>157</v>
      </c>
      <c r="N1657" t="s">
        <v>391</v>
      </c>
      <c r="O1657" t="s">
        <v>168</v>
      </c>
      <c r="P1657">
        <v>6.5913841286947064E-2</v>
      </c>
      <c r="Q1657" t="s">
        <v>157</v>
      </c>
      <c r="S1657" t="s">
        <v>502</v>
      </c>
      <c r="T1657" t="s">
        <v>168</v>
      </c>
      <c r="U1657">
        <v>7.0012669177964212E-2</v>
      </c>
      <c r="V1657" t="s">
        <v>157</v>
      </c>
    </row>
    <row r="1658" spans="9:22" x14ac:dyDescent="0.45">
      <c r="I1658" t="s">
        <v>280</v>
      </c>
      <c r="J1658" t="s">
        <v>169</v>
      </c>
      <c r="K1658">
        <v>1.4668939741836706E-2</v>
      </c>
      <c r="L1658" t="s">
        <v>157</v>
      </c>
      <c r="N1658" t="s">
        <v>391</v>
      </c>
      <c r="O1658" t="s">
        <v>169</v>
      </c>
      <c r="P1658">
        <v>7.5753296880599844E-3</v>
      </c>
      <c r="Q1658" t="s">
        <v>157</v>
      </c>
      <c r="S1658" t="s">
        <v>502</v>
      </c>
      <c r="T1658" t="s">
        <v>169</v>
      </c>
      <c r="U1658">
        <v>8.0067910646254518E-3</v>
      </c>
      <c r="V1658" t="s">
        <v>157</v>
      </c>
    </row>
    <row r="1659" spans="9:22" x14ac:dyDescent="0.45">
      <c r="I1659" t="s">
        <v>280</v>
      </c>
      <c r="J1659" t="s">
        <v>170</v>
      </c>
      <c r="K1659">
        <v>9.6631812022008219E-3</v>
      </c>
      <c r="L1659" t="s">
        <v>157</v>
      </c>
      <c r="N1659" t="s">
        <v>391</v>
      </c>
      <c r="O1659" t="s">
        <v>170</v>
      </c>
      <c r="P1659">
        <v>7.4570564428714063E-3</v>
      </c>
      <c r="Q1659" t="s">
        <v>157</v>
      </c>
      <c r="S1659" t="s">
        <v>502</v>
      </c>
      <c r="T1659" t="s">
        <v>170</v>
      </c>
      <c r="U1659">
        <v>7.8333741978324004E-3</v>
      </c>
      <c r="V1659" t="s">
        <v>157</v>
      </c>
    </row>
    <row r="1660" spans="9:22" x14ac:dyDescent="0.45">
      <c r="I1660" t="s">
        <v>280</v>
      </c>
      <c r="J1660" t="s">
        <v>171</v>
      </c>
      <c r="K1660">
        <v>2.8855197925777443E-4</v>
      </c>
      <c r="L1660" t="s">
        <v>157</v>
      </c>
      <c r="N1660" t="s">
        <v>391</v>
      </c>
      <c r="O1660" t="s">
        <v>171</v>
      </c>
      <c r="P1660">
        <v>3.1222056955785556E-2</v>
      </c>
      <c r="Q1660" t="s">
        <v>157</v>
      </c>
      <c r="S1660" t="s">
        <v>502</v>
      </c>
      <c r="T1660" t="s">
        <v>171</v>
      </c>
      <c r="U1660">
        <v>3.3282888714469508E-2</v>
      </c>
      <c r="V1660" t="s">
        <v>157</v>
      </c>
    </row>
    <row r="1661" spans="9:22" x14ac:dyDescent="0.45">
      <c r="I1661" t="s">
        <v>281</v>
      </c>
      <c r="J1661" t="s">
        <v>156</v>
      </c>
      <c r="K1661">
        <v>1.8769658291990159E-2</v>
      </c>
      <c r="L1661" t="s">
        <v>157</v>
      </c>
      <c r="N1661" t="s">
        <v>392</v>
      </c>
      <c r="O1661" t="s">
        <v>156</v>
      </c>
      <c r="P1661">
        <v>0.12901116203453286</v>
      </c>
      <c r="Q1661" t="s">
        <v>157</v>
      </c>
      <c r="S1661" t="s">
        <v>503</v>
      </c>
      <c r="T1661" t="s">
        <v>156</v>
      </c>
      <c r="U1661">
        <v>0.12949922308626258</v>
      </c>
      <c r="V1661" t="s">
        <v>157</v>
      </c>
    </row>
    <row r="1662" spans="9:22" x14ac:dyDescent="0.45">
      <c r="I1662" t="s">
        <v>281</v>
      </c>
      <c r="J1662" t="s">
        <v>158</v>
      </c>
      <c r="K1662">
        <v>0.42381301567734275</v>
      </c>
      <c r="L1662" t="s">
        <v>157</v>
      </c>
      <c r="N1662" t="s">
        <v>392</v>
      </c>
      <c r="O1662" t="s">
        <v>158</v>
      </c>
      <c r="P1662">
        <v>0.1827432839730978</v>
      </c>
      <c r="Q1662" t="s">
        <v>157</v>
      </c>
      <c r="S1662" t="s">
        <v>503</v>
      </c>
      <c r="T1662" t="s">
        <v>158</v>
      </c>
      <c r="U1662">
        <v>0.18069166686249089</v>
      </c>
      <c r="V1662" t="s">
        <v>157</v>
      </c>
    </row>
    <row r="1663" spans="9:22" x14ac:dyDescent="0.45">
      <c r="I1663" t="s">
        <v>281</v>
      </c>
      <c r="J1663" t="s">
        <v>159</v>
      </c>
      <c r="K1663">
        <v>2.5909699156243051E-2</v>
      </c>
      <c r="L1663" t="s">
        <v>157</v>
      </c>
      <c r="N1663" t="s">
        <v>392</v>
      </c>
      <c r="O1663" t="s">
        <v>159</v>
      </c>
      <c r="P1663">
        <v>2.0084626368469131E-2</v>
      </c>
      <c r="Q1663" t="s">
        <v>157</v>
      </c>
      <c r="S1663" t="s">
        <v>503</v>
      </c>
      <c r="T1663" t="s">
        <v>159</v>
      </c>
      <c r="U1663">
        <v>1.964792735537681E-2</v>
      </c>
      <c r="V1663" t="s">
        <v>157</v>
      </c>
    </row>
    <row r="1664" spans="9:22" x14ac:dyDescent="0.45">
      <c r="I1664" t="s">
        <v>281</v>
      </c>
      <c r="J1664" t="s">
        <v>160</v>
      </c>
      <c r="K1664">
        <v>1.4350976901045828E-2</v>
      </c>
      <c r="L1664" t="s">
        <v>157</v>
      </c>
      <c r="N1664" t="s">
        <v>392</v>
      </c>
      <c r="O1664" t="s">
        <v>160</v>
      </c>
      <c r="P1664">
        <v>2.0486130625410964E-2</v>
      </c>
      <c r="Q1664" t="s">
        <v>157</v>
      </c>
      <c r="S1664" t="s">
        <v>503</v>
      </c>
      <c r="T1664" t="s">
        <v>160</v>
      </c>
      <c r="U1664">
        <v>1.9357597384979656E-2</v>
      </c>
      <c r="V1664" t="s">
        <v>157</v>
      </c>
    </row>
    <row r="1665" spans="9:22" x14ac:dyDescent="0.45">
      <c r="I1665" t="s">
        <v>281</v>
      </c>
      <c r="J1665" t="s">
        <v>161</v>
      </c>
      <c r="K1665">
        <v>7.3852764484141117E-4</v>
      </c>
      <c r="L1665" t="s">
        <v>157</v>
      </c>
      <c r="N1665" t="s">
        <v>392</v>
      </c>
      <c r="O1665" t="s">
        <v>161</v>
      </c>
      <c r="P1665">
        <v>0.10129731542180667</v>
      </c>
      <c r="Q1665" t="s">
        <v>157</v>
      </c>
      <c r="S1665" t="s">
        <v>503</v>
      </c>
      <c r="T1665" t="s">
        <v>161</v>
      </c>
      <c r="U1665">
        <v>8.7964136274066768E-2</v>
      </c>
      <c r="V1665" t="s">
        <v>157</v>
      </c>
    </row>
    <row r="1666" spans="9:22" x14ac:dyDescent="0.45">
      <c r="I1666" t="s">
        <v>281</v>
      </c>
      <c r="J1666" t="s">
        <v>162</v>
      </c>
      <c r="K1666">
        <v>9.4425226058012634E-3</v>
      </c>
      <c r="L1666" t="s">
        <v>157</v>
      </c>
      <c r="N1666" t="s">
        <v>392</v>
      </c>
      <c r="O1666" t="s">
        <v>162</v>
      </c>
      <c r="P1666">
        <v>0.11386096103761431</v>
      </c>
      <c r="Q1666" t="s">
        <v>157</v>
      </c>
      <c r="S1666" t="s">
        <v>503</v>
      </c>
      <c r="T1666" t="s">
        <v>162</v>
      </c>
      <c r="U1666">
        <v>0.11693558683662163</v>
      </c>
      <c r="V1666" t="s">
        <v>157</v>
      </c>
    </row>
    <row r="1667" spans="9:22" x14ac:dyDescent="0.45">
      <c r="I1667" t="s">
        <v>281</v>
      </c>
      <c r="J1667" t="s">
        <v>163</v>
      </c>
      <c r="K1667">
        <v>0.246021263518345</v>
      </c>
      <c r="L1667" t="s">
        <v>157</v>
      </c>
      <c r="N1667" t="s">
        <v>392</v>
      </c>
      <c r="O1667" t="s">
        <v>163</v>
      </c>
      <c r="P1667">
        <v>0.17913623244190635</v>
      </c>
      <c r="Q1667" t="s">
        <v>157</v>
      </c>
      <c r="S1667" t="s">
        <v>503</v>
      </c>
      <c r="T1667" t="s">
        <v>163</v>
      </c>
      <c r="U1667">
        <v>0.16909037845284181</v>
      </c>
      <c r="V1667" t="s">
        <v>157</v>
      </c>
    </row>
    <row r="1668" spans="9:22" x14ac:dyDescent="0.45">
      <c r="I1668" t="s">
        <v>281</v>
      </c>
      <c r="J1668" t="s">
        <v>164</v>
      </c>
      <c r="K1668">
        <v>1.1350133137378081E-2</v>
      </c>
      <c r="L1668" t="s">
        <v>157</v>
      </c>
      <c r="N1668" t="s">
        <v>392</v>
      </c>
      <c r="O1668" t="s">
        <v>164</v>
      </c>
      <c r="P1668">
        <v>1.7711854095934169E-2</v>
      </c>
      <c r="Q1668" t="s">
        <v>157</v>
      </c>
      <c r="S1668" t="s">
        <v>503</v>
      </c>
      <c r="T1668" t="s">
        <v>164</v>
      </c>
      <c r="U1668">
        <v>1.7304001534213909E-2</v>
      </c>
      <c r="V1668" t="s">
        <v>157</v>
      </c>
    </row>
    <row r="1669" spans="9:22" x14ac:dyDescent="0.45">
      <c r="I1669" t="s">
        <v>281</v>
      </c>
      <c r="J1669" t="s">
        <v>165</v>
      </c>
      <c r="K1669">
        <v>1.3680750059757282E-3</v>
      </c>
      <c r="L1669" t="s">
        <v>157</v>
      </c>
      <c r="N1669" t="s">
        <v>392</v>
      </c>
      <c r="O1669" t="s">
        <v>165</v>
      </c>
      <c r="P1669">
        <v>1.6897855110219077E-2</v>
      </c>
      <c r="Q1669" t="s">
        <v>157</v>
      </c>
      <c r="S1669" t="s">
        <v>503</v>
      </c>
      <c r="T1669" t="s">
        <v>165</v>
      </c>
      <c r="U1669">
        <v>1.6912562010281715E-2</v>
      </c>
      <c r="V1669" t="s">
        <v>157</v>
      </c>
    </row>
    <row r="1670" spans="9:22" x14ac:dyDescent="0.45">
      <c r="I1670" t="s">
        <v>281</v>
      </c>
      <c r="J1670" t="s">
        <v>166</v>
      </c>
      <c r="K1670">
        <v>0</v>
      </c>
      <c r="L1670" t="s">
        <v>157</v>
      </c>
      <c r="N1670" t="s">
        <v>392</v>
      </c>
      <c r="O1670" t="s">
        <v>166</v>
      </c>
      <c r="P1670">
        <v>8.2633545680205145E-2</v>
      </c>
      <c r="Q1670" t="s">
        <v>157</v>
      </c>
      <c r="S1670" t="s">
        <v>503</v>
      </c>
      <c r="T1670" t="s">
        <v>166</v>
      </c>
      <c r="U1670">
        <v>8.2572080658231045E-2</v>
      </c>
      <c r="V1670" t="s">
        <v>157</v>
      </c>
    </row>
    <row r="1671" spans="9:22" x14ac:dyDescent="0.45">
      <c r="I1671" t="s">
        <v>281</v>
      </c>
      <c r="J1671" t="s">
        <v>167</v>
      </c>
      <c r="K1671">
        <v>2.1805482020362466E-2</v>
      </c>
      <c r="L1671" t="s">
        <v>157</v>
      </c>
      <c r="N1671" t="s">
        <v>392</v>
      </c>
      <c r="O1671" t="s">
        <v>167</v>
      </c>
      <c r="P1671">
        <v>3.7077244948531013E-2</v>
      </c>
      <c r="Q1671" t="s">
        <v>157</v>
      </c>
      <c r="S1671" t="s">
        <v>503</v>
      </c>
      <c r="T1671" t="s">
        <v>167</v>
      </c>
      <c r="U1671">
        <v>4.507955202858898E-2</v>
      </c>
      <c r="V1671" t="s">
        <v>157</v>
      </c>
    </row>
    <row r="1672" spans="9:22" x14ac:dyDescent="0.45">
      <c r="I1672" t="s">
        <v>281</v>
      </c>
      <c r="J1672" t="s">
        <v>168</v>
      </c>
      <c r="K1672">
        <v>0.20176456024838677</v>
      </c>
      <c r="L1672" t="s">
        <v>157</v>
      </c>
      <c r="N1672" t="s">
        <v>392</v>
      </c>
      <c r="O1672" t="s">
        <v>168</v>
      </c>
      <c r="P1672">
        <v>5.5584113300542609E-2</v>
      </c>
      <c r="Q1672" t="s">
        <v>157</v>
      </c>
      <c r="S1672" t="s">
        <v>503</v>
      </c>
      <c r="T1672" t="s">
        <v>168</v>
      </c>
      <c r="U1672">
        <v>6.5401332210496543E-2</v>
      </c>
      <c r="V1672" t="s">
        <v>157</v>
      </c>
    </row>
    <row r="1673" spans="9:22" x14ac:dyDescent="0.45">
      <c r="I1673" t="s">
        <v>281</v>
      </c>
      <c r="J1673" t="s">
        <v>169</v>
      </c>
      <c r="K1673">
        <v>1.4939279275730227E-2</v>
      </c>
      <c r="L1673" t="s">
        <v>157</v>
      </c>
      <c r="N1673" t="s">
        <v>392</v>
      </c>
      <c r="O1673" t="s">
        <v>169</v>
      </c>
      <c r="P1673">
        <v>6.3511987600326147E-3</v>
      </c>
      <c r="Q1673" t="s">
        <v>157</v>
      </c>
      <c r="S1673" t="s">
        <v>503</v>
      </c>
      <c r="T1673" t="s">
        <v>169</v>
      </c>
      <c r="U1673">
        <v>7.5405602283844251E-3</v>
      </c>
      <c r="V1673" t="s">
        <v>157</v>
      </c>
    </row>
    <row r="1674" spans="9:22" x14ac:dyDescent="0.45">
      <c r="I1674" t="s">
        <v>281</v>
      </c>
      <c r="J1674" t="s">
        <v>170</v>
      </c>
      <c r="K1674">
        <v>9.6183173494816775E-3</v>
      </c>
      <c r="L1674" t="s">
        <v>157</v>
      </c>
      <c r="N1674" t="s">
        <v>392</v>
      </c>
      <c r="O1674" t="s">
        <v>170</v>
      </c>
      <c r="P1674">
        <v>6.5719680970760721E-3</v>
      </c>
      <c r="Q1674" t="s">
        <v>157</v>
      </c>
      <c r="S1674" t="s">
        <v>503</v>
      </c>
      <c r="T1674" t="s">
        <v>170</v>
      </c>
      <c r="U1674">
        <v>7.6508410855435222E-3</v>
      </c>
      <c r="V1674" t="s">
        <v>157</v>
      </c>
    </row>
    <row r="1675" spans="9:22" x14ac:dyDescent="0.45">
      <c r="I1675" t="s">
        <v>281</v>
      </c>
      <c r="J1675" t="s">
        <v>171</v>
      </c>
      <c r="K1675">
        <v>1.0848916707555109E-4</v>
      </c>
      <c r="L1675" t="s">
        <v>157</v>
      </c>
      <c r="N1675" t="s">
        <v>392</v>
      </c>
      <c r="O1675" t="s">
        <v>171</v>
      </c>
      <c r="P1675">
        <v>3.0552508104621127E-2</v>
      </c>
      <c r="Q1675" t="s">
        <v>157</v>
      </c>
      <c r="S1675" t="s">
        <v>503</v>
      </c>
      <c r="T1675" t="s">
        <v>171</v>
      </c>
      <c r="U1675">
        <v>3.4352553991619732E-2</v>
      </c>
      <c r="V1675" t="s">
        <v>157</v>
      </c>
    </row>
    <row r="1676" spans="9:22" x14ac:dyDescent="0.45">
      <c r="S1676" t="s">
        <v>504</v>
      </c>
      <c r="T1676" t="s">
        <v>156</v>
      </c>
      <c r="U1676">
        <v>0.12763657784122479</v>
      </c>
      <c r="V1676" t="s">
        <v>157</v>
      </c>
    </row>
    <row r="1677" spans="9:22" x14ac:dyDescent="0.45">
      <c r="S1677" t="s">
        <v>504</v>
      </c>
      <c r="T1677" t="s">
        <v>158</v>
      </c>
      <c r="U1677">
        <v>0.18044075245734131</v>
      </c>
      <c r="V1677" t="s">
        <v>157</v>
      </c>
    </row>
    <row r="1678" spans="9:22" x14ac:dyDescent="0.45">
      <c r="S1678" t="s">
        <v>504</v>
      </c>
      <c r="T1678" t="s">
        <v>159</v>
      </c>
      <c r="U1678">
        <v>1.8953473536658518E-2</v>
      </c>
      <c r="V1678" t="s">
        <v>157</v>
      </c>
    </row>
    <row r="1679" spans="9:22" x14ac:dyDescent="0.45">
      <c r="S1679" t="s">
        <v>504</v>
      </c>
      <c r="T1679" t="s">
        <v>160</v>
      </c>
      <c r="U1679">
        <v>1.8570558025110449E-2</v>
      </c>
      <c r="V1679" t="s">
        <v>157</v>
      </c>
    </row>
    <row r="1680" spans="9:22" x14ac:dyDescent="0.45">
      <c r="S1680" t="s">
        <v>504</v>
      </c>
      <c r="T1680" t="s">
        <v>161</v>
      </c>
      <c r="U1680">
        <v>8.6185054080225226E-2</v>
      </c>
      <c r="V1680" t="s">
        <v>157</v>
      </c>
    </row>
    <row r="1681" spans="19:22" x14ac:dyDescent="0.45">
      <c r="S1681" t="s">
        <v>504</v>
      </c>
      <c r="T1681" t="s">
        <v>162</v>
      </c>
      <c r="U1681">
        <v>0.11955473453183887</v>
      </c>
      <c r="V1681" t="s">
        <v>157</v>
      </c>
    </row>
    <row r="1682" spans="19:22" x14ac:dyDescent="0.45">
      <c r="S1682" t="s">
        <v>504</v>
      </c>
      <c r="T1682" t="s">
        <v>163</v>
      </c>
      <c r="U1682">
        <v>0.16921746727758091</v>
      </c>
      <c r="V1682" t="s">
        <v>157</v>
      </c>
    </row>
    <row r="1683" spans="19:22" x14ac:dyDescent="0.45">
      <c r="S1683" t="s">
        <v>504</v>
      </c>
      <c r="T1683" t="s">
        <v>164</v>
      </c>
      <c r="U1683">
        <v>1.8080915513064007E-2</v>
      </c>
      <c r="V1683" t="s">
        <v>157</v>
      </c>
    </row>
    <row r="1684" spans="19:22" x14ac:dyDescent="0.45">
      <c r="S1684" t="s">
        <v>504</v>
      </c>
      <c r="T1684" t="s">
        <v>165</v>
      </c>
      <c r="U1684">
        <v>1.7843561763576179E-2</v>
      </c>
      <c r="V1684" t="s">
        <v>157</v>
      </c>
    </row>
    <row r="1685" spans="19:22" x14ac:dyDescent="0.45">
      <c r="S1685" t="s">
        <v>504</v>
      </c>
      <c r="T1685" t="s">
        <v>166</v>
      </c>
      <c r="U1685">
        <v>8.6521327130750045E-2</v>
      </c>
      <c r="V1685" t="s">
        <v>157</v>
      </c>
    </row>
    <row r="1686" spans="19:22" x14ac:dyDescent="0.45">
      <c r="S1686" t="s">
        <v>504</v>
      </c>
      <c r="T1686" t="s">
        <v>167</v>
      </c>
      <c r="U1686">
        <v>4.3257955402202196E-2</v>
      </c>
      <c r="V1686" t="s">
        <v>157</v>
      </c>
    </row>
    <row r="1687" spans="19:22" x14ac:dyDescent="0.45">
      <c r="S1687" t="s">
        <v>504</v>
      </c>
      <c r="T1687" t="s">
        <v>168</v>
      </c>
      <c r="U1687">
        <v>6.4748279241723578E-2</v>
      </c>
      <c r="V1687" t="s">
        <v>157</v>
      </c>
    </row>
    <row r="1688" spans="19:22" x14ac:dyDescent="0.45">
      <c r="S1688" t="s">
        <v>504</v>
      </c>
      <c r="T1688" t="s">
        <v>169</v>
      </c>
      <c r="U1688">
        <v>7.3313475178012656E-3</v>
      </c>
      <c r="V1688" t="s">
        <v>157</v>
      </c>
    </row>
    <row r="1689" spans="19:22" x14ac:dyDescent="0.45">
      <c r="S1689" t="s">
        <v>504</v>
      </c>
      <c r="T1689" t="s">
        <v>170</v>
      </c>
      <c r="U1689">
        <v>7.3524615522000021E-3</v>
      </c>
      <c r="V1689" t="s">
        <v>157</v>
      </c>
    </row>
    <row r="1690" spans="19:22" x14ac:dyDescent="0.45">
      <c r="S1690" t="s">
        <v>504</v>
      </c>
      <c r="T1690" t="s">
        <v>171</v>
      </c>
      <c r="U1690">
        <v>3.4305534128702686E-2</v>
      </c>
      <c r="V1690" t="s">
        <v>157</v>
      </c>
    </row>
    <row r="1691" spans="19:22" x14ac:dyDescent="0.45">
      <c r="S1691" t="s">
        <v>505</v>
      </c>
      <c r="T1691" t="s">
        <v>156</v>
      </c>
      <c r="U1691">
        <v>0.12873108998209712</v>
      </c>
      <c r="V1691" t="s">
        <v>157</v>
      </c>
    </row>
    <row r="1692" spans="19:22" x14ac:dyDescent="0.45">
      <c r="S1692" t="s">
        <v>505</v>
      </c>
      <c r="T1692" t="s">
        <v>158</v>
      </c>
      <c r="U1692">
        <v>0.17995578931011869</v>
      </c>
      <c r="V1692" t="s">
        <v>157</v>
      </c>
    </row>
    <row r="1693" spans="19:22" x14ac:dyDescent="0.45">
      <c r="S1693" t="s">
        <v>505</v>
      </c>
      <c r="T1693" t="s">
        <v>159</v>
      </c>
      <c r="U1693">
        <v>1.8649436110576973E-2</v>
      </c>
      <c r="V1693" t="s">
        <v>157</v>
      </c>
    </row>
    <row r="1694" spans="19:22" x14ac:dyDescent="0.45">
      <c r="S1694" t="s">
        <v>505</v>
      </c>
      <c r="T1694" t="s">
        <v>160</v>
      </c>
      <c r="U1694">
        <v>1.8481624275097409E-2</v>
      </c>
      <c r="V1694" t="s">
        <v>157</v>
      </c>
    </row>
    <row r="1695" spans="19:22" x14ac:dyDescent="0.45">
      <c r="S1695" t="s">
        <v>505</v>
      </c>
      <c r="T1695" t="s">
        <v>161</v>
      </c>
      <c r="U1695">
        <v>8.7511404736709902E-2</v>
      </c>
      <c r="V1695" t="s">
        <v>157</v>
      </c>
    </row>
    <row r="1696" spans="19:22" x14ac:dyDescent="0.45">
      <c r="S1696" t="s">
        <v>505</v>
      </c>
      <c r="T1696" t="s">
        <v>162</v>
      </c>
      <c r="U1696">
        <v>0.11930437817738598</v>
      </c>
      <c r="V1696" t="s">
        <v>157</v>
      </c>
    </row>
    <row r="1697" spans="19:22" x14ac:dyDescent="0.45">
      <c r="S1697" t="s">
        <v>505</v>
      </c>
      <c r="T1697" t="s">
        <v>163</v>
      </c>
      <c r="U1697">
        <v>0.17080561414254117</v>
      </c>
      <c r="V1697" t="s">
        <v>157</v>
      </c>
    </row>
    <row r="1698" spans="19:22" x14ac:dyDescent="0.45">
      <c r="S1698" t="s">
        <v>505</v>
      </c>
      <c r="T1698" t="s">
        <v>164</v>
      </c>
      <c r="U1698">
        <v>1.8298558660234773E-2</v>
      </c>
      <c r="V1698" t="s">
        <v>157</v>
      </c>
    </row>
    <row r="1699" spans="19:22" x14ac:dyDescent="0.45">
      <c r="S1699" t="s">
        <v>505</v>
      </c>
      <c r="T1699" t="s">
        <v>165</v>
      </c>
      <c r="U1699">
        <v>1.7893432343128519E-2</v>
      </c>
      <c r="V1699" t="s">
        <v>157</v>
      </c>
    </row>
    <row r="1700" spans="19:22" x14ac:dyDescent="0.45">
      <c r="S1700" t="s">
        <v>505</v>
      </c>
      <c r="T1700" t="s">
        <v>166</v>
      </c>
      <c r="U1700">
        <v>8.6281725534666995E-2</v>
      </c>
      <c r="V1700" t="s">
        <v>157</v>
      </c>
    </row>
    <row r="1701" spans="19:22" x14ac:dyDescent="0.45">
      <c r="S1701" t="s">
        <v>505</v>
      </c>
      <c r="T1701" t="s">
        <v>167</v>
      </c>
      <c r="U1701">
        <v>4.1533119687803932E-2</v>
      </c>
      <c r="V1701" t="s">
        <v>157</v>
      </c>
    </row>
    <row r="1702" spans="19:22" x14ac:dyDescent="0.45">
      <c r="S1702" t="s">
        <v>505</v>
      </c>
      <c r="T1702" t="s">
        <v>168</v>
      </c>
      <c r="U1702">
        <v>6.4529141648469471E-2</v>
      </c>
      <c r="V1702" t="s">
        <v>157</v>
      </c>
    </row>
    <row r="1703" spans="19:22" x14ac:dyDescent="0.45">
      <c r="S1703" t="s">
        <v>505</v>
      </c>
      <c r="T1703" t="s">
        <v>169</v>
      </c>
      <c r="U1703">
        <v>7.2495193082352579E-3</v>
      </c>
      <c r="V1703" t="s">
        <v>157</v>
      </c>
    </row>
    <row r="1704" spans="19:22" x14ac:dyDescent="0.45">
      <c r="S1704" t="s">
        <v>505</v>
      </c>
      <c r="T1704" t="s">
        <v>170</v>
      </c>
      <c r="U1704">
        <v>7.1140384839291151E-3</v>
      </c>
      <c r="V1704" t="s">
        <v>157</v>
      </c>
    </row>
    <row r="1705" spans="19:22" x14ac:dyDescent="0.45">
      <c r="S1705" t="s">
        <v>505</v>
      </c>
      <c r="T1705" t="s">
        <v>171</v>
      </c>
      <c r="U1705">
        <v>3.3661127599004727E-2</v>
      </c>
      <c r="V1705" t="s">
        <v>157</v>
      </c>
    </row>
    <row r="1706" spans="19:22" x14ac:dyDescent="0.45">
      <c r="S1706" t="s">
        <v>506</v>
      </c>
      <c r="T1706" t="s">
        <v>156</v>
      </c>
      <c r="U1706">
        <v>0.13089803093514979</v>
      </c>
      <c r="V1706" t="s">
        <v>157</v>
      </c>
    </row>
    <row r="1707" spans="19:22" x14ac:dyDescent="0.45">
      <c r="S1707" t="s">
        <v>506</v>
      </c>
      <c r="T1707" t="s">
        <v>158</v>
      </c>
      <c r="U1707">
        <v>0.18128454437786981</v>
      </c>
      <c r="V1707" t="s">
        <v>157</v>
      </c>
    </row>
    <row r="1708" spans="19:22" x14ac:dyDescent="0.45">
      <c r="S1708" t="s">
        <v>506</v>
      </c>
      <c r="T1708" t="s">
        <v>159</v>
      </c>
      <c r="U1708">
        <v>1.8626172449675689E-2</v>
      </c>
      <c r="V1708" t="s">
        <v>157</v>
      </c>
    </row>
    <row r="1709" spans="19:22" x14ac:dyDescent="0.45">
      <c r="S1709" t="s">
        <v>506</v>
      </c>
      <c r="T1709" t="s">
        <v>160</v>
      </c>
      <c r="U1709">
        <v>1.8433421711471134E-2</v>
      </c>
      <c r="V1709" t="s">
        <v>157</v>
      </c>
    </row>
    <row r="1710" spans="19:22" x14ac:dyDescent="0.45">
      <c r="S1710" t="s">
        <v>506</v>
      </c>
      <c r="T1710" t="s">
        <v>161</v>
      </c>
      <c r="U1710">
        <v>8.8026145431544606E-2</v>
      </c>
      <c r="V1710" t="s">
        <v>157</v>
      </c>
    </row>
    <row r="1711" spans="19:22" x14ac:dyDescent="0.45">
      <c r="S1711" t="s">
        <v>506</v>
      </c>
      <c r="T1711" t="s">
        <v>162</v>
      </c>
      <c r="U1711">
        <v>0.11745009666673731</v>
      </c>
      <c r="V1711" t="s">
        <v>157</v>
      </c>
    </row>
    <row r="1712" spans="19:22" x14ac:dyDescent="0.45">
      <c r="S1712" t="s">
        <v>506</v>
      </c>
      <c r="T1712" t="s">
        <v>163</v>
      </c>
      <c r="U1712">
        <v>0.16969361136559324</v>
      </c>
      <c r="V1712" t="s">
        <v>157</v>
      </c>
    </row>
    <row r="1713" spans="19:22" x14ac:dyDescent="0.45">
      <c r="S1713" t="s">
        <v>506</v>
      </c>
      <c r="T1713" t="s">
        <v>164</v>
      </c>
      <c r="U1713">
        <v>1.788423716719368E-2</v>
      </c>
      <c r="V1713" t="s">
        <v>157</v>
      </c>
    </row>
    <row r="1714" spans="19:22" x14ac:dyDescent="0.45">
      <c r="S1714" t="s">
        <v>506</v>
      </c>
      <c r="T1714" t="s">
        <v>165</v>
      </c>
      <c r="U1714">
        <v>1.7476407698003089E-2</v>
      </c>
      <c r="V1714" t="s">
        <v>157</v>
      </c>
    </row>
    <row r="1715" spans="19:22" x14ac:dyDescent="0.45">
      <c r="S1715" t="s">
        <v>506</v>
      </c>
      <c r="T1715" t="s">
        <v>166</v>
      </c>
      <c r="U1715">
        <v>8.4606942656814885E-2</v>
      </c>
      <c r="V1715" t="s">
        <v>157</v>
      </c>
    </row>
    <row r="1716" spans="19:22" x14ac:dyDescent="0.45">
      <c r="S1716" t="s">
        <v>506</v>
      </c>
      <c r="T1716" t="s">
        <v>167</v>
      </c>
      <c r="U1716">
        <v>4.3148042883520997E-2</v>
      </c>
      <c r="V1716" t="s">
        <v>157</v>
      </c>
    </row>
    <row r="1717" spans="19:22" x14ac:dyDescent="0.45">
      <c r="S1717" t="s">
        <v>506</v>
      </c>
      <c r="T1717" t="s">
        <v>168</v>
      </c>
      <c r="U1717">
        <v>6.4599950824036217E-2</v>
      </c>
      <c r="V1717" t="s">
        <v>157</v>
      </c>
    </row>
    <row r="1718" spans="19:22" x14ac:dyDescent="0.45">
      <c r="S1718" t="s">
        <v>506</v>
      </c>
      <c r="T1718" t="s">
        <v>169</v>
      </c>
      <c r="U1718">
        <v>7.0271857285785898E-3</v>
      </c>
      <c r="V1718" t="s">
        <v>157</v>
      </c>
    </row>
    <row r="1719" spans="19:22" x14ac:dyDescent="0.45">
      <c r="S1719" t="s">
        <v>506</v>
      </c>
      <c r="T1719" t="s">
        <v>170</v>
      </c>
      <c r="U1719">
        <v>6.9628543995267512E-3</v>
      </c>
      <c r="V1719" t="s">
        <v>157</v>
      </c>
    </row>
    <row r="1720" spans="19:22" x14ac:dyDescent="0.45">
      <c r="S1720" t="s">
        <v>506</v>
      </c>
      <c r="T1720" t="s">
        <v>171</v>
      </c>
      <c r="U1720">
        <v>3.3882355704284182E-2</v>
      </c>
      <c r="V1720" t="s">
        <v>157</v>
      </c>
    </row>
    <row r="1721" spans="19:22" x14ac:dyDescent="0.45">
      <c r="S1721" t="s">
        <v>507</v>
      </c>
      <c r="T1721" t="s">
        <v>156</v>
      </c>
      <c r="U1721">
        <v>0.13160426868683331</v>
      </c>
      <c r="V1721" t="s">
        <v>157</v>
      </c>
    </row>
    <row r="1722" spans="19:22" x14ac:dyDescent="0.45">
      <c r="S1722" t="s">
        <v>507</v>
      </c>
      <c r="T1722" t="s">
        <v>158</v>
      </c>
      <c r="U1722">
        <v>0.1802545673505275</v>
      </c>
      <c r="V1722" t="s">
        <v>157</v>
      </c>
    </row>
    <row r="1723" spans="19:22" x14ac:dyDescent="0.45">
      <c r="S1723" t="s">
        <v>507</v>
      </c>
      <c r="T1723" t="s">
        <v>159</v>
      </c>
      <c r="U1723">
        <v>1.8627239376046788E-2</v>
      </c>
      <c r="V1723" t="s">
        <v>157</v>
      </c>
    </row>
    <row r="1724" spans="19:22" x14ac:dyDescent="0.45">
      <c r="S1724" t="s">
        <v>507</v>
      </c>
      <c r="T1724" t="s">
        <v>160</v>
      </c>
      <c r="U1724">
        <v>1.8405923319700306E-2</v>
      </c>
      <c r="V1724" t="s">
        <v>157</v>
      </c>
    </row>
    <row r="1725" spans="19:22" x14ac:dyDescent="0.45">
      <c r="S1725" t="s">
        <v>507</v>
      </c>
      <c r="T1725" t="s">
        <v>161</v>
      </c>
      <c r="U1725">
        <v>8.8168237130565111E-2</v>
      </c>
      <c r="V1725" t="s">
        <v>157</v>
      </c>
    </row>
    <row r="1726" spans="19:22" x14ac:dyDescent="0.45">
      <c r="S1726" t="s">
        <v>507</v>
      </c>
      <c r="T1726" t="s">
        <v>162</v>
      </c>
      <c r="U1726">
        <v>0.11740555549825654</v>
      </c>
      <c r="V1726" t="s">
        <v>157</v>
      </c>
    </row>
    <row r="1727" spans="19:22" x14ac:dyDescent="0.45">
      <c r="S1727" t="s">
        <v>507</v>
      </c>
      <c r="T1727" t="s">
        <v>163</v>
      </c>
      <c r="U1727">
        <v>0.17011107389399469</v>
      </c>
      <c r="V1727" t="s">
        <v>157</v>
      </c>
    </row>
    <row r="1728" spans="19:22" x14ac:dyDescent="0.45">
      <c r="S1728" t="s">
        <v>507</v>
      </c>
      <c r="T1728" t="s">
        <v>164</v>
      </c>
      <c r="U1728">
        <v>1.7760312700695124E-2</v>
      </c>
      <c r="V1728" t="s">
        <v>157</v>
      </c>
    </row>
    <row r="1729" spans="19:22" x14ac:dyDescent="0.45">
      <c r="S1729" t="s">
        <v>507</v>
      </c>
      <c r="T1729" t="s">
        <v>165</v>
      </c>
      <c r="U1729">
        <v>1.7399757914332997E-2</v>
      </c>
      <c r="V1729" t="s">
        <v>157</v>
      </c>
    </row>
    <row r="1730" spans="19:22" x14ac:dyDescent="0.45">
      <c r="S1730" t="s">
        <v>507</v>
      </c>
      <c r="T1730" t="s">
        <v>166</v>
      </c>
      <c r="U1730">
        <v>8.4093506960502606E-2</v>
      </c>
      <c r="V1730" t="s">
        <v>157</v>
      </c>
    </row>
    <row r="1731" spans="19:22" x14ac:dyDescent="0.45">
      <c r="S1731" t="s">
        <v>507</v>
      </c>
      <c r="T1731" t="s">
        <v>167</v>
      </c>
      <c r="U1731">
        <v>4.3539041399062131E-2</v>
      </c>
      <c r="V1731" t="s">
        <v>157</v>
      </c>
    </row>
    <row r="1732" spans="19:22" x14ac:dyDescent="0.45">
      <c r="S1732" t="s">
        <v>507</v>
      </c>
      <c r="T1732" t="s">
        <v>168</v>
      </c>
      <c r="U1732">
        <v>6.5143121577001264E-2</v>
      </c>
      <c r="V1732" t="s">
        <v>157</v>
      </c>
    </row>
    <row r="1733" spans="19:22" x14ac:dyDescent="0.45">
      <c r="S1733" t="s">
        <v>507</v>
      </c>
      <c r="T1733" t="s">
        <v>169</v>
      </c>
      <c r="U1733">
        <v>6.9894541700562833E-3</v>
      </c>
      <c r="V1733" t="s">
        <v>157</v>
      </c>
    </row>
    <row r="1734" spans="19:22" x14ac:dyDescent="0.45">
      <c r="S1734" t="s">
        <v>507</v>
      </c>
      <c r="T1734" t="s">
        <v>170</v>
      </c>
      <c r="U1734">
        <v>6.9122951291095474E-3</v>
      </c>
      <c r="V1734" t="s">
        <v>157</v>
      </c>
    </row>
    <row r="1735" spans="19:22" x14ac:dyDescent="0.45">
      <c r="S1735" t="s">
        <v>507</v>
      </c>
      <c r="T1735" t="s">
        <v>171</v>
      </c>
      <c r="U1735">
        <v>3.3585644893315822E-2</v>
      </c>
      <c r="V1735" t="s">
        <v>157</v>
      </c>
    </row>
    <row r="1736" spans="19:22" x14ac:dyDescent="0.45">
      <c r="S1736" t="s">
        <v>508</v>
      </c>
      <c r="T1736" t="s">
        <v>156</v>
      </c>
      <c r="U1736">
        <v>0.13063365358310938</v>
      </c>
      <c r="V1736" t="s">
        <v>157</v>
      </c>
    </row>
    <row r="1737" spans="19:22" x14ac:dyDescent="0.45">
      <c r="S1737" t="s">
        <v>508</v>
      </c>
      <c r="T1737" t="s">
        <v>158</v>
      </c>
      <c r="U1737">
        <v>0.17883840890361191</v>
      </c>
      <c r="V1737" t="s">
        <v>157</v>
      </c>
    </row>
    <row r="1738" spans="19:22" x14ac:dyDescent="0.45">
      <c r="S1738" t="s">
        <v>508</v>
      </c>
      <c r="T1738" t="s">
        <v>159</v>
      </c>
      <c r="U1738">
        <v>1.8640115093229274E-2</v>
      </c>
      <c r="V1738" t="s">
        <v>157</v>
      </c>
    </row>
    <row r="1739" spans="19:22" x14ac:dyDescent="0.45">
      <c r="S1739" t="s">
        <v>508</v>
      </c>
      <c r="T1739" t="s">
        <v>160</v>
      </c>
      <c r="U1739">
        <v>1.8458181085541567E-2</v>
      </c>
      <c r="V1739" t="s">
        <v>157</v>
      </c>
    </row>
    <row r="1740" spans="19:22" x14ac:dyDescent="0.45">
      <c r="S1740" t="s">
        <v>508</v>
      </c>
      <c r="T1740" t="s">
        <v>161</v>
      </c>
      <c r="U1740">
        <v>8.8602482762196261E-2</v>
      </c>
      <c r="V1740" t="s">
        <v>157</v>
      </c>
    </row>
    <row r="1741" spans="19:22" x14ac:dyDescent="0.45">
      <c r="S1741" t="s">
        <v>508</v>
      </c>
      <c r="T1741" t="s">
        <v>162</v>
      </c>
      <c r="U1741">
        <v>0.11837045857203556</v>
      </c>
      <c r="V1741" t="s">
        <v>157</v>
      </c>
    </row>
    <row r="1742" spans="19:22" x14ac:dyDescent="0.45">
      <c r="S1742" t="s">
        <v>508</v>
      </c>
      <c r="T1742" t="s">
        <v>163</v>
      </c>
      <c r="U1742">
        <v>0.17177432531365117</v>
      </c>
      <c r="V1742" t="s">
        <v>157</v>
      </c>
    </row>
    <row r="1743" spans="19:22" x14ac:dyDescent="0.45">
      <c r="S1743" t="s">
        <v>508</v>
      </c>
      <c r="T1743" t="s">
        <v>164</v>
      </c>
      <c r="U1743">
        <v>1.7592154117175431E-2</v>
      </c>
      <c r="V1743" t="s">
        <v>157</v>
      </c>
    </row>
    <row r="1744" spans="19:22" x14ac:dyDescent="0.45">
      <c r="S1744" t="s">
        <v>508</v>
      </c>
      <c r="T1744" t="s">
        <v>165</v>
      </c>
      <c r="U1744">
        <v>1.7290670125847864E-2</v>
      </c>
      <c r="V1744" t="s">
        <v>157</v>
      </c>
    </row>
    <row r="1745" spans="19:22" x14ac:dyDescent="0.45">
      <c r="S1745" t="s">
        <v>508</v>
      </c>
      <c r="T1745" t="s">
        <v>166</v>
      </c>
      <c r="U1745">
        <v>8.3671665870883941E-2</v>
      </c>
      <c r="V1745" t="s">
        <v>157</v>
      </c>
    </row>
    <row r="1746" spans="19:22" x14ac:dyDescent="0.45">
      <c r="S1746" t="s">
        <v>508</v>
      </c>
      <c r="T1746" t="s">
        <v>167</v>
      </c>
      <c r="U1746">
        <v>4.3673623145110627E-2</v>
      </c>
      <c r="V1746" t="s">
        <v>157</v>
      </c>
    </row>
    <row r="1747" spans="19:22" x14ac:dyDescent="0.45">
      <c r="S1747" t="s">
        <v>508</v>
      </c>
      <c r="T1747" t="s">
        <v>168</v>
      </c>
      <c r="U1747">
        <v>6.6182314862895872E-2</v>
      </c>
      <c r="V1747" t="s">
        <v>157</v>
      </c>
    </row>
    <row r="1748" spans="19:22" x14ac:dyDescent="0.45">
      <c r="S1748" t="s">
        <v>508</v>
      </c>
      <c r="T1748" t="s">
        <v>169</v>
      </c>
      <c r="U1748">
        <v>6.782094081188338E-3</v>
      </c>
      <c r="V1748" t="s">
        <v>157</v>
      </c>
    </row>
    <row r="1749" spans="19:22" x14ac:dyDescent="0.45">
      <c r="S1749" t="s">
        <v>508</v>
      </c>
      <c r="T1749" t="s">
        <v>170</v>
      </c>
      <c r="U1749">
        <v>6.7302025723635847E-3</v>
      </c>
      <c r="V1749" t="s">
        <v>157</v>
      </c>
    </row>
    <row r="1750" spans="19:22" x14ac:dyDescent="0.45">
      <c r="S1750" t="s">
        <v>508</v>
      </c>
      <c r="T1750" t="s">
        <v>171</v>
      </c>
      <c r="U1750">
        <v>3.2759649911159185E-2</v>
      </c>
      <c r="V1750" t="s">
        <v>157</v>
      </c>
    </row>
    <row r="1751" spans="19:22" x14ac:dyDescent="0.45">
      <c r="S1751" t="s">
        <v>509</v>
      </c>
      <c r="T1751" t="s">
        <v>156</v>
      </c>
      <c r="U1751">
        <v>0.12901828176846758</v>
      </c>
      <c r="V1751" t="s">
        <v>157</v>
      </c>
    </row>
    <row r="1752" spans="19:22" x14ac:dyDescent="0.45">
      <c r="S1752" t="s">
        <v>509</v>
      </c>
      <c r="T1752" t="s">
        <v>158</v>
      </c>
      <c r="U1752">
        <v>0.17793073253485717</v>
      </c>
      <c r="V1752" t="s">
        <v>157</v>
      </c>
    </row>
    <row r="1753" spans="19:22" x14ac:dyDescent="0.45">
      <c r="S1753" t="s">
        <v>509</v>
      </c>
      <c r="T1753" t="s">
        <v>159</v>
      </c>
      <c r="U1753">
        <v>1.870694751741965E-2</v>
      </c>
      <c r="V1753" t="s">
        <v>157</v>
      </c>
    </row>
    <row r="1754" spans="19:22" x14ac:dyDescent="0.45">
      <c r="S1754" t="s">
        <v>509</v>
      </c>
      <c r="T1754" t="s">
        <v>160</v>
      </c>
      <c r="U1754">
        <v>1.8539539517852539E-2</v>
      </c>
      <c r="V1754" t="s">
        <v>157</v>
      </c>
    </row>
    <row r="1755" spans="19:22" x14ac:dyDescent="0.45">
      <c r="S1755" t="s">
        <v>509</v>
      </c>
      <c r="T1755" t="s">
        <v>161</v>
      </c>
      <c r="U1755">
        <v>8.8960713487169468E-2</v>
      </c>
      <c r="V1755" t="s">
        <v>157</v>
      </c>
    </row>
    <row r="1756" spans="19:22" x14ac:dyDescent="0.45">
      <c r="S1756" t="s">
        <v>509</v>
      </c>
      <c r="T1756" t="s">
        <v>162</v>
      </c>
      <c r="U1756">
        <v>0.11948507203022236</v>
      </c>
      <c r="V1756" t="s">
        <v>157</v>
      </c>
    </row>
    <row r="1757" spans="19:22" x14ac:dyDescent="0.45">
      <c r="S1757" t="s">
        <v>509</v>
      </c>
      <c r="T1757" t="s">
        <v>163</v>
      </c>
      <c r="U1757">
        <v>0.17382068513002943</v>
      </c>
      <c r="V1757" t="s">
        <v>157</v>
      </c>
    </row>
    <row r="1758" spans="19:22" x14ac:dyDescent="0.45">
      <c r="S1758" t="s">
        <v>509</v>
      </c>
      <c r="T1758" t="s">
        <v>164</v>
      </c>
      <c r="U1758">
        <v>1.7608434288684232E-2</v>
      </c>
      <c r="V1758" t="s">
        <v>157</v>
      </c>
    </row>
    <row r="1759" spans="19:22" x14ac:dyDescent="0.45">
      <c r="S1759" t="s">
        <v>509</v>
      </c>
      <c r="T1759" t="s">
        <v>165</v>
      </c>
      <c r="U1759">
        <v>1.7263957365554927E-2</v>
      </c>
      <c r="V1759" t="s">
        <v>157</v>
      </c>
    </row>
    <row r="1760" spans="19:22" x14ac:dyDescent="0.45">
      <c r="S1760" t="s">
        <v>509</v>
      </c>
      <c r="T1760" t="s">
        <v>166</v>
      </c>
      <c r="U1760">
        <v>8.3224601168612966E-2</v>
      </c>
      <c r="V1760" t="s">
        <v>157</v>
      </c>
    </row>
    <row r="1761" spans="19:22" x14ac:dyDescent="0.45">
      <c r="S1761" t="s">
        <v>509</v>
      </c>
      <c r="T1761" t="s">
        <v>167</v>
      </c>
      <c r="U1761">
        <v>4.4049643942329485E-2</v>
      </c>
      <c r="V1761" t="s">
        <v>157</v>
      </c>
    </row>
    <row r="1762" spans="19:22" x14ac:dyDescent="0.45">
      <c r="S1762" t="s">
        <v>509</v>
      </c>
      <c r="T1762" t="s">
        <v>168</v>
      </c>
      <c r="U1762">
        <v>6.6508014774077168E-2</v>
      </c>
      <c r="V1762" t="s">
        <v>157</v>
      </c>
    </row>
    <row r="1763" spans="19:22" x14ac:dyDescent="0.45">
      <c r="S1763" t="s">
        <v>509</v>
      </c>
      <c r="T1763" t="s">
        <v>169</v>
      </c>
      <c r="U1763">
        <v>6.4913759839027177E-3</v>
      </c>
      <c r="V1763" t="s">
        <v>157</v>
      </c>
    </row>
    <row r="1764" spans="19:22" x14ac:dyDescent="0.45">
      <c r="S1764" t="s">
        <v>509</v>
      </c>
      <c r="T1764" t="s">
        <v>170</v>
      </c>
      <c r="U1764">
        <v>6.5053785818515418E-3</v>
      </c>
      <c r="V1764" t="s">
        <v>157</v>
      </c>
    </row>
    <row r="1765" spans="19:22" x14ac:dyDescent="0.45">
      <c r="S1765" t="s">
        <v>509</v>
      </c>
      <c r="T1765" t="s">
        <v>171</v>
      </c>
      <c r="U1765">
        <v>3.1886621908968821E-2</v>
      </c>
      <c r="V1765" t="s">
        <v>157</v>
      </c>
    </row>
    <row r="1766" spans="19:22" x14ac:dyDescent="0.45">
      <c r="S1766" t="s">
        <v>510</v>
      </c>
      <c r="T1766" t="s">
        <v>156</v>
      </c>
      <c r="U1766">
        <v>0.14973962611171665</v>
      </c>
      <c r="V1766" t="s">
        <v>157</v>
      </c>
    </row>
    <row r="1767" spans="19:22" x14ac:dyDescent="0.45">
      <c r="S1767" t="s">
        <v>510</v>
      </c>
      <c r="T1767" t="s">
        <v>158</v>
      </c>
      <c r="U1767">
        <v>0.21490026792469014</v>
      </c>
      <c r="V1767" t="s">
        <v>157</v>
      </c>
    </row>
    <row r="1768" spans="19:22" x14ac:dyDescent="0.45">
      <c r="S1768" t="s">
        <v>510</v>
      </c>
      <c r="T1768" t="s">
        <v>159</v>
      </c>
      <c r="U1768">
        <v>2.1549875166089773E-2</v>
      </c>
      <c r="V1768" t="s">
        <v>157</v>
      </c>
    </row>
    <row r="1769" spans="19:22" x14ac:dyDescent="0.45">
      <c r="S1769" t="s">
        <v>510</v>
      </c>
      <c r="T1769" t="s">
        <v>160</v>
      </c>
      <c r="U1769">
        <v>2.1426625672889395E-2</v>
      </c>
      <c r="V1769" t="s">
        <v>157</v>
      </c>
    </row>
    <row r="1770" spans="19:22" x14ac:dyDescent="0.45">
      <c r="S1770" t="s">
        <v>510</v>
      </c>
      <c r="T1770" t="s">
        <v>161</v>
      </c>
      <c r="U1770">
        <v>0.10654518090389242</v>
      </c>
      <c r="V1770" t="s">
        <v>157</v>
      </c>
    </row>
    <row r="1771" spans="19:22" x14ac:dyDescent="0.45">
      <c r="S1771" t="s">
        <v>510</v>
      </c>
      <c r="T1771" t="s">
        <v>162</v>
      </c>
      <c r="U1771">
        <v>0.10493623227984579</v>
      </c>
      <c r="V1771" t="s">
        <v>157</v>
      </c>
    </row>
    <row r="1772" spans="19:22" x14ac:dyDescent="0.45">
      <c r="S1772" t="s">
        <v>510</v>
      </c>
      <c r="T1772" t="s">
        <v>163</v>
      </c>
      <c r="U1772">
        <v>0.1537076215996101</v>
      </c>
      <c r="V1772" t="s">
        <v>157</v>
      </c>
    </row>
    <row r="1773" spans="19:22" x14ac:dyDescent="0.45">
      <c r="S1773" t="s">
        <v>510</v>
      </c>
      <c r="T1773" t="s">
        <v>164</v>
      </c>
      <c r="U1773">
        <v>1.5825303743316192E-2</v>
      </c>
      <c r="V1773" t="s">
        <v>157</v>
      </c>
    </row>
    <row r="1774" spans="19:22" x14ac:dyDescent="0.45">
      <c r="S1774" t="s">
        <v>510</v>
      </c>
      <c r="T1774" t="s">
        <v>165</v>
      </c>
      <c r="U1774">
        <v>1.5673160733222346E-2</v>
      </c>
      <c r="V1774" t="s">
        <v>157</v>
      </c>
    </row>
    <row r="1775" spans="19:22" x14ac:dyDescent="0.45">
      <c r="S1775" t="s">
        <v>510</v>
      </c>
      <c r="T1775" t="s">
        <v>166</v>
      </c>
      <c r="U1775">
        <v>7.2934370748189647E-2</v>
      </c>
      <c r="V1775" t="s">
        <v>157</v>
      </c>
    </row>
    <row r="1776" spans="19:22" x14ac:dyDescent="0.45">
      <c r="S1776" t="s">
        <v>510</v>
      </c>
      <c r="T1776" t="s">
        <v>167</v>
      </c>
      <c r="U1776">
        <v>3.5813753190806381E-2</v>
      </c>
      <c r="V1776" t="s">
        <v>157</v>
      </c>
    </row>
    <row r="1777" spans="19:22" x14ac:dyDescent="0.45">
      <c r="S1777" t="s">
        <v>510</v>
      </c>
      <c r="T1777" t="s">
        <v>168</v>
      </c>
      <c r="U1777">
        <v>5.1478249732471254E-2</v>
      </c>
      <c r="V1777" t="s">
        <v>157</v>
      </c>
    </row>
    <row r="1778" spans="19:22" x14ac:dyDescent="0.45">
      <c r="S1778" t="s">
        <v>510</v>
      </c>
      <c r="T1778" t="s">
        <v>169</v>
      </c>
      <c r="U1778">
        <v>5.5867204661930771E-3</v>
      </c>
      <c r="V1778" t="s">
        <v>157</v>
      </c>
    </row>
    <row r="1779" spans="19:22" x14ac:dyDescent="0.45">
      <c r="S1779" t="s">
        <v>510</v>
      </c>
      <c r="T1779" t="s">
        <v>170</v>
      </c>
      <c r="U1779">
        <v>5.3980366105958171E-3</v>
      </c>
      <c r="V1779" t="s">
        <v>157</v>
      </c>
    </row>
    <row r="1780" spans="19:22" x14ac:dyDescent="0.45">
      <c r="S1780" t="s">
        <v>510</v>
      </c>
      <c r="T1780" t="s">
        <v>171</v>
      </c>
      <c r="U1780">
        <v>2.4484975116471117E-2</v>
      </c>
      <c r="V1780" t="s">
        <v>157</v>
      </c>
    </row>
    <row r="1781" spans="19:22" x14ac:dyDescent="0.45">
      <c r="S1781" t="s">
        <v>511</v>
      </c>
      <c r="T1781" t="s">
        <v>156</v>
      </c>
      <c r="U1781">
        <v>0.14465639683673259</v>
      </c>
      <c r="V1781" t="s">
        <v>157</v>
      </c>
    </row>
    <row r="1782" spans="19:22" x14ac:dyDescent="0.45">
      <c r="S1782" t="s">
        <v>511</v>
      </c>
      <c r="T1782" t="s">
        <v>158</v>
      </c>
      <c r="U1782">
        <v>0.20833871541552065</v>
      </c>
      <c r="V1782" t="s">
        <v>157</v>
      </c>
    </row>
    <row r="1783" spans="19:22" x14ac:dyDescent="0.45">
      <c r="S1783" t="s">
        <v>511</v>
      </c>
      <c r="T1783" t="s">
        <v>159</v>
      </c>
      <c r="U1783">
        <v>2.1230530893614277E-2</v>
      </c>
      <c r="V1783" t="s">
        <v>157</v>
      </c>
    </row>
    <row r="1784" spans="19:22" x14ac:dyDescent="0.45">
      <c r="S1784" t="s">
        <v>511</v>
      </c>
      <c r="T1784" t="s">
        <v>160</v>
      </c>
      <c r="U1784">
        <v>2.12095758558619E-2</v>
      </c>
      <c r="V1784" t="s">
        <v>157</v>
      </c>
    </row>
    <row r="1785" spans="19:22" x14ac:dyDescent="0.45">
      <c r="S1785" t="s">
        <v>511</v>
      </c>
      <c r="T1785" t="s">
        <v>161</v>
      </c>
      <c r="U1785">
        <v>0.10506708266682177</v>
      </c>
      <c r="V1785" t="s">
        <v>157</v>
      </c>
    </row>
    <row r="1786" spans="19:22" x14ac:dyDescent="0.45">
      <c r="S1786" t="s">
        <v>511</v>
      </c>
      <c r="T1786" t="s">
        <v>162</v>
      </c>
      <c r="U1786">
        <v>9.9500823174998212E-2</v>
      </c>
      <c r="V1786" t="s">
        <v>157</v>
      </c>
    </row>
    <row r="1787" spans="19:22" x14ac:dyDescent="0.45">
      <c r="S1787" t="s">
        <v>511</v>
      </c>
      <c r="T1787" t="s">
        <v>163</v>
      </c>
      <c r="U1787">
        <v>0.14633338116236064</v>
      </c>
      <c r="V1787" t="s">
        <v>157</v>
      </c>
    </row>
    <row r="1788" spans="19:22" x14ac:dyDescent="0.45">
      <c r="S1788" t="s">
        <v>511</v>
      </c>
      <c r="T1788" t="s">
        <v>164</v>
      </c>
      <c r="U1788">
        <v>1.4778128775214288E-2</v>
      </c>
      <c r="V1788" t="s">
        <v>157</v>
      </c>
    </row>
    <row r="1789" spans="19:22" x14ac:dyDescent="0.45">
      <c r="S1789" t="s">
        <v>511</v>
      </c>
      <c r="T1789" t="s">
        <v>165</v>
      </c>
      <c r="U1789">
        <v>1.4713619701773682E-2</v>
      </c>
      <c r="V1789" t="s">
        <v>157</v>
      </c>
    </row>
    <row r="1790" spans="19:22" x14ac:dyDescent="0.45">
      <c r="S1790" t="s">
        <v>511</v>
      </c>
      <c r="T1790" t="s">
        <v>166</v>
      </c>
      <c r="U1790">
        <v>7.2452377420560821E-2</v>
      </c>
      <c r="V1790" t="s">
        <v>157</v>
      </c>
    </row>
    <row r="1791" spans="19:22" x14ac:dyDescent="0.45">
      <c r="S1791" t="s">
        <v>511</v>
      </c>
      <c r="T1791" t="s">
        <v>167</v>
      </c>
      <c r="U1791">
        <v>4.1930205622015229E-2</v>
      </c>
      <c r="V1791" t="s">
        <v>157</v>
      </c>
    </row>
    <row r="1792" spans="19:22" x14ac:dyDescent="0.45">
      <c r="S1792" t="s">
        <v>511</v>
      </c>
      <c r="T1792" t="s">
        <v>168</v>
      </c>
      <c r="U1792">
        <v>6.6428143488140273E-2</v>
      </c>
      <c r="V1792" t="s">
        <v>157</v>
      </c>
    </row>
    <row r="1793" spans="19:22" x14ac:dyDescent="0.45">
      <c r="S1793" t="s">
        <v>511</v>
      </c>
      <c r="T1793" t="s">
        <v>169</v>
      </c>
      <c r="U1793">
        <v>6.4835554517013467E-3</v>
      </c>
      <c r="V1793" t="s">
        <v>157</v>
      </c>
    </row>
    <row r="1794" spans="19:22" x14ac:dyDescent="0.45">
      <c r="S1794" t="s">
        <v>511</v>
      </c>
      <c r="T1794" t="s">
        <v>170</v>
      </c>
      <c r="U1794">
        <v>6.2748232744564607E-3</v>
      </c>
      <c r="V1794" t="s">
        <v>157</v>
      </c>
    </row>
    <row r="1795" spans="19:22" x14ac:dyDescent="0.45">
      <c r="S1795" t="s">
        <v>511</v>
      </c>
      <c r="T1795" t="s">
        <v>171</v>
      </c>
      <c r="U1795">
        <v>3.0602640260227784E-2</v>
      </c>
      <c r="V1795" t="s">
        <v>157</v>
      </c>
    </row>
    <row r="1796" spans="19:22" x14ac:dyDescent="0.45">
      <c r="S1796" t="s">
        <v>512</v>
      </c>
      <c r="T1796" t="s">
        <v>156</v>
      </c>
      <c r="U1796">
        <v>0.14417776033361074</v>
      </c>
      <c r="V1796" t="s">
        <v>157</v>
      </c>
    </row>
    <row r="1797" spans="19:22" x14ac:dyDescent="0.45">
      <c r="S1797" t="s">
        <v>512</v>
      </c>
      <c r="T1797" t="s">
        <v>158</v>
      </c>
      <c r="U1797">
        <v>0.20743425347276243</v>
      </c>
      <c r="V1797" t="s">
        <v>157</v>
      </c>
    </row>
    <row r="1798" spans="19:22" x14ac:dyDescent="0.45">
      <c r="S1798" t="s">
        <v>512</v>
      </c>
      <c r="T1798" t="s">
        <v>159</v>
      </c>
      <c r="U1798">
        <v>2.1127402066308792E-2</v>
      </c>
      <c r="V1798" t="s">
        <v>157</v>
      </c>
    </row>
    <row r="1799" spans="19:22" x14ac:dyDescent="0.45">
      <c r="S1799" t="s">
        <v>512</v>
      </c>
      <c r="T1799" t="s">
        <v>160</v>
      </c>
      <c r="U1799">
        <v>2.1175155278625915E-2</v>
      </c>
      <c r="V1799" t="s">
        <v>157</v>
      </c>
    </row>
    <row r="1800" spans="19:22" x14ac:dyDescent="0.45">
      <c r="S1800" t="s">
        <v>512</v>
      </c>
      <c r="T1800" t="s">
        <v>161</v>
      </c>
      <c r="U1800">
        <v>0.10430734060101171</v>
      </c>
      <c r="V1800" t="s">
        <v>157</v>
      </c>
    </row>
    <row r="1801" spans="19:22" x14ac:dyDescent="0.45">
      <c r="S1801" t="s">
        <v>512</v>
      </c>
      <c r="T1801" t="s">
        <v>162</v>
      </c>
      <c r="U1801">
        <v>9.9752819878241542E-2</v>
      </c>
      <c r="V1801" t="s">
        <v>157</v>
      </c>
    </row>
    <row r="1802" spans="19:22" x14ac:dyDescent="0.45">
      <c r="S1802" t="s">
        <v>512</v>
      </c>
      <c r="T1802" t="s">
        <v>163</v>
      </c>
      <c r="U1802">
        <v>0.14770351243319024</v>
      </c>
      <c r="V1802" t="s">
        <v>157</v>
      </c>
    </row>
    <row r="1803" spans="19:22" x14ac:dyDescent="0.45">
      <c r="S1803" t="s">
        <v>512</v>
      </c>
      <c r="T1803" t="s">
        <v>164</v>
      </c>
      <c r="U1803">
        <v>1.4945523604343527E-2</v>
      </c>
      <c r="V1803" t="s">
        <v>157</v>
      </c>
    </row>
    <row r="1804" spans="19:22" x14ac:dyDescent="0.45">
      <c r="S1804" t="s">
        <v>512</v>
      </c>
      <c r="T1804" t="s">
        <v>165</v>
      </c>
      <c r="U1804">
        <v>1.4834685419870722E-2</v>
      </c>
      <c r="V1804" t="s">
        <v>157</v>
      </c>
    </row>
    <row r="1805" spans="19:22" x14ac:dyDescent="0.45">
      <c r="S1805" t="s">
        <v>512</v>
      </c>
      <c r="T1805" t="s">
        <v>166</v>
      </c>
      <c r="U1805">
        <v>7.2656818666846187E-2</v>
      </c>
      <c r="V1805" t="s">
        <v>157</v>
      </c>
    </row>
    <row r="1806" spans="19:22" x14ac:dyDescent="0.45">
      <c r="S1806" t="s">
        <v>512</v>
      </c>
      <c r="T1806" t="s">
        <v>167</v>
      </c>
      <c r="U1806">
        <v>4.2108480082734302E-2</v>
      </c>
      <c r="V1806" t="s">
        <v>157</v>
      </c>
    </row>
    <row r="1807" spans="19:22" x14ac:dyDescent="0.45">
      <c r="S1807" t="s">
        <v>512</v>
      </c>
      <c r="T1807" t="s">
        <v>168</v>
      </c>
      <c r="U1807">
        <v>6.5958815229161583E-2</v>
      </c>
      <c r="V1807" t="s">
        <v>157</v>
      </c>
    </row>
    <row r="1808" spans="19:22" x14ac:dyDescent="0.45">
      <c r="S1808" t="s">
        <v>512</v>
      </c>
      <c r="T1808" t="s">
        <v>169</v>
      </c>
      <c r="U1808">
        <v>6.6092171110994444E-3</v>
      </c>
      <c r="V1808" t="s">
        <v>157</v>
      </c>
    </row>
    <row r="1809" spans="19:22" x14ac:dyDescent="0.45">
      <c r="S1809" t="s">
        <v>512</v>
      </c>
      <c r="T1809" t="s">
        <v>170</v>
      </c>
      <c r="U1809">
        <v>6.4083193179197591E-3</v>
      </c>
      <c r="V1809" t="s">
        <v>157</v>
      </c>
    </row>
    <row r="1810" spans="19:22" x14ac:dyDescent="0.45">
      <c r="S1810" t="s">
        <v>512</v>
      </c>
      <c r="T1810" t="s">
        <v>171</v>
      </c>
      <c r="U1810">
        <v>3.0799896504273009E-2</v>
      </c>
      <c r="V1810" t="s">
        <v>157</v>
      </c>
    </row>
    <row r="1811" spans="19:22" x14ac:dyDescent="0.45">
      <c r="S1811" t="s">
        <v>513</v>
      </c>
      <c r="T1811" t="s">
        <v>156</v>
      </c>
      <c r="U1811">
        <v>0.14345082744830984</v>
      </c>
      <c r="V1811" t="s">
        <v>157</v>
      </c>
    </row>
    <row r="1812" spans="19:22" x14ac:dyDescent="0.45">
      <c r="S1812" t="s">
        <v>513</v>
      </c>
      <c r="T1812" t="s">
        <v>158</v>
      </c>
      <c r="U1812">
        <v>0.20610456800031063</v>
      </c>
      <c r="V1812" t="s">
        <v>157</v>
      </c>
    </row>
    <row r="1813" spans="19:22" x14ac:dyDescent="0.45">
      <c r="S1813" t="s">
        <v>513</v>
      </c>
      <c r="T1813" t="s">
        <v>159</v>
      </c>
      <c r="U1813">
        <v>2.0956510762306025E-2</v>
      </c>
      <c r="V1813" t="s">
        <v>157</v>
      </c>
    </row>
    <row r="1814" spans="19:22" x14ac:dyDescent="0.45">
      <c r="S1814" t="s">
        <v>513</v>
      </c>
      <c r="T1814" t="s">
        <v>160</v>
      </c>
      <c r="U1814">
        <v>2.0949271003736697E-2</v>
      </c>
      <c r="V1814" t="s">
        <v>157</v>
      </c>
    </row>
    <row r="1815" spans="19:22" x14ac:dyDescent="0.45">
      <c r="S1815" t="s">
        <v>513</v>
      </c>
      <c r="T1815" t="s">
        <v>161</v>
      </c>
      <c r="U1815">
        <v>0.10347228999359946</v>
      </c>
      <c r="V1815" t="s">
        <v>157</v>
      </c>
    </row>
    <row r="1816" spans="19:22" x14ac:dyDescent="0.45">
      <c r="S1816" t="s">
        <v>513</v>
      </c>
      <c r="T1816" t="s">
        <v>162</v>
      </c>
      <c r="U1816">
        <v>0.10047997504306944</v>
      </c>
      <c r="V1816" t="s">
        <v>157</v>
      </c>
    </row>
    <row r="1817" spans="19:22" x14ac:dyDescent="0.45">
      <c r="S1817" t="s">
        <v>513</v>
      </c>
      <c r="T1817" t="s">
        <v>163</v>
      </c>
      <c r="U1817">
        <v>0.14919969837769614</v>
      </c>
      <c r="V1817" t="s">
        <v>157</v>
      </c>
    </row>
    <row r="1818" spans="19:22" x14ac:dyDescent="0.45">
      <c r="S1818" t="s">
        <v>513</v>
      </c>
      <c r="T1818" t="s">
        <v>164</v>
      </c>
      <c r="U1818">
        <v>1.484420428191731E-2</v>
      </c>
      <c r="V1818" t="s">
        <v>157</v>
      </c>
    </row>
    <row r="1819" spans="19:22" x14ac:dyDescent="0.45">
      <c r="S1819" t="s">
        <v>513</v>
      </c>
      <c r="T1819" t="s">
        <v>165</v>
      </c>
      <c r="U1819">
        <v>1.4718160935242862E-2</v>
      </c>
      <c r="V1819" t="s">
        <v>157</v>
      </c>
    </row>
    <row r="1820" spans="19:22" x14ac:dyDescent="0.45">
      <c r="S1820" t="s">
        <v>513</v>
      </c>
      <c r="T1820" t="s">
        <v>166</v>
      </c>
      <c r="U1820">
        <v>7.2662801195706908E-2</v>
      </c>
      <c r="V1820" t="s">
        <v>157</v>
      </c>
    </row>
    <row r="1821" spans="19:22" x14ac:dyDescent="0.45">
      <c r="S1821" t="s">
        <v>513</v>
      </c>
      <c r="T1821" t="s">
        <v>167</v>
      </c>
      <c r="U1821">
        <v>4.2655696768832914E-2</v>
      </c>
      <c r="V1821" t="s">
        <v>157</v>
      </c>
    </row>
    <row r="1822" spans="19:22" x14ac:dyDescent="0.45">
      <c r="S1822" t="s">
        <v>513</v>
      </c>
      <c r="T1822" t="s">
        <v>168</v>
      </c>
      <c r="U1822">
        <v>6.607192367713971E-2</v>
      </c>
      <c r="V1822" t="s">
        <v>157</v>
      </c>
    </row>
    <row r="1823" spans="19:22" x14ac:dyDescent="0.45">
      <c r="S1823" t="s">
        <v>513</v>
      </c>
      <c r="T1823" t="s">
        <v>169</v>
      </c>
      <c r="U1823">
        <v>6.6397967051539256E-3</v>
      </c>
      <c r="V1823" t="s">
        <v>157</v>
      </c>
    </row>
    <row r="1824" spans="19:22" x14ac:dyDescent="0.45">
      <c r="S1824" t="s">
        <v>513</v>
      </c>
      <c r="T1824" t="s">
        <v>170</v>
      </c>
      <c r="U1824">
        <v>6.4693206087215634E-3</v>
      </c>
      <c r="V1824" t="s">
        <v>157</v>
      </c>
    </row>
    <row r="1825" spans="19:22" x14ac:dyDescent="0.45">
      <c r="S1825" t="s">
        <v>513</v>
      </c>
      <c r="T1825" t="s">
        <v>171</v>
      </c>
      <c r="U1825">
        <v>3.1324955198256572E-2</v>
      </c>
      <c r="V1825" t="s">
        <v>157</v>
      </c>
    </row>
    <row r="1826" spans="19:22" x14ac:dyDescent="0.45">
      <c r="S1826" t="s">
        <v>514</v>
      </c>
      <c r="T1826" t="s">
        <v>156</v>
      </c>
      <c r="U1826">
        <v>0.14371987732482555</v>
      </c>
      <c r="V1826" t="s">
        <v>157</v>
      </c>
    </row>
    <row r="1827" spans="19:22" x14ac:dyDescent="0.45">
      <c r="S1827" t="s">
        <v>514</v>
      </c>
      <c r="T1827" t="s">
        <v>158</v>
      </c>
      <c r="U1827">
        <v>0.20488496945584839</v>
      </c>
      <c r="V1827" t="s">
        <v>157</v>
      </c>
    </row>
    <row r="1828" spans="19:22" x14ac:dyDescent="0.45">
      <c r="S1828" t="s">
        <v>514</v>
      </c>
      <c r="T1828" t="s">
        <v>159</v>
      </c>
      <c r="U1828">
        <v>2.0767349129624635E-2</v>
      </c>
      <c r="V1828" t="s">
        <v>157</v>
      </c>
    </row>
    <row r="1829" spans="19:22" x14ac:dyDescent="0.45">
      <c r="S1829" t="s">
        <v>514</v>
      </c>
      <c r="T1829" t="s">
        <v>160</v>
      </c>
      <c r="U1829">
        <v>2.0769968222693152E-2</v>
      </c>
      <c r="V1829" t="s">
        <v>157</v>
      </c>
    </row>
    <row r="1830" spans="19:22" x14ac:dyDescent="0.45">
      <c r="S1830" t="s">
        <v>514</v>
      </c>
      <c r="T1830" t="s">
        <v>161</v>
      </c>
      <c r="U1830">
        <v>0.10231692042802633</v>
      </c>
      <c r="V1830" t="s">
        <v>157</v>
      </c>
    </row>
    <row r="1831" spans="19:22" x14ac:dyDescent="0.45">
      <c r="S1831" t="s">
        <v>514</v>
      </c>
      <c r="T1831" t="s">
        <v>162</v>
      </c>
      <c r="U1831">
        <v>0.10281481583482914</v>
      </c>
      <c r="V1831" t="s">
        <v>157</v>
      </c>
    </row>
    <row r="1832" spans="19:22" x14ac:dyDescent="0.45">
      <c r="S1832" t="s">
        <v>514</v>
      </c>
      <c r="T1832" t="s">
        <v>163</v>
      </c>
      <c r="U1832">
        <v>0.14924422905480633</v>
      </c>
      <c r="V1832" t="s">
        <v>157</v>
      </c>
    </row>
    <row r="1833" spans="19:22" x14ac:dyDescent="0.45">
      <c r="S1833" t="s">
        <v>514</v>
      </c>
      <c r="T1833" t="s">
        <v>164</v>
      </c>
      <c r="U1833">
        <v>1.4524440656860873E-2</v>
      </c>
      <c r="V1833" t="s">
        <v>157</v>
      </c>
    </row>
    <row r="1834" spans="19:22" x14ac:dyDescent="0.45">
      <c r="S1834" t="s">
        <v>514</v>
      </c>
      <c r="T1834" t="s">
        <v>165</v>
      </c>
      <c r="U1834">
        <v>1.4472396734945298E-2</v>
      </c>
      <c r="V1834" t="s">
        <v>157</v>
      </c>
    </row>
    <row r="1835" spans="19:22" x14ac:dyDescent="0.45">
      <c r="S1835" t="s">
        <v>514</v>
      </c>
      <c r="T1835" t="s">
        <v>166</v>
      </c>
      <c r="U1835">
        <v>7.2790076690879404E-2</v>
      </c>
      <c r="V1835" t="s">
        <v>157</v>
      </c>
    </row>
    <row r="1836" spans="19:22" x14ac:dyDescent="0.45">
      <c r="S1836" t="s">
        <v>514</v>
      </c>
      <c r="T1836" t="s">
        <v>167</v>
      </c>
      <c r="U1836">
        <v>4.3300346645134456E-2</v>
      </c>
      <c r="V1836" t="s">
        <v>157</v>
      </c>
    </row>
    <row r="1837" spans="19:22" x14ac:dyDescent="0.45">
      <c r="S1837" t="s">
        <v>514</v>
      </c>
      <c r="T1837" t="s">
        <v>168</v>
      </c>
      <c r="U1837">
        <v>6.5877021210994077E-2</v>
      </c>
      <c r="V1837" t="s">
        <v>157</v>
      </c>
    </row>
    <row r="1838" spans="19:22" x14ac:dyDescent="0.45">
      <c r="S1838" t="s">
        <v>514</v>
      </c>
      <c r="T1838" t="s">
        <v>169</v>
      </c>
      <c r="U1838">
        <v>6.613571401342392E-3</v>
      </c>
      <c r="V1838" t="s">
        <v>157</v>
      </c>
    </row>
    <row r="1839" spans="19:22" x14ac:dyDescent="0.45">
      <c r="S1839" t="s">
        <v>514</v>
      </c>
      <c r="T1839" t="s">
        <v>170</v>
      </c>
      <c r="U1839">
        <v>6.4345121607082174E-3</v>
      </c>
      <c r="V1839" t="s">
        <v>157</v>
      </c>
    </row>
    <row r="1840" spans="19:22" x14ac:dyDescent="0.45">
      <c r="S1840" t="s">
        <v>514</v>
      </c>
      <c r="T1840" t="s">
        <v>171</v>
      </c>
      <c r="U1840">
        <v>3.1469505048481755E-2</v>
      </c>
      <c r="V1840" t="s">
        <v>157</v>
      </c>
    </row>
    <row r="1841" spans="19:22" x14ac:dyDescent="0.45">
      <c r="S1841" t="s">
        <v>515</v>
      </c>
      <c r="T1841" t="s">
        <v>156</v>
      </c>
      <c r="U1841">
        <v>0.14369483896914267</v>
      </c>
      <c r="V1841" t="s">
        <v>157</v>
      </c>
    </row>
    <row r="1842" spans="19:22" x14ac:dyDescent="0.45">
      <c r="S1842" t="s">
        <v>515</v>
      </c>
      <c r="T1842" t="s">
        <v>158</v>
      </c>
      <c r="U1842">
        <v>0.20472892013474098</v>
      </c>
      <c r="V1842" t="s">
        <v>157</v>
      </c>
    </row>
    <row r="1843" spans="19:22" x14ac:dyDescent="0.45">
      <c r="S1843" t="s">
        <v>515</v>
      </c>
      <c r="T1843" t="s">
        <v>159</v>
      </c>
      <c r="U1843">
        <v>2.0760761536935925E-2</v>
      </c>
      <c r="V1843" t="s">
        <v>157</v>
      </c>
    </row>
    <row r="1844" spans="19:22" x14ac:dyDescent="0.45">
      <c r="S1844" t="s">
        <v>515</v>
      </c>
      <c r="T1844" t="s">
        <v>160</v>
      </c>
      <c r="U1844">
        <v>2.0557883697356137E-2</v>
      </c>
      <c r="V1844" t="s">
        <v>157</v>
      </c>
    </row>
    <row r="1845" spans="19:22" x14ac:dyDescent="0.45">
      <c r="S1845" t="s">
        <v>515</v>
      </c>
      <c r="T1845" t="s">
        <v>161</v>
      </c>
      <c r="U1845">
        <v>0.1018117020070355</v>
      </c>
      <c r="V1845" t="s">
        <v>157</v>
      </c>
    </row>
    <row r="1846" spans="19:22" x14ac:dyDescent="0.45">
      <c r="S1846" t="s">
        <v>515</v>
      </c>
      <c r="T1846" t="s">
        <v>162</v>
      </c>
      <c r="U1846">
        <v>0.10372704146986901</v>
      </c>
      <c r="V1846" t="s">
        <v>157</v>
      </c>
    </row>
    <row r="1847" spans="19:22" x14ac:dyDescent="0.45">
      <c r="S1847" t="s">
        <v>515</v>
      </c>
      <c r="T1847" t="s">
        <v>163</v>
      </c>
      <c r="U1847">
        <v>0.1491060285087433</v>
      </c>
      <c r="V1847" t="s">
        <v>157</v>
      </c>
    </row>
    <row r="1848" spans="19:22" x14ac:dyDescent="0.45">
      <c r="S1848" t="s">
        <v>515</v>
      </c>
      <c r="T1848" t="s">
        <v>164</v>
      </c>
      <c r="U1848">
        <v>1.4287160768557907E-2</v>
      </c>
      <c r="V1848" t="s">
        <v>157</v>
      </c>
    </row>
    <row r="1849" spans="19:22" x14ac:dyDescent="0.45">
      <c r="S1849" t="s">
        <v>515</v>
      </c>
      <c r="T1849" t="s">
        <v>165</v>
      </c>
      <c r="U1849">
        <v>1.4352856338742325E-2</v>
      </c>
      <c r="V1849" t="s">
        <v>157</v>
      </c>
    </row>
    <row r="1850" spans="19:22" x14ac:dyDescent="0.45">
      <c r="S1850" t="s">
        <v>515</v>
      </c>
      <c r="T1850" t="s">
        <v>166</v>
      </c>
      <c r="U1850">
        <v>7.3326186257428455E-2</v>
      </c>
      <c r="V1850" t="s">
        <v>157</v>
      </c>
    </row>
    <row r="1851" spans="19:22" x14ac:dyDescent="0.45">
      <c r="S1851" t="s">
        <v>515</v>
      </c>
      <c r="T1851" t="s">
        <v>167</v>
      </c>
      <c r="U1851">
        <v>4.429764983244848E-2</v>
      </c>
      <c r="V1851" t="s">
        <v>157</v>
      </c>
    </row>
    <row r="1852" spans="19:22" x14ac:dyDescent="0.45">
      <c r="S1852" t="s">
        <v>515</v>
      </c>
      <c r="T1852" t="s">
        <v>168</v>
      </c>
      <c r="U1852">
        <v>6.5383960978365643E-2</v>
      </c>
      <c r="V1852" t="s">
        <v>157</v>
      </c>
    </row>
    <row r="1853" spans="19:22" x14ac:dyDescent="0.45">
      <c r="S1853" t="s">
        <v>515</v>
      </c>
      <c r="T1853" t="s">
        <v>169</v>
      </c>
      <c r="U1853">
        <v>6.5470769850361149E-3</v>
      </c>
      <c r="V1853" t="s">
        <v>157</v>
      </c>
    </row>
    <row r="1854" spans="19:22" x14ac:dyDescent="0.45">
      <c r="S1854" t="s">
        <v>515</v>
      </c>
      <c r="T1854" t="s">
        <v>170</v>
      </c>
      <c r="U1854">
        <v>6.3848485991444505E-3</v>
      </c>
      <c r="V1854" t="s">
        <v>157</v>
      </c>
    </row>
    <row r="1855" spans="19:22" x14ac:dyDescent="0.45">
      <c r="S1855" t="s">
        <v>515</v>
      </c>
      <c r="T1855" t="s">
        <v>171</v>
      </c>
      <c r="U1855">
        <v>3.1033083916453045E-2</v>
      </c>
      <c r="V1855" t="s">
        <v>157</v>
      </c>
    </row>
    <row r="1856" spans="19:22" x14ac:dyDescent="0.45">
      <c r="S1856" t="s">
        <v>516</v>
      </c>
      <c r="T1856" t="s">
        <v>156</v>
      </c>
      <c r="U1856">
        <v>0.14257314827493472</v>
      </c>
      <c r="V1856" t="s">
        <v>157</v>
      </c>
    </row>
    <row r="1857" spans="19:22" x14ac:dyDescent="0.45">
      <c r="S1857" t="s">
        <v>516</v>
      </c>
      <c r="T1857" t="s">
        <v>158</v>
      </c>
      <c r="U1857">
        <v>0.20382375183849719</v>
      </c>
      <c r="V1857" t="s">
        <v>157</v>
      </c>
    </row>
    <row r="1858" spans="19:22" x14ac:dyDescent="0.45">
      <c r="S1858" t="s">
        <v>516</v>
      </c>
      <c r="T1858" t="s">
        <v>159</v>
      </c>
      <c r="U1858">
        <v>2.0276495555533198E-2</v>
      </c>
      <c r="V1858" t="s">
        <v>157</v>
      </c>
    </row>
    <row r="1859" spans="19:22" x14ac:dyDescent="0.45">
      <c r="S1859" t="s">
        <v>516</v>
      </c>
      <c r="T1859" t="s">
        <v>160</v>
      </c>
      <c r="U1859">
        <v>2.0255719935326693E-2</v>
      </c>
      <c r="V1859" t="s">
        <v>157</v>
      </c>
    </row>
    <row r="1860" spans="19:22" x14ac:dyDescent="0.45">
      <c r="S1860" t="s">
        <v>516</v>
      </c>
      <c r="T1860" t="s">
        <v>161</v>
      </c>
      <c r="U1860">
        <v>0.1016894558515169</v>
      </c>
      <c r="V1860" t="s">
        <v>157</v>
      </c>
    </row>
    <row r="1861" spans="19:22" x14ac:dyDescent="0.45">
      <c r="S1861" t="s">
        <v>516</v>
      </c>
      <c r="T1861" t="s">
        <v>162</v>
      </c>
      <c r="U1861">
        <v>0.10768435511257819</v>
      </c>
      <c r="V1861" t="s">
        <v>157</v>
      </c>
    </row>
    <row r="1862" spans="19:22" x14ac:dyDescent="0.45">
      <c r="S1862" t="s">
        <v>516</v>
      </c>
      <c r="T1862" t="s">
        <v>163</v>
      </c>
      <c r="U1862">
        <v>0.15070065900964527</v>
      </c>
      <c r="V1862" t="s">
        <v>157</v>
      </c>
    </row>
    <row r="1863" spans="19:22" x14ac:dyDescent="0.45">
      <c r="S1863" t="s">
        <v>516</v>
      </c>
      <c r="T1863" t="s">
        <v>164</v>
      </c>
      <c r="U1863">
        <v>1.4171389497701204E-2</v>
      </c>
      <c r="V1863" t="s">
        <v>157</v>
      </c>
    </row>
    <row r="1864" spans="19:22" x14ac:dyDescent="0.45">
      <c r="S1864" t="s">
        <v>516</v>
      </c>
      <c r="T1864" t="s">
        <v>165</v>
      </c>
      <c r="U1864">
        <v>1.4157667731360108E-2</v>
      </c>
      <c r="V1864" t="s">
        <v>157</v>
      </c>
    </row>
    <row r="1865" spans="19:22" x14ac:dyDescent="0.45">
      <c r="S1865" t="s">
        <v>516</v>
      </c>
      <c r="T1865" t="s">
        <v>166</v>
      </c>
      <c r="U1865">
        <v>7.2240867444626239E-2</v>
      </c>
      <c r="V1865" t="s">
        <v>157</v>
      </c>
    </row>
    <row r="1866" spans="19:22" x14ac:dyDescent="0.45">
      <c r="S1866" t="s">
        <v>516</v>
      </c>
      <c r="T1866" t="s">
        <v>167</v>
      </c>
      <c r="U1866">
        <v>4.3233032148113949E-2</v>
      </c>
      <c r="V1866" t="s">
        <v>157</v>
      </c>
    </row>
    <row r="1867" spans="19:22" x14ac:dyDescent="0.45">
      <c r="S1867" t="s">
        <v>516</v>
      </c>
      <c r="T1867" t="s">
        <v>168</v>
      </c>
      <c r="U1867">
        <v>6.5653021836057909E-2</v>
      </c>
      <c r="V1867" t="s">
        <v>157</v>
      </c>
    </row>
    <row r="1868" spans="19:22" x14ac:dyDescent="0.45">
      <c r="S1868" t="s">
        <v>516</v>
      </c>
      <c r="T1868" t="s">
        <v>169</v>
      </c>
      <c r="U1868">
        <v>6.4090796516443607E-3</v>
      </c>
      <c r="V1868" t="s">
        <v>157</v>
      </c>
    </row>
    <row r="1869" spans="19:22" x14ac:dyDescent="0.45">
      <c r="S1869" t="s">
        <v>516</v>
      </c>
      <c r="T1869" t="s">
        <v>170</v>
      </c>
      <c r="U1869">
        <v>6.3612508967234374E-3</v>
      </c>
      <c r="V1869" t="s">
        <v>157</v>
      </c>
    </row>
    <row r="1870" spans="19:22" x14ac:dyDescent="0.45">
      <c r="S1870" t="s">
        <v>516</v>
      </c>
      <c r="T1870" t="s">
        <v>171</v>
      </c>
      <c r="U1870">
        <v>3.0770105215740608E-2</v>
      </c>
      <c r="V1870" t="s">
        <v>157</v>
      </c>
    </row>
    <row r="1871" spans="19:22" x14ac:dyDescent="0.45">
      <c r="S1871" t="s">
        <v>517</v>
      </c>
      <c r="T1871" t="s">
        <v>156</v>
      </c>
      <c r="U1871">
        <v>0.14389702049533634</v>
      </c>
      <c r="V1871" t="s">
        <v>157</v>
      </c>
    </row>
    <row r="1872" spans="19:22" x14ac:dyDescent="0.45">
      <c r="S1872" t="s">
        <v>517</v>
      </c>
      <c r="T1872" t="s">
        <v>158</v>
      </c>
      <c r="U1872">
        <v>0.20275702906803156</v>
      </c>
      <c r="V1872" t="s">
        <v>157</v>
      </c>
    </row>
    <row r="1873" spans="19:22" x14ac:dyDescent="0.45">
      <c r="S1873" t="s">
        <v>517</v>
      </c>
      <c r="T1873" t="s">
        <v>159</v>
      </c>
      <c r="U1873">
        <v>1.9992878305195517E-2</v>
      </c>
      <c r="V1873" t="s">
        <v>157</v>
      </c>
    </row>
    <row r="1874" spans="19:22" x14ac:dyDescent="0.45">
      <c r="S1874" t="s">
        <v>517</v>
      </c>
      <c r="T1874" t="s">
        <v>160</v>
      </c>
      <c r="U1874">
        <v>1.9906183628715768E-2</v>
      </c>
      <c r="V1874" t="s">
        <v>157</v>
      </c>
    </row>
    <row r="1875" spans="19:22" x14ac:dyDescent="0.45">
      <c r="S1875" t="s">
        <v>517</v>
      </c>
      <c r="T1875" t="s">
        <v>161</v>
      </c>
      <c r="U1875">
        <v>0.1012387997578721</v>
      </c>
      <c r="V1875" t="s">
        <v>157</v>
      </c>
    </row>
    <row r="1876" spans="19:22" x14ac:dyDescent="0.45">
      <c r="S1876" t="s">
        <v>517</v>
      </c>
      <c r="T1876" t="s">
        <v>162</v>
      </c>
      <c r="U1876">
        <v>0.10842767935785462</v>
      </c>
      <c r="V1876" t="s">
        <v>157</v>
      </c>
    </row>
    <row r="1877" spans="19:22" x14ac:dyDescent="0.45">
      <c r="S1877" t="s">
        <v>517</v>
      </c>
      <c r="T1877" t="s">
        <v>163</v>
      </c>
      <c r="U1877">
        <v>0.15164608542137406</v>
      </c>
      <c r="V1877" t="s">
        <v>157</v>
      </c>
    </row>
    <row r="1878" spans="19:22" x14ac:dyDescent="0.45">
      <c r="S1878" t="s">
        <v>517</v>
      </c>
      <c r="T1878" t="s">
        <v>164</v>
      </c>
      <c r="U1878">
        <v>1.4184337608468435E-2</v>
      </c>
      <c r="V1878" t="s">
        <v>157</v>
      </c>
    </row>
    <row r="1879" spans="19:22" x14ac:dyDescent="0.45">
      <c r="S1879" t="s">
        <v>517</v>
      </c>
      <c r="T1879" t="s">
        <v>165</v>
      </c>
      <c r="U1879">
        <v>1.4250542981223297E-2</v>
      </c>
      <c r="V1879" t="s">
        <v>157</v>
      </c>
    </row>
    <row r="1880" spans="19:22" x14ac:dyDescent="0.45">
      <c r="S1880" t="s">
        <v>517</v>
      </c>
      <c r="T1880" t="s">
        <v>166</v>
      </c>
      <c r="U1880">
        <v>7.2402691284448289E-2</v>
      </c>
      <c r="V1880" t="s">
        <v>157</v>
      </c>
    </row>
    <row r="1881" spans="19:22" x14ac:dyDescent="0.45">
      <c r="S1881" t="s">
        <v>517</v>
      </c>
      <c r="T1881" t="s">
        <v>167</v>
      </c>
      <c r="U1881">
        <v>4.2663057702406915E-2</v>
      </c>
      <c r="V1881" t="s">
        <v>157</v>
      </c>
    </row>
    <row r="1882" spans="19:22" x14ac:dyDescent="0.45">
      <c r="S1882" t="s">
        <v>517</v>
      </c>
      <c r="T1882" t="s">
        <v>168</v>
      </c>
      <c r="U1882">
        <v>6.5256107550019343E-2</v>
      </c>
      <c r="V1882" t="s">
        <v>157</v>
      </c>
    </row>
    <row r="1883" spans="19:22" x14ac:dyDescent="0.45">
      <c r="S1883" t="s">
        <v>517</v>
      </c>
      <c r="T1883" t="s">
        <v>169</v>
      </c>
      <c r="U1883">
        <v>6.2923523534165488E-3</v>
      </c>
      <c r="V1883" t="s">
        <v>157</v>
      </c>
    </row>
    <row r="1884" spans="19:22" x14ac:dyDescent="0.45">
      <c r="S1884" t="s">
        <v>517</v>
      </c>
      <c r="T1884" t="s">
        <v>170</v>
      </c>
      <c r="U1884">
        <v>6.2422656370750788E-3</v>
      </c>
      <c r="V1884" t="s">
        <v>157</v>
      </c>
    </row>
    <row r="1885" spans="19:22" x14ac:dyDescent="0.45">
      <c r="S1885" t="s">
        <v>517</v>
      </c>
      <c r="T1885" t="s">
        <v>171</v>
      </c>
      <c r="U1885">
        <v>3.0842968848562233E-2</v>
      </c>
      <c r="V1885" t="s">
        <v>157</v>
      </c>
    </row>
    <row r="1886" spans="19:22" x14ac:dyDescent="0.45">
      <c r="S1886" t="s">
        <v>518</v>
      </c>
      <c r="T1886" t="s">
        <v>156</v>
      </c>
      <c r="U1886">
        <v>0.14456594328916306</v>
      </c>
      <c r="V1886" t="s">
        <v>157</v>
      </c>
    </row>
    <row r="1887" spans="19:22" x14ac:dyDescent="0.45">
      <c r="S1887" t="s">
        <v>518</v>
      </c>
      <c r="T1887" t="s">
        <v>158</v>
      </c>
      <c r="U1887">
        <v>0.20004838817317994</v>
      </c>
      <c r="V1887" t="s">
        <v>157</v>
      </c>
    </row>
    <row r="1888" spans="19:22" x14ac:dyDescent="0.45">
      <c r="S1888" t="s">
        <v>518</v>
      </c>
      <c r="T1888" t="s">
        <v>159</v>
      </c>
      <c r="U1888">
        <v>1.9803314241449817E-2</v>
      </c>
      <c r="V1888" t="s">
        <v>157</v>
      </c>
    </row>
    <row r="1889" spans="19:22" x14ac:dyDescent="0.45">
      <c r="S1889" t="s">
        <v>518</v>
      </c>
      <c r="T1889" t="s">
        <v>160</v>
      </c>
      <c r="U1889">
        <v>1.9767821420424887E-2</v>
      </c>
      <c r="V1889" t="s">
        <v>157</v>
      </c>
    </row>
    <row r="1890" spans="19:22" x14ac:dyDescent="0.45">
      <c r="S1890" t="s">
        <v>518</v>
      </c>
      <c r="T1890" t="s">
        <v>161</v>
      </c>
      <c r="U1890">
        <v>0.10085563190114201</v>
      </c>
      <c r="V1890" t="s">
        <v>157</v>
      </c>
    </row>
    <row r="1891" spans="19:22" x14ac:dyDescent="0.45">
      <c r="S1891" t="s">
        <v>518</v>
      </c>
      <c r="T1891" t="s">
        <v>162</v>
      </c>
      <c r="U1891">
        <v>0.10959422827157057</v>
      </c>
      <c r="V1891" t="s">
        <v>157</v>
      </c>
    </row>
    <row r="1892" spans="19:22" x14ac:dyDescent="0.45">
      <c r="S1892" t="s">
        <v>518</v>
      </c>
      <c r="T1892" t="s">
        <v>163</v>
      </c>
      <c r="U1892">
        <v>0.15376384800510848</v>
      </c>
      <c r="V1892" t="s">
        <v>157</v>
      </c>
    </row>
    <row r="1893" spans="19:22" x14ac:dyDescent="0.45">
      <c r="S1893" t="s">
        <v>518</v>
      </c>
      <c r="T1893" t="s">
        <v>164</v>
      </c>
      <c r="U1893">
        <v>1.4443836374577182E-2</v>
      </c>
      <c r="V1893" t="s">
        <v>157</v>
      </c>
    </row>
    <row r="1894" spans="19:22" x14ac:dyDescent="0.45">
      <c r="S1894" t="s">
        <v>518</v>
      </c>
      <c r="T1894" t="s">
        <v>165</v>
      </c>
      <c r="U1894">
        <v>1.4512619656437483E-2</v>
      </c>
      <c r="V1894" t="s">
        <v>157</v>
      </c>
    </row>
    <row r="1895" spans="19:22" x14ac:dyDescent="0.45">
      <c r="S1895" t="s">
        <v>518</v>
      </c>
      <c r="T1895" t="s">
        <v>166</v>
      </c>
      <c r="U1895">
        <v>7.3511600435689481E-2</v>
      </c>
      <c r="V1895" t="s">
        <v>157</v>
      </c>
    </row>
    <row r="1896" spans="19:22" x14ac:dyDescent="0.45">
      <c r="S1896" t="s">
        <v>518</v>
      </c>
      <c r="T1896" t="s">
        <v>167</v>
      </c>
      <c r="U1896">
        <v>4.1905747857561126E-2</v>
      </c>
      <c r="V1896" t="s">
        <v>157</v>
      </c>
    </row>
    <row r="1897" spans="19:22" x14ac:dyDescent="0.45">
      <c r="S1897" t="s">
        <v>518</v>
      </c>
      <c r="T1897" t="s">
        <v>168</v>
      </c>
      <c r="U1897">
        <v>6.4646531366914825E-2</v>
      </c>
      <c r="V1897" t="s">
        <v>157</v>
      </c>
    </row>
    <row r="1898" spans="19:22" x14ac:dyDescent="0.45">
      <c r="S1898" t="s">
        <v>518</v>
      </c>
      <c r="T1898" t="s">
        <v>169</v>
      </c>
      <c r="U1898">
        <v>6.2032300156531633E-3</v>
      </c>
      <c r="V1898" t="s">
        <v>157</v>
      </c>
    </row>
    <row r="1899" spans="19:22" x14ac:dyDescent="0.45">
      <c r="S1899" t="s">
        <v>518</v>
      </c>
      <c r="T1899" t="s">
        <v>170</v>
      </c>
      <c r="U1899">
        <v>6.1355510435059891E-3</v>
      </c>
      <c r="V1899" t="s">
        <v>157</v>
      </c>
    </row>
    <row r="1900" spans="19:22" x14ac:dyDescent="0.45">
      <c r="S1900" t="s">
        <v>518</v>
      </c>
      <c r="T1900" t="s">
        <v>171</v>
      </c>
      <c r="U1900">
        <v>3.0241707947621935E-2</v>
      </c>
      <c r="V1900" t="s">
        <v>157</v>
      </c>
    </row>
    <row r="1901" spans="19:22" x14ac:dyDescent="0.45">
      <c r="S1901" t="s">
        <v>519</v>
      </c>
      <c r="T1901" t="s">
        <v>156</v>
      </c>
      <c r="U1901">
        <v>0.14287771731123716</v>
      </c>
      <c r="V1901" t="s">
        <v>157</v>
      </c>
    </row>
    <row r="1902" spans="19:22" x14ac:dyDescent="0.45">
      <c r="S1902" t="s">
        <v>519</v>
      </c>
      <c r="T1902" t="s">
        <v>158</v>
      </c>
      <c r="U1902">
        <v>0.19493914461909578</v>
      </c>
      <c r="V1902" t="s">
        <v>157</v>
      </c>
    </row>
    <row r="1903" spans="19:22" x14ac:dyDescent="0.45">
      <c r="S1903" t="s">
        <v>519</v>
      </c>
      <c r="T1903" t="s">
        <v>159</v>
      </c>
      <c r="U1903">
        <v>1.9766199351630761E-2</v>
      </c>
      <c r="V1903" t="s">
        <v>157</v>
      </c>
    </row>
    <row r="1904" spans="19:22" x14ac:dyDescent="0.45">
      <c r="S1904" t="s">
        <v>519</v>
      </c>
      <c r="T1904" t="s">
        <v>160</v>
      </c>
      <c r="U1904">
        <v>1.9932172206300634E-2</v>
      </c>
      <c r="V1904" t="s">
        <v>157</v>
      </c>
    </row>
    <row r="1905" spans="19:22" x14ac:dyDescent="0.45">
      <c r="S1905" t="s">
        <v>519</v>
      </c>
      <c r="T1905" t="s">
        <v>161</v>
      </c>
      <c r="U1905">
        <v>0.10052882875954616</v>
      </c>
      <c r="V1905" t="s">
        <v>157</v>
      </c>
    </row>
    <row r="1906" spans="19:22" x14ac:dyDescent="0.45">
      <c r="S1906" t="s">
        <v>519</v>
      </c>
      <c r="T1906" t="s">
        <v>162</v>
      </c>
      <c r="U1906">
        <v>0.11202058487247005</v>
      </c>
      <c r="V1906" t="s">
        <v>157</v>
      </c>
    </row>
    <row r="1907" spans="19:22" x14ac:dyDescent="0.45">
      <c r="S1907" t="s">
        <v>519</v>
      </c>
      <c r="T1907" t="s">
        <v>163</v>
      </c>
      <c r="U1907">
        <v>0.15620963566015444</v>
      </c>
      <c r="V1907" t="s">
        <v>157</v>
      </c>
    </row>
    <row r="1908" spans="19:22" x14ac:dyDescent="0.45">
      <c r="S1908" t="s">
        <v>519</v>
      </c>
      <c r="T1908" t="s">
        <v>164</v>
      </c>
      <c r="U1908">
        <v>1.4846087289027074E-2</v>
      </c>
      <c r="V1908" t="s">
        <v>157</v>
      </c>
    </row>
    <row r="1909" spans="19:22" x14ac:dyDescent="0.45">
      <c r="S1909" t="s">
        <v>519</v>
      </c>
      <c r="T1909" t="s">
        <v>165</v>
      </c>
      <c r="U1909">
        <v>1.4892249572703379E-2</v>
      </c>
      <c r="V1909" t="s">
        <v>157</v>
      </c>
    </row>
    <row r="1910" spans="19:22" x14ac:dyDescent="0.45">
      <c r="S1910" t="s">
        <v>519</v>
      </c>
      <c r="T1910" t="s">
        <v>166</v>
      </c>
      <c r="U1910">
        <v>7.5411242677558957E-2</v>
      </c>
      <c r="V1910" t="s">
        <v>157</v>
      </c>
    </row>
    <row r="1911" spans="19:22" x14ac:dyDescent="0.45">
      <c r="S1911" t="s">
        <v>519</v>
      </c>
      <c r="T1911" t="s">
        <v>167</v>
      </c>
      <c r="U1911">
        <v>4.1651076965761251E-2</v>
      </c>
      <c r="V1911" t="s">
        <v>157</v>
      </c>
    </row>
    <row r="1912" spans="19:22" x14ac:dyDescent="0.45">
      <c r="S1912" t="s">
        <v>519</v>
      </c>
      <c r="T1912" t="s">
        <v>168</v>
      </c>
      <c r="U1912">
        <v>6.4242183198708835E-2</v>
      </c>
      <c r="V1912" t="s">
        <v>157</v>
      </c>
    </row>
    <row r="1913" spans="19:22" x14ac:dyDescent="0.45">
      <c r="S1913" t="s">
        <v>519</v>
      </c>
      <c r="T1913" t="s">
        <v>169</v>
      </c>
      <c r="U1913">
        <v>6.3453647963885662E-3</v>
      </c>
      <c r="V1913" t="s">
        <v>157</v>
      </c>
    </row>
    <row r="1914" spans="19:22" x14ac:dyDescent="0.45">
      <c r="S1914" t="s">
        <v>519</v>
      </c>
      <c r="T1914" t="s">
        <v>170</v>
      </c>
      <c r="U1914">
        <v>6.2010130239690845E-3</v>
      </c>
      <c r="V1914" t="s">
        <v>157</v>
      </c>
    </row>
    <row r="1915" spans="19:22" x14ac:dyDescent="0.45">
      <c r="S1915" t="s">
        <v>519</v>
      </c>
      <c r="T1915" t="s">
        <v>171</v>
      </c>
      <c r="U1915">
        <v>3.0136499695447929E-2</v>
      </c>
      <c r="V1915" t="s">
        <v>157</v>
      </c>
    </row>
    <row r="1916" spans="19:22" x14ac:dyDescent="0.45">
      <c r="S1916" t="s">
        <v>520</v>
      </c>
      <c r="T1916" t="s">
        <v>156</v>
      </c>
      <c r="U1916">
        <v>0.13931448100588481</v>
      </c>
      <c r="V1916" t="s">
        <v>157</v>
      </c>
    </row>
    <row r="1917" spans="19:22" x14ac:dyDescent="0.45">
      <c r="S1917" t="s">
        <v>520</v>
      </c>
      <c r="T1917" t="s">
        <v>158</v>
      </c>
      <c r="U1917">
        <v>0.18897249337870747</v>
      </c>
      <c r="V1917" t="s">
        <v>157</v>
      </c>
    </row>
    <row r="1918" spans="19:22" x14ac:dyDescent="0.45">
      <c r="S1918" t="s">
        <v>520</v>
      </c>
      <c r="T1918" t="s">
        <v>159</v>
      </c>
      <c r="U1918">
        <v>1.976686352580127E-2</v>
      </c>
      <c r="V1918" t="s">
        <v>157</v>
      </c>
    </row>
    <row r="1919" spans="19:22" x14ac:dyDescent="0.45">
      <c r="S1919" t="s">
        <v>520</v>
      </c>
      <c r="T1919" t="s">
        <v>160</v>
      </c>
      <c r="U1919">
        <v>2.0205341557361967E-2</v>
      </c>
      <c r="V1919" t="s">
        <v>157</v>
      </c>
    </row>
    <row r="1920" spans="19:22" x14ac:dyDescent="0.45">
      <c r="S1920" t="s">
        <v>520</v>
      </c>
      <c r="T1920" t="s">
        <v>161</v>
      </c>
      <c r="U1920">
        <v>0.10234721232989021</v>
      </c>
      <c r="V1920" t="s">
        <v>157</v>
      </c>
    </row>
    <row r="1921" spans="19:22" x14ac:dyDescent="0.45">
      <c r="S1921" t="s">
        <v>520</v>
      </c>
      <c r="T1921" t="s">
        <v>162</v>
      </c>
      <c r="U1921">
        <v>0.11380257950999823</v>
      </c>
      <c r="V1921" t="s">
        <v>157</v>
      </c>
    </row>
    <row r="1922" spans="19:22" x14ac:dyDescent="0.45">
      <c r="S1922" t="s">
        <v>520</v>
      </c>
      <c r="T1922" t="s">
        <v>163</v>
      </c>
      <c r="U1922">
        <v>0.1562590415624843</v>
      </c>
      <c r="V1922" t="s">
        <v>157</v>
      </c>
    </row>
    <row r="1923" spans="19:22" x14ac:dyDescent="0.45">
      <c r="S1923" t="s">
        <v>520</v>
      </c>
      <c r="T1923" t="s">
        <v>164</v>
      </c>
      <c r="U1923">
        <v>1.5385981372842847E-2</v>
      </c>
      <c r="V1923" t="s">
        <v>157</v>
      </c>
    </row>
    <row r="1924" spans="19:22" x14ac:dyDescent="0.45">
      <c r="S1924" t="s">
        <v>520</v>
      </c>
      <c r="T1924" t="s">
        <v>165</v>
      </c>
      <c r="U1924">
        <v>1.5331673889662183E-2</v>
      </c>
      <c r="V1924" t="s">
        <v>157</v>
      </c>
    </row>
    <row r="1925" spans="19:22" x14ac:dyDescent="0.45">
      <c r="S1925" t="s">
        <v>520</v>
      </c>
      <c r="T1925" t="s">
        <v>166</v>
      </c>
      <c r="U1925">
        <v>7.7734433069207381E-2</v>
      </c>
      <c r="V1925" t="s">
        <v>157</v>
      </c>
    </row>
    <row r="1926" spans="19:22" x14ac:dyDescent="0.45">
      <c r="S1926" t="s">
        <v>520</v>
      </c>
      <c r="T1926" t="s">
        <v>167</v>
      </c>
      <c r="U1926">
        <v>4.2507505951434155E-2</v>
      </c>
      <c r="V1926" t="s">
        <v>157</v>
      </c>
    </row>
    <row r="1927" spans="19:22" x14ac:dyDescent="0.45">
      <c r="S1927" t="s">
        <v>520</v>
      </c>
      <c r="T1927" t="s">
        <v>168</v>
      </c>
      <c r="U1927">
        <v>6.4069248567024936E-2</v>
      </c>
      <c r="V1927" t="s">
        <v>157</v>
      </c>
    </row>
    <row r="1928" spans="19:22" x14ac:dyDescent="0.45">
      <c r="S1928" t="s">
        <v>520</v>
      </c>
      <c r="T1928" t="s">
        <v>169</v>
      </c>
      <c r="U1928">
        <v>6.6415436963376514E-3</v>
      </c>
      <c r="V1928" t="s">
        <v>157</v>
      </c>
    </row>
    <row r="1929" spans="19:22" x14ac:dyDescent="0.45">
      <c r="S1929" t="s">
        <v>520</v>
      </c>
      <c r="T1929" t="s">
        <v>170</v>
      </c>
      <c r="U1929">
        <v>6.4603034126010121E-3</v>
      </c>
      <c r="V1929" t="s">
        <v>157</v>
      </c>
    </row>
    <row r="1930" spans="19:22" x14ac:dyDescent="0.45">
      <c r="S1930" t="s">
        <v>520</v>
      </c>
      <c r="T1930" t="s">
        <v>171</v>
      </c>
      <c r="U1930">
        <v>3.1201297170761654E-2</v>
      </c>
      <c r="V1930" t="s">
        <v>157</v>
      </c>
    </row>
    <row r="1931" spans="19:22" x14ac:dyDescent="0.45">
      <c r="S1931" t="s">
        <v>521</v>
      </c>
      <c r="T1931" t="s">
        <v>156</v>
      </c>
      <c r="U1931">
        <v>0.13431319359542146</v>
      </c>
      <c r="V1931" t="s">
        <v>157</v>
      </c>
    </row>
    <row r="1932" spans="19:22" x14ac:dyDescent="0.45">
      <c r="S1932" t="s">
        <v>521</v>
      </c>
      <c r="T1932" t="s">
        <v>158</v>
      </c>
      <c r="U1932">
        <v>0.18433896286050822</v>
      </c>
      <c r="V1932" t="s">
        <v>157</v>
      </c>
    </row>
    <row r="1933" spans="19:22" x14ac:dyDescent="0.45">
      <c r="S1933" t="s">
        <v>521</v>
      </c>
      <c r="T1933" t="s">
        <v>159</v>
      </c>
      <c r="U1933">
        <v>2.0237114738950804E-2</v>
      </c>
      <c r="V1933" t="s">
        <v>157</v>
      </c>
    </row>
    <row r="1934" spans="19:22" x14ac:dyDescent="0.45">
      <c r="S1934" t="s">
        <v>521</v>
      </c>
      <c r="T1934" t="s">
        <v>160</v>
      </c>
      <c r="U1934">
        <v>2.0600128115059867E-2</v>
      </c>
      <c r="V1934" t="s">
        <v>157</v>
      </c>
    </row>
    <row r="1935" spans="19:22" x14ac:dyDescent="0.45">
      <c r="S1935" t="s">
        <v>521</v>
      </c>
      <c r="T1935" t="s">
        <v>161</v>
      </c>
      <c r="U1935">
        <v>0.1020019886925891</v>
      </c>
      <c r="V1935" t="s">
        <v>157</v>
      </c>
    </row>
    <row r="1936" spans="19:22" x14ac:dyDescent="0.45">
      <c r="S1936" t="s">
        <v>521</v>
      </c>
      <c r="T1936" t="s">
        <v>162</v>
      </c>
      <c r="U1936">
        <v>0.11021817735655502</v>
      </c>
      <c r="V1936" t="s">
        <v>157</v>
      </c>
    </row>
    <row r="1937" spans="19:22" x14ac:dyDescent="0.45">
      <c r="S1937" t="s">
        <v>521</v>
      </c>
      <c r="T1937" t="s">
        <v>163</v>
      </c>
      <c r="U1937">
        <v>0.15467622390214447</v>
      </c>
      <c r="V1937" t="s">
        <v>157</v>
      </c>
    </row>
    <row r="1938" spans="19:22" x14ac:dyDescent="0.45">
      <c r="S1938" t="s">
        <v>521</v>
      </c>
      <c r="T1938" t="s">
        <v>164</v>
      </c>
      <c r="U1938">
        <v>1.6333587866524182E-2</v>
      </c>
      <c r="V1938" t="s">
        <v>157</v>
      </c>
    </row>
    <row r="1939" spans="19:22" x14ac:dyDescent="0.45">
      <c r="S1939" t="s">
        <v>521</v>
      </c>
      <c r="T1939" t="s">
        <v>165</v>
      </c>
      <c r="U1939">
        <v>1.6120419153978605E-2</v>
      </c>
      <c r="V1939" t="s">
        <v>157</v>
      </c>
    </row>
    <row r="1940" spans="19:22" x14ac:dyDescent="0.45">
      <c r="S1940" t="s">
        <v>521</v>
      </c>
      <c r="T1940" t="s">
        <v>166</v>
      </c>
      <c r="U1940">
        <v>8.0720218467281002E-2</v>
      </c>
      <c r="V1940" t="s">
        <v>157</v>
      </c>
    </row>
    <row r="1941" spans="19:22" x14ac:dyDescent="0.45">
      <c r="S1941" t="s">
        <v>521</v>
      </c>
      <c r="T1941" t="s">
        <v>167</v>
      </c>
      <c r="U1941">
        <v>4.3440023625024464E-2</v>
      </c>
      <c r="V1941" t="s">
        <v>157</v>
      </c>
    </row>
    <row r="1942" spans="19:22" x14ac:dyDescent="0.45">
      <c r="S1942" t="s">
        <v>521</v>
      </c>
      <c r="T1942" t="s">
        <v>168</v>
      </c>
      <c r="U1942">
        <v>6.8815818159190412E-2</v>
      </c>
      <c r="V1942" t="s">
        <v>157</v>
      </c>
    </row>
    <row r="1943" spans="19:22" x14ac:dyDescent="0.45">
      <c r="S1943" t="s">
        <v>521</v>
      </c>
      <c r="T1943" t="s">
        <v>169</v>
      </c>
      <c r="U1943">
        <v>7.5543610855775475E-3</v>
      </c>
      <c r="V1943" t="s">
        <v>157</v>
      </c>
    </row>
    <row r="1944" spans="19:22" x14ac:dyDescent="0.45">
      <c r="S1944" t="s">
        <v>521</v>
      </c>
      <c r="T1944" t="s">
        <v>170</v>
      </c>
      <c r="U1944">
        <v>7.2254833986999537E-3</v>
      </c>
      <c r="V1944" t="s">
        <v>157</v>
      </c>
    </row>
    <row r="1945" spans="19:22" x14ac:dyDescent="0.45">
      <c r="S1945" t="s">
        <v>521</v>
      </c>
      <c r="T1945" t="s">
        <v>171</v>
      </c>
      <c r="U1945">
        <v>3.3404298982494897E-2</v>
      </c>
      <c r="V1945" t="s">
        <v>157</v>
      </c>
    </row>
    <row r="1946" spans="19:22" x14ac:dyDescent="0.45">
      <c r="S1946" t="s">
        <v>522</v>
      </c>
      <c r="T1946" t="s">
        <v>156</v>
      </c>
      <c r="U1946">
        <v>0.12758182804643536</v>
      </c>
      <c r="V1946" t="s">
        <v>157</v>
      </c>
    </row>
    <row r="1947" spans="19:22" x14ac:dyDescent="0.45">
      <c r="S1947" t="s">
        <v>522</v>
      </c>
      <c r="T1947" t="s">
        <v>158</v>
      </c>
      <c r="U1947">
        <v>0.19562752599489894</v>
      </c>
      <c r="V1947" t="s">
        <v>157</v>
      </c>
    </row>
    <row r="1948" spans="19:22" x14ac:dyDescent="0.45">
      <c r="S1948" t="s">
        <v>522</v>
      </c>
      <c r="T1948" t="s">
        <v>159</v>
      </c>
      <c r="U1948">
        <v>2.0351922749264357E-2</v>
      </c>
      <c r="V1948" t="s">
        <v>157</v>
      </c>
    </row>
    <row r="1949" spans="19:22" x14ac:dyDescent="0.45">
      <c r="S1949" t="s">
        <v>522</v>
      </c>
      <c r="T1949" t="s">
        <v>160</v>
      </c>
      <c r="U1949">
        <v>2.0466105981162639E-2</v>
      </c>
      <c r="V1949" t="s">
        <v>157</v>
      </c>
    </row>
    <row r="1950" spans="19:22" x14ac:dyDescent="0.45">
      <c r="S1950" t="s">
        <v>522</v>
      </c>
      <c r="T1950" t="s">
        <v>161</v>
      </c>
      <c r="U1950">
        <v>9.8562844604746402E-2</v>
      </c>
      <c r="V1950" t="s">
        <v>157</v>
      </c>
    </row>
    <row r="1951" spans="19:22" x14ac:dyDescent="0.45">
      <c r="S1951" t="s">
        <v>522</v>
      </c>
      <c r="T1951" t="s">
        <v>162</v>
      </c>
      <c r="U1951">
        <v>0.10098249415527182</v>
      </c>
      <c r="V1951" t="s">
        <v>157</v>
      </c>
    </row>
    <row r="1952" spans="19:22" x14ac:dyDescent="0.45">
      <c r="S1952" t="s">
        <v>522</v>
      </c>
      <c r="T1952" t="s">
        <v>163</v>
      </c>
      <c r="U1952">
        <v>0.1601898465382238</v>
      </c>
      <c r="V1952" t="s">
        <v>157</v>
      </c>
    </row>
    <row r="1953" spans="19:22" x14ac:dyDescent="0.45">
      <c r="S1953" t="s">
        <v>522</v>
      </c>
      <c r="T1953" t="s">
        <v>164</v>
      </c>
      <c r="U1953">
        <v>1.7244409578564681E-2</v>
      </c>
      <c r="V1953" t="s">
        <v>157</v>
      </c>
    </row>
    <row r="1954" spans="19:22" x14ac:dyDescent="0.45">
      <c r="S1954" t="s">
        <v>522</v>
      </c>
      <c r="T1954" t="s">
        <v>165</v>
      </c>
      <c r="U1954">
        <v>1.6866003081282412E-2</v>
      </c>
      <c r="V1954" t="s">
        <v>157</v>
      </c>
    </row>
    <row r="1955" spans="19:22" x14ac:dyDescent="0.45">
      <c r="S1955" t="s">
        <v>522</v>
      </c>
      <c r="T1955" t="s">
        <v>166</v>
      </c>
      <c r="U1955">
        <v>7.8921224599511286E-2</v>
      </c>
      <c r="V1955" t="s">
        <v>157</v>
      </c>
    </row>
    <row r="1956" spans="19:22" x14ac:dyDescent="0.45">
      <c r="S1956" t="s">
        <v>522</v>
      </c>
      <c r="T1956" t="s">
        <v>167</v>
      </c>
      <c r="U1956">
        <v>3.9287758567362864E-2</v>
      </c>
      <c r="V1956" t="s">
        <v>157</v>
      </c>
    </row>
    <row r="1957" spans="19:22" x14ac:dyDescent="0.45">
      <c r="S1957" t="s">
        <v>522</v>
      </c>
      <c r="T1957" t="s">
        <v>168</v>
      </c>
      <c r="U1957">
        <v>7.2865675503222926E-2</v>
      </c>
      <c r="V1957" t="s">
        <v>157</v>
      </c>
    </row>
    <row r="1958" spans="19:22" x14ac:dyDescent="0.45">
      <c r="S1958" t="s">
        <v>522</v>
      </c>
      <c r="T1958" t="s">
        <v>169</v>
      </c>
      <c r="U1958">
        <v>8.3096745783907827E-3</v>
      </c>
      <c r="V1958" t="s">
        <v>157</v>
      </c>
    </row>
    <row r="1959" spans="19:22" x14ac:dyDescent="0.45">
      <c r="S1959" t="s">
        <v>522</v>
      </c>
      <c r="T1959" t="s">
        <v>170</v>
      </c>
      <c r="U1959">
        <v>7.8101031283502658E-3</v>
      </c>
      <c r="V1959" t="s">
        <v>157</v>
      </c>
    </row>
    <row r="1960" spans="19:22" x14ac:dyDescent="0.45">
      <c r="S1960" t="s">
        <v>522</v>
      </c>
      <c r="T1960" t="s">
        <v>171</v>
      </c>
      <c r="U1960">
        <v>3.4932582893311553E-2</v>
      </c>
      <c r="V1960" t="s">
        <v>157</v>
      </c>
    </row>
    <row r="1961" spans="19:22" x14ac:dyDescent="0.45">
      <c r="S1961" t="s">
        <v>523</v>
      </c>
      <c r="T1961" t="s">
        <v>156</v>
      </c>
      <c r="U1961">
        <v>0.11666838233847916</v>
      </c>
      <c r="V1961" t="s">
        <v>157</v>
      </c>
    </row>
    <row r="1962" spans="19:22" x14ac:dyDescent="0.45">
      <c r="S1962" t="s">
        <v>523</v>
      </c>
      <c r="T1962" t="s">
        <v>158</v>
      </c>
      <c r="U1962">
        <v>0.20836969093522092</v>
      </c>
      <c r="V1962" t="s">
        <v>157</v>
      </c>
    </row>
    <row r="1963" spans="19:22" x14ac:dyDescent="0.45">
      <c r="S1963" t="s">
        <v>523</v>
      </c>
      <c r="T1963" t="s">
        <v>159</v>
      </c>
      <c r="U1963">
        <v>2.0499079649974526E-2</v>
      </c>
      <c r="V1963" t="s">
        <v>157</v>
      </c>
    </row>
    <row r="1964" spans="19:22" x14ac:dyDescent="0.45">
      <c r="S1964" t="s">
        <v>523</v>
      </c>
      <c r="T1964" t="s">
        <v>160</v>
      </c>
      <c r="U1964">
        <v>1.9407959379103019E-2</v>
      </c>
      <c r="V1964" t="s">
        <v>157</v>
      </c>
    </row>
    <row r="1965" spans="19:22" x14ac:dyDescent="0.45">
      <c r="S1965" t="s">
        <v>523</v>
      </c>
      <c r="T1965" t="s">
        <v>161</v>
      </c>
      <c r="U1965">
        <v>9.084636209928823E-2</v>
      </c>
      <c r="V1965" t="s">
        <v>157</v>
      </c>
    </row>
    <row r="1966" spans="19:22" x14ac:dyDescent="0.45">
      <c r="S1966" t="s">
        <v>523</v>
      </c>
      <c r="T1966" t="s">
        <v>162</v>
      </c>
      <c r="U1966">
        <v>0.10027923233645367</v>
      </c>
      <c r="V1966" t="s">
        <v>157</v>
      </c>
    </row>
    <row r="1967" spans="19:22" x14ac:dyDescent="0.45">
      <c r="S1967" t="s">
        <v>523</v>
      </c>
      <c r="T1967" t="s">
        <v>163</v>
      </c>
      <c r="U1967">
        <v>0.1764631667724961</v>
      </c>
      <c r="V1967" t="s">
        <v>157</v>
      </c>
    </row>
    <row r="1968" spans="19:22" x14ac:dyDescent="0.45">
      <c r="S1968" t="s">
        <v>523</v>
      </c>
      <c r="T1968" t="s">
        <v>164</v>
      </c>
      <c r="U1968">
        <v>1.8388748783765209E-2</v>
      </c>
      <c r="V1968" t="s">
        <v>157</v>
      </c>
    </row>
    <row r="1969" spans="19:22" x14ac:dyDescent="0.45">
      <c r="S1969" t="s">
        <v>523</v>
      </c>
      <c r="T1969" t="s">
        <v>165</v>
      </c>
      <c r="U1969">
        <v>1.787849862356072E-2</v>
      </c>
      <c r="V1969" t="s">
        <v>157</v>
      </c>
    </row>
    <row r="1970" spans="19:22" x14ac:dyDescent="0.45">
      <c r="S1970" t="s">
        <v>523</v>
      </c>
      <c r="T1970" t="s">
        <v>166</v>
      </c>
      <c r="U1970">
        <v>8.1391008292461389E-2</v>
      </c>
      <c r="V1970" t="s">
        <v>157</v>
      </c>
    </row>
    <row r="1971" spans="19:22" x14ac:dyDescent="0.45">
      <c r="S1971" t="s">
        <v>523</v>
      </c>
      <c r="T1971" t="s">
        <v>167</v>
      </c>
      <c r="U1971">
        <v>3.2852691712314329E-2</v>
      </c>
      <c r="V1971" t="s">
        <v>157</v>
      </c>
    </row>
    <row r="1972" spans="19:22" x14ac:dyDescent="0.45">
      <c r="S1972" t="s">
        <v>523</v>
      </c>
      <c r="T1972" t="s">
        <v>168</v>
      </c>
      <c r="U1972">
        <v>7.2298001598562173E-2</v>
      </c>
      <c r="V1972" t="s">
        <v>157</v>
      </c>
    </row>
    <row r="1973" spans="19:22" x14ac:dyDescent="0.45">
      <c r="S1973" t="s">
        <v>523</v>
      </c>
      <c r="T1973" t="s">
        <v>169</v>
      </c>
      <c r="U1973">
        <v>7.9284187585477103E-3</v>
      </c>
      <c r="V1973" t="s">
        <v>157</v>
      </c>
    </row>
    <row r="1974" spans="19:22" x14ac:dyDescent="0.45">
      <c r="S1974" t="s">
        <v>523</v>
      </c>
      <c r="T1974" t="s">
        <v>170</v>
      </c>
      <c r="U1974">
        <v>7.2293399959356287E-3</v>
      </c>
      <c r="V1974" t="s">
        <v>157</v>
      </c>
    </row>
    <row r="1975" spans="19:22" x14ac:dyDescent="0.45">
      <c r="S1975" t="s">
        <v>523</v>
      </c>
      <c r="T1975" t="s">
        <v>171</v>
      </c>
      <c r="U1975">
        <v>2.9499418723837208E-2</v>
      </c>
      <c r="V1975" t="s">
        <v>157</v>
      </c>
    </row>
    <row r="1976" spans="19:22" x14ac:dyDescent="0.45">
      <c r="S1976" t="s">
        <v>524</v>
      </c>
      <c r="T1976" t="s">
        <v>156</v>
      </c>
      <c r="U1976">
        <v>0.12446651804341885</v>
      </c>
      <c r="V1976" t="s">
        <v>157</v>
      </c>
    </row>
    <row r="1977" spans="19:22" x14ac:dyDescent="0.45">
      <c r="S1977" t="s">
        <v>524</v>
      </c>
      <c r="T1977" t="s">
        <v>158</v>
      </c>
      <c r="U1977">
        <v>0.19520844529045459</v>
      </c>
      <c r="V1977" t="s">
        <v>157</v>
      </c>
    </row>
    <row r="1978" spans="19:22" x14ac:dyDescent="0.45">
      <c r="S1978" t="s">
        <v>524</v>
      </c>
      <c r="T1978" t="s">
        <v>159</v>
      </c>
      <c r="U1978">
        <v>2.0070373935790219E-2</v>
      </c>
      <c r="V1978" t="s">
        <v>157</v>
      </c>
    </row>
    <row r="1979" spans="19:22" x14ac:dyDescent="0.45">
      <c r="S1979" t="s">
        <v>524</v>
      </c>
      <c r="T1979" t="s">
        <v>160</v>
      </c>
      <c r="U1979">
        <v>1.8817360704618209E-2</v>
      </c>
      <c r="V1979" t="s">
        <v>157</v>
      </c>
    </row>
    <row r="1980" spans="19:22" x14ac:dyDescent="0.45">
      <c r="S1980" t="s">
        <v>524</v>
      </c>
      <c r="T1980" t="s">
        <v>161</v>
      </c>
      <c r="U1980">
        <v>8.1646165959073591E-2</v>
      </c>
      <c r="V1980" t="s">
        <v>157</v>
      </c>
    </row>
    <row r="1981" spans="19:22" x14ac:dyDescent="0.45">
      <c r="S1981" t="s">
        <v>524</v>
      </c>
      <c r="T1981" t="s">
        <v>162</v>
      </c>
      <c r="U1981">
        <v>0.12996890698004976</v>
      </c>
      <c r="V1981" t="s">
        <v>157</v>
      </c>
    </row>
    <row r="1982" spans="19:22" x14ac:dyDescent="0.45">
      <c r="S1982" t="s">
        <v>524</v>
      </c>
      <c r="T1982" t="s">
        <v>163</v>
      </c>
      <c r="U1982">
        <v>0.18865541201996872</v>
      </c>
      <c r="V1982" t="s">
        <v>157</v>
      </c>
    </row>
    <row r="1983" spans="19:22" x14ac:dyDescent="0.45">
      <c r="S1983" t="s">
        <v>524</v>
      </c>
      <c r="T1983" t="s">
        <v>164</v>
      </c>
      <c r="U1983">
        <v>1.8450398212551917E-2</v>
      </c>
      <c r="V1983" t="s">
        <v>157</v>
      </c>
    </row>
    <row r="1984" spans="19:22" x14ac:dyDescent="0.45">
      <c r="S1984" t="s">
        <v>524</v>
      </c>
      <c r="T1984" t="s">
        <v>165</v>
      </c>
      <c r="U1984">
        <v>1.7551659787031309E-2</v>
      </c>
      <c r="V1984" t="s">
        <v>157</v>
      </c>
    </row>
    <row r="1985" spans="19:22" x14ac:dyDescent="0.45">
      <c r="S1985" t="s">
        <v>524</v>
      </c>
      <c r="T1985" t="s">
        <v>166</v>
      </c>
      <c r="U1985">
        <v>8.5598817943191588E-2</v>
      </c>
      <c r="V1985" t="s">
        <v>157</v>
      </c>
    </row>
    <row r="1986" spans="19:22" x14ac:dyDescent="0.45">
      <c r="S1986" t="s">
        <v>524</v>
      </c>
      <c r="T1986" t="s">
        <v>167</v>
      </c>
      <c r="U1986">
        <v>2.7912469440341474E-2</v>
      </c>
      <c r="V1986" t="s">
        <v>157</v>
      </c>
    </row>
    <row r="1987" spans="19:22" x14ac:dyDescent="0.45">
      <c r="S1987" t="s">
        <v>524</v>
      </c>
      <c r="T1987" t="s">
        <v>168</v>
      </c>
      <c r="U1987">
        <v>5.9121164111683173E-2</v>
      </c>
      <c r="V1987" t="s">
        <v>157</v>
      </c>
    </row>
    <row r="1988" spans="19:22" x14ac:dyDescent="0.45">
      <c r="S1988" t="s">
        <v>524</v>
      </c>
      <c r="T1988" t="s">
        <v>169</v>
      </c>
      <c r="U1988">
        <v>5.5706044418905249E-3</v>
      </c>
      <c r="V1988" t="s">
        <v>157</v>
      </c>
    </row>
    <row r="1989" spans="19:22" x14ac:dyDescent="0.45">
      <c r="S1989" t="s">
        <v>524</v>
      </c>
      <c r="T1989" t="s">
        <v>170</v>
      </c>
      <c r="U1989">
        <v>5.1673901775558459E-3</v>
      </c>
      <c r="V1989" t="s">
        <v>157</v>
      </c>
    </row>
    <row r="1990" spans="19:22" x14ac:dyDescent="0.45">
      <c r="S1990" t="s">
        <v>524</v>
      </c>
      <c r="T1990" t="s">
        <v>171</v>
      </c>
      <c r="U1990">
        <v>2.1794312952380126E-2</v>
      </c>
      <c r="V1990" t="s">
        <v>157</v>
      </c>
    </row>
    <row r="1991" spans="19:22" x14ac:dyDescent="0.45">
      <c r="S1991" t="s">
        <v>525</v>
      </c>
      <c r="T1991" t="s">
        <v>156</v>
      </c>
      <c r="U1991">
        <v>0.12348041595034441</v>
      </c>
      <c r="V1991" t="s">
        <v>157</v>
      </c>
    </row>
    <row r="1992" spans="19:22" x14ac:dyDescent="0.45">
      <c r="S1992" t="s">
        <v>525</v>
      </c>
      <c r="T1992" t="s">
        <v>158</v>
      </c>
      <c r="U1992">
        <v>0.20024745003684333</v>
      </c>
      <c r="V1992" t="s">
        <v>157</v>
      </c>
    </row>
    <row r="1993" spans="19:22" x14ac:dyDescent="0.45">
      <c r="S1993" t="s">
        <v>525</v>
      </c>
      <c r="T1993" t="s">
        <v>159</v>
      </c>
      <c r="U1993">
        <v>2.1777803924488165E-2</v>
      </c>
      <c r="V1993" t="s">
        <v>157</v>
      </c>
    </row>
    <row r="1994" spans="19:22" x14ac:dyDescent="0.45">
      <c r="S1994" t="s">
        <v>525</v>
      </c>
      <c r="T1994" t="s">
        <v>160</v>
      </c>
      <c r="U1994">
        <v>2.0117895709294328E-2</v>
      </c>
      <c r="V1994" t="s">
        <v>157</v>
      </c>
    </row>
    <row r="1995" spans="19:22" x14ac:dyDescent="0.45">
      <c r="S1995" t="s">
        <v>525</v>
      </c>
      <c r="T1995" t="s">
        <v>161</v>
      </c>
      <c r="U1995">
        <v>8.2298713158118597E-2</v>
      </c>
      <c r="V1995" t="s">
        <v>157</v>
      </c>
    </row>
    <row r="1996" spans="19:22" x14ac:dyDescent="0.45">
      <c r="S1996" t="s">
        <v>525</v>
      </c>
      <c r="T1996" t="s">
        <v>162</v>
      </c>
      <c r="U1996">
        <v>0.11456162276893136</v>
      </c>
      <c r="V1996" t="s">
        <v>157</v>
      </c>
    </row>
    <row r="1997" spans="19:22" x14ac:dyDescent="0.45">
      <c r="S1997" t="s">
        <v>525</v>
      </c>
      <c r="T1997" t="s">
        <v>163</v>
      </c>
      <c r="U1997">
        <v>0.1786592630040372</v>
      </c>
      <c r="V1997" t="s">
        <v>157</v>
      </c>
    </row>
    <row r="1998" spans="19:22" x14ac:dyDescent="0.45">
      <c r="S1998" t="s">
        <v>525</v>
      </c>
      <c r="T1998" t="s">
        <v>164</v>
      </c>
      <c r="U1998">
        <v>1.8861875994176425E-2</v>
      </c>
      <c r="V1998" t="s">
        <v>157</v>
      </c>
    </row>
    <row r="1999" spans="19:22" x14ac:dyDescent="0.45">
      <c r="S1999" t="s">
        <v>525</v>
      </c>
      <c r="T1999" t="s">
        <v>165</v>
      </c>
      <c r="U1999">
        <v>1.7542945111108335E-2</v>
      </c>
      <c r="V1999" t="s">
        <v>157</v>
      </c>
    </row>
    <row r="2000" spans="19:22" x14ac:dyDescent="0.45">
      <c r="S2000" t="s">
        <v>525</v>
      </c>
      <c r="T2000" t="s">
        <v>166</v>
      </c>
      <c r="U2000">
        <v>8.2608756333161268E-2</v>
      </c>
      <c r="V2000" t="s">
        <v>157</v>
      </c>
    </row>
    <row r="2001" spans="19:22" x14ac:dyDescent="0.45">
      <c r="S2001" t="s">
        <v>525</v>
      </c>
      <c r="T2001" t="s">
        <v>167</v>
      </c>
      <c r="U2001">
        <v>3.3348830492052901E-2</v>
      </c>
      <c r="V2001" t="s">
        <v>157</v>
      </c>
    </row>
    <row r="2002" spans="19:22" x14ac:dyDescent="0.45">
      <c r="S2002" t="s">
        <v>525</v>
      </c>
      <c r="T2002" t="s">
        <v>168</v>
      </c>
      <c r="U2002">
        <v>6.46168470973916E-2</v>
      </c>
      <c r="V2002" t="s">
        <v>157</v>
      </c>
    </row>
    <row r="2003" spans="19:22" x14ac:dyDescent="0.45">
      <c r="S2003" t="s">
        <v>525</v>
      </c>
      <c r="T2003" t="s">
        <v>169</v>
      </c>
      <c r="U2003">
        <v>6.955220318884286E-3</v>
      </c>
      <c r="V2003" t="s">
        <v>157</v>
      </c>
    </row>
    <row r="2004" spans="19:22" x14ac:dyDescent="0.45">
      <c r="S2004" t="s">
        <v>525</v>
      </c>
      <c r="T2004" t="s">
        <v>170</v>
      </c>
      <c r="U2004">
        <v>6.4748087088061642E-3</v>
      </c>
      <c r="V2004" t="s">
        <v>157</v>
      </c>
    </row>
    <row r="2005" spans="19:22" x14ac:dyDescent="0.45">
      <c r="S2005" t="s">
        <v>525</v>
      </c>
      <c r="T2005" t="s">
        <v>171</v>
      </c>
      <c r="U2005">
        <v>2.8447551392361558E-2</v>
      </c>
      <c r="V2005" t="s">
        <v>157</v>
      </c>
    </row>
    <row r="2006" spans="19:22" x14ac:dyDescent="0.45">
      <c r="S2006" t="s">
        <v>526</v>
      </c>
      <c r="T2006" t="s">
        <v>156</v>
      </c>
      <c r="U2006">
        <v>0.12472892868092456</v>
      </c>
      <c r="V2006" t="s">
        <v>157</v>
      </c>
    </row>
    <row r="2007" spans="19:22" x14ac:dyDescent="0.45">
      <c r="S2007" t="s">
        <v>526</v>
      </c>
      <c r="T2007" t="s">
        <v>158</v>
      </c>
      <c r="U2007">
        <v>0.18162126833174283</v>
      </c>
      <c r="V2007" t="s">
        <v>157</v>
      </c>
    </row>
    <row r="2008" spans="19:22" x14ac:dyDescent="0.45">
      <c r="S2008" t="s">
        <v>526</v>
      </c>
      <c r="T2008" t="s">
        <v>159</v>
      </c>
      <c r="U2008">
        <v>2.0911451383850376E-2</v>
      </c>
      <c r="V2008" t="s">
        <v>157</v>
      </c>
    </row>
    <row r="2009" spans="19:22" x14ac:dyDescent="0.45">
      <c r="S2009" t="s">
        <v>526</v>
      </c>
      <c r="T2009" t="s">
        <v>160</v>
      </c>
      <c r="U2009">
        <v>2.0338639453484974E-2</v>
      </c>
      <c r="V2009" t="s">
        <v>157</v>
      </c>
    </row>
    <row r="2010" spans="19:22" x14ac:dyDescent="0.45">
      <c r="S2010" t="s">
        <v>526</v>
      </c>
      <c r="T2010" t="s">
        <v>161</v>
      </c>
      <c r="U2010">
        <v>8.8908595034670371E-2</v>
      </c>
      <c r="V2010" t="s">
        <v>157</v>
      </c>
    </row>
    <row r="2011" spans="19:22" x14ac:dyDescent="0.45">
      <c r="S2011" t="s">
        <v>526</v>
      </c>
      <c r="T2011" t="s">
        <v>162</v>
      </c>
      <c r="U2011">
        <v>0.11531594724004826</v>
      </c>
      <c r="V2011" t="s">
        <v>157</v>
      </c>
    </row>
    <row r="2012" spans="19:22" x14ac:dyDescent="0.45">
      <c r="S2012" t="s">
        <v>526</v>
      </c>
      <c r="T2012" t="s">
        <v>163</v>
      </c>
      <c r="U2012">
        <v>0.16961158559341735</v>
      </c>
      <c r="V2012" t="s">
        <v>157</v>
      </c>
    </row>
    <row r="2013" spans="19:22" x14ac:dyDescent="0.45">
      <c r="S2013" t="s">
        <v>526</v>
      </c>
      <c r="T2013" t="s">
        <v>164</v>
      </c>
      <c r="U2013">
        <v>1.9044996849146362E-2</v>
      </c>
      <c r="V2013" t="s">
        <v>157</v>
      </c>
    </row>
    <row r="2014" spans="19:22" x14ac:dyDescent="0.45">
      <c r="S2014" t="s">
        <v>526</v>
      </c>
      <c r="T2014" t="s">
        <v>165</v>
      </c>
      <c r="U2014">
        <v>1.8316696638937056E-2</v>
      </c>
      <c r="V2014" t="s">
        <v>157</v>
      </c>
    </row>
    <row r="2015" spans="19:22" x14ac:dyDescent="0.45">
      <c r="S2015" t="s">
        <v>526</v>
      </c>
      <c r="T2015" t="s">
        <v>166</v>
      </c>
      <c r="U2015">
        <v>8.6247212496438977E-2</v>
      </c>
      <c r="V2015" t="s">
        <v>157</v>
      </c>
    </row>
    <row r="2016" spans="19:22" x14ac:dyDescent="0.45">
      <c r="S2016" t="s">
        <v>526</v>
      </c>
      <c r="T2016" t="s">
        <v>167</v>
      </c>
      <c r="U2016">
        <v>4.3303309249851797E-2</v>
      </c>
      <c r="V2016" t="s">
        <v>157</v>
      </c>
    </row>
    <row r="2017" spans="19:22" x14ac:dyDescent="0.45">
      <c r="S2017" t="s">
        <v>526</v>
      </c>
      <c r="T2017" t="s">
        <v>168</v>
      </c>
      <c r="U2017">
        <v>6.352348538503487E-2</v>
      </c>
      <c r="V2017" t="s">
        <v>157</v>
      </c>
    </row>
    <row r="2018" spans="19:22" x14ac:dyDescent="0.45">
      <c r="S2018" t="s">
        <v>526</v>
      </c>
      <c r="T2018" t="s">
        <v>169</v>
      </c>
      <c r="U2018">
        <v>7.500369119264284E-3</v>
      </c>
      <c r="V2018" t="s">
        <v>157</v>
      </c>
    </row>
    <row r="2019" spans="19:22" x14ac:dyDescent="0.45">
      <c r="S2019" t="s">
        <v>526</v>
      </c>
      <c r="T2019" t="s">
        <v>170</v>
      </c>
      <c r="U2019">
        <v>7.3496517860320394E-3</v>
      </c>
      <c r="V2019" t="s">
        <v>157</v>
      </c>
    </row>
    <row r="2020" spans="19:22" x14ac:dyDescent="0.45">
      <c r="S2020" t="s">
        <v>526</v>
      </c>
      <c r="T2020" t="s">
        <v>171</v>
      </c>
      <c r="U2020">
        <v>3.3277862757155899E-2</v>
      </c>
      <c r="V2020" t="s">
        <v>157</v>
      </c>
    </row>
    <row r="2021" spans="19:22" x14ac:dyDescent="0.45">
      <c r="S2021" t="s">
        <v>527</v>
      </c>
      <c r="T2021" t="s">
        <v>156</v>
      </c>
      <c r="U2021">
        <v>0.12528526220616309</v>
      </c>
      <c r="V2021" t="s">
        <v>157</v>
      </c>
    </row>
    <row r="2022" spans="19:22" x14ac:dyDescent="0.45">
      <c r="S2022" t="s">
        <v>527</v>
      </c>
      <c r="T2022" t="s">
        <v>158</v>
      </c>
      <c r="U2022">
        <v>0.17768999821143958</v>
      </c>
      <c r="V2022" t="s">
        <v>157</v>
      </c>
    </row>
    <row r="2023" spans="19:22" x14ac:dyDescent="0.45">
      <c r="S2023" t="s">
        <v>527</v>
      </c>
      <c r="T2023" t="s">
        <v>159</v>
      </c>
      <c r="U2023">
        <v>1.9042282976980907E-2</v>
      </c>
      <c r="V2023" t="s">
        <v>157</v>
      </c>
    </row>
    <row r="2024" spans="19:22" x14ac:dyDescent="0.45">
      <c r="S2024" t="s">
        <v>527</v>
      </c>
      <c r="T2024" t="s">
        <v>160</v>
      </c>
      <c r="U2024">
        <v>1.904872201405124E-2</v>
      </c>
      <c r="V2024" t="s">
        <v>157</v>
      </c>
    </row>
    <row r="2025" spans="19:22" x14ac:dyDescent="0.45">
      <c r="S2025" t="s">
        <v>527</v>
      </c>
      <c r="T2025" t="s">
        <v>161</v>
      </c>
      <c r="U2025">
        <v>8.8989020913618058E-2</v>
      </c>
      <c r="V2025" t="s">
        <v>157</v>
      </c>
    </row>
    <row r="2026" spans="19:22" x14ac:dyDescent="0.45">
      <c r="S2026" t="s">
        <v>527</v>
      </c>
      <c r="T2026" t="s">
        <v>162</v>
      </c>
      <c r="U2026">
        <v>0.12251303616544974</v>
      </c>
      <c r="V2026" t="s">
        <v>157</v>
      </c>
    </row>
    <row r="2027" spans="19:22" x14ac:dyDescent="0.45">
      <c r="S2027" t="s">
        <v>527</v>
      </c>
      <c r="T2027" t="s">
        <v>163</v>
      </c>
      <c r="U2027">
        <v>0.17047711189535991</v>
      </c>
      <c r="V2027" t="s">
        <v>157</v>
      </c>
    </row>
    <row r="2028" spans="19:22" x14ac:dyDescent="0.45">
      <c r="S2028" t="s">
        <v>527</v>
      </c>
      <c r="T2028" t="s">
        <v>164</v>
      </c>
      <c r="U2028">
        <v>1.8834478840846366E-2</v>
      </c>
      <c r="V2028" t="s">
        <v>157</v>
      </c>
    </row>
    <row r="2029" spans="19:22" x14ac:dyDescent="0.45">
      <c r="S2029" t="s">
        <v>527</v>
      </c>
      <c r="T2029" t="s">
        <v>165</v>
      </c>
      <c r="U2029">
        <v>1.8531110940183559E-2</v>
      </c>
      <c r="V2029" t="s">
        <v>157</v>
      </c>
    </row>
    <row r="2030" spans="19:22" x14ac:dyDescent="0.45">
      <c r="S2030" t="s">
        <v>527</v>
      </c>
      <c r="T2030" t="s">
        <v>166</v>
      </c>
      <c r="U2030">
        <v>8.9267292884215935E-2</v>
      </c>
      <c r="V2030" t="s">
        <v>157</v>
      </c>
    </row>
    <row r="2031" spans="19:22" x14ac:dyDescent="0.45">
      <c r="S2031" t="s">
        <v>527</v>
      </c>
      <c r="T2031" t="s">
        <v>167</v>
      </c>
      <c r="U2031">
        <v>4.3003488247899242E-2</v>
      </c>
      <c r="V2031" t="s">
        <v>157</v>
      </c>
    </row>
    <row r="2032" spans="19:22" x14ac:dyDescent="0.45">
      <c r="S2032" t="s">
        <v>527</v>
      </c>
      <c r="T2032" t="s">
        <v>168</v>
      </c>
      <c r="U2032">
        <v>6.0800193840565647E-2</v>
      </c>
      <c r="V2032" t="s">
        <v>157</v>
      </c>
    </row>
    <row r="2033" spans="19:22" x14ac:dyDescent="0.45">
      <c r="S2033" t="s">
        <v>527</v>
      </c>
      <c r="T2033" t="s">
        <v>169</v>
      </c>
      <c r="U2033">
        <v>7.1910247527265207E-3</v>
      </c>
      <c r="V2033" t="s">
        <v>157</v>
      </c>
    </row>
    <row r="2034" spans="19:22" x14ac:dyDescent="0.45">
      <c r="S2034" t="s">
        <v>527</v>
      </c>
      <c r="T2034" t="s">
        <v>170</v>
      </c>
      <c r="U2034">
        <v>7.0941309339650465E-3</v>
      </c>
      <c r="V2034" t="s">
        <v>157</v>
      </c>
    </row>
    <row r="2035" spans="19:22" x14ac:dyDescent="0.45">
      <c r="S2035" t="s">
        <v>527</v>
      </c>
      <c r="T2035" t="s">
        <v>171</v>
      </c>
      <c r="U2035">
        <v>3.2232845176535206E-2</v>
      </c>
      <c r="V2035" t="s">
        <v>157</v>
      </c>
    </row>
    <row r="2036" spans="19:22" x14ac:dyDescent="0.45">
      <c r="S2036" t="s">
        <v>528</v>
      </c>
      <c r="T2036" t="s">
        <v>156</v>
      </c>
      <c r="U2036">
        <v>0.12746227606702165</v>
      </c>
      <c r="V2036" t="s">
        <v>157</v>
      </c>
    </row>
    <row r="2037" spans="19:22" x14ac:dyDescent="0.45">
      <c r="S2037" t="s">
        <v>528</v>
      </c>
      <c r="T2037" t="s">
        <v>158</v>
      </c>
      <c r="U2037">
        <v>0.18236968192920602</v>
      </c>
      <c r="V2037" t="s">
        <v>157</v>
      </c>
    </row>
    <row r="2038" spans="19:22" x14ac:dyDescent="0.45">
      <c r="S2038" t="s">
        <v>528</v>
      </c>
      <c r="T2038" t="s">
        <v>159</v>
      </c>
      <c r="U2038">
        <v>1.9251237816302461E-2</v>
      </c>
      <c r="V2038" t="s">
        <v>157</v>
      </c>
    </row>
    <row r="2039" spans="19:22" x14ac:dyDescent="0.45">
      <c r="S2039" t="s">
        <v>528</v>
      </c>
      <c r="T2039" t="s">
        <v>160</v>
      </c>
      <c r="U2039">
        <v>1.8946180656409812E-2</v>
      </c>
      <c r="V2039" t="s">
        <v>157</v>
      </c>
    </row>
    <row r="2040" spans="19:22" x14ac:dyDescent="0.45">
      <c r="S2040" t="s">
        <v>528</v>
      </c>
      <c r="T2040" t="s">
        <v>161</v>
      </c>
      <c r="U2040">
        <v>8.8488587922273917E-2</v>
      </c>
      <c r="V2040" t="s">
        <v>157</v>
      </c>
    </row>
    <row r="2041" spans="19:22" x14ac:dyDescent="0.45">
      <c r="S2041" t="s">
        <v>528</v>
      </c>
      <c r="T2041" t="s">
        <v>162</v>
      </c>
      <c r="U2041">
        <v>0.12073118527255051</v>
      </c>
      <c r="V2041" t="s">
        <v>157</v>
      </c>
    </row>
    <row r="2042" spans="19:22" x14ac:dyDescent="0.45">
      <c r="S2042" t="s">
        <v>528</v>
      </c>
      <c r="T2042" t="s">
        <v>163</v>
      </c>
      <c r="U2042">
        <v>0.17167591080452335</v>
      </c>
      <c r="V2042" t="s">
        <v>157</v>
      </c>
    </row>
    <row r="2043" spans="19:22" x14ac:dyDescent="0.45">
      <c r="S2043" t="s">
        <v>528</v>
      </c>
      <c r="T2043" t="s">
        <v>164</v>
      </c>
      <c r="U2043">
        <v>1.8728661595179212E-2</v>
      </c>
      <c r="V2043" t="s">
        <v>157</v>
      </c>
    </row>
    <row r="2044" spans="19:22" x14ac:dyDescent="0.45">
      <c r="S2044" t="s">
        <v>528</v>
      </c>
      <c r="T2044" t="s">
        <v>165</v>
      </c>
      <c r="U2044">
        <v>1.8469585632202096E-2</v>
      </c>
      <c r="V2044" t="s">
        <v>157</v>
      </c>
    </row>
    <row r="2045" spans="19:22" x14ac:dyDescent="0.45">
      <c r="S2045" t="s">
        <v>528</v>
      </c>
      <c r="T2045" t="s">
        <v>166</v>
      </c>
      <c r="U2045">
        <v>8.8274021858209692E-2</v>
      </c>
      <c r="V2045" t="s">
        <v>157</v>
      </c>
    </row>
    <row r="2046" spans="19:22" x14ac:dyDescent="0.45">
      <c r="S2046" t="s">
        <v>528</v>
      </c>
      <c r="T2046" t="s">
        <v>167</v>
      </c>
      <c r="U2046">
        <v>4.0279208953166314E-2</v>
      </c>
      <c r="V2046" t="s">
        <v>157</v>
      </c>
    </row>
    <row r="2047" spans="19:22" x14ac:dyDescent="0.45">
      <c r="S2047" t="s">
        <v>528</v>
      </c>
      <c r="T2047" t="s">
        <v>168</v>
      </c>
      <c r="U2047">
        <v>5.9899510113254818E-2</v>
      </c>
      <c r="V2047" t="s">
        <v>157</v>
      </c>
    </row>
    <row r="2048" spans="19:22" x14ac:dyDescent="0.45">
      <c r="S2048" t="s">
        <v>528</v>
      </c>
      <c r="T2048" t="s">
        <v>169</v>
      </c>
      <c r="U2048">
        <v>6.9370211150796991E-3</v>
      </c>
      <c r="V2048" t="s">
        <v>157</v>
      </c>
    </row>
    <row r="2049" spans="19:22" x14ac:dyDescent="0.45">
      <c r="S2049" t="s">
        <v>528</v>
      </c>
      <c r="T2049" t="s">
        <v>170</v>
      </c>
      <c r="U2049">
        <v>6.7937635073352983E-3</v>
      </c>
      <c r="V2049" t="s">
        <v>157</v>
      </c>
    </row>
    <row r="2050" spans="19:22" x14ac:dyDescent="0.45">
      <c r="S2050" t="s">
        <v>528</v>
      </c>
      <c r="T2050" t="s">
        <v>171</v>
      </c>
      <c r="U2050">
        <v>3.169316675728507E-2</v>
      </c>
      <c r="V2050" t="s">
        <v>157</v>
      </c>
    </row>
    <row r="2051" spans="19:22" x14ac:dyDescent="0.45">
      <c r="S2051" t="s">
        <v>529</v>
      </c>
      <c r="T2051" t="s">
        <v>156</v>
      </c>
      <c r="U2051">
        <v>0.130611115676531</v>
      </c>
      <c r="V2051" t="s">
        <v>157</v>
      </c>
    </row>
    <row r="2052" spans="19:22" x14ac:dyDescent="0.45">
      <c r="S2052" t="s">
        <v>529</v>
      </c>
      <c r="T2052" t="s">
        <v>158</v>
      </c>
      <c r="U2052">
        <v>0.18370703497481067</v>
      </c>
      <c r="V2052" t="s">
        <v>157</v>
      </c>
    </row>
    <row r="2053" spans="19:22" x14ac:dyDescent="0.45">
      <c r="S2053" t="s">
        <v>529</v>
      </c>
      <c r="T2053" t="s">
        <v>159</v>
      </c>
      <c r="U2053">
        <v>1.9260921840651247E-2</v>
      </c>
      <c r="V2053" t="s">
        <v>157</v>
      </c>
    </row>
    <row r="2054" spans="19:22" x14ac:dyDescent="0.45">
      <c r="S2054" t="s">
        <v>529</v>
      </c>
      <c r="T2054" t="s">
        <v>160</v>
      </c>
      <c r="U2054">
        <v>1.9071169904395804E-2</v>
      </c>
      <c r="V2054" t="s">
        <v>157</v>
      </c>
    </row>
    <row r="2055" spans="19:22" x14ac:dyDescent="0.45">
      <c r="S2055" t="s">
        <v>529</v>
      </c>
      <c r="T2055" t="s">
        <v>161</v>
      </c>
      <c r="U2055">
        <v>8.9902745020235486E-2</v>
      </c>
      <c r="V2055" t="s">
        <v>157</v>
      </c>
    </row>
    <row r="2056" spans="19:22" x14ac:dyDescent="0.45">
      <c r="S2056" t="s">
        <v>529</v>
      </c>
      <c r="T2056" t="s">
        <v>162</v>
      </c>
      <c r="U2056">
        <v>0.11929338149243192</v>
      </c>
      <c r="V2056" t="s">
        <v>157</v>
      </c>
    </row>
    <row r="2057" spans="19:22" x14ac:dyDescent="0.45">
      <c r="S2057" t="s">
        <v>529</v>
      </c>
      <c r="T2057" t="s">
        <v>163</v>
      </c>
      <c r="U2057">
        <v>0.16994647009603495</v>
      </c>
      <c r="V2057" t="s">
        <v>157</v>
      </c>
    </row>
    <row r="2058" spans="19:22" x14ac:dyDescent="0.45">
      <c r="S2058" t="s">
        <v>529</v>
      </c>
      <c r="T2058" t="s">
        <v>164</v>
      </c>
      <c r="U2058">
        <v>1.8168559810231445E-2</v>
      </c>
      <c r="V2058" t="s">
        <v>157</v>
      </c>
    </row>
    <row r="2059" spans="19:22" x14ac:dyDescent="0.45">
      <c r="S2059" t="s">
        <v>529</v>
      </c>
      <c r="T2059" t="s">
        <v>165</v>
      </c>
      <c r="U2059">
        <v>1.7945323919596617E-2</v>
      </c>
      <c r="V2059" t="s">
        <v>157</v>
      </c>
    </row>
    <row r="2060" spans="19:22" x14ac:dyDescent="0.45">
      <c r="S2060" t="s">
        <v>529</v>
      </c>
      <c r="T2060" t="s">
        <v>166</v>
      </c>
      <c r="U2060">
        <v>8.5863673201031193E-2</v>
      </c>
      <c r="V2060" t="s">
        <v>157</v>
      </c>
    </row>
    <row r="2061" spans="19:22" x14ac:dyDescent="0.45">
      <c r="S2061" t="s">
        <v>529</v>
      </c>
      <c r="T2061" t="s">
        <v>167</v>
      </c>
      <c r="U2061">
        <v>4.1019649310503947E-2</v>
      </c>
      <c r="V2061" t="s">
        <v>157</v>
      </c>
    </row>
    <row r="2062" spans="19:22" x14ac:dyDescent="0.45">
      <c r="S2062" t="s">
        <v>529</v>
      </c>
      <c r="T2062" t="s">
        <v>168</v>
      </c>
      <c r="U2062">
        <v>5.974845758779438E-2</v>
      </c>
      <c r="V2062" t="s">
        <v>157</v>
      </c>
    </row>
    <row r="2063" spans="19:22" x14ac:dyDescent="0.45">
      <c r="S2063" t="s">
        <v>529</v>
      </c>
      <c r="T2063" t="s">
        <v>169</v>
      </c>
      <c r="U2063">
        <v>6.6474403686342083E-3</v>
      </c>
      <c r="V2063" t="s">
        <v>157</v>
      </c>
    </row>
    <row r="2064" spans="19:22" x14ac:dyDescent="0.45">
      <c r="S2064" t="s">
        <v>529</v>
      </c>
      <c r="T2064" t="s">
        <v>170</v>
      </c>
      <c r="U2064">
        <v>6.635198304668276E-3</v>
      </c>
      <c r="V2064" t="s">
        <v>157</v>
      </c>
    </row>
    <row r="2065" spans="19:22" x14ac:dyDescent="0.45">
      <c r="S2065" t="s">
        <v>529</v>
      </c>
      <c r="T2065" t="s">
        <v>171</v>
      </c>
      <c r="U2065">
        <v>3.2178858492448906E-2</v>
      </c>
      <c r="V2065" t="s">
        <v>157</v>
      </c>
    </row>
    <row r="2066" spans="19:22" x14ac:dyDescent="0.45">
      <c r="S2066" t="s">
        <v>530</v>
      </c>
      <c r="T2066" t="s">
        <v>156</v>
      </c>
      <c r="U2066">
        <v>0.13141746550502215</v>
      </c>
      <c r="V2066" t="s">
        <v>157</v>
      </c>
    </row>
    <row r="2067" spans="19:22" x14ac:dyDescent="0.45">
      <c r="S2067" t="s">
        <v>530</v>
      </c>
      <c r="T2067" t="s">
        <v>158</v>
      </c>
      <c r="U2067">
        <v>0.18242612871262853</v>
      </c>
      <c r="V2067" t="s">
        <v>157</v>
      </c>
    </row>
    <row r="2068" spans="19:22" x14ac:dyDescent="0.45">
      <c r="S2068" t="s">
        <v>530</v>
      </c>
      <c r="T2068" t="s">
        <v>159</v>
      </c>
      <c r="U2068">
        <v>1.9060675101505407E-2</v>
      </c>
      <c r="V2068" t="s">
        <v>157</v>
      </c>
    </row>
    <row r="2069" spans="19:22" x14ac:dyDescent="0.45">
      <c r="S2069" t="s">
        <v>530</v>
      </c>
      <c r="T2069" t="s">
        <v>160</v>
      </c>
      <c r="U2069">
        <v>1.8956390317285174E-2</v>
      </c>
      <c r="V2069" t="s">
        <v>157</v>
      </c>
    </row>
    <row r="2070" spans="19:22" x14ac:dyDescent="0.45">
      <c r="S2070" t="s">
        <v>530</v>
      </c>
      <c r="T2070" t="s">
        <v>161</v>
      </c>
      <c r="U2070">
        <v>9.0215446588402803E-2</v>
      </c>
      <c r="V2070" t="s">
        <v>157</v>
      </c>
    </row>
    <row r="2071" spans="19:22" x14ac:dyDescent="0.45">
      <c r="S2071" t="s">
        <v>530</v>
      </c>
      <c r="T2071" t="s">
        <v>162</v>
      </c>
      <c r="U2071">
        <v>0.1185194912937157</v>
      </c>
      <c r="V2071" t="s">
        <v>157</v>
      </c>
    </row>
    <row r="2072" spans="19:22" x14ac:dyDescent="0.45">
      <c r="S2072" t="s">
        <v>530</v>
      </c>
      <c r="T2072" t="s">
        <v>163</v>
      </c>
      <c r="U2072">
        <v>0.16894904820267448</v>
      </c>
      <c r="V2072" t="s">
        <v>157</v>
      </c>
    </row>
    <row r="2073" spans="19:22" x14ac:dyDescent="0.45">
      <c r="S2073" t="s">
        <v>530</v>
      </c>
      <c r="T2073" t="s">
        <v>164</v>
      </c>
      <c r="U2073">
        <v>1.7817705398077057E-2</v>
      </c>
      <c r="V2073" t="s">
        <v>157</v>
      </c>
    </row>
    <row r="2074" spans="19:22" x14ac:dyDescent="0.45">
      <c r="S2074" t="s">
        <v>530</v>
      </c>
      <c r="T2074" t="s">
        <v>165</v>
      </c>
      <c r="U2074">
        <v>1.7534366840408138E-2</v>
      </c>
      <c r="V2074" t="s">
        <v>157</v>
      </c>
    </row>
    <row r="2075" spans="19:22" x14ac:dyDescent="0.45">
      <c r="S2075" t="s">
        <v>530</v>
      </c>
      <c r="T2075" t="s">
        <v>166</v>
      </c>
      <c r="U2075">
        <v>8.522577205539654E-2</v>
      </c>
      <c r="V2075" t="s">
        <v>157</v>
      </c>
    </row>
    <row r="2076" spans="19:22" x14ac:dyDescent="0.45">
      <c r="S2076" t="s">
        <v>530</v>
      </c>
      <c r="T2076" t="s">
        <v>167</v>
      </c>
      <c r="U2076">
        <v>4.2375192435979446E-2</v>
      </c>
      <c r="V2076" t="s">
        <v>157</v>
      </c>
    </row>
    <row r="2077" spans="19:22" x14ac:dyDescent="0.45">
      <c r="S2077" t="s">
        <v>530</v>
      </c>
      <c r="T2077" t="s">
        <v>168</v>
      </c>
      <c r="U2077">
        <v>6.1467951680149222E-2</v>
      </c>
      <c r="V2077" t="s">
        <v>157</v>
      </c>
    </row>
    <row r="2078" spans="19:22" x14ac:dyDescent="0.45">
      <c r="S2078" t="s">
        <v>530</v>
      </c>
      <c r="T2078" t="s">
        <v>169</v>
      </c>
      <c r="U2078">
        <v>6.6423266757677773E-3</v>
      </c>
      <c r="V2078" t="s">
        <v>157</v>
      </c>
    </row>
    <row r="2079" spans="19:22" x14ac:dyDescent="0.45">
      <c r="S2079" t="s">
        <v>530</v>
      </c>
      <c r="T2079" t="s">
        <v>170</v>
      </c>
      <c r="U2079">
        <v>6.6725294793659956E-3</v>
      </c>
      <c r="V2079" t="s">
        <v>157</v>
      </c>
    </row>
    <row r="2080" spans="19:22" x14ac:dyDescent="0.45">
      <c r="S2080" t="s">
        <v>530</v>
      </c>
      <c r="T2080" t="s">
        <v>171</v>
      </c>
      <c r="U2080">
        <v>3.2719509713621586E-2</v>
      </c>
      <c r="V2080" t="s">
        <v>157</v>
      </c>
    </row>
    <row r="2081" spans="19:22" x14ac:dyDescent="0.45">
      <c r="S2081" t="s">
        <v>531</v>
      </c>
      <c r="T2081" t="s">
        <v>156</v>
      </c>
      <c r="U2081">
        <v>0.13113946587538436</v>
      </c>
      <c r="V2081" t="s">
        <v>157</v>
      </c>
    </row>
    <row r="2082" spans="19:22" x14ac:dyDescent="0.45">
      <c r="S2082" t="s">
        <v>531</v>
      </c>
      <c r="T2082" t="s">
        <v>158</v>
      </c>
      <c r="U2082">
        <v>0.18159605858450301</v>
      </c>
      <c r="V2082" t="s">
        <v>157</v>
      </c>
    </row>
    <row r="2083" spans="19:22" x14ac:dyDescent="0.45">
      <c r="S2083" t="s">
        <v>531</v>
      </c>
      <c r="T2083" t="s">
        <v>159</v>
      </c>
      <c r="U2083">
        <v>1.8724776913080689E-2</v>
      </c>
      <c r="V2083" t="s">
        <v>157</v>
      </c>
    </row>
    <row r="2084" spans="19:22" x14ac:dyDescent="0.45">
      <c r="S2084" t="s">
        <v>531</v>
      </c>
      <c r="T2084" t="s">
        <v>160</v>
      </c>
      <c r="U2084">
        <v>1.8606401985043888E-2</v>
      </c>
      <c r="V2084" t="s">
        <v>157</v>
      </c>
    </row>
    <row r="2085" spans="19:22" x14ac:dyDescent="0.45">
      <c r="S2085" t="s">
        <v>531</v>
      </c>
      <c r="T2085" t="s">
        <v>161</v>
      </c>
      <c r="U2085">
        <v>8.9465861856484669E-2</v>
      </c>
      <c r="V2085" t="s">
        <v>157</v>
      </c>
    </row>
    <row r="2086" spans="19:22" x14ac:dyDescent="0.45">
      <c r="S2086" t="s">
        <v>531</v>
      </c>
      <c r="T2086" t="s">
        <v>162</v>
      </c>
      <c r="U2086">
        <v>0.11875026258631891</v>
      </c>
      <c r="V2086" t="s">
        <v>157</v>
      </c>
    </row>
    <row r="2087" spans="19:22" x14ac:dyDescent="0.45">
      <c r="S2087" t="s">
        <v>531</v>
      </c>
      <c r="T2087" t="s">
        <v>163</v>
      </c>
      <c r="U2087">
        <v>0.16905724060718758</v>
      </c>
      <c r="V2087" t="s">
        <v>157</v>
      </c>
    </row>
    <row r="2088" spans="19:22" x14ac:dyDescent="0.45">
      <c r="S2088" t="s">
        <v>531</v>
      </c>
      <c r="T2088" t="s">
        <v>164</v>
      </c>
      <c r="U2088">
        <v>1.7493087564001631E-2</v>
      </c>
      <c r="V2088" t="s">
        <v>157</v>
      </c>
    </row>
    <row r="2089" spans="19:22" x14ac:dyDescent="0.45">
      <c r="S2089" t="s">
        <v>531</v>
      </c>
      <c r="T2089" t="s">
        <v>165</v>
      </c>
      <c r="U2089">
        <v>1.7227129491060752E-2</v>
      </c>
      <c r="V2089" t="s">
        <v>157</v>
      </c>
    </row>
    <row r="2090" spans="19:22" x14ac:dyDescent="0.45">
      <c r="S2090" t="s">
        <v>531</v>
      </c>
      <c r="T2090" t="s">
        <v>166</v>
      </c>
      <c r="U2090">
        <v>8.4603200464023309E-2</v>
      </c>
      <c r="V2090" t="s">
        <v>157</v>
      </c>
    </row>
    <row r="2091" spans="19:22" x14ac:dyDescent="0.45">
      <c r="S2091" t="s">
        <v>531</v>
      </c>
      <c r="T2091" t="s">
        <v>167</v>
      </c>
      <c r="U2091">
        <v>4.3444125274015144E-2</v>
      </c>
      <c r="V2091" t="s">
        <v>157</v>
      </c>
    </row>
    <row r="2092" spans="19:22" x14ac:dyDescent="0.45">
      <c r="S2092" t="s">
        <v>531</v>
      </c>
      <c r="T2092" t="s">
        <v>168</v>
      </c>
      <c r="U2092">
        <v>6.3945058334343594E-2</v>
      </c>
      <c r="V2092" t="s">
        <v>157</v>
      </c>
    </row>
    <row r="2093" spans="19:22" x14ac:dyDescent="0.45">
      <c r="S2093" t="s">
        <v>531</v>
      </c>
      <c r="T2093" t="s">
        <v>169</v>
      </c>
      <c r="U2093">
        <v>6.6104160133106321E-3</v>
      </c>
      <c r="V2093" t="s">
        <v>157</v>
      </c>
    </row>
    <row r="2094" spans="19:22" x14ac:dyDescent="0.45">
      <c r="S2094" t="s">
        <v>531</v>
      </c>
      <c r="T2094" t="s">
        <v>170</v>
      </c>
      <c r="U2094">
        <v>6.6579408862898525E-3</v>
      </c>
      <c r="V2094" t="s">
        <v>157</v>
      </c>
    </row>
    <row r="2095" spans="19:22" x14ac:dyDescent="0.45">
      <c r="S2095" t="s">
        <v>531</v>
      </c>
      <c r="T2095" t="s">
        <v>171</v>
      </c>
      <c r="U2095">
        <v>3.267897356495203E-2</v>
      </c>
      <c r="V2095" t="s">
        <v>157</v>
      </c>
    </row>
    <row r="2096" spans="19:22" x14ac:dyDescent="0.45">
      <c r="S2096" t="s">
        <v>532</v>
      </c>
      <c r="T2096" t="s">
        <v>156</v>
      </c>
      <c r="U2096">
        <v>0.13175756151201706</v>
      </c>
      <c r="V2096" t="s">
        <v>157</v>
      </c>
    </row>
    <row r="2097" spans="19:22" x14ac:dyDescent="0.45">
      <c r="S2097" t="s">
        <v>532</v>
      </c>
      <c r="T2097" t="s">
        <v>158</v>
      </c>
      <c r="U2097">
        <v>0.18137418577393952</v>
      </c>
      <c r="V2097" t="s">
        <v>157</v>
      </c>
    </row>
    <row r="2098" spans="19:22" x14ac:dyDescent="0.45">
      <c r="S2098" t="s">
        <v>532</v>
      </c>
      <c r="T2098" t="s">
        <v>159</v>
      </c>
      <c r="U2098">
        <v>1.8551250587992556E-2</v>
      </c>
      <c r="V2098" t="s">
        <v>157</v>
      </c>
    </row>
    <row r="2099" spans="19:22" x14ac:dyDescent="0.45">
      <c r="S2099" t="s">
        <v>532</v>
      </c>
      <c r="T2099" t="s">
        <v>160</v>
      </c>
      <c r="U2099">
        <v>1.8452495597139688E-2</v>
      </c>
      <c r="V2099" t="s">
        <v>157</v>
      </c>
    </row>
    <row r="2100" spans="19:22" x14ac:dyDescent="0.45">
      <c r="S2100" t="s">
        <v>532</v>
      </c>
      <c r="T2100" t="s">
        <v>161</v>
      </c>
      <c r="U2100">
        <v>8.8466882706043082E-2</v>
      </c>
      <c r="V2100" t="s">
        <v>157</v>
      </c>
    </row>
    <row r="2101" spans="19:22" x14ac:dyDescent="0.45">
      <c r="S2101" t="s">
        <v>532</v>
      </c>
      <c r="T2101" t="s">
        <v>162</v>
      </c>
      <c r="U2101">
        <v>0.11925817785796521</v>
      </c>
      <c r="V2101" t="s">
        <v>157</v>
      </c>
    </row>
    <row r="2102" spans="19:22" x14ac:dyDescent="0.45">
      <c r="S2102" t="s">
        <v>532</v>
      </c>
      <c r="T2102" t="s">
        <v>163</v>
      </c>
      <c r="U2102">
        <v>0.16972465469611522</v>
      </c>
      <c r="V2102" t="s">
        <v>157</v>
      </c>
    </row>
    <row r="2103" spans="19:22" x14ac:dyDescent="0.45">
      <c r="S2103" t="s">
        <v>532</v>
      </c>
      <c r="T2103" t="s">
        <v>164</v>
      </c>
      <c r="U2103">
        <v>1.7406498877307119E-2</v>
      </c>
      <c r="V2103" t="s">
        <v>157</v>
      </c>
    </row>
    <row r="2104" spans="19:22" x14ac:dyDescent="0.45">
      <c r="S2104" t="s">
        <v>532</v>
      </c>
      <c r="T2104" t="s">
        <v>165</v>
      </c>
      <c r="U2104">
        <v>1.7125286854133365E-2</v>
      </c>
      <c r="V2104" t="s">
        <v>157</v>
      </c>
    </row>
    <row r="2105" spans="19:22" x14ac:dyDescent="0.45">
      <c r="S2105" t="s">
        <v>532</v>
      </c>
      <c r="T2105" t="s">
        <v>166</v>
      </c>
      <c r="U2105">
        <v>8.3634813325793159E-2</v>
      </c>
      <c r="V2105" t="s">
        <v>157</v>
      </c>
    </row>
    <row r="2106" spans="19:22" x14ac:dyDescent="0.45">
      <c r="S2106" t="s">
        <v>532</v>
      </c>
      <c r="T2106" t="s">
        <v>167</v>
      </c>
      <c r="U2106">
        <v>4.4035289093038693E-2</v>
      </c>
      <c r="V2106" t="s">
        <v>157</v>
      </c>
    </row>
    <row r="2107" spans="19:22" x14ac:dyDescent="0.45">
      <c r="S2107" t="s">
        <v>532</v>
      </c>
      <c r="T2107" t="s">
        <v>168</v>
      </c>
      <c r="U2107">
        <v>6.5109488597183407E-2</v>
      </c>
      <c r="V2107" t="s">
        <v>157</v>
      </c>
    </row>
    <row r="2108" spans="19:22" x14ac:dyDescent="0.45">
      <c r="S2108" t="s">
        <v>532</v>
      </c>
      <c r="T2108" t="s">
        <v>169</v>
      </c>
      <c r="U2108">
        <v>6.4853694895552656E-3</v>
      </c>
      <c r="V2108" t="s">
        <v>157</v>
      </c>
    </row>
    <row r="2109" spans="19:22" x14ac:dyDescent="0.45">
      <c r="S2109" t="s">
        <v>532</v>
      </c>
      <c r="T2109" t="s">
        <v>170</v>
      </c>
      <c r="U2109">
        <v>6.5617722609679283E-3</v>
      </c>
      <c r="V2109" t="s">
        <v>157</v>
      </c>
    </row>
    <row r="2110" spans="19:22" x14ac:dyDescent="0.45">
      <c r="S2110" t="s">
        <v>532</v>
      </c>
      <c r="T2110" t="s">
        <v>171</v>
      </c>
      <c r="U2110">
        <v>3.2056272770808636E-2</v>
      </c>
      <c r="V2110" t="s">
        <v>157</v>
      </c>
    </row>
    <row r="2111" spans="19:22" x14ac:dyDescent="0.45">
      <c r="S2111" t="s">
        <v>533</v>
      </c>
      <c r="T2111" t="s">
        <v>156</v>
      </c>
      <c r="U2111">
        <v>0.1333969520559472</v>
      </c>
      <c r="V2111" t="s">
        <v>157</v>
      </c>
    </row>
    <row r="2112" spans="19:22" x14ac:dyDescent="0.45">
      <c r="S2112" t="s">
        <v>533</v>
      </c>
      <c r="T2112" t="s">
        <v>158</v>
      </c>
      <c r="U2112">
        <v>0.18174658355812545</v>
      </c>
      <c r="V2112" t="s">
        <v>157</v>
      </c>
    </row>
    <row r="2113" spans="19:22" x14ac:dyDescent="0.45">
      <c r="S2113" t="s">
        <v>533</v>
      </c>
      <c r="T2113" t="s">
        <v>159</v>
      </c>
      <c r="U2113">
        <v>1.8586585267029502E-2</v>
      </c>
      <c r="V2113" t="s">
        <v>157</v>
      </c>
    </row>
    <row r="2114" spans="19:22" x14ac:dyDescent="0.45">
      <c r="S2114" t="s">
        <v>533</v>
      </c>
      <c r="T2114" t="s">
        <v>160</v>
      </c>
      <c r="U2114">
        <v>1.8485113538394347E-2</v>
      </c>
      <c r="V2114" t="s">
        <v>157</v>
      </c>
    </row>
    <row r="2115" spans="19:22" x14ac:dyDescent="0.45">
      <c r="S2115" t="s">
        <v>533</v>
      </c>
      <c r="T2115" t="s">
        <v>161</v>
      </c>
      <c r="U2115">
        <v>8.8337007731253234E-2</v>
      </c>
      <c r="V2115" t="s">
        <v>157</v>
      </c>
    </row>
    <row r="2116" spans="19:22" x14ac:dyDescent="0.45">
      <c r="S2116" t="s">
        <v>533</v>
      </c>
      <c r="T2116" t="s">
        <v>162</v>
      </c>
      <c r="U2116">
        <v>0.11938656762890776</v>
      </c>
      <c r="V2116" t="s">
        <v>157</v>
      </c>
    </row>
    <row r="2117" spans="19:22" x14ac:dyDescent="0.45">
      <c r="S2117" t="s">
        <v>533</v>
      </c>
      <c r="T2117" t="s">
        <v>163</v>
      </c>
      <c r="U2117">
        <v>0.17034998108646368</v>
      </c>
      <c r="V2117" t="s">
        <v>157</v>
      </c>
    </row>
    <row r="2118" spans="19:22" x14ac:dyDescent="0.45">
      <c r="S2118" t="s">
        <v>533</v>
      </c>
      <c r="T2118" t="s">
        <v>164</v>
      </c>
      <c r="U2118">
        <v>1.7452131617631737E-2</v>
      </c>
      <c r="V2118" t="s">
        <v>157</v>
      </c>
    </row>
    <row r="2119" spans="19:22" x14ac:dyDescent="0.45">
      <c r="S2119" t="s">
        <v>533</v>
      </c>
      <c r="T2119" t="s">
        <v>165</v>
      </c>
      <c r="U2119">
        <v>1.7084647297511309E-2</v>
      </c>
      <c r="V2119" t="s">
        <v>157</v>
      </c>
    </row>
    <row r="2120" spans="19:22" x14ac:dyDescent="0.45">
      <c r="S2120" t="s">
        <v>533</v>
      </c>
      <c r="T2120" t="s">
        <v>166</v>
      </c>
      <c r="U2120">
        <v>8.2659435671882567E-2</v>
      </c>
      <c r="V2120" t="s">
        <v>157</v>
      </c>
    </row>
    <row r="2121" spans="19:22" x14ac:dyDescent="0.45">
      <c r="S2121" t="s">
        <v>533</v>
      </c>
      <c r="T2121" t="s">
        <v>167</v>
      </c>
      <c r="U2121">
        <v>4.3994137532427799E-2</v>
      </c>
      <c r="V2121" t="s">
        <v>157</v>
      </c>
    </row>
    <row r="2122" spans="19:22" x14ac:dyDescent="0.45">
      <c r="S2122" t="s">
        <v>533</v>
      </c>
      <c r="T2122" t="s">
        <v>168</v>
      </c>
      <c r="U2122">
        <v>6.4475320616299084E-2</v>
      </c>
      <c r="V2122" t="s">
        <v>157</v>
      </c>
    </row>
    <row r="2123" spans="19:22" x14ac:dyDescent="0.45">
      <c r="S2123" t="s">
        <v>533</v>
      </c>
      <c r="T2123" t="s">
        <v>169</v>
      </c>
      <c r="U2123">
        <v>6.3324260610441068E-3</v>
      </c>
      <c r="V2123" t="s">
        <v>157</v>
      </c>
    </row>
    <row r="2124" spans="19:22" x14ac:dyDescent="0.45">
      <c r="S2124" t="s">
        <v>533</v>
      </c>
      <c r="T2124" t="s">
        <v>170</v>
      </c>
      <c r="U2124">
        <v>6.4096884270816628E-3</v>
      </c>
      <c r="V2124" t="s">
        <v>157</v>
      </c>
    </row>
    <row r="2125" spans="19:22" x14ac:dyDescent="0.45">
      <c r="S2125" t="s">
        <v>533</v>
      </c>
      <c r="T2125" t="s">
        <v>171</v>
      </c>
      <c r="U2125">
        <v>3.1303421910000559E-2</v>
      </c>
      <c r="V2125" t="s">
        <v>157</v>
      </c>
    </row>
    <row r="2126" spans="19:22" x14ac:dyDescent="0.45">
      <c r="S2126" t="s">
        <v>534</v>
      </c>
      <c r="T2126" t="s">
        <v>156</v>
      </c>
      <c r="U2126">
        <v>0.14473505187817987</v>
      </c>
      <c r="V2126" t="s">
        <v>157</v>
      </c>
    </row>
    <row r="2127" spans="19:22" x14ac:dyDescent="0.45">
      <c r="S2127" t="s">
        <v>534</v>
      </c>
      <c r="T2127" t="s">
        <v>158</v>
      </c>
      <c r="U2127">
        <v>0.20700787447910443</v>
      </c>
      <c r="V2127" t="s">
        <v>157</v>
      </c>
    </row>
    <row r="2128" spans="19:22" x14ac:dyDescent="0.45">
      <c r="S2128" t="s">
        <v>534</v>
      </c>
      <c r="T2128" t="s">
        <v>159</v>
      </c>
      <c r="U2128">
        <v>1.9996051026662607E-2</v>
      </c>
      <c r="V2128" t="s">
        <v>157</v>
      </c>
    </row>
    <row r="2129" spans="19:22" x14ac:dyDescent="0.45">
      <c r="S2129" t="s">
        <v>534</v>
      </c>
      <c r="T2129" t="s">
        <v>160</v>
      </c>
      <c r="U2129">
        <v>1.997611672649997E-2</v>
      </c>
      <c r="V2129" t="s">
        <v>157</v>
      </c>
    </row>
    <row r="2130" spans="19:22" x14ac:dyDescent="0.45">
      <c r="S2130" t="s">
        <v>534</v>
      </c>
      <c r="T2130" t="s">
        <v>161</v>
      </c>
      <c r="U2130">
        <v>9.9385184025743784E-2</v>
      </c>
      <c r="V2130" t="s">
        <v>157</v>
      </c>
    </row>
    <row r="2131" spans="19:22" x14ac:dyDescent="0.45">
      <c r="S2131" t="s">
        <v>534</v>
      </c>
      <c r="T2131" t="s">
        <v>162</v>
      </c>
      <c r="U2131">
        <v>0.11272845790739147</v>
      </c>
      <c r="V2131" t="s">
        <v>157</v>
      </c>
    </row>
    <row r="2132" spans="19:22" x14ac:dyDescent="0.45">
      <c r="S2132" t="s">
        <v>534</v>
      </c>
      <c r="T2132" t="s">
        <v>163</v>
      </c>
      <c r="U2132">
        <v>0.15967860478164947</v>
      </c>
      <c r="V2132" t="s">
        <v>157</v>
      </c>
    </row>
    <row r="2133" spans="19:22" x14ac:dyDescent="0.45">
      <c r="S2133" t="s">
        <v>534</v>
      </c>
      <c r="T2133" t="s">
        <v>164</v>
      </c>
      <c r="U2133">
        <v>1.6498111588444671E-2</v>
      </c>
      <c r="V2133" t="s">
        <v>157</v>
      </c>
    </row>
    <row r="2134" spans="19:22" x14ac:dyDescent="0.45">
      <c r="S2134" t="s">
        <v>534</v>
      </c>
      <c r="T2134" t="s">
        <v>165</v>
      </c>
      <c r="U2134">
        <v>1.6451734198224353E-2</v>
      </c>
      <c r="V2134" t="s">
        <v>157</v>
      </c>
    </row>
    <row r="2135" spans="19:22" x14ac:dyDescent="0.45">
      <c r="S2135" t="s">
        <v>534</v>
      </c>
      <c r="T2135" t="s">
        <v>166</v>
      </c>
      <c r="U2135">
        <v>7.9816283625084555E-2</v>
      </c>
      <c r="V2135" t="s">
        <v>157</v>
      </c>
    </row>
    <row r="2136" spans="19:22" x14ac:dyDescent="0.45">
      <c r="S2136" t="s">
        <v>534</v>
      </c>
      <c r="T2136" t="s">
        <v>167</v>
      </c>
      <c r="U2136">
        <v>3.6051423397894702E-2</v>
      </c>
      <c r="V2136" t="s">
        <v>157</v>
      </c>
    </row>
    <row r="2137" spans="19:22" x14ac:dyDescent="0.45">
      <c r="S2137" t="s">
        <v>534</v>
      </c>
      <c r="T2137" t="s">
        <v>168</v>
      </c>
      <c r="U2137">
        <v>5.1333856225930341E-2</v>
      </c>
      <c r="V2137" t="s">
        <v>157</v>
      </c>
    </row>
    <row r="2138" spans="19:22" x14ac:dyDescent="0.45">
      <c r="S2138" t="s">
        <v>534</v>
      </c>
      <c r="T2138" t="s">
        <v>169</v>
      </c>
      <c r="U2138">
        <v>5.3423881513015295E-3</v>
      </c>
      <c r="V2138" t="s">
        <v>157</v>
      </c>
    </row>
    <row r="2139" spans="19:22" x14ac:dyDescent="0.45">
      <c r="S2139" t="s">
        <v>534</v>
      </c>
      <c r="T2139" t="s">
        <v>170</v>
      </c>
      <c r="U2139">
        <v>5.3372192247227541E-3</v>
      </c>
      <c r="V2139" t="s">
        <v>157</v>
      </c>
    </row>
    <row r="2140" spans="19:22" x14ac:dyDescent="0.45">
      <c r="S2140" t="s">
        <v>534</v>
      </c>
      <c r="T2140" t="s">
        <v>171</v>
      </c>
      <c r="U2140">
        <v>2.5661642763165571E-2</v>
      </c>
      <c r="V2140" t="s">
        <v>157</v>
      </c>
    </row>
    <row r="2141" spans="19:22" x14ac:dyDescent="0.45">
      <c r="S2141" t="s">
        <v>535</v>
      </c>
      <c r="T2141" t="s">
        <v>156</v>
      </c>
      <c r="U2141">
        <v>0.14982351412035144</v>
      </c>
      <c r="V2141" t="s">
        <v>157</v>
      </c>
    </row>
    <row r="2142" spans="19:22" x14ac:dyDescent="0.45">
      <c r="S2142" t="s">
        <v>535</v>
      </c>
      <c r="T2142" t="s">
        <v>158</v>
      </c>
      <c r="U2142">
        <v>0.21728647695961892</v>
      </c>
      <c r="V2142" t="s">
        <v>157</v>
      </c>
    </row>
    <row r="2143" spans="19:22" x14ac:dyDescent="0.45">
      <c r="S2143" t="s">
        <v>535</v>
      </c>
      <c r="T2143" t="s">
        <v>159</v>
      </c>
      <c r="U2143">
        <v>2.1698166034199509E-2</v>
      </c>
      <c r="V2143" t="s">
        <v>157</v>
      </c>
    </row>
    <row r="2144" spans="19:22" x14ac:dyDescent="0.45">
      <c r="S2144" t="s">
        <v>535</v>
      </c>
      <c r="T2144" t="s">
        <v>160</v>
      </c>
      <c r="U2144">
        <v>2.1574035115998372E-2</v>
      </c>
      <c r="V2144" t="s">
        <v>157</v>
      </c>
    </row>
    <row r="2145" spans="19:22" x14ac:dyDescent="0.45">
      <c r="S2145" t="s">
        <v>535</v>
      </c>
      <c r="T2145" t="s">
        <v>161</v>
      </c>
      <c r="U2145">
        <v>0.10670322697637732</v>
      </c>
      <c r="V2145" t="s">
        <v>157</v>
      </c>
    </row>
    <row r="2146" spans="19:22" x14ac:dyDescent="0.45">
      <c r="S2146" t="s">
        <v>535</v>
      </c>
      <c r="T2146" t="s">
        <v>162</v>
      </c>
      <c r="U2146">
        <v>0.10515082417928993</v>
      </c>
      <c r="V2146" t="s">
        <v>157</v>
      </c>
    </row>
    <row r="2147" spans="19:22" x14ac:dyDescent="0.45">
      <c r="S2147" t="s">
        <v>535</v>
      </c>
      <c r="T2147" t="s">
        <v>163</v>
      </c>
      <c r="U2147">
        <v>0.15292987256259036</v>
      </c>
      <c r="V2147" t="s">
        <v>157</v>
      </c>
    </row>
    <row r="2148" spans="19:22" x14ac:dyDescent="0.45">
      <c r="S2148" t="s">
        <v>535</v>
      </c>
      <c r="T2148" t="s">
        <v>164</v>
      </c>
      <c r="U2148">
        <v>1.5636300268501786E-2</v>
      </c>
      <c r="V2148" t="s">
        <v>157</v>
      </c>
    </row>
    <row r="2149" spans="19:22" x14ac:dyDescent="0.45">
      <c r="S2149" t="s">
        <v>535</v>
      </c>
      <c r="T2149" t="s">
        <v>165</v>
      </c>
      <c r="U2149">
        <v>1.5430038875947938E-2</v>
      </c>
      <c r="V2149" t="s">
        <v>157</v>
      </c>
    </row>
    <row r="2150" spans="19:22" x14ac:dyDescent="0.45">
      <c r="S2150" t="s">
        <v>535</v>
      </c>
      <c r="T2150" t="s">
        <v>166</v>
      </c>
      <c r="U2150">
        <v>7.3610611417852828E-2</v>
      </c>
      <c r="V2150" t="s">
        <v>157</v>
      </c>
    </row>
    <row r="2151" spans="19:22" x14ac:dyDescent="0.45">
      <c r="S2151" t="s">
        <v>535</v>
      </c>
      <c r="T2151" t="s">
        <v>167</v>
      </c>
      <c r="U2151">
        <v>3.5710016545877368E-2</v>
      </c>
      <c r="V2151" t="s">
        <v>157</v>
      </c>
    </row>
    <row r="2152" spans="19:22" x14ac:dyDescent="0.45">
      <c r="S2152" t="s">
        <v>535</v>
      </c>
      <c r="T2152" t="s">
        <v>168</v>
      </c>
      <c r="U2152">
        <v>4.940790101878647E-2</v>
      </c>
      <c r="V2152" t="s">
        <v>157</v>
      </c>
    </row>
    <row r="2153" spans="19:22" x14ac:dyDescent="0.45">
      <c r="S2153" t="s">
        <v>535</v>
      </c>
      <c r="T2153" t="s">
        <v>169</v>
      </c>
      <c r="U2153">
        <v>5.4899508689031703E-3</v>
      </c>
      <c r="V2153" t="s">
        <v>157</v>
      </c>
    </row>
    <row r="2154" spans="19:22" x14ac:dyDescent="0.45">
      <c r="S2154" t="s">
        <v>535</v>
      </c>
      <c r="T2154" t="s">
        <v>170</v>
      </c>
      <c r="U2154">
        <v>5.3933120847065169E-3</v>
      </c>
      <c r="V2154" t="s">
        <v>157</v>
      </c>
    </row>
    <row r="2155" spans="19:22" x14ac:dyDescent="0.45">
      <c r="S2155" t="s">
        <v>535</v>
      </c>
      <c r="T2155" t="s">
        <v>171</v>
      </c>
      <c r="U2155">
        <v>2.4155752970998173E-2</v>
      </c>
      <c r="V2155" t="s">
        <v>157</v>
      </c>
    </row>
    <row r="2156" spans="19:22" x14ac:dyDescent="0.45">
      <c r="S2156" t="s">
        <v>536</v>
      </c>
      <c r="T2156" t="s">
        <v>156</v>
      </c>
      <c r="U2156">
        <v>0.14413216223392178</v>
      </c>
      <c r="V2156" t="s">
        <v>157</v>
      </c>
    </row>
    <row r="2157" spans="19:22" x14ac:dyDescent="0.45">
      <c r="S2157" t="s">
        <v>536</v>
      </c>
      <c r="T2157" t="s">
        <v>158</v>
      </c>
      <c r="U2157">
        <v>0.20831832838765391</v>
      </c>
      <c r="V2157" t="s">
        <v>157</v>
      </c>
    </row>
    <row r="2158" spans="19:22" x14ac:dyDescent="0.45">
      <c r="S2158" t="s">
        <v>536</v>
      </c>
      <c r="T2158" t="s">
        <v>159</v>
      </c>
      <c r="U2158">
        <v>2.1145617272517538E-2</v>
      </c>
      <c r="V2158" t="s">
        <v>157</v>
      </c>
    </row>
    <row r="2159" spans="19:22" x14ac:dyDescent="0.45">
      <c r="S2159" t="s">
        <v>536</v>
      </c>
      <c r="T2159" t="s">
        <v>160</v>
      </c>
      <c r="U2159">
        <v>2.1172664420920601E-2</v>
      </c>
      <c r="V2159" t="s">
        <v>157</v>
      </c>
    </row>
    <row r="2160" spans="19:22" x14ac:dyDescent="0.45">
      <c r="S2160" t="s">
        <v>536</v>
      </c>
      <c r="T2160" t="s">
        <v>161</v>
      </c>
      <c r="U2160">
        <v>0.10417109061805142</v>
      </c>
      <c r="V2160" t="s">
        <v>157</v>
      </c>
    </row>
    <row r="2161" spans="19:22" x14ac:dyDescent="0.45">
      <c r="S2161" t="s">
        <v>536</v>
      </c>
      <c r="T2161" t="s">
        <v>162</v>
      </c>
      <c r="U2161">
        <v>9.9929201893886599E-2</v>
      </c>
      <c r="V2161" t="s">
        <v>157</v>
      </c>
    </row>
    <row r="2162" spans="19:22" x14ac:dyDescent="0.45">
      <c r="S2162" t="s">
        <v>536</v>
      </c>
      <c r="T2162" t="s">
        <v>163</v>
      </c>
      <c r="U2162">
        <v>0.14637877724728995</v>
      </c>
      <c r="V2162" t="s">
        <v>157</v>
      </c>
    </row>
    <row r="2163" spans="19:22" x14ac:dyDescent="0.45">
      <c r="S2163" t="s">
        <v>536</v>
      </c>
      <c r="T2163" t="s">
        <v>164</v>
      </c>
      <c r="U2163">
        <v>1.4786872705644894E-2</v>
      </c>
      <c r="V2163" t="s">
        <v>157</v>
      </c>
    </row>
    <row r="2164" spans="19:22" x14ac:dyDescent="0.45">
      <c r="S2164" t="s">
        <v>536</v>
      </c>
      <c r="T2164" t="s">
        <v>165</v>
      </c>
      <c r="U2164">
        <v>1.4788009659992664E-2</v>
      </c>
      <c r="V2164" t="s">
        <v>157</v>
      </c>
    </row>
    <row r="2165" spans="19:22" x14ac:dyDescent="0.45">
      <c r="S2165" t="s">
        <v>536</v>
      </c>
      <c r="T2165" t="s">
        <v>166</v>
      </c>
      <c r="U2165">
        <v>7.3215066357707401E-2</v>
      </c>
      <c r="V2165" t="s">
        <v>157</v>
      </c>
    </row>
    <row r="2166" spans="19:22" x14ac:dyDescent="0.45">
      <c r="S2166" t="s">
        <v>536</v>
      </c>
      <c r="T2166" t="s">
        <v>167</v>
      </c>
      <c r="U2166">
        <v>4.2000727593324891E-2</v>
      </c>
      <c r="V2166" t="s">
        <v>157</v>
      </c>
    </row>
    <row r="2167" spans="19:22" x14ac:dyDescent="0.45">
      <c r="S2167" t="s">
        <v>536</v>
      </c>
      <c r="T2167" t="s">
        <v>168</v>
      </c>
      <c r="U2167">
        <v>6.5229898670161268E-2</v>
      </c>
      <c r="V2167" t="s">
        <v>157</v>
      </c>
    </row>
    <row r="2168" spans="19:22" x14ac:dyDescent="0.45">
      <c r="S2168" t="s">
        <v>536</v>
      </c>
      <c r="T2168" t="s">
        <v>169</v>
      </c>
      <c r="U2168">
        <v>6.6984423581643885E-3</v>
      </c>
      <c r="V2168" t="s">
        <v>157</v>
      </c>
    </row>
    <row r="2169" spans="19:22" x14ac:dyDescent="0.45">
      <c r="S2169" t="s">
        <v>536</v>
      </c>
      <c r="T2169" t="s">
        <v>170</v>
      </c>
      <c r="U2169">
        <v>6.5322668923328362E-3</v>
      </c>
      <c r="V2169" t="s">
        <v>157</v>
      </c>
    </row>
    <row r="2170" spans="19:22" x14ac:dyDescent="0.45">
      <c r="S2170" t="s">
        <v>536</v>
      </c>
      <c r="T2170" t="s">
        <v>171</v>
      </c>
      <c r="U2170">
        <v>3.1500873688429812E-2</v>
      </c>
      <c r="V2170" t="s">
        <v>157</v>
      </c>
    </row>
    <row r="2171" spans="19:22" x14ac:dyDescent="0.45">
      <c r="S2171" t="s">
        <v>537</v>
      </c>
      <c r="T2171" t="s">
        <v>156</v>
      </c>
      <c r="U2171">
        <v>0.14386979689004098</v>
      </c>
      <c r="V2171" t="s">
        <v>157</v>
      </c>
    </row>
    <row r="2172" spans="19:22" x14ac:dyDescent="0.45">
      <c r="S2172" t="s">
        <v>537</v>
      </c>
      <c r="T2172" t="s">
        <v>158</v>
      </c>
      <c r="U2172">
        <v>0.20741360391429423</v>
      </c>
      <c r="V2172" t="s">
        <v>157</v>
      </c>
    </row>
    <row r="2173" spans="19:22" x14ac:dyDescent="0.45">
      <c r="S2173" t="s">
        <v>537</v>
      </c>
      <c r="T2173" t="s">
        <v>159</v>
      </c>
      <c r="U2173">
        <v>2.0988934578314165E-2</v>
      </c>
      <c r="V2173" t="s">
        <v>157</v>
      </c>
    </row>
    <row r="2174" spans="19:22" x14ac:dyDescent="0.45">
      <c r="S2174" t="s">
        <v>537</v>
      </c>
      <c r="T2174" t="s">
        <v>160</v>
      </c>
      <c r="U2174">
        <v>2.0947034971580712E-2</v>
      </c>
      <c r="V2174" t="s">
        <v>157</v>
      </c>
    </row>
    <row r="2175" spans="19:22" x14ac:dyDescent="0.45">
      <c r="S2175" t="s">
        <v>537</v>
      </c>
      <c r="T2175" t="s">
        <v>161</v>
      </c>
      <c r="U2175">
        <v>0.10337824593254391</v>
      </c>
      <c r="V2175" t="s">
        <v>157</v>
      </c>
    </row>
    <row r="2176" spans="19:22" x14ac:dyDescent="0.45">
      <c r="S2176" t="s">
        <v>537</v>
      </c>
      <c r="T2176" t="s">
        <v>162</v>
      </c>
      <c r="U2176">
        <v>0.10029713960436373</v>
      </c>
      <c r="V2176" t="s">
        <v>157</v>
      </c>
    </row>
    <row r="2177" spans="19:22" x14ac:dyDescent="0.45">
      <c r="S2177" t="s">
        <v>537</v>
      </c>
      <c r="T2177" t="s">
        <v>163</v>
      </c>
      <c r="U2177">
        <v>0.14754723157229679</v>
      </c>
      <c r="V2177" t="s">
        <v>157</v>
      </c>
    </row>
    <row r="2178" spans="19:22" x14ac:dyDescent="0.45">
      <c r="S2178" t="s">
        <v>537</v>
      </c>
      <c r="T2178" t="s">
        <v>164</v>
      </c>
      <c r="U2178">
        <v>1.4954308683612394E-2</v>
      </c>
      <c r="V2178" t="s">
        <v>157</v>
      </c>
    </row>
    <row r="2179" spans="19:22" x14ac:dyDescent="0.45">
      <c r="S2179" t="s">
        <v>537</v>
      </c>
      <c r="T2179" t="s">
        <v>165</v>
      </c>
      <c r="U2179">
        <v>1.4896513777905768E-2</v>
      </c>
      <c r="V2179" t="s">
        <v>157</v>
      </c>
    </row>
    <row r="2180" spans="19:22" x14ac:dyDescent="0.45">
      <c r="S2180" t="s">
        <v>537</v>
      </c>
      <c r="T2180" t="s">
        <v>166</v>
      </c>
      <c r="U2180">
        <v>7.3235881639747216E-2</v>
      </c>
      <c r="V2180" t="s">
        <v>157</v>
      </c>
    </row>
    <row r="2181" spans="19:22" x14ac:dyDescent="0.45">
      <c r="S2181" t="s">
        <v>537</v>
      </c>
      <c r="T2181" t="s">
        <v>167</v>
      </c>
      <c r="U2181">
        <v>4.2348134840295752E-2</v>
      </c>
      <c r="V2181" t="s">
        <v>157</v>
      </c>
    </row>
    <row r="2182" spans="19:22" x14ac:dyDescent="0.45">
      <c r="S2182" t="s">
        <v>537</v>
      </c>
      <c r="T2182" t="s">
        <v>168</v>
      </c>
      <c r="U2182">
        <v>6.4892096021390955E-2</v>
      </c>
      <c r="V2182" t="s">
        <v>157</v>
      </c>
    </row>
    <row r="2183" spans="19:22" x14ac:dyDescent="0.45">
      <c r="S2183" t="s">
        <v>537</v>
      </c>
      <c r="T2183" t="s">
        <v>169</v>
      </c>
      <c r="U2183">
        <v>6.7576321699616849E-3</v>
      </c>
      <c r="V2183" t="s">
        <v>157</v>
      </c>
    </row>
    <row r="2184" spans="19:22" x14ac:dyDescent="0.45">
      <c r="S2184" t="s">
        <v>537</v>
      </c>
      <c r="T2184" t="s">
        <v>170</v>
      </c>
      <c r="U2184">
        <v>6.6430255835183789E-3</v>
      </c>
      <c r="V2184" t="s">
        <v>157</v>
      </c>
    </row>
    <row r="2185" spans="19:22" x14ac:dyDescent="0.45">
      <c r="S2185" t="s">
        <v>537</v>
      </c>
      <c r="T2185" t="s">
        <v>171</v>
      </c>
      <c r="U2185">
        <v>3.1830419820133356E-2</v>
      </c>
      <c r="V2185" t="s">
        <v>157</v>
      </c>
    </row>
    <row r="2186" spans="19:22" x14ac:dyDescent="0.45">
      <c r="S2186" t="s">
        <v>538</v>
      </c>
      <c r="T2186" t="s">
        <v>156</v>
      </c>
      <c r="U2186">
        <v>0.14387983522981604</v>
      </c>
      <c r="V2186" t="s">
        <v>157</v>
      </c>
    </row>
    <row r="2187" spans="19:22" x14ac:dyDescent="0.45">
      <c r="S2187" t="s">
        <v>538</v>
      </c>
      <c r="T2187" t="s">
        <v>158</v>
      </c>
      <c r="U2187">
        <v>0.20612052253211116</v>
      </c>
      <c r="V2187" t="s">
        <v>157</v>
      </c>
    </row>
    <row r="2188" spans="19:22" x14ac:dyDescent="0.45">
      <c r="S2188" t="s">
        <v>538</v>
      </c>
      <c r="T2188" t="s">
        <v>159</v>
      </c>
      <c r="U2188">
        <v>2.0732243814995274E-2</v>
      </c>
      <c r="V2188" t="s">
        <v>157</v>
      </c>
    </row>
    <row r="2189" spans="19:22" x14ac:dyDescent="0.45">
      <c r="S2189" t="s">
        <v>538</v>
      </c>
      <c r="T2189" t="s">
        <v>160</v>
      </c>
      <c r="U2189">
        <v>2.069985700604909E-2</v>
      </c>
      <c r="V2189" t="s">
        <v>157</v>
      </c>
    </row>
    <row r="2190" spans="19:22" x14ac:dyDescent="0.45">
      <c r="S2190" t="s">
        <v>538</v>
      </c>
      <c r="T2190" t="s">
        <v>161</v>
      </c>
      <c r="U2190">
        <v>0.10287609036961501</v>
      </c>
      <c r="V2190" t="s">
        <v>157</v>
      </c>
    </row>
    <row r="2191" spans="19:22" x14ac:dyDescent="0.45">
      <c r="S2191" t="s">
        <v>538</v>
      </c>
      <c r="T2191" t="s">
        <v>162</v>
      </c>
      <c r="U2191">
        <v>0.10087149610298114</v>
      </c>
      <c r="V2191" t="s">
        <v>157</v>
      </c>
    </row>
    <row r="2192" spans="19:22" x14ac:dyDescent="0.45">
      <c r="S2192" t="s">
        <v>538</v>
      </c>
      <c r="T2192" t="s">
        <v>163</v>
      </c>
      <c r="U2192">
        <v>0.14871308989501797</v>
      </c>
      <c r="V2192" t="s">
        <v>157</v>
      </c>
    </row>
    <row r="2193" spans="19:22" x14ac:dyDescent="0.45">
      <c r="S2193" t="s">
        <v>538</v>
      </c>
      <c r="T2193" t="s">
        <v>164</v>
      </c>
      <c r="U2193">
        <v>1.4788371135484377E-2</v>
      </c>
      <c r="V2193" t="s">
        <v>157</v>
      </c>
    </row>
    <row r="2194" spans="19:22" x14ac:dyDescent="0.45">
      <c r="S2194" t="s">
        <v>538</v>
      </c>
      <c r="T2194" t="s">
        <v>165</v>
      </c>
      <c r="U2194">
        <v>1.4703269867914381E-2</v>
      </c>
      <c r="V2194" t="s">
        <v>157</v>
      </c>
    </row>
    <row r="2195" spans="19:22" x14ac:dyDescent="0.45">
      <c r="S2195" t="s">
        <v>538</v>
      </c>
      <c r="T2195" t="s">
        <v>166</v>
      </c>
      <c r="U2195">
        <v>7.321980597419972E-2</v>
      </c>
      <c r="V2195" t="s">
        <v>157</v>
      </c>
    </row>
    <row r="2196" spans="19:22" x14ac:dyDescent="0.45">
      <c r="S2196" t="s">
        <v>538</v>
      </c>
      <c r="T2196" t="s">
        <v>167</v>
      </c>
      <c r="U2196">
        <v>4.284206382992263E-2</v>
      </c>
      <c r="V2196" t="s">
        <v>157</v>
      </c>
    </row>
    <row r="2197" spans="19:22" x14ac:dyDescent="0.45">
      <c r="S2197" t="s">
        <v>538</v>
      </c>
      <c r="T2197" t="s">
        <v>168</v>
      </c>
      <c r="U2197">
        <v>6.5027029702123221E-2</v>
      </c>
      <c r="V2197" t="s">
        <v>157</v>
      </c>
    </row>
    <row r="2198" spans="19:22" x14ac:dyDescent="0.45">
      <c r="S2198" t="s">
        <v>538</v>
      </c>
      <c r="T2198" t="s">
        <v>169</v>
      </c>
      <c r="U2198">
        <v>6.7163130208584953E-3</v>
      </c>
      <c r="V2198" t="s">
        <v>157</v>
      </c>
    </row>
    <row r="2199" spans="19:22" x14ac:dyDescent="0.45">
      <c r="S2199" t="s">
        <v>538</v>
      </c>
      <c r="T2199" t="s">
        <v>170</v>
      </c>
      <c r="U2199">
        <v>6.6425769899831656E-3</v>
      </c>
      <c r="V2199" t="s">
        <v>157</v>
      </c>
    </row>
    <row r="2200" spans="19:22" x14ac:dyDescent="0.45">
      <c r="S2200" t="s">
        <v>538</v>
      </c>
      <c r="T2200" t="s">
        <v>171</v>
      </c>
      <c r="U2200">
        <v>3.2167434528928361E-2</v>
      </c>
      <c r="V2200" t="s">
        <v>157</v>
      </c>
    </row>
    <row r="2201" spans="19:22" x14ac:dyDescent="0.45">
      <c r="S2201" t="s">
        <v>539</v>
      </c>
      <c r="T2201" t="s">
        <v>156</v>
      </c>
      <c r="U2201">
        <v>0.14442841656615624</v>
      </c>
      <c r="V2201" t="s">
        <v>157</v>
      </c>
    </row>
    <row r="2202" spans="19:22" x14ac:dyDescent="0.45">
      <c r="S2202" t="s">
        <v>539</v>
      </c>
      <c r="T2202" t="s">
        <v>158</v>
      </c>
      <c r="U2202">
        <v>0.20527487010064469</v>
      </c>
      <c r="V2202" t="s">
        <v>157</v>
      </c>
    </row>
    <row r="2203" spans="19:22" x14ac:dyDescent="0.45">
      <c r="S2203" t="s">
        <v>539</v>
      </c>
      <c r="T2203" t="s">
        <v>159</v>
      </c>
      <c r="U2203">
        <v>2.0677071925537287E-2</v>
      </c>
      <c r="V2203" t="s">
        <v>157</v>
      </c>
    </row>
    <row r="2204" spans="19:22" x14ac:dyDescent="0.45">
      <c r="S2204" t="s">
        <v>539</v>
      </c>
      <c r="T2204" t="s">
        <v>160</v>
      </c>
      <c r="U2204">
        <v>2.0533067543616262E-2</v>
      </c>
      <c r="V2204" t="s">
        <v>157</v>
      </c>
    </row>
    <row r="2205" spans="19:22" x14ac:dyDescent="0.45">
      <c r="S2205" t="s">
        <v>539</v>
      </c>
      <c r="T2205" t="s">
        <v>161</v>
      </c>
      <c r="U2205">
        <v>0.10226192315350657</v>
      </c>
      <c r="V2205" t="s">
        <v>157</v>
      </c>
    </row>
    <row r="2206" spans="19:22" x14ac:dyDescent="0.45">
      <c r="S2206" t="s">
        <v>539</v>
      </c>
      <c r="T2206" t="s">
        <v>162</v>
      </c>
      <c r="U2206">
        <v>0.10239938284602876</v>
      </c>
      <c r="V2206" t="s">
        <v>157</v>
      </c>
    </row>
    <row r="2207" spans="19:22" x14ac:dyDescent="0.45">
      <c r="S2207" t="s">
        <v>539</v>
      </c>
      <c r="T2207" t="s">
        <v>163</v>
      </c>
      <c r="U2207">
        <v>0.1486087315377094</v>
      </c>
      <c r="V2207" t="s">
        <v>157</v>
      </c>
    </row>
    <row r="2208" spans="19:22" x14ac:dyDescent="0.45">
      <c r="S2208" t="s">
        <v>539</v>
      </c>
      <c r="T2208" t="s">
        <v>164</v>
      </c>
      <c r="U2208">
        <v>1.4504487296014236E-2</v>
      </c>
      <c r="V2208" t="s">
        <v>157</v>
      </c>
    </row>
    <row r="2209" spans="19:22" x14ac:dyDescent="0.45">
      <c r="S2209" t="s">
        <v>539</v>
      </c>
      <c r="T2209" t="s">
        <v>165</v>
      </c>
      <c r="U2209">
        <v>1.4463821466449171E-2</v>
      </c>
      <c r="V2209" t="s">
        <v>157</v>
      </c>
    </row>
    <row r="2210" spans="19:22" x14ac:dyDescent="0.45">
      <c r="S2210" t="s">
        <v>539</v>
      </c>
      <c r="T2210" t="s">
        <v>166</v>
      </c>
      <c r="U2210">
        <v>7.3559098522902877E-2</v>
      </c>
      <c r="V2210" t="s">
        <v>157</v>
      </c>
    </row>
    <row r="2211" spans="19:22" x14ac:dyDescent="0.45">
      <c r="S2211" t="s">
        <v>539</v>
      </c>
      <c r="T2211" t="s">
        <v>167</v>
      </c>
      <c r="U2211">
        <v>4.3196443059993865E-2</v>
      </c>
      <c r="V2211" t="s">
        <v>157</v>
      </c>
    </row>
    <row r="2212" spans="19:22" x14ac:dyDescent="0.45">
      <c r="S2212" t="s">
        <v>539</v>
      </c>
      <c r="T2212" t="s">
        <v>168</v>
      </c>
      <c r="U2212">
        <v>6.4865698870975555E-2</v>
      </c>
      <c r="V2212" t="s">
        <v>157</v>
      </c>
    </row>
    <row r="2213" spans="19:22" x14ac:dyDescent="0.45">
      <c r="S2213" t="s">
        <v>539</v>
      </c>
      <c r="T2213" t="s">
        <v>169</v>
      </c>
      <c r="U2213">
        <v>6.6450587530530623E-3</v>
      </c>
      <c r="V2213" t="s">
        <v>157</v>
      </c>
    </row>
    <row r="2214" spans="19:22" x14ac:dyDescent="0.45">
      <c r="S2214" t="s">
        <v>539</v>
      </c>
      <c r="T2214" t="s">
        <v>170</v>
      </c>
      <c r="U2214">
        <v>6.5666811412825217E-3</v>
      </c>
      <c r="V2214" t="s">
        <v>157</v>
      </c>
    </row>
    <row r="2215" spans="19:22" x14ac:dyDescent="0.45">
      <c r="S2215" t="s">
        <v>539</v>
      </c>
      <c r="T2215" t="s">
        <v>171</v>
      </c>
      <c r="U2215">
        <v>3.2015247216129555E-2</v>
      </c>
      <c r="V2215" t="s">
        <v>157</v>
      </c>
    </row>
    <row r="2216" spans="19:22" x14ac:dyDescent="0.45">
      <c r="S2216" t="s">
        <v>540</v>
      </c>
      <c r="T2216" t="s">
        <v>156</v>
      </c>
      <c r="U2216">
        <v>0.14202568229854201</v>
      </c>
      <c r="V2216" t="s">
        <v>157</v>
      </c>
    </row>
    <row r="2217" spans="19:22" x14ac:dyDescent="0.45">
      <c r="S2217" t="s">
        <v>540</v>
      </c>
      <c r="T2217" t="s">
        <v>158</v>
      </c>
      <c r="U2217">
        <v>0.19216304358880001</v>
      </c>
      <c r="V2217" t="s">
        <v>157</v>
      </c>
    </row>
    <row r="2218" spans="19:22" x14ac:dyDescent="0.45">
      <c r="S2218" t="s">
        <v>540</v>
      </c>
      <c r="T2218" t="s">
        <v>159</v>
      </c>
      <c r="U2218">
        <v>1.9322071105917077E-2</v>
      </c>
      <c r="V2218" t="s">
        <v>157</v>
      </c>
    </row>
    <row r="2219" spans="19:22" x14ac:dyDescent="0.45">
      <c r="S2219" t="s">
        <v>540</v>
      </c>
      <c r="T2219" t="s">
        <v>160</v>
      </c>
      <c r="U2219">
        <v>2.0059658619157844E-2</v>
      </c>
      <c r="V2219" t="s">
        <v>157</v>
      </c>
    </row>
    <row r="2220" spans="19:22" x14ac:dyDescent="0.45">
      <c r="S2220" t="s">
        <v>540</v>
      </c>
      <c r="T2220" t="s">
        <v>161</v>
      </c>
      <c r="U2220">
        <v>0.10420657265042195</v>
      </c>
      <c r="V2220" t="s">
        <v>157</v>
      </c>
    </row>
    <row r="2221" spans="19:22" x14ac:dyDescent="0.45">
      <c r="S2221" t="s">
        <v>540</v>
      </c>
      <c r="T2221" t="s">
        <v>162</v>
      </c>
      <c r="U2221">
        <v>0.10629046900433264</v>
      </c>
      <c r="V2221" t="s">
        <v>157</v>
      </c>
    </row>
    <row r="2222" spans="19:22" x14ac:dyDescent="0.45">
      <c r="S2222" t="s">
        <v>540</v>
      </c>
      <c r="T2222" t="s">
        <v>163</v>
      </c>
      <c r="U2222">
        <v>0.15172210060262806</v>
      </c>
      <c r="V2222" t="s">
        <v>157</v>
      </c>
    </row>
    <row r="2223" spans="19:22" x14ac:dyDescent="0.45">
      <c r="S2223" t="s">
        <v>540</v>
      </c>
      <c r="T2223" t="s">
        <v>164</v>
      </c>
      <c r="U2223">
        <v>1.529552089948861E-2</v>
      </c>
      <c r="V2223" t="s">
        <v>157</v>
      </c>
    </row>
    <row r="2224" spans="19:22" x14ac:dyDescent="0.45">
      <c r="S2224" t="s">
        <v>540</v>
      </c>
      <c r="T2224" t="s">
        <v>165</v>
      </c>
      <c r="U2224">
        <v>1.5333263270049571E-2</v>
      </c>
      <c r="V2224" t="s">
        <v>157</v>
      </c>
    </row>
    <row r="2225" spans="19:22" x14ac:dyDescent="0.45">
      <c r="S2225" t="s">
        <v>540</v>
      </c>
      <c r="T2225" t="s">
        <v>166</v>
      </c>
      <c r="U2225">
        <v>7.7179902434097711E-2</v>
      </c>
      <c r="V2225" t="s">
        <v>157</v>
      </c>
    </row>
    <row r="2226" spans="19:22" x14ac:dyDescent="0.45">
      <c r="S2226" t="s">
        <v>540</v>
      </c>
      <c r="T2226" t="s">
        <v>167</v>
      </c>
      <c r="U2226">
        <v>4.3350396107343134E-2</v>
      </c>
      <c r="V2226" t="s">
        <v>157</v>
      </c>
    </row>
    <row r="2227" spans="19:22" x14ac:dyDescent="0.45">
      <c r="S2227" t="s">
        <v>540</v>
      </c>
      <c r="T2227" t="s">
        <v>168</v>
      </c>
      <c r="U2227">
        <v>6.6484587116963381E-2</v>
      </c>
      <c r="V2227" t="s">
        <v>157</v>
      </c>
    </row>
    <row r="2228" spans="19:22" x14ac:dyDescent="0.45">
      <c r="S2228" t="s">
        <v>540</v>
      </c>
      <c r="T2228" t="s">
        <v>169</v>
      </c>
      <c r="U2228">
        <v>7.1333059037312291E-3</v>
      </c>
      <c r="V2228" t="s">
        <v>157</v>
      </c>
    </row>
    <row r="2229" spans="19:22" x14ac:dyDescent="0.45">
      <c r="S2229" t="s">
        <v>540</v>
      </c>
      <c r="T2229" t="s">
        <v>170</v>
      </c>
      <c r="U2229">
        <v>6.9596870349539963E-3</v>
      </c>
      <c r="V2229" t="s">
        <v>157</v>
      </c>
    </row>
    <row r="2230" spans="19:22" x14ac:dyDescent="0.45">
      <c r="S2230" t="s">
        <v>540</v>
      </c>
      <c r="T2230" t="s">
        <v>171</v>
      </c>
      <c r="U2230">
        <v>3.2473739363572687E-2</v>
      </c>
      <c r="V2230" t="s">
        <v>157</v>
      </c>
    </row>
    <row r="2231" spans="19:22" x14ac:dyDescent="0.45">
      <c r="S2231" t="s">
        <v>541</v>
      </c>
      <c r="T2231" t="s">
        <v>156</v>
      </c>
      <c r="U2231">
        <v>0.13610530269946677</v>
      </c>
      <c r="V2231" t="s">
        <v>157</v>
      </c>
    </row>
    <row r="2232" spans="19:22" x14ac:dyDescent="0.45">
      <c r="S2232" t="s">
        <v>541</v>
      </c>
      <c r="T2232" t="s">
        <v>158</v>
      </c>
      <c r="U2232">
        <v>0.2001612972296542</v>
      </c>
      <c r="V2232" t="s">
        <v>157</v>
      </c>
    </row>
    <row r="2233" spans="19:22" x14ac:dyDescent="0.45">
      <c r="S2233" t="s">
        <v>541</v>
      </c>
      <c r="T2233" t="s">
        <v>159</v>
      </c>
      <c r="U2233">
        <v>2.050098153450422E-2</v>
      </c>
      <c r="V2233" t="s">
        <v>157</v>
      </c>
    </row>
    <row r="2234" spans="19:22" x14ac:dyDescent="0.45">
      <c r="S2234" t="s">
        <v>541</v>
      </c>
      <c r="T2234" t="s">
        <v>160</v>
      </c>
      <c r="U2234">
        <v>2.0863340193920457E-2</v>
      </c>
      <c r="V2234" t="s">
        <v>157</v>
      </c>
    </row>
    <row r="2235" spans="19:22" x14ac:dyDescent="0.45">
      <c r="S2235" t="s">
        <v>541</v>
      </c>
      <c r="T2235" t="s">
        <v>161</v>
      </c>
      <c r="U2235">
        <v>0.10509502353649045</v>
      </c>
      <c r="V2235" t="s">
        <v>157</v>
      </c>
    </row>
    <row r="2236" spans="19:22" x14ac:dyDescent="0.45">
      <c r="S2236" t="s">
        <v>541</v>
      </c>
      <c r="T2236" t="s">
        <v>162</v>
      </c>
      <c r="U2236">
        <v>9.9588932137132394E-2</v>
      </c>
      <c r="V2236" t="s">
        <v>157</v>
      </c>
    </row>
    <row r="2237" spans="19:22" x14ac:dyDescent="0.45">
      <c r="S2237" t="s">
        <v>541</v>
      </c>
      <c r="T2237" t="s">
        <v>163</v>
      </c>
      <c r="U2237">
        <v>0.14885723735864612</v>
      </c>
      <c r="V2237" t="s">
        <v>157</v>
      </c>
    </row>
    <row r="2238" spans="19:22" x14ac:dyDescent="0.45">
      <c r="S2238" t="s">
        <v>541</v>
      </c>
      <c r="T2238" t="s">
        <v>164</v>
      </c>
      <c r="U2238">
        <v>1.5619540681972258E-2</v>
      </c>
      <c r="V2238" t="s">
        <v>157</v>
      </c>
    </row>
    <row r="2239" spans="19:22" x14ac:dyDescent="0.45">
      <c r="S2239" t="s">
        <v>541</v>
      </c>
      <c r="T2239" t="s">
        <v>165</v>
      </c>
      <c r="U2239">
        <v>1.5289519814422578E-2</v>
      </c>
      <c r="V2239" t="s">
        <v>157</v>
      </c>
    </row>
    <row r="2240" spans="19:22" x14ac:dyDescent="0.45">
      <c r="S2240" t="s">
        <v>541</v>
      </c>
      <c r="T2240" t="s">
        <v>166</v>
      </c>
      <c r="U2240">
        <v>7.500263716310604E-2</v>
      </c>
      <c r="V2240" t="s">
        <v>157</v>
      </c>
    </row>
    <row r="2241" spans="19:22" x14ac:dyDescent="0.45">
      <c r="S2241" t="s">
        <v>541</v>
      </c>
      <c r="T2241" t="s">
        <v>167</v>
      </c>
      <c r="U2241">
        <v>4.3509591599313356E-2</v>
      </c>
      <c r="V2241" t="s">
        <v>157</v>
      </c>
    </row>
    <row r="2242" spans="19:22" x14ac:dyDescent="0.45">
      <c r="S2242" t="s">
        <v>541</v>
      </c>
      <c r="T2242" t="s">
        <v>168</v>
      </c>
      <c r="U2242">
        <v>6.8854957937843811E-2</v>
      </c>
      <c r="V2242" t="s">
        <v>157</v>
      </c>
    </row>
    <row r="2243" spans="19:22" x14ac:dyDescent="0.45">
      <c r="S2243" t="s">
        <v>541</v>
      </c>
      <c r="T2243" t="s">
        <v>169</v>
      </c>
      <c r="U2243">
        <v>7.5441187234137931E-3</v>
      </c>
      <c r="V2243" t="s">
        <v>157</v>
      </c>
    </row>
    <row r="2244" spans="19:22" x14ac:dyDescent="0.45">
      <c r="S2244" t="s">
        <v>541</v>
      </c>
      <c r="T2244" t="s">
        <v>170</v>
      </c>
      <c r="U2244">
        <v>7.5543368777802131E-3</v>
      </c>
      <c r="V2244" t="s">
        <v>157</v>
      </c>
    </row>
    <row r="2245" spans="19:22" x14ac:dyDescent="0.45">
      <c r="S2245" t="s">
        <v>541</v>
      </c>
      <c r="T2245" t="s">
        <v>171</v>
      </c>
      <c r="U2245">
        <v>3.5453182512333328E-2</v>
      </c>
      <c r="V2245" t="s">
        <v>157</v>
      </c>
    </row>
    <row r="2246" spans="19:22" x14ac:dyDescent="0.45">
      <c r="S2246" t="s">
        <v>542</v>
      </c>
      <c r="T2246" t="s">
        <v>156</v>
      </c>
      <c r="U2246">
        <v>0.128992808904556</v>
      </c>
      <c r="V2246" t="s">
        <v>157</v>
      </c>
    </row>
    <row r="2247" spans="19:22" x14ac:dyDescent="0.45">
      <c r="S2247" t="s">
        <v>542</v>
      </c>
      <c r="T2247" t="s">
        <v>158</v>
      </c>
      <c r="U2247">
        <v>0.20682928971478517</v>
      </c>
      <c r="V2247" t="s">
        <v>157</v>
      </c>
    </row>
    <row r="2248" spans="19:22" x14ac:dyDescent="0.45">
      <c r="S2248" t="s">
        <v>542</v>
      </c>
      <c r="T2248" t="s">
        <v>159</v>
      </c>
      <c r="U2248">
        <v>2.2461583604978567E-2</v>
      </c>
      <c r="V2248" t="s">
        <v>157</v>
      </c>
    </row>
    <row r="2249" spans="19:22" x14ac:dyDescent="0.45">
      <c r="S2249" t="s">
        <v>542</v>
      </c>
      <c r="T2249" t="s">
        <v>160</v>
      </c>
      <c r="U2249">
        <v>2.2019144140455887E-2</v>
      </c>
      <c r="V2249" t="s">
        <v>157</v>
      </c>
    </row>
    <row r="2250" spans="19:22" x14ac:dyDescent="0.45">
      <c r="S2250" t="s">
        <v>542</v>
      </c>
      <c r="T2250" t="s">
        <v>161</v>
      </c>
      <c r="U2250">
        <v>0.10485978222695076</v>
      </c>
      <c r="V2250" t="s">
        <v>157</v>
      </c>
    </row>
    <row r="2251" spans="19:22" x14ac:dyDescent="0.45">
      <c r="S2251" t="s">
        <v>542</v>
      </c>
      <c r="T2251" t="s">
        <v>162</v>
      </c>
      <c r="U2251">
        <v>9.7750510447763256E-2</v>
      </c>
      <c r="V2251" t="s">
        <v>157</v>
      </c>
    </row>
    <row r="2252" spans="19:22" x14ac:dyDescent="0.45">
      <c r="S2252" t="s">
        <v>542</v>
      </c>
      <c r="T2252" t="s">
        <v>163</v>
      </c>
      <c r="U2252">
        <v>0.14444655154682459</v>
      </c>
      <c r="V2252" t="s">
        <v>157</v>
      </c>
    </row>
    <row r="2253" spans="19:22" x14ac:dyDescent="0.45">
      <c r="S2253" t="s">
        <v>542</v>
      </c>
      <c r="T2253" t="s">
        <v>164</v>
      </c>
      <c r="U2253">
        <v>1.5873109967856638E-2</v>
      </c>
      <c r="V2253" t="s">
        <v>157</v>
      </c>
    </row>
    <row r="2254" spans="19:22" x14ac:dyDescent="0.45">
      <c r="S2254" t="s">
        <v>542</v>
      </c>
      <c r="T2254" t="s">
        <v>165</v>
      </c>
      <c r="U2254">
        <v>1.6105389940167036E-2</v>
      </c>
      <c r="V2254" t="s">
        <v>157</v>
      </c>
    </row>
    <row r="2255" spans="19:22" x14ac:dyDescent="0.45">
      <c r="S2255" t="s">
        <v>542</v>
      </c>
      <c r="T2255" t="s">
        <v>166</v>
      </c>
      <c r="U2255">
        <v>7.6574393132884486E-2</v>
      </c>
      <c r="V2255" t="s">
        <v>157</v>
      </c>
    </row>
    <row r="2256" spans="19:22" x14ac:dyDescent="0.45">
      <c r="S2256" t="s">
        <v>542</v>
      </c>
      <c r="T2256" t="s">
        <v>167</v>
      </c>
      <c r="U2256">
        <v>4.2185108333811845E-2</v>
      </c>
      <c r="V2256" t="s">
        <v>157</v>
      </c>
    </row>
    <row r="2257" spans="19:22" x14ac:dyDescent="0.45">
      <c r="S2257" t="s">
        <v>542</v>
      </c>
      <c r="T2257" t="s">
        <v>168</v>
      </c>
      <c r="U2257">
        <v>7.0525308574300352E-2</v>
      </c>
      <c r="V2257" t="s">
        <v>157</v>
      </c>
    </row>
    <row r="2258" spans="19:22" x14ac:dyDescent="0.45">
      <c r="S2258" t="s">
        <v>542</v>
      </c>
      <c r="T2258" t="s">
        <v>169</v>
      </c>
      <c r="U2258">
        <v>7.8894649298940009E-3</v>
      </c>
      <c r="V2258" t="s">
        <v>157</v>
      </c>
    </row>
    <row r="2259" spans="19:22" x14ac:dyDescent="0.45">
      <c r="S2259" t="s">
        <v>542</v>
      </c>
      <c r="T2259" t="s">
        <v>170</v>
      </c>
      <c r="U2259">
        <v>7.823917086023929E-3</v>
      </c>
      <c r="V2259" t="s">
        <v>157</v>
      </c>
    </row>
    <row r="2260" spans="19:22" x14ac:dyDescent="0.45">
      <c r="S2260" t="s">
        <v>542</v>
      </c>
      <c r="T2260" t="s">
        <v>171</v>
      </c>
      <c r="U2260">
        <v>3.5663637448747489E-2</v>
      </c>
      <c r="V2260" t="s">
        <v>157</v>
      </c>
    </row>
    <row r="2261" spans="19:22" x14ac:dyDescent="0.45">
      <c r="S2261" t="s">
        <v>543</v>
      </c>
      <c r="T2261" t="s">
        <v>156</v>
      </c>
      <c r="U2261">
        <v>0.12464400153455528</v>
      </c>
      <c r="V2261" t="s">
        <v>157</v>
      </c>
    </row>
    <row r="2262" spans="19:22" x14ac:dyDescent="0.45">
      <c r="S2262" t="s">
        <v>543</v>
      </c>
      <c r="T2262" t="s">
        <v>158</v>
      </c>
      <c r="U2262">
        <v>0.20901307990726556</v>
      </c>
      <c r="V2262" t="s">
        <v>157</v>
      </c>
    </row>
    <row r="2263" spans="19:22" x14ac:dyDescent="0.45">
      <c r="S2263" t="s">
        <v>543</v>
      </c>
      <c r="T2263" t="s">
        <v>159</v>
      </c>
      <c r="U2263">
        <v>2.464896827770038E-2</v>
      </c>
      <c r="V2263" t="s">
        <v>157</v>
      </c>
    </row>
    <row r="2264" spans="19:22" x14ac:dyDescent="0.45">
      <c r="S2264" t="s">
        <v>543</v>
      </c>
      <c r="T2264" t="s">
        <v>160</v>
      </c>
      <c r="U2264">
        <v>2.3649720817225554E-2</v>
      </c>
      <c r="V2264" t="s">
        <v>157</v>
      </c>
    </row>
    <row r="2265" spans="19:22" x14ac:dyDescent="0.45">
      <c r="S2265" t="s">
        <v>543</v>
      </c>
      <c r="T2265" t="s">
        <v>161</v>
      </c>
      <c r="U2265">
        <v>0.10518467090861887</v>
      </c>
      <c r="V2265" t="s">
        <v>157</v>
      </c>
    </row>
    <row r="2266" spans="19:22" x14ac:dyDescent="0.45">
      <c r="S2266" t="s">
        <v>543</v>
      </c>
      <c r="T2266" t="s">
        <v>162</v>
      </c>
      <c r="U2266">
        <v>9.7428470459257316E-2</v>
      </c>
      <c r="V2266" t="s">
        <v>157</v>
      </c>
    </row>
    <row r="2267" spans="19:22" x14ac:dyDescent="0.45">
      <c r="S2267" t="s">
        <v>543</v>
      </c>
      <c r="T2267" t="s">
        <v>163</v>
      </c>
      <c r="U2267">
        <v>0.14226501852277476</v>
      </c>
      <c r="V2267" t="s">
        <v>157</v>
      </c>
    </row>
    <row r="2268" spans="19:22" x14ac:dyDescent="0.45">
      <c r="S2268" t="s">
        <v>543</v>
      </c>
      <c r="T2268" t="s">
        <v>164</v>
      </c>
      <c r="U2268">
        <v>1.64065187637614E-2</v>
      </c>
      <c r="V2268" t="s">
        <v>157</v>
      </c>
    </row>
    <row r="2269" spans="19:22" x14ac:dyDescent="0.45">
      <c r="S2269" t="s">
        <v>543</v>
      </c>
      <c r="T2269" t="s">
        <v>165</v>
      </c>
      <c r="U2269">
        <v>1.6977874769547562E-2</v>
      </c>
      <c r="V2269" t="s">
        <v>157</v>
      </c>
    </row>
    <row r="2270" spans="19:22" x14ac:dyDescent="0.45">
      <c r="S2270" t="s">
        <v>543</v>
      </c>
      <c r="T2270" t="s">
        <v>166</v>
      </c>
      <c r="U2270">
        <v>7.9085944852826009E-2</v>
      </c>
      <c r="V2270" t="s">
        <v>157</v>
      </c>
    </row>
    <row r="2271" spans="19:22" x14ac:dyDescent="0.45">
      <c r="S2271" t="s">
        <v>543</v>
      </c>
      <c r="T2271" t="s">
        <v>167</v>
      </c>
      <c r="U2271">
        <v>3.9226278067945937E-2</v>
      </c>
      <c r="V2271" t="s">
        <v>157</v>
      </c>
    </row>
    <row r="2272" spans="19:22" x14ac:dyDescent="0.45">
      <c r="S2272" t="s">
        <v>543</v>
      </c>
      <c r="T2272" t="s">
        <v>168</v>
      </c>
      <c r="U2272">
        <v>6.9188495175107043E-2</v>
      </c>
      <c r="V2272" t="s">
        <v>157</v>
      </c>
    </row>
    <row r="2273" spans="19:22" x14ac:dyDescent="0.45">
      <c r="S2273" t="s">
        <v>543</v>
      </c>
      <c r="T2273" t="s">
        <v>169</v>
      </c>
      <c r="U2273">
        <v>8.3062363511052211E-3</v>
      </c>
      <c r="V2273" t="s">
        <v>157</v>
      </c>
    </row>
    <row r="2274" spans="19:22" x14ac:dyDescent="0.45">
      <c r="S2274" t="s">
        <v>543</v>
      </c>
      <c r="T2274" t="s">
        <v>170</v>
      </c>
      <c r="U2274">
        <v>8.1155994511243473E-3</v>
      </c>
      <c r="V2274" t="s">
        <v>157</v>
      </c>
    </row>
    <row r="2275" spans="19:22" x14ac:dyDescent="0.45">
      <c r="S2275" t="s">
        <v>543</v>
      </c>
      <c r="T2275" t="s">
        <v>171</v>
      </c>
      <c r="U2275">
        <v>3.5859122141184738E-2</v>
      </c>
      <c r="V2275" t="s">
        <v>157</v>
      </c>
    </row>
    <row r="2276" spans="19:22" x14ac:dyDescent="0.45">
      <c r="S2276" t="s">
        <v>544</v>
      </c>
      <c r="T2276" t="s">
        <v>156</v>
      </c>
      <c r="U2276">
        <v>0.12172706027809339</v>
      </c>
      <c r="V2276" t="s">
        <v>157</v>
      </c>
    </row>
    <row r="2277" spans="19:22" x14ac:dyDescent="0.45">
      <c r="S2277" t="s">
        <v>544</v>
      </c>
      <c r="T2277" t="s">
        <v>158</v>
      </c>
      <c r="U2277">
        <v>0.20398879717652466</v>
      </c>
      <c r="V2277" t="s">
        <v>157</v>
      </c>
    </row>
    <row r="2278" spans="19:22" x14ac:dyDescent="0.45">
      <c r="S2278" t="s">
        <v>544</v>
      </c>
      <c r="T2278" t="s">
        <v>159</v>
      </c>
      <c r="U2278">
        <v>2.5219010583798784E-2</v>
      </c>
      <c r="V2278" t="s">
        <v>157</v>
      </c>
    </row>
    <row r="2279" spans="19:22" x14ac:dyDescent="0.45">
      <c r="S2279" t="s">
        <v>544</v>
      </c>
      <c r="T2279" t="s">
        <v>160</v>
      </c>
      <c r="U2279">
        <v>2.4248480444298146E-2</v>
      </c>
      <c r="V2279" t="s">
        <v>157</v>
      </c>
    </row>
    <row r="2280" spans="19:22" x14ac:dyDescent="0.45">
      <c r="S2280" t="s">
        <v>544</v>
      </c>
      <c r="T2280" t="s">
        <v>161</v>
      </c>
      <c r="U2280">
        <v>0.10350495034673121</v>
      </c>
      <c r="V2280" t="s">
        <v>157</v>
      </c>
    </row>
    <row r="2281" spans="19:22" x14ac:dyDescent="0.45">
      <c r="S2281" t="s">
        <v>544</v>
      </c>
      <c r="T2281" t="s">
        <v>162</v>
      </c>
      <c r="U2281">
        <v>0.10198693060300094</v>
      </c>
      <c r="V2281" t="s">
        <v>157</v>
      </c>
    </row>
    <row r="2282" spans="19:22" x14ac:dyDescent="0.45">
      <c r="S2282" t="s">
        <v>544</v>
      </c>
      <c r="T2282" t="s">
        <v>163</v>
      </c>
      <c r="U2282">
        <v>0.14842815238256901</v>
      </c>
      <c r="V2282" t="s">
        <v>157</v>
      </c>
    </row>
    <row r="2283" spans="19:22" x14ac:dyDescent="0.45">
      <c r="S2283" t="s">
        <v>544</v>
      </c>
      <c r="T2283" t="s">
        <v>164</v>
      </c>
      <c r="U2283">
        <v>1.7659961814382528E-2</v>
      </c>
      <c r="V2283" t="s">
        <v>157</v>
      </c>
    </row>
    <row r="2284" spans="19:22" x14ac:dyDescent="0.45">
      <c r="S2284" t="s">
        <v>544</v>
      </c>
      <c r="T2284" t="s">
        <v>165</v>
      </c>
      <c r="U2284">
        <v>1.8055660742155335E-2</v>
      </c>
      <c r="V2284" t="s">
        <v>157</v>
      </c>
    </row>
    <row r="2285" spans="19:22" x14ac:dyDescent="0.45">
      <c r="S2285" t="s">
        <v>544</v>
      </c>
      <c r="T2285" t="s">
        <v>166</v>
      </c>
      <c r="U2285">
        <v>8.3483981522793682E-2</v>
      </c>
      <c r="V2285" t="s">
        <v>157</v>
      </c>
    </row>
    <row r="2286" spans="19:22" x14ac:dyDescent="0.45">
      <c r="S2286" t="s">
        <v>544</v>
      </c>
      <c r="T2286" t="s">
        <v>167</v>
      </c>
      <c r="U2286">
        <v>3.536802514718352E-2</v>
      </c>
      <c r="V2286" t="s">
        <v>157</v>
      </c>
    </row>
    <row r="2287" spans="19:22" x14ac:dyDescent="0.45">
      <c r="S2287" t="s">
        <v>544</v>
      </c>
      <c r="T2287" t="s">
        <v>168</v>
      </c>
      <c r="U2287">
        <v>6.341555462822708E-2</v>
      </c>
      <c r="V2287" t="s">
        <v>157</v>
      </c>
    </row>
    <row r="2288" spans="19:22" x14ac:dyDescent="0.45">
      <c r="S2288" t="s">
        <v>544</v>
      </c>
      <c r="T2288" t="s">
        <v>169</v>
      </c>
      <c r="U2288">
        <v>8.7103158578160297E-3</v>
      </c>
      <c r="V2288" t="s">
        <v>157</v>
      </c>
    </row>
    <row r="2289" spans="19:22" x14ac:dyDescent="0.45">
      <c r="S2289" t="s">
        <v>544</v>
      </c>
      <c r="T2289" t="s">
        <v>170</v>
      </c>
      <c r="U2289">
        <v>8.4542341979459354E-3</v>
      </c>
      <c r="V2289" t="s">
        <v>157</v>
      </c>
    </row>
    <row r="2290" spans="19:22" x14ac:dyDescent="0.45">
      <c r="S2290" t="s">
        <v>544</v>
      </c>
      <c r="T2290" t="s">
        <v>171</v>
      </c>
      <c r="U2290">
        <v>3.5748884274479691E-2</v>
      </c>
      <c r="V2290" t="s">
        <v>157</v>
      </c>
    </row>
    <row r="2291" spans="19:22" x14ac:dyDescent="0.45">
      <c r="S2291" t="s">
        <v>545</v>
      </c>
      <c r="T2291" t="s">
        <v>156</v>
      </c>
      <c r="U2291">
        <v>0.11850777663664745</v>
      </c>
      <c r="V2291" t="s">
        <v>157</v>
      </c>
    </row>
    <row r="2292" spans="19:22" x14ac:dyDescent="0.45">
      <c r="S2292" t="s">
        <v>545</v>
      </c>
      <c r="T2292" t="s">
        <v>158</v>
      </c>
      <c r="U2292">
        <v>0.2050963796328806</v>
      </c>
      <c r="V2292" t="s">
        <v>157</v>
      </c>
    </row>
    <row r="2293" spans="19:22" x14ac:dyDescent="0.45">
      <c r="S2293" t="s">
        <v>545</v>
      </c>
      <c r="T2293" t="s">
        <v>159</v>
      </c>
      <c r="U2293">
        <v>2.0390423979900037E-2</v>
      </c>
      <c r="V2293" t="s">
        <v>157</v>
      </c>
    </row>
    <row r="2294" spans="19:22" x14ac:dyDescent="0.45">
      <c r="S2294" t="s">
        <v>545</v>
      </c>
      <c r="T2294" t="s">
        <v>160</v>
      </c>
      <c r="U2294">
        <v>1.9007339294951249E-2</v>
      </c>
      <c r="V2294" t="s">
        <v>157</v>
      </c>
    </row>
    <row r="2295" spans="19:22" x14ac:dyDescent="0.45">
      <c r="S2295" t="s">
        <v>545</v>
      </c>
      <c r="T2295" t="s">
        <v>161</v>
      </c>
      <c r="U2295">
        <v>7.8219739216906017E-2</v>
      </c>
      <c r="V2295" t="s">
        <v>157</v>
      </c>
    </row>
    <row r="2296" spans="19:22" x14ac:dyDescent="0.45">
      <c r="S2296" t="s">
        <v>545</v>
      </c>
      <c r="T2296" t="s">
        <v>162</v>
      </c>
      <c r="U2296">
        <v>0.12438376003225381</v>
      </c>
      <c r="V2296" t="s">
        <v>157</v>
      </c>
    </row>
    <row r="2297" spans="19:22" x14ac:dyDescent="0.45">
      <c r="S2297" t="s">
        <v>545</v>
      </c>
      <c r="T2297" t="s">
        <v>163</v>
      </c>
      <c r="U2297">
        <v>0.20896953759589335</v>
      </c>
      <c r="V2297" t="s">
        <v>157</v>
      </c>
    </row>
    <row r="2298" spans="19:22" x14ac:dyDescent="0.45">
      <c r="S2298" t="s">
        <v>545</v>
      </c>
      <c r="T2298" t="s">
        <v>164</v>
      </c>
      <c r="U2298">
        <v>1.9315572844400844E-2</v>
      </c>
      <c r="V2298" t="s">
        <v>157</v>
      </c>
    </row>
    <row r="2299" spans="19:22" x14ac:dyDescent="0.45">
      <c r="S2299" t="s">
        <v>545</v>
      </c>
      <c r="T2299" t="s">
        <v>165</v>
      </c>
      <c r="U2299">
        <v>1.8054236848065158E-2</v>
      </c>
      <c r="V2299" t="s">
        <v>157</v>
      </c>
    </row>
    <row r="2300" spans="19:22" x14ac:dyDescent="0.45">
      <c r="S2300" t="s">
        <v>545</v>
      </c>
      <c r="T2300" t="s">
        <v>166</v>
      </c>
      <c r="U2300">
        <v>7.742104761011917E-2</v>
      </c>
      <c r="V2300" t="s">
        <v>157</v>
      </c>
    </row>
    <row r="2301" spans="19:22" x14ac:dyDescent="0.45">
      <c r="S2301" t="s">
        <v>545</v>
      </c>
      <c r="T2301" t="s">
        <v>167</v>
      </c>
      <c r="U2301">
        <v>2.2539770194827589E-2</v>
      </c>
      <c r="V2301" t="s">
        <v>157</v>
      </c>
    </row>
    <row r="2302" spans="19:22" x14ac:dyDescent="0.45">
      <c r="S2302" t="s">
        <v>545</v>
      </c>
      <c r="T2302" t="s">
        <v>168</v>
      </c>
      <c r="U2302">
        <v>5.9149815889200631E-2</v>
      </c>
      <c r="V2302" t="s">
        <v>157</v>
      </c>
    </row>
    <row r="2303" spans="19:22" x14ac:dyDescent="0.45">
      <c r="S2303" t="s">
        <v>545</v>
      </c>
      <c r="T2303" t="s">
        <v>169</v>
      </c>
      <c r="U2303">
        <v>5.1283613137812871E-3</v>
      </c>
      <c r="V2303" t="s">
        <v>157</v>
      </c>
    </row>
    <row r="2304" spans="19:22" x14ac:dyDescent="0.45">
      <c r="S2304" t="s">
        <v>545</v>
      </c>
      <c r="T2304" t="s">
        <v>170</v>
      </c>
      <c r="U2304">
        <v>4.1786275267694691E-3</v>
      </c>
      <c r="V2304" t="s">
        <v>157</v>
      </c>
    </row>
    <row r="2305" spans="19:22" x14ac:dyDescent="0.45">
      <c r="S2305" t="s">
        <v>545</v>
      </c>
      <c r="T2305" t="s">
        <v>171</v>
      </c>
      <c r="U2305">
        <v>1.9637611383403294E-2</v>
      </c>
      <c r="V2305" t="s">
        <v>157</v>
      </c>
    </row>
    <row r="2306" spans="19:22" x14ac:dyDescent="0.45">
      <c r="S2306" t="s">
        <v>546</v>
      </c>
      <c r="T2306" t="s">
        <v>156</v>
      </c>
      <c r="U2306">
        <v>0.11246907016306068</v>
      </c>
      <c r="V2306" t="s">
        <v>157</v>
      </c>
    </row>
    <row r="2307" spans="19:22" x14ac:dyDescent="0.45">
      <c r="S2307" t="s">
        <v>546</v>
      </c>
      <c r="T2307" t="s">
        <v>158</v>
      </c>
      <c r="U2307">
        <v>0.19802203379105662</v>
      </c>
      <c r="V2307" t="s">
        <v>157</v>
      </c>
    </row>
    <row r="2308" spans="19:22" x14ac:dyDescent="0.45">
      <c r="S2308" t="s">
        <v>546</v>
      </c>
      <c r="T2308" t="s">
        <v>159</v>
      </c>
      <c r="U2308">
        <v>2.1527831297684565E-2</v>
      </c>
      <c r="V2308" t="s">
        <v>157</v>
      </c>
    </row>
    <row r="2309" spans="19:22" x14ac:dyDescent="0.45">
      <c r="S2309" t="s">
        <v>546</v>
      </c>
      <c r="T2309" t="s">
        <v>160</v>
      </c>
      <c r="U2309">
        <v>1.9471412369099141E-2</v>
      </c>
      <c r="V2309" t="s">
        <v>157</v>
      </c>
    </row>
    <row r="2310" spans="19:22" x14ac:dyDescent="0.45">
      <c r="S2310" t="s">
        <v>546</v>
      </c>
      <c r="T2310" t="s">
        <v>161</v>
      </c>
      <c r="U2310">
        <v>7.5340550057390737E-2</v>
      </c>
      <c r="V2310" t="s">
        <v>157</v>
      </c>
    </row>
    <row r="2311" spans="19:22" x14ac:dyDescent="0.45">
      <c r="S2311" t="s">
        <v>546</v>
      </c>
      <c r="T2311" t="s">
        <v>162</v>
      </c>
      <c r="U2311">
        <v>0.11249210456409528</v>
      </c>
      <c r="V2311" t="s">
        <v>157</v>
      </c>
    </row>
    <row r="2312" spans="19:22" x14ac:dyDescent="0.45">
      <c r="S2312" t="s">
        <v>546</v>
      </c>
      <c r="T2312" t="s">
        <v>163</v>
      </c>
      <c r="U2312">
        <v>0.20544819063007033</v>
      </c>
      <c r="V2312" t="s">
        <v>157</v>
      </c>
    </row>
    <row r="2313" spans="19:22" x14ac:dyDescent="0.45">
      <c r="S2313" t="s">
        <v>546</v>
      </c>
      <c r="T2313" t="s">
        <v>164</v>
      </c>
      <c r="U2313">
        <v>2.1220761082145479E-2</v>
      </c>
      <c r="V2313" t="s">
        <v>157</v>
      </c>
    </row>
    <row r="2314" spans="19:22" x14ac:dyDescent="0.45">
      <c r="S2314" t="s">
        <v>546</v>
      </c>
      <c r="T2314" t="s">
        <v>165</v>
      </c>
      <c r="U2314">
        <v>1.8244867709609806E-2</v>
      </c>
      <c r="V2314" t="s">
        <v>157</v>
      </c>
    </row>
    <row r="2315" spans="19:22" x14ac:dyDescent="0.45">
      <c r="S2315" t="s">
        <v>546</v>
      </c>
      <c r="T2315" t="s">
        <v>166</v>
      </c>
      <c r="U2315">
        <v>7.9803789681979501E-2</v>
      </c>
      <c r="V2315" t="s">
        <v>157</v>
      </c>
    </row>
    <row r="2316" spans="19:22" x14ac:dyDescent="0.45">
      <c r="S2316" t="s">
        <v>546</v>
      </c>
      <c r="T2316" t="s">
        <v>167</v>
      </c>
      <c r="U2316">
        <v>2.8854725645316357E-2</v>
      </c>
      <c r="V2316" t="s">
        <v>157</v>
      </c>
    </row>
    <row r="2317" spans="19:22" x14ac:dyDescent="0.45">
      <c r="S2317" t="s">
        <v>546</v>
      </c>
      <c r="T2317" t="s">
        <v>168</v>
      </c>
      <c r="U2317">
        <v>6.7267166270750883E-2</v>
      </c>
      <c r="V2317" t="s">
        <v>157</v>
      </c>
    </row>
    <row r="2318" spans="19:22" x14ac:dyDescent="0.45">
      <c r="S2318" t="s">
        <v>546</v>
      </c>
      <c r="T2318" t="s">
        <v>169</v>
      </c>
      <c r="U2318">
        <v>6.9105595077445523E-3</v>
      </c>
      <c r="V2318" t="s">
        <v>157</v>
      </c>
    </row>
    <row r="2319" spans="19:22" x14ac:dyDescent="0.45">
      <c r="S2319" t="s">
        <v>546</v>
      </c>
      <c r="T2319" t="s">
        <v>170</v>
      </c>
      <c r="U2319">
        <v>6.1388998306003088E-3</v>
      </c>
      <c r="V2319" t="s">
        <v>157</v>
      </c>
    </row>
    <row r="2320" spans="19:22" x14ac:dyDescent="0.45">
      <c r="S2320" t="s">
        <v>546</v>
      </c>
      <c r="T2320" t="s">
        <v>171</v>
      </c>
      <c r="U2320">
        <v>2.6788037399395795E-2</v>
      </c>
      <c r="V2320" t="s">
        <v>157</v>
      </c>
    </row>
    <row r="2321" spans="19:22" x14ac:dyDescent="0.45">
      <c r="S2321" t="s">
        <v>547</v>
      </c>
      <c r="T2321" t="s">
        <v>156</v>
      </c>
      <c r="U2321">
        <v>0.118706997656543</v>
      </c>
      <c r="V2321" t="s">
        <v>157</v>
      </c>
    </row>
    <row r="2322" spans="19:22" x14ac:dyDescent="0.45">
      <c r="S2322" t="s">
        <v>547</v>
      </c>
      <c r="T2322" t="s">
        <v>158</v>
      </c>
      <c r="U2322">
        <v>0.1834700731858081</v>
      </c>
      <c r="V2322" t="s">
        <v>157</v>
      </c>
    </row>
    <row r="2323" spans="19:22" x14ac:dyDescent="0.45">
      <c r="S2323" t="s">
        <v>547</v>
      </c>
      <c r="T2323" t="s">
        <v>159</v>
      </c>
      <c r="U2323">
        <v>2.1058038204632253E-2</v>
      </c>
      <c r="V2323" t="s">
        <v>157</v>
      </c>
    </row>
    <row r="2324" spans="19:22" x14ac:dyDescent="0.45">
      <c r="S2324" t="s">
        <v>547</v>
      </c>
      <c r="T2324" t="s">
        <v>160</v>
      </c>
      <c r="U2324">
        <v>2.0415296912784747E-2</v>
      </c>
      <c r="V2324" t="s">
        <v>157</v>
      </c>
    </row>
    <row r="2325" spans="19:22" x14ac:dyDescent="0.45">
      <c r="S2325" t="s">
        <v>547</v>
      </c>
      <c r="T2325" t="s">
        <v>161</v>
      </c>
      <c r="U2325">
        <v>8.6511492888751915E-2</v>
      </c>
      <c r="V2325" t="s">
        <v>157</v>
      </c>
    </row>
    <row r="2326" spans="19:22" x14ac:dyDescent="0.45">
      <c r="S2326" t="s">
        <v>547</v>
      </c>
      <c r="T2326" t="s">
        <v>162</v>
      </c>
      <c r="U2326">
        <v>0.1219177804165221</v>
      </c>
      <c r="V2326" t="s">
        <v>157</v>
      </c>
    </row>
    <row r="2327" spans="19:22" x14ac:dyDescent="0.45">
      <c r="S2327" t="s">
        <v>547</v>
      </c>
      <c r="T2327" t="s">
        <v>163</v>
      </c>
      <c r="U2327">
        <v>0.17809345920715985</v>
      </c>
      <c r="V2327" t="s">
        <v>157</v>
      </c>
    </row>
    <row r="2328" spans="19:22" x14ac:dyDescent="0.45">
      <c r="S2328" t="s">
        <v>547</v>
      </c>
      <c r="T2328" t="s">
        <v>164</v>
      </c>
      <c r="U2328">
        <v>2.0437528559669849E-2</v>
      </c>
      <c r="V2328" t="s">
        <v>157</v>
      </c>
    </row>
    <row r="2329" spans="19:22" x14ac:dyDescent="0.45">
      <c r="S2329" t="s">
        <v>547</v>
      </c>
      <c r="T2329" t="s">
        <v>165</v>
      </c>
      <c r="U2329">
        <v>1.9766671988889668E-2</v>
      </c>
      <c r="V2329" t="s">
        <v>157</v>
      </c>
    </row>
    <row r="2330" spans="19:22" x14ac:dyDescent="0.45">
      <c r="S2330" t="s">
        <v>547</v>
      </c>
      <c r="T2330" t="s">
        <v>166</v>
      </c>
      <c r="U2330">
        <v>8.9656504430545569E-2</v>
      </c>
      <c r="V2330" t="s">
        <v>157</v>
      </c>
    </row>
    <row r="2331" spans="19:22" x14ac:dyDescent="0.45">
      <c r="S2331" t="s">
        <v>547</v>
      </c>
      <c r="T2331" t="s">
        <v>167</v>
      </c>
      <c r="U2331">
        <v>3.8771021298186006E-2</v>
      </c>
      <c r="V2331" t="s">
        <v>157</v>
      </c>
    </row>
    <row r="2332" spans="19:22" x14ac:dyDescent="0.45">
      <c r="S2332" t="s">
        <v>547</v>
      </c>
      <c r="T2332" t="s">
        <v>168</v>
      </c>
      <c r="U2332">
        <v>5.920590890152163E-2</v>
      </c>
      <c r="V2332" t="s">
        <v>157</v>
      </c>
    </row>
    <row r="2333" spans="19:22" x14ac:dyDescent="0.45">
      <c r="S2333" t="s">
        <v>547</v>
      </c>
      <c r="T2333" t="s">
        <v>169</v>
      </c>
      <c r="U2333">
        <v>6.8109587362563265E-3</v>
      </c>
      <c r="V2333" t="s">
        <v>157</v>
      </c>
    </row>
    <row r="2334" spans="19:22" x14ac:dyDescent="0.45">
      <c r="S2334" t="s">
        <v>547</v>
      </c>
      <c r="T2334" t="s">
        <v>170</v>
      </c>
      <c r="U2334">
        <v>6.5343195827061934E-3</v>
      </c>
      <c r="V2334" t="s">
        <v>157</v>
      </c>
    </row>
    <row r="2335" spans="19:22" x14ac:dyDescent="0.45">
      <c r="S2335" t="s">
        <v>547</v>
      </c>
      <c r="T2335" t="s">
        <v>171</v>
      </c>
      <c r="U2335">
        <v>2.8643948030022855E-2</v>
      </c>
      <c r="V2335" t="s">
        <v>157</v>
      </c>
    </row>
    <row r="2336" spans="19:22" x14ac:dyDescent="0.45">
      <c r="S2336" t="s">
        <v>548</v>
      </c>
      <c r="T2336" t="s">
        <v>156</v>
      </c>
      <c r="U2336">
        <v>0.1229949279680418</v>
      </c>
      <c r="V2336" t="s">
        <v>157</v>
      </c>
    </row>
    <row r="2337" spans="19:22" x14ac:dyDescent="0.45">
      <c r="S2337" t="s">
        <v>548</v>
      </c>
      <c r="T2337" t="s">
        <v>158</v>
      </c>
      <c r="U2337">
        <v>0.18794051551541893</v>
      </c>
      <c r="V2337" t="s">
        <v>157</v>
      </c>
    </row>
    <row r="2338" spans="19:22" x14ac:dyDescent="0.45">
      <c r="S2338" t="s">
        <v>548</v>
      </c>
      <c r="T2338" t="s">
        <v>159</v>
      </c>
      <c r="U2338">
        <v>2.0558255198293563E-2</v>
      </c>
      <c r="V2338" t="s">
        <v>157</v>
      </c>
    </row>
    <row r="2339" spans="19:22" x14ac:dyDescent="0.45">
      <c r="S2339" t="s">
        <v>548</v>
      </c>
      <c r="T2339" t="s">
        <v>160</v>
      </c>
      <c r="U2339">
        <v>2.0097938565514822E-2</v>
      </c>
      <c r="V2339" t="s">
        <v>157</v>
      </c>
    </row>
    <row r="2340" spans="19:22" x14ac:dyDescent="0.45">
      <c r="S2340" t="s">
        <v>548</v>
      </c>
      <c r="T2340" t="s">
        <v>161</v>
      </c>
      <c r="U2340">
        <v>8.9142611453467815E-2</v>
      </c>
      <c r="V2340" t="s">
        <v>157</v>
      </c>
    </row>
    <row r="2341" spans="19:22" x14ac:dyDescent="0.45">
      <c r="S2341" t="s">
        <v>548</v>
      </c>
      <c r="T2341" t="s">
        <v>162</v>
      </c>
      <c r="U2341">
        <v>0.11981454520873713</v>
      </c>
      <c r="V2341" t="s">
        <v>157</v>
      </c>
    </row>
    <row r="2342" spans="19:22" x14ac:dyDescent="0.45">
      <c r="S2342" t="s">
        <v>548</v>
      </c>
      <c r="T2342" t="s">
        <v>163</v>
      </c>
      <c r="U2342">
        <v>0.1729066899232499</v>
      </c>
      <c r="V2342" t="s">
        <v>157</v>
      </c>
    </row>
    <row r="2343" spans="19:22" x14ac:dyDescent="0.45">
      <c r="S2343" t="s">
        <v>548</v>
      </c>
      <c r="T2343" t="s">
        <v>164</v>
      </c>
      <c r="U2343">
        <v>1.9579541821830224E-2</v>
      </c>
      <c r="V2343" t="s">
        <v>157</v>
      </c>
    </row>
    <row r="2344" spans="19:22" x14ac:dyDescent="0.45">
      <c r="S2344" t="s">
        <v>548</v>
      </c>
      <c r="T2344" t="s">
        <v>165</v>
      </c>
      <c r="U2344">
        <v>1.9270124808457492E-2</v>
      </c>
      <c r="V2344" t="s">
        <v>157</v>
      </c>
    </row>
    <row r="2345" spans="19:22" x14ac:dyDescent="0.45">
      <c r="S2345" t="s">
        <v>548</v>
      </c>
      <c r="T2345" t="s">
        <v>166</v>
      </c>
      <c r="U2345">
        <v>9.0260098612907791E-2</v>
      </c>
      <c r="V2345" t="s">
        <v>157</v>
      </c>
    </row>
    <row r="2346" spans="19:22" x14ac:dyDescent="0.45">
      <c r="S2346" t="s">
        <v>548</v>
      </c>
      <c r="T2346" t="s">
        <v>167</v>
      </c>
      <c r="U2346">
        <v>3.8687034739230207E-2</v>
      </c>
      <c r="V2346" t="s">
        <v>157</v>
      </c>
    </row>
    <row r="2347" spans="19:22" x14ac:dyDescent="0.45">
      <c r="S2347" t="s">
        <v>548</v>
      </c>
      <c r="T2347" t="s">
        <v>168</v>
      </c>
      <c r="U2347">
        <v>5.6683939705492209E-2</v>
      </c>
      <c r="V2347" t="s">
        <v>157</v>
      </c>
    </row>
    <row r="2348" spans="19:22" x14ac:dyDescent="0.45">
      <c r="S2348" t="s">
        <v>548</v>
      </c>
      <c r="T2348" t="s">
        <v>169</v>
      </c>
      <c r="U2348">
        <v>6.7406078737003846E-3</v>
      </c>
      <c r="V2348" t="s">
        <v>157</v>
      </c>
    </row>
    <row r="2349" spans="19:22" x14ac:dyDescent="0.45">
      <c r="S2349" t="s">
        <v>548</v>
      </c>
      <c r="T2349" t="s">
        <v>170</v>
      </c>
      <c r="U2349">
        <v>6.6481410094819038E-3</v>
      </c>
      <c r="V2349" t="s">
        <v>157</v>
      </c>
    </row>
    <row r="2350" spans="19:22" x14ac:dyDescent="0.45">
      <c r="S2350" t="s">
        <v>548</v>
      </c>
      <c r="T2350" t="s">
        <v>171</v>
      </c>
      <c r="U2350">
        <v>2.8675027596175792E-2</v>
      </c>
      <c r="V2350" t="s">
        <v>157</v>
      </c>
    </row>
    <row r="2351" spans="19:22" x14ac:dyDescent="0.45">
      <c r="S2351" t="s">
        <v>549</v>
      </c>
      <c r="T2351" t="s">
        <v>156</v>
      </c>
      <c r="U2351">
        <v>0.12743086356215547</v>
      </c>
      <c r="V2351" t="s">
        <v>157</v>
      </c>
    </row>
    <row r="2352" spans="19:22" x14ac:dyDescent="0.45">
      <c r="S2352" t="s">
        <v>549</v>
      </c>
      <c r="T2352" t="s">
        <v>158</v>
      </c>
      <c r="U2352">
        <v>0.18899703894755548</v>
      </c>
      <c r="V2352" t="s">
        <v>157</v>
      </c>
    </row>
    <row r="2353" spans="19:22" x14ac:dyDescent="0.45">
      <c r="S2353" t="s">
        <v>549</v>
      </c>
      <c r="T2353" t="s">
        <v>159</v>
      </c>
      <c r="U2353">
        <v>2.0565045455626062E-2</v>
      </c>
      <c r="V2353" t="s">
        <v>157</v>
      </c>
    </row>
    <row r="2354" spans="19:22" x14ac:dyDescent="0.45">
      <c r="S2354" t="s">
        <v>549</v>
      </c>
      <c r="T2354" t="s">
        <v>160</v>
      </c>
      <c r="U2354">
        <v>2.0389689533594033E-2</v>
      </c>
      <c r="V2354" t="s">
        <v>157</v>
      </c>
    </row>
    <row r="2355" spans="19:22" x14ac:dyDescent="0.45">
      <c r="S2355" t="s">
        <v>549</v>
      </c>
      <c r="T2355" t="s">
        <v>161</v>
      </c>
      <c r="U2355">
        <v>9.1603242214453928E-2</v>
      </c>
      <c r="V2355" t="s">
        <v>157</v>
      </c>
    </row>
    <row r="2356" spans="19:22" x14ac:dyDescent="0.45">
      <c r="S2356" t="s">
        <v>549</v>
      </c>
      <c r="T2356" t="s">
        <v>162</v>
      </c>
      <c r="U2356">
        <v>0.11911777269366614</v>
      </c>
      <c r="V2356" t="s">
        <v>157</v>
      </c>
    </row>
    <row r="2357" spans="19:22" x14ac:dyDescent="0.45">
      <c r="S2357" t="s">
        <v>549</v>
      </c>
      <c r="T2357" t="s">
        <v>163</v>
      </c>
      <c r="U2357">
        <v>0.16773042355708204</v>
      </c>
      <c r="V2357" t="s">
        <v>157</v>
      </c>
    </row>
    <row r="2358" spans="19:22" x14ac:dyDescent="0.45">
      <c r="S2358" t="s">
        <v>549</v>
      </c>
      <c r="T2358" t="s">
        <v>164</v>
      </c>
      <c r="U2358">
        <v>1.8641059124780167E-2</v>
      </c>
      <c r="V2358" t="s">
        <v>157</v>
      </c>
    </row>
    <row r="2359" spans="19:22" x14ac:dyDescent="0.45">
      <c r="S2359" t="s">
        <v>549</v>
      </c>
      <c r="T2359" t="s">
        <v>165</v>
      </c>
      <c r="U2359">
        <v>1.8382468362733086E-2</v>
      </c>
      <c r="V2359" t="s">
        <v>157</v>
      </c>
    </row>
    <row r="2360" spans="19:22" x14ac:dyDescent="0.45">
      <c r="S2360" t="s">
        <v>549</v>
      </c>
      <c r="T2360" t="s">
        <v>166</v>
      </c>
      <c r="U2360">
        <v>8.8483576563690283E-2</v>
      </c>
      <c r="V2360" t="s">
        <v>157</v>
      </c>
    </row>
    <row r="2361" spans="19:22" x14ac:dyDescent="0.45">
      <c r="S2361" t="s">
        <v>549</v>
      </c>
      <c r="T2361" t="s">
        <v>167</v>
      </c>
      <c r="U2361">
        <v>3.9030571103800607E-2</v>
      </c>
      <c r="V2361" t="s">
        <v>157</v>
      </c>
    </row>
    <row r="2362" spans="19:22" x14ac:dyDescent="0.45">
      <c r="S2362" t="s">
        <v>549</v>
      </c>
      <c r="T2362" t="s">
        <v>168</v>
      </c>
      <c r="U2362">
        <v>5.7287334026971323E-2</v>
      </c>
      <c r="V2362" t="s">
        <v>157</v>
      </c>
    </row>
    <row r="2363" spans="19:22" x14ac:dyDescent="0.45">
      <c r="S2363" t="s">
        <v>549</v>
      </c>
      <c r="T2363" t="s">
        <v>169</v>
      </c>
      <c r="U2363">
        <v>6.4039146060502379E-3</v>
      </c>
      <c r="V2363" t="s">
        <v>157</v>
      </c>
    </row>
    <row r="2364" spans="19:22" x14ac:dyDescent="0.45">
      <c r="S2364" t="s">
        <v>549</v>
      </c>
      <c r="T2364" t="s">
        <v>170</v>
      </c>
      <c r="U2364">
        <v>6.4339652482290326E-3</v>
      </c>
      <c r="V2364" t="s">
        <v>157</v>
      </c>
    </row>
    <row r="2365" spans="19:22" x14ac:dyDescent="0.45">
      <c r="S2365" t="s">
        <v>549</v>
      </c>
      <c r="T2365" t="s">
        <v>171</v>
      </c>
      <c r="U2365">
        <v>2.9503034999612158E-2</v>
      </c>
      <c r="V2365" t="s">
        <v>157</v>
      </c>
    </row>
    <row r="2366" spans="19:22" x14ac:dyDescent="0.45">
      <c r="S2366" t="s">
        <v>550</v>
      </c>
      <c r="T2366" t="s">
        <v>156</v>
      </c>
      <c r="U2366">
        <v>0.12914213489037454</v>
      </c>
      <c r="V2366" t="s">
        <v>157</v>
      </c>
    </row>
    <row r="2367" spans="19:22" x14ac:dyDescent="0.45">
      <c r="S2367" t="s">
        <v>550</v>
      </c>
      <c r="T2367" t="s">
        <v>158</v>
      </c>
      <c r="U2367">
        <v>0.18634103424560919</v>
      </c>
      <c r="V2367" t="s">
        <v>157</v>
      </c>
    </row>
    <row r="2368" spans="19:22" x14ac:dyDescent="0.45">
      <c r="S2368" t="s">
        <v>550</v>
      </c>
      <c r="T2368" t="s">
        <v>159</v>
      </c>
      <c r="U2368">
        <v>1.9667810140911235E-2</v>
      </c>
      <c r="V2368" t="s">
        <v>157</v>
      </c>
    </row>
    <row r="2369" spans="19:22" x14ac:dyDescent="0.45">
      <c r="S2369" t="s">
        <v>550</v>
      </c>
      <c r="T2369" t="s">
        <v>160</v>
      </c>
      <c r="U2369">
        <v>1.9839435650589907E-2</v>
      </c>
      <c r="V2369" t="s">
        <v>157</v>
      </c>
    </row>
    <row r="2370" spans="19:22" x14ac:dyDescent="0.45">
      <c r="S2370" t="s">
        <v>550</v>
      </c>
      <c r="T2370" t="s">
        <v>161</v>
      </c>
      <c r="U2370">
        <v>9.202790468865199E-2</v>
      </c>
      <c r="V2370" t="s">
        <v>157</v>
      </c>
    </row>
    <row r="2371" spans="19:22" x14ac:dyDescent="0.45">
      <c r="S2371" t="s">
        <v>550</v>
      </c>
      <c r="T2371" t="s">
        <v>162</v>
      </c>
      <c r="U2371">
        <v>0.11840933350518927</v>
      </c>
      <c r="V2371" t="s">
        <v>157</v>
      </c>
    </row>
    <row r="2372" spans="19:22" x14ac:dyDescent="0.45">
      <c r="S2372" t="s">
        <v>550</v>
      </c>
      <c r="T2372" t="s">
        <v>163</v>
      </c>
      <c r="U2372">
        <v>0.16420283408105701</v>
      </c>
      <c r="V2372" t="s">
        <v>157</v>
      </c>
    </row>
    <row r="2373" spans="19:22" x14ac:dyDescent="0.45">
      <c r="S2373" t="s">
        <v>550</v>
      </c>
      <c r="T2373" t="s">
        <v>164</v>
      </c>
      <c r="U2373">
        <v>1.779854761653285E-2</v>
      </c>
      <c r="V2373" t="s">
        <v>157</v>
      </c>
    </row>
    <row r="2374" spans="19:22" x14ac:dyDescent="0.45">
      <c r="S2374" t="s">
        <v>550</v>
      </c>
      <c r="T2374" t="s">
        <v>165</v>
      </c>
      <c r="U2374">
        <v>1.7656308427465007E-2</v>
      </c>
      <c r="V2374" t="s">
        <v>157</v>
      </c>
    </row>
    <row r="2375" spans="19:22" x14ac:dyDescent="0.45">
      <c r="S2375" t="s">
        <v>550</v>
      </c>
      <c r="T2375" t="s">
        <v>166</v>
      </c>
      <c r="U2375">
        <v>8.6496778543024289E-2</v>
      </c>
      <c r="V2375" t="s">
        <v>157</v>
      </c>
    </row>
    <row r="2376" spans="19:22" x14ac:dyDescent="0.45">
      <c r="S2376" t="s">
        <v>550</v>
      </c>
      <c r="T2376" t="s">
        <v>167</v>
      </c>
      <c r="U2376">
        <v>4.2536276806567186E-2</v>
      </c>
      <c r="V2376" t="s">
        <v>157</v>
      </c>
    </row>
    <row r="2377" spans="19:22" x14ac:dyDescent="0.45">
      <c r="S2377" t="s">
        <v>550</v>
      </c>
      <c r="T2377" t="s">
        <v>168</v>
      </c>
      <c r="U2377">
        <v>6.0668619894662761E-2</v>
      </c>
      <c r="V2377" t="s">
        <v>157</v>
      </c>
    </row>
    <row r="2378" spans="19:22" x14ac:dyDescent="0.45">
      <c r="S2378" t="s">
        <v>550</v>
      </c>
      <c r="T2378" t="s">
        <v>169</v>
      </c>
      <c r="U2378">
        <v>6.5753609793657497E-3</v>
      </c>
      <c r="V2378" t="s">
        <v>157</v>
      </c>
    </row>
    <row r="2379" spans="19:22" x14ac:dyDescent="0.45">
      <c r="S2379" t="s">
        <v>550</v>
      </c>
      <c r="T2379" t="s">
        <v>170</v>
      </c>
      <c r="U2379">
        <v>6.6533024514914552E-3</v>
      </c>
      <c r="V2379" t="s">
        <v>157</v>
      </c>
    </row>
    <row r="2380" spans="19:22" x14ac:dyDescent="0.45">
      <c r="S2380" t="s">
        <v>550</v>
      </c>
      <c r="T2380" t="s">
        <v>171</v>
      </c>
      <c r="U2380">
        <v>3.1984318078507545E-2</v>
      </c>
      <c r="V2380" t="s">
        <v>157</v>
      </c>
    </row>
    <row r="2381" spans="19:22" x14ac:dyDescent="0.45">
      <c r="S2381" t="s">
        <v>551</v>
      </c>
      <c r="T2381" t="s">
        <v>156</v>
      </c>
      <c r="U2381">
        <v>0.13065567256194385</v>
      </c>
      <c r="V2381" t="s">
        <v>157</v>
      </c>
    </row>
    <row r="2382" spans="19:22" x14ac:dyDescent="0.45">
      <c r="S2382" t="s">
        <v>551</v>
      </c>
      <c r="T2382" t="s">
        <v>158</v>
      </c>
      <c r="U2382">
        <v>0.18496954266852633</v>
      </c>
      <c r="V2382" t="s">
        <v>157</v>
      </c>
    </row>
    <row r="2383" spans="19:22" x14ac:dyDescent="0.45">
      <c r="S2383" t="s">
        <v>551</v>
      </c>
      <c r="T2383" t="s">
        <v>159</v>
      </c>
      <c r="U2383">
        <v>1.8561395377092886E-2</v>
      </c>
      <c r="V2383" t="s">
        <v>157</v>
      </c>
    </row>
    <row r="2384" spans="19:22" x14ac:dyDescent="0.45">
      <c r="S2384" t="s">
        <v>551</v>
      </c>
      <c r="T2384" t="s">
        <v>160</v>
      </c>
      <c r="U2384">
        <v>1.887345421477668E-2</v>
      </c>
      <c r="V2384" t="s">
        <v>157</v>
      </c>
    </row>
    <row r="2385" spans="19:22" x14ac:dyDescent="0.45">
      <c r="S2385" t="s">
        <v>551</v>
      </c>
      <c r="T2385" t="s">
        <v>161</v>
      </c>
      <c r="U2385">
        <v>9.0432456072732065E-2</v>
      </c>
      <c r="V2385" t="s">
        <v>157</v>
      </c>
    </row>
    <row r="2386" spans="19:22" x14ac:dyDescent="0.45">
      <c r="S2386" t="s">
        <v>551</v>
      </c>
      <c r="T2386" t="s">
        <v>162</v>
      </c>
      <c r="U2386">
        <v>0.11906550069789217</v>
      </c>
      <c r="V2386" t="s">
        <v>157</v>
      </c>
    </row>
    <row r="2387" spans="19:22" x14ac:dyDescent="0.45">
      <c r="S2387" t="s">
        <v>551</v>
      </c>
      <c r="T2387" t="s">
        <v>163</v>
      </c>
      <c r="U2387">
        <v>0.16398662125005722</v>
      </c>
      <c r="V2387" t="s">
        <v>157</v>
      </c>
    </row>
    <row r="2388" spans="19:22" x14ac:dyDescent="0.45">
      <c r="S2388" t="s">
        <v>551</v>
      </c>
      <c r="T2388" t="s">
        <v>164</v>
      </c>
      <c r="U2388">
        <v>1.7166488398920397E-2</v>
      </c>
      <c r="V2388" t="s">
        <v>157</v>
      </c>
    </row>
    <row r="2389" spans="19:22" x14ac:dyDescent="0.45">
      <c r="S2389" t="s">
        <v>551</v>
      </c>
      <c r="T2389" t="s">
        <v>165</v>
      </c>
      <c r="U2389">
        <v>1.707037777742151E-2</v>
      </c>
      <c r="V2389" t="s">
        <v>157</v>
      </c>
    </row>
    <row r="2390" spans="19:22" x14ac:dyDescent="0.45">
      <c r="S2390" t="s">
        <v>551</v>
      </c>
      <c r="T2390" t="s">
        <v>166</v>
      </c>
      <c r="U2390">
        <v>8.5031269292908662E-2</v>
      </c>
      <c r="V2390" t="s">
        <v>157</v>
      </c>
    </row>
    <row r="2391" spans="19:22" x14ac:dyDescent="0.45">
      <c r="S2391" t="s">
        <v>551</v>
      </c>
      <c r="T2391" t="s">
        <v>167</v>
      </c>
      <c r="U2391">
        <v>4.465887372789399E-2</v>
      </c>
      <c r="V2391" t="s">
        <v>157</v>
      </c>
    </row>
    <row r="2392" spans="19:22" x14ac:dyDescent="0.45">
      <c r="S2392" t="s">
        <v>551</v>
      </c>
      <c r="T2392" t="s">
        <v>168</v>
      </c>
      <c r="U2392">
        <v>6.3768757831319939E-2</v>
      </c>
      <c r="V2392" t="s">
        <v>157</v>
      </c>
    </row>
    <row r="2393" spans="19:22" x14ac:dyDescent="0.45">
      <c r="S2393" t="s">
        <v>551</v>
      </c>
      <c r="T2393" t="s">
        <v>169</v>
      </c>
      <c r="U2393">
        <v>6.6469038993388942E-3</v>
      </c>
      <c r="V2393" t="s">
        <v>157</v>
      </c>
    </row>
    <row r="2394" spans="19:22" x14ac:dyDescent="0.45">
      <c r="S2394" t="s">
        <v>551</v>
      </c>
      <c r="T2394" t="s">
        <v>170</v>
      </c>
      <c r="U2394">
        <v>6.6963558893440526E-3</v>
      </c>
      <c r="V2394" t="s">
        <v>157</v>
      </c>
    </row>
    <row r="2395" spans="19:22" x14ac:dyDescent="0.45">
      <c r="S2395" t="s">
        <v>551</v>
      </c>
      <c r="T2395" t="s">
        <v>171</v>
      </c>
      <c r="U2395">
        <v>3.2416330339831309E-2</v>
      </c>
      <c r="V2395" t="s">
        <v>157</v>
      </c>
    </row>
    <row r="2396" spans="19:22" x14ac:dyDescent="0.45">
      <c r="S2396" t="s">
        <v>552</v>
      </c>
      <c r="T2396" t="s">
        <v>156</v>
      </c>
      <c r="U2396">
        <v>0.13297809189961349</v>
      </c>
      <c r="V2396" t="s">
        <v>157</v>
      </c>
    </row>
    <row r="2397" spans="19:22" x14ac:dyDescent="0.45">
      <c r="S2397" t="s">
        <v>552</v>
      </c>
      <c r="T2397" t="s">
        <v>158</v>
      </c>
      <c r="U2397">
        <v>0.18530636622703989</v>
      </c>
      <c r="V2397" t="s">
        <v>157</v>
      </c>
    </row>
    <row r="2398" spans="19:22" x14ac:dyDescent="0.45">
      <c r="S2398" t="s">
        <v>552</v>
      </c>
      <c r="T2398" t="s">
        <v>159</v>
      </c>
      <c r="U2398">
        <v>1.7947443040265496E-2</v>
      </c>
      <c r="V2398" t="s">
        <v>157</v>
      </c>
    </row>
    <row r="2399" spans="19:22" x14ac:dyDescent="0.45">
      <c r="S2399" t="s">
        <v>552</v>
      </c>
      <c r="T2399" t="s">
        <v>160</v>
      </c>
      <c r="U2399">
        <v>1.8137282283623227E-2</v>
      </c>
      <c r="V2399" t="s">
        <v>157</v>
      </c>
    </row>
    <row r="2400" spans="19:22" x14ac:dyDescent="0.45">
      <c r="S2400" t="s">
        <v>552</v>
      </c>
      <c r="T2400" t="s">
        <v>161</v>
      </c>
      <c r="U2400">
        <v>8.8913961830417776E-2</v>
      </c>
      <c r="V2400" t="s">
        <v>157</v>
      </c>
    </row>
    <row r="2401" spans="19:22" x14ac:dyDescent="0.45">
      <c r="S2401" t="s">
        <v>552</v>
      </c>
      <c r="T2401" t="s">
        <v>162</v>
      </c>
      <c r="U2401">
        <v>0.11937060460245456</v>
      </c>
      <c r="V2401" t="s">
        <v>157</v>
      </c>
    </row>
    <row r="2402" spans="19:22" x14ac:dyDescent="0.45">
      <c r="S2402" t="s">
        <v>552</v>
      </c>
      <c r="T2402" t="s">
        <v>163</v>
      </c>
      <c r="U2402">
        <v>0.1653550039239354</v>
      </c>
      <c r="V2402" t="s">
        <v>157</v>
      </c>
    </row>
    <row r="2403" spans="19:22" x14ac:dyDescent="0.45">
      <c r="S2403" t="s">
        <v>552</v>
      </c>
      <c r="T2403" t="s">
        <v>164</v>
      </c>
      <c r="U2403">
        <v>1.6867557822951122E-2</v>
      </c>
      <c r="V2403" t="s">
        <v>157</v>
      </c>
    </row>
    <row r="2404" spans="19:22" x14ac:dyDescent="0.45">
      <c r="S2404" t="s">
        <v>552</v>
      </c>
      <c r="T2404" t="s">
        <v>165</v>
      </c>
      <c r="U2404">
        <v>1.686232036023837E-2</v>
      </c>
      <c r="V2404" t="s">
        <v>157</v>
      </c>
    </row>
    <row r="2405" spans="19:22" x14ac:dyDescent="0.45">
      <c r="S2405" t="s">
        <v>552</v>
      </c>
      <c r="T2405" t="s">
        <v>166</v>
      </c>
      <c r="U2405">
        <v>8.3891757750100937E-2</v>
      </c>
      <c r="V2405" t="s">
        <v>157</v>
      </c>
    </row>
    <row r="2406" spans="19:22" x14ac:dyDescent="0.45">
      <c r="S2406" t="s">
        <v>552</v>
      </c>
      <c r="T2406" t="s">
        <v>167</v>
      </c>
      <c r="U2406">
        <v>4.490614330522507E-2</v>
      </c>
      <c r="V2406" t="s">
        <v>157</v>
      </c>
    </row>
    <row r="2407" spans="19:22" x14ac:dyDescent="0.45">
      <c r="S2407" t="s">
        <v>552</v>
      </c>
      <c r="T2407" t="s">
        <v>168</v>
      </c>
      <c r="U2407">
        <v>6.4586362923864313E-2</v>
      </c>
      <c r="V2407" t="s">
        <v>157</v>
      </c>
    </row>
    <row r="2408" spans="19:22" x14ac:dyDescent="0.45">
      <c r="S2408" t="s">
        <v>552</v>
      </c>
      <c r="T2408" t="s">
        <v>169</v>
      </c>
      <c r="U2408">
        <v>6.5480686049554952E-3</v>
      </c>
      <c r="V2408" t="s">
        <v>157</v>
      </c>
    </row>
    <row r="2409" spans="19:22" x14ac:dyDescent="0.45">
      <c r="S2409" t="s">
        <v>552</v>
      </c>
      <c r="T2409" t="s">
        <v>170</v>
      </c>
      <c r="U2409">
        <v>6.5477203915291823E-3</v>
      </c>
      <c r="V2409" t="s">
        <v>157</v>
      </c>
    </row>
    <row r="2410" spans="19:22" x14ac:dyDescent="0.45">
      <c r="S2410" t="s">
        <v>552</v>
      </c>
      <c r="T2410" t="s">
        <v>171</v>
      </c>
      <c r="U2410">
        <v>3.1781315033785631E-2</v>
      </c>
      <c r="V2410" t="s">
        <v>157</v>
      </c>
    </row>
    <row r="2411" spans="19:22" x14ac:dyDescent="0.45">
      <c r="S2411" t="s">
        <v>553</v>
      </c>
      <c r="T2411" t="s">
        <v>156</v>
      </c>
      <c r="U2411">
        <v>0.13527917742945367</v>
      </c>
      <c r="V2411" t="s">
        <v>157</v>
      </c>
    </row>
    <row r="2412" spans="19:22" x14ac:dyDescent="0.45">
      <c r="S2412" t="s">
        <v>553</v>
      </c>
      <c r="T2412" t="s">
        <v>158</v>
      </c>
      <c r="U2412">
        <v>0.18651469646220564</v>
      </c>
      <c r="V2412" t="s">
        <v>157</v>
      </c>
    </row>
    <row r="2413" spans="19:22" x14ac:dyDescent="0.45">
      <c r="S2413" t="s">
        <v>553</v>
      </c>
      <c r="T2413" t="s">
        <v>159</v>
      </c>
      <c r="U2413">
        <v>1.7974179456362122E-2</v>
      </c>
      <c r="V2413" t="s">
        <v>157</v>
      </c>
    </row>
    <row r="2414" spans="19:22" x14ac:dyDescent="0.45">
      <c r="S2414" t="s">
        <v>553</v>
      </c>
      <c r="T2414" t="s">
        <v>160</v>
      </c>
      <c r="U2414">
        <v>1.7948185461524935E-2</v>
      </c>
      <c r="V2414" t="s">
        <v>157</v>
      </c>
    </row>
    <row r="2415" spans="19:22" x14ac:dyDescent="0.45">
      <c r="S2415" t="s">
        <v>553</v>
      </c>
      <c r="T2415" t="s">
        <v>161</v>
      </c>
      <c r="U2415">
        <v>8.8821009938208531E-2</v>
      </c>
      <c r="V2415" t="s">
        <v>157</v>
      </c>
    </row>
    <row r="2416" spans="19:22" x14ac:dyDescent="0.45">
      <c r="S2416" t="s">
        <v>553</v>
      </c>
      <c r="T2416" t="s">
        <v>162</v>
      </c>
      <c r="U2416">
        <v>0.11812808762942352</v>
      </c>
      <c r="V2416" t="s">
        <v>157</v>
      </c>
    </row>
    <row r="2417" spans="19:22" x14ac:dyDescent="0.45">
      <c r="S2417" t="s">
        <v>553</v>
      </c>
      <c r="T2417" t="s">
        <v>163</v>
      </c>
      <c r="U2417">
        <v>0.16674727619146404</v>
      </c>
      <c r="V2417" t="s">
        <v>157</v>
      </c>
    </row>
    <row r="2418" spans="19:22" x14ac:dyDescent="0.45">
      <c r="S2418" t="s">
        <v>553</v>
      </c>
      <c r="T2418" t="s">
        <v>164</v>
      </c>
      <c r="U2418">
        <v>1.6804202613437666E-2</v>
      </c>
      <c r="V2418" t="s">
        <v>157</v>
      </c>
    </row>
    <row r="2419" spans="19:22" x14ac:dyDescent="0.45">
      <c r="S2419" t="s">
        <v>553</v>
      </c>
      <c r="T2419" t="s">
        <v>165</v>
      </c>
      <c r="U2419">
        <v>1.687867446879468E-2</v>
      </c>
      <c r="V2419" t="s">
        <v>157</v>
      </c>
    </row>
    <row r="2420" spans="19:22" x14ac:dyDescent="0.45">
      <c r="S2420" t="s">
        <v>553</v>
      </c>
      <c r="T2420" t="s">
        <v>166</v>
      </c>
      <c r="U2420">
        <v>8.2871401475545226E-2</v>
      </c>
      <c r="V2420" t="s">
        <v>157</v>
      </c>
    </row>
    <row r="2421" spans="19:22" x14ac:dyDescent="0.45">
      <c r="S2421" t="s">
        <v>553</v>
      </c>
      <c r="T2421" t="s">
        <v>167</v>
      </c>
      <c r="U2421">
        <v>4.4428137565273647E-2</v>
      </c>
      <c r="V2421" t="s">
        <v>157</v>
      </c>
    </row>
    <row r="2422" spans="19:22" x14ac:dyDescent="0.45">
      <c r="S2422" t="s">
        <v>553</v>
      </c>
      <c r="T2422" t="s">
        <v>168</v>
      </c>
      <c r="U2422">
        <v>6.3403219886302112E-2</v>
      </c>
      <c r="V2422" t="s">
        <v>157</v>
      </c>
    </row>
    <row r="2423" spans="19:22" x14ac:dyDescent="0.45">
      <c r="S2423" t="s">
        <v>553</v>
      </c>
      <c r="T2423" t="s">
        <v>169</v>
      </c>
      <c r="U2423">
        <v>6.3798464806146208E-3</v>
      </c>
      <c r="V2423" t="s">
        <v>157</v>
      </c>
    </row>
    <row r="2424" spans="19:22" x14ac:dyDescent="0.45">
      <c r="S2424" t="s">
        <v>553</v>
      </c>
      <c r="T2424" t="s">
        <v>170</v>
      </c>
      <c r="U2424">
        <v>6.3700118861299863E-3</v>
      </c>
      <c r="V2424" t="s">
        <v>157</v>
      </c>
    </row>
    <row r="2425" spans="19:22" x14ac:dyDescent="0.45">
      <c r="S2425" t="s">
        <v>553</v>
      </c>
      <c r="T2425" t="s">
        <v>171</v>
      </c>
      <c r="U2425">
        <v>3.1451893055259653E-2</v>
      </c>
      <c r="V2425" t="s">
        <v>157</v>
      </c>
    </row>
    <row r="2426" spans="19:22" x14ac:dyDescent="0.45">
      <c r="S2426" t="s">
        <v>554</v>
      </c>
      <c r="T2426" t="s">
        <v>156</v>
      </c>
      <c r="U2426">
        <v>0.1367803024326984</v>
      </c>
      <c r="V2426" t="s">
        <v>157</v>
      </c>
    </row>
    <row r="2427" spans="19:22" x14ac:dyDescent="0.45">
      <c r="S2427" t="s">
        <v>554</v>
      </c>
      <c r="T2427" t="s">
        <v>158</v>
      </c>
      <c r="U2427">
        <v>0.18817453193652173</v>
      </c>
      <c r="V2427" t="s">
        <v>157</v>
      </c>
    </row>
    <row r="2428" spans="19:22" x14ac:dyDescent="0.45">
      <c r="S2428" t="s">
        <v>554</v>
      </c>
      <c r="T2428" t="s">
        <v>159</v>
      </c>
      <c r="U2428">
        <v>1.8299724294596666E-2</v>
      </c>
      <c r="V2428" t="s">
        <v>157</v>
      </c>
    </row>
    <row r="2429" spans="19:22" x14ac:dyDescent="0.45">
      <c r="S2429" t="s">
        <v>554</v>
      </c>
      <c r="T2429" t="s">
        <v>160</v>
      </c>
      <c r="U2429">
        <v>1.8187855086006469E-2</v>
      </c>
      <c r="V2429" t="s">
        <v>157</v>
      </c>
    </row>
    <row r="2430" spans="19:22" x14ac:dyDescent="0.45">
      <c r="S2430" t="s">
        <v>554</v>
      </c>
      <c r="T2430" t="s">
        <v>161</v>
      </c>
      <c r="U2430">
        <v>8.9963877471220033E-2</v>
      </c>
      <c r="V2430" t="s">
        <v>157</v>
      </c>
    </row>
    <row r="2431" spans="19:22" x14ac:dyDescent="0.45">
      <c r="S2431" t="s">
        <v>554</v>
      </c>
      <c r="T2431" t="s">
        <v>162</v>
      </c>
      <c r="U2431">
        <v>0.11637119593767706</v>
      </c>
      <c r="V2431" t="s">
        <v>157</v>
      </c>
    </row>
    <row r="2432" spans="19:22" x14ac:dyDescent="0.45">
      <c r="S2432" t="s">
        <v>554</v>
      </c>
      <c r="T2432" t="s">
        <v>163</v>
      </c>
      <c r="U2432">
        <v>0.16799319933277246</v>
      </c>
      <c r="V2432" t="s">
        <v>157</v>
      </c>
    </row>
    <row r="2433" spans="19:22" x14ac:dyDescent="0.45">
      <c r="S2433" t="s">
        <v>554</v>
      </c>
      <c r="T2433" t="s">
        <v>164</v>
      </c>
      <c r="U2433">
        <v>1.6811476902658166E-2</v>
      </c>
      <c r="V2433" t="s">
        <v>157</v>
      </c>
    </row>
    <row r="2434" spans="19:22" x14ac:dyDescent="0.45">
      <c r="S2434" t="s">
        <v>554</v>
      </c>
      <c r="T2434" t="s">
        <v>165</v>
      </c>
      <c r="U2434">
        <v>1.6769025342840943E-2</v>
      </c>
      <c r="V2434" t="s">
        <v>157</v>
      </c>
    </row>
    <row r="2435" spans="19:22" x14ac:dyDescent="0.45">
      <c r="S2435" t="s">
        <v>554</v>
      </c>
      <c r="T2435" t="s">
        <v>166</v>
      </c>
      <c r="U2435">
        <v>8.2146280541621181E-2</v>
      </c>
      <c r="V2435" t="s">
        <v>157</v>
      </c>
    </row>
    <row r="2436" spans="19:22" x14ac:dyDescent="0.45">
      <c r="S2436" t="s">
        <v>554</v>
      </c>
      <c r="T2436" t="s">
        <v>167</v>
      </c>
      <c r="U2436">
        <v>4.3460318356224513E-2</v>
      </c>
      <c r="V2436" t="s">
        <v>157</v>
      </c>
    </row>
    <row r="2437" spans="19:22" x14ac:dyDescent="0.45">
      <c r="S2437" t="s">
        <v>554</v>
      </c>
      <c r="T2437" t="s">
        <v>168</v>
      </c>
      <c r="U2437">
        <v>6.1659343299602071E-2</v>
      </c>
      <c r="V2437" t="s">
        <v>157</v>
      </c>
    </row>
    <row r="2438" spans="19:22" x14ac:dyDescent="0.45">
      <c r="S2438" t="s">
        <v>554</v>
      </c>
      <c r="T2438" t="s">
        <v>169</v>
      </c>
      <c r="U2438">
        <v>6.1903095980544278E-3</v>
      </c>
      <c r="V2438" t="s">
        <v>157</v>
      </c>
    </row>
    <row r="2439" spans="19:22" x14ac:dyDescent="0.45">
      <c r="S2439" t="s">
        <v>554</v>
      </c>
      <c r="T2439" t="s">
        <v>170</v>
      </c>
      <c r="U2439">
        <v>6.1958493062059051E-3</v>
      </c>
      <c r="V2439" t="s">
        <v>157</v>
      </c>
    </row>
    <row r="2440" spans="19:22" x14ac:dyDescent="0.45">
      <c r="S2440" t="s">
        <v>554</v>
      </c>
      <c r="T2440" t="s">
        <v>171</v>
      </c>
      <c r="U2440">
        <v>3.0996710161300036E-2</v>
      </c>
      <c r="V2440" t="s">
        <v>157</v>
      </c>
    </row>
    <row r="2441" spans="19:22" x14ac:dyDescent="0.45">
      <c r="S2441" t="s">
        <v>555</v>
      </c>
      <c r="T2441" t="s">
        <v>156</v>
      </c>
      <c r="U2441">
        <v>0.14674162599156435</v>
      </c>
      <c r="V2441" t="s">
        <v>157</v>
      </c>
    </row>
    <row r="2442" spans="19:22" x14ac:dyDescent="0.45">
      <c r="S2442" t="s">
        <v>555</v>
      </c>
      <c r="T2442" t="s">
        <v>158</v>
      </c>
      <c r="U2442">
        <v>0.21274754119713463</v>
      </c>
      <c r="V2442" t="s">
        <v>157</v>
      </c>
    </row>
    <row r="2443" spans="19:22" x14ac:dyDescent="0.45">
      <c r="S2443" t="s">
        <v>555</v>
      </c>
      <c r="T2443" t="s">
        <v>159</v>
      </c>
      <c r="U2443">
        <v>2.0878034232671119E-2</v>
      </c>
      <c r="V2443" t="s">
        <v>157</v>
      </c>
    </row>
    <row r="2444" spans="19:22" x14ac:dyDescent="0.45">
      <c r="S2444" t="s">
        <v>555</v>
      </c>
      <c r="T2444" t="s">
        <v>160</v>
      </c>
      <c r="U2444">
        <v>2.075539462537692E-2</v>
      </c>
      <c r="V2444" t="s">
        <v>157</v>
      </c>
    </row>
    <row r="2445" spans="19:22" x14ac:dyDescent="0.45">
      <c r="S2445" t="s">
        <v>555</v>
      </c>
      <c r="T2445" t="s">
        <v>161</v>
      </c>
      <c r="U2445">
        <v>0.10272589789402349</v>
      </c>
      <c r="V2445" t="s">
        <v>157</v>
      </c>
    </row>
    <row r="2446" spans="19:22" x14ac:dyDescent="0.45">
      <c r="S2446" t="s">
        <v>555</v>
      </c>
      <c r="T2446" t="s">
        <v>162</v>
      </c>
      <c r="U2446">
        <v>0.11104327997474274</v>
      </c>
      <c r="V2446" t="s">
        <v>157</v>
      </c>
    </row>
    <row r="2447" spans="19:22" x14ac:dyDescent="0.45">
      <c r="S2447" t="s">
        <v>555</v>
      </c>
      <c r="T2447" t="s">
        <v>163</v>
      </c>
      <c r="U2447">
        <v>0.15651684890505116</v>
      </c>
      <c r="V2447" t="s">
        <v>157</v>
      </c>
    </row>
    <row r="2448" spans="19:22" x14ac:dyDescent="0.45">
      <c r="S2448" t="s">
        <v>555</v>
      </c>
      <c r="T2448" t="s">
        <v>164</v>
      </c>
      <c r="U2448">
        <v>1.6377731577517825E-2</v>
      </c>
      <c r="V2448" t="s">
        <v>157</v>
      </c>
    </row>
    <row r="2449" spans="19:22" x14ac:dyDescent="0.45">
      <c r="S2449" t="s">
        <v>555</v>
      </c>
      <c r="T2449" t="s">
        <v>165</v>
      </c>
      <c r="U2449">
        <v>1.6291413420035056E-2</v>
      </c>
      <c r="V2449" t="s">
        <v>157</v>
      </c>
    </row>
    <row r="2450" spans="19:22" x14ac:dyDescent="0.45">
      <c r="S2450" t="s">
        <v>555</v>
      </c>
      <c r="T2450" t="s">
        <v>166</v>
      </c>
      <c r="U2450">
        <v>7.8374898795469466E-2</v>
      </c>
      <c r="V2450" t="s">
        <v>157</v>
      </c>
    </row>
    <row r="2451" spans="19:22" x14ac:dyDescent="0.45">
      <c r="S2451" t="s">
        <v>555</v>
      </c>
      <c r="T2451" t="s">
        <v>167</v>
      </c>
      <c r="U2451">
        <v>3.5195070765014061E-2</v>
      </c>
      <c r="V2451" t="s">
        <v>157</v>
      </c>
    </row>
    <row r="2452" spans="19:22" x14ac:dyDescent="0.45">
      <c r="S2452" t="s">
        <v>555</v>
      </c>
      <c r="T2452" t="s">
        <v>168</v>
      </c>
      <c r="U2452">
        <v>4.7285363521619932E-2</v>
      </c>
      <c r="V2452" t="s">
        <v>157</v>
      </c>
    </row>
    <row r="2453" spans="19:22" x14ac:dyDescent="0.45">
      <c r="S2453" t="s">
        <v>555</v>
      </c>
      <c r="T2453" t="s">
        <v>169</v>
      </c>
      <c r="U2453">
        <v>4.9380131152809903E-3</v>
      </c>
      <c r="V2453" t="s">
        <v>157</v>
      </c>
    </row>
    <row r="2454" spans="19:22" x14ac:dyDescent="0.45">
      <c r="S2454" t="s">
        <v>555</v>
      </c>
      <c r="T2454" t="s">
        <v>170</v>
      </c>
      <c r="U2454">
        <v>5.058125198764322E-3</v>
      </c>
      <c r="V2454" t="s">
        <v>157</v>
      </c>
    </row>
    <row r="2455" spans="19:22" x14ac:dyDescent="0.45">
      <c r="S2455" t="s">
        <v>555</v>
      </c>
      <c r="T2455" t="s">
        <v>171</v>
      </c>
      <c r="U2455">
        <v>2.507076078573392E-2</v>
      </c>
      <c r="V2455" t="s">
        <v>157</v>
      </c>
    </row>
    <row r="2456" spans="19:22" x14ac:dyDescent="0.45">
      <c r="S2456" t="s">
        <v>556</v>
      </c>
      <c r="T2456" t="s">
        <v>156</v>
      </c>
      <c r="U2456">
        <v>0.14867159303383098</v>
      </c>
      <c r="V2456" t="s">
        <v>157</v>
      </c>
    </row>
    <row r="2457" spans="19:22" x14ac:dyDescent="0.45">
      <c r="S2457" t="s">
        <v>556</v>
      </c>
      <c r="T2457" t="s">
        <v>158</v>
      </c>
      <c r="U2457">
        <v>0.21735892516288266</v>
      </c>
      <c r="V2457" t="s">
        <v>157</v>
      </c>
    </row>
    <row r="2458" spans="19:22" x14ac:dyDescent="0.45">
      <c r="S2458" t="s">
        <v>556</v>
      </c>
      <c r="T2458" t="s">
        <v>159</v>
      </c>
      <c r="U2458">
        <v>2.1500579759931988E-2</v>
      </c>
      <c r="V2458" t="s">
        <v>157</v>
      </c>
    </row>
    <row r="2459" spans="19:22" x14ac:dyDescent="0.45">
      <c r="S2459" t="s">
        <v>556</v>
      </c>
      <c r="T2459" t="s">
        <v>160</v>
      </c>
      <c r="U2459">
        <v>2.1409280586462597E-2</v>
      </c>
      <c r="V2459" t="s">
        <v>157</v>
      </c>
    </row>
    <row r="2460" spans="19:22" x14ac:dyDescent="0.45">
      <c r="S2460" t="s">
        <v>556</v>
      </c>
      <c r="T2460" t="s">
        <v>161</v>
      </c>
      <c r="U2460">
        <v>0.10513423224131058</v>
      </c>
      <c r="V2460" t="s">
        <v>157</v>
      </c>
    </row>
    <row r="2461" spans="19:22" x14ac:dyDescent="0.45">
      <c r="S2461" t="s">
        <v>556</v>
      </c>
      <c r="T2461" t="s">
        <v>162</v>
      </c>
      <c r="U2461">
        <v>0.10752666558354841</v>
      </c>
      <c r="V2461" t="s">
        <v>157</v>
      </c>
    </row>
    <row r="2462" spans="19:22" x14ac:dyDescent="0.45">
      <c r="S2462" t="s">
        <v>556</v>
      </c>
      <c r="T2462" t="s">
        <v>163</v>
      </c>
      <c r="U2462">
        <v>0.15466221879023692</v>
      </c>
      <c r="V2462" t="s">
        <v>157</v>
      </c>
    </row>
    <row r="2463" spans="19:22" x14ac:dyDescent="0.45">
      <c r="S2463" t="s">
        <v>556</v>
      </c>
      <c r="T2463" t="s">
        <v>164</v>
      </c>
      <c r="U2463">
        <v>1.6064841788116783E-2</v>
      </c>
      <c r="V2463" t="s">
        <v>157</v>
      </c>
    </row>
    <row r="2464" spans="19:22" x14ac:dyDescent="0.45">
      <c r="S2464" t="s">
        <v>556</v>
      </c>
      <c r="T2464" t="s">
        <v>165</v>
      </c>
      <c r="U2464">
        <v>1.5863816307249888E-2</v>
      </c>
      <c r="V2464" t="s">
        <v>157</v>
      </c>
    </row>
    <row r="2465" spans="19:22" x14ac:dyDescent="0.45">
      <c r="S2465" t="s">
        <v>556</v>
      </c>
      <c r="T2465" t="s">
        <v>166</v>
      </c>
      <c r="U2465">
        <v>7.6265779274982404E-2</v>
      </c>
      <c r="V2465" t="s">
        <v>157</v>
      </c>
    </row>
    <row r="2466" spans="19:22" x14ac:dyDescent="0.45">
      <c r="S2466" t="s">
        <v>556</v>
      </c>
      <c r="T2466" t="s">
        <v>167</v>
      </c>
      <c r="U2466">
        <v>3.4752954851280007E-2</v>
      </c>
      <c r="V2466" t="s">
        <v>157</v>
      </c>
    </row>
    <row r="2467" spans="19:22" x14ac:dyDescent="0.45">
      <c r="S2467" t="s">
        <v>556</v>
      </c>
      <c r="T2467" t="s">
        <v>168</v>
      </c>
      <c r="U2467">
        <v>4.6429416825558345E-2</v>
      </c>
      <c r="V2467" t="s">
        <v>157</v>
      </c>
    </row>
    <row r="2468" spans="19:22" x14ac:dyDescent="0.45">
      <c r="S2468" t="s">
        <v>556</v>
      </c>
      <c r="T2468" t="s">
        <v>169</v>
      </c>
      <c r="U2468">
        <v>5.0835507317336086E-3</v>
      </c>
      <c r="V2468" t="s">
        <v>157</v>
      </c>
    </row>
    <row r="2469" spans="19:22" x14ac:dyDescent="0.45">
      <c r="S2469" t="s">
        <v>556</v>
      </c>
      <c r="T2469" t="s">
        <v>170</v>
      </c>
      <c r="U2469">
        <v>5.1647199285107743E-3</v>
      </c>
      <c r="V2469" t="s">
        <v>157</v>
      </c>
    </row>
    <row r="2470" spans="19:22" x14ac:dyDescent="0.45">
      <c r="S2470" t="s">
        <v>556</v>
      </c>
      <c r="T2470" t="s">
        <v>171</v>
      </c>
      <c r="U2470">
        <v>2.4111425134364092E-2</v>
      </c>
      <c r="V2470" t="s">
        <v>157</v>
      </c>
    </row>
    <row r="2471" spans="19:22" x14ac:dyDescent="0.45">
      <c r="S2471" t="s">
        <v>557</v>
      </c>
      <c r="T2471" t="s">
        <v>156</v>
      </c>
      <c r="U2471">
        <v>0.15045858070482102</v>
      </c>
      <c r="V2471" t="s">
        <v>157</v>
      </c>
    </row>
    <row r="2472" spans="19:22" x14ac:dyDescent="0.45">
      <c r="S2472" t="s">
        <v>557</v>
      </c>
      <c r="T2472" t="s">
        <v>158</v>
      </c>
      <c r="U2472">
        <v>0.22087736680351</v>
      </c>
      <c r="V2472" t="s">
        <v>157</v>
      </c>
    </row>
    <row r="2473" spans="19:22" x14ac:dyDescent="0.45">
      <c r="S2473" t="s">
        <v>557</v>
      </c>
      <c r="T2473" t="s">
        <v>159</v>
      </c>
      <c r="U2473">
        <v>2.2172363354819636E-2</v>
      </c>
      <c r="V2473" t="s">
        <v>157</v>
      </c>
    </row>
    <row r="2474" spans="19:22" x14ac:dyDescent="0.45">
      <c r="S2474" t="s">
        <v>557</v>
      </c>
      <c r="T2474" t="s">
        <v>160</v>
      </c>
      <c r="U2474">
        <v>2.2168471258196418E-2</v>
      </c>
      <c r="V2474" t="s">
        <v>157</v>
      </c>
    </row>
    <row r="2475" spans="19:22" x14ac:dyDescent="0.45">
      <c r="S2475" t="s">
        <v>557</v>
      </c>
      <c r="T2475" t="s">
        <v>161</v>
      </c>
      <c r="U2475">
        <v>0.1073706806044234</v>
      </c>
      <c r="V2475" t="s">
        <v>157</v>
      </c>
    </row>
    <row r="2476" spans="19:22" x14ac:dyDescent="0.45">
      <c r="S2476" t="s">
        <v>557</v>
      </c>
      <c r="T2476" t="s">
        <v>162</v>
      </c>
      <c r="U2476">
        <v>0.10497178700734504</v>
      </c>
      <c r="V2476" t="s">
        <v>157</v>
      </c>
    </row>
    <row r="2477" spans="19:22" x14ac:dyDescent="0.45">
      <c r="S2477" t="s">
        <v>557</v>
      </c>
      <c r="T2477" t="s">
        <v>163</v>
      </c>
      <c r="U2477">
        <v>0.15228705575991236</v>
      </c>
      <c r="V2477" t="s">
        <v>157</v>
      </c>
    </row>
    <row r="2478" spans="19:22" x14ac:dyDescent="0.45">
      <c r="S2478" t="s">
        <v>557</v>
      </c>
      <c r="T2478" t="s">
        <v>164</v>
      </c>
      <c r="U2478">
        <v>1.5574423316828928E-2</v>
      </c>
      <c r="V2478" t="s">
        <v>157</v>
      </c>
    </row>
    <row r="2479" spans="19:22" x14ac:dyDescent="0.45">
      <c r="S2479" t="s">
        <v>557</v>
      </c>
      <c r="T2479" t="s">
        <v>165</v>
      </c>
      <c r="U2479">
        <v>1.5372923079574569E-2</v>
      </c>
      <c r="V2479" t="s">
        <v>157</v>
      </c>
    </row>
    <row r="2480" spans="19:22" x14ac:dyDescent="0.45">
      <c r="S2480" t="s">
        <v>557</v>
      </c>
      <c r="T2480" t="s">
        <v>166</v>
      </c>
      <c r="U2480">
        <v>7.4069853105390215E-2</v>
      </c>
      <c r="V2480" t="s">
        <v>157</v>
      </c>
    </row>
    <row r="2481" spans="19:22" x14ac:dyDescent="0.45">
      <c r="S2481" t="s">
        <v>557</v>
      </c>
      <c r="T2481" t="s">
        <v>167</v>
      </c>
      <c r="U2481">
        <v>3.4189133642738574E-2</v>
      </c>
      <c r="V2481" t="s">
        <v>157</v>
      </c>
    </row>
    <row r="2482" spans="19:22" x14ac:dyDescent="0.45">
      <c r="S2482" t="s">
        <v>557</v>
      </c>
      <c r="T2482" t="s">
        <v>168</v>
      </c>
      <c r="U2482">
        <v>4.7111671333301734E-2</v>
      </c>
      <c r="V2482" t="s">
        <v>157</v>
      </c>
    </row>
    <row r="2483" spans="19:22" x14ac:dyDescent="0.45">
      <c r="S2483" t="s">
        <v>557</v>
      </c>
      <c r="T2483" t="s">
        <v>169</v>
      </c>
      <c r="U2483">
        <v>5.0796998405342126E-3</v>
      </c>
      <c r="V2483" t="s">
        <v>157</v>
      </c>
    </row>
    <row r="2484" spans="19:22" x14ac:dyDescent="0.45">
      <c r="S2484" t="s">
        <v>557</v>
      </c>
      <c r="T2484" t="s">
        <v>170</v>
      </c>
      <c r="U2484">
        <v>5.1166061864153555E-3</v>
      </c>
      <c r="V2484" t="s">
        <v>157</v>
      </c>
    </row>
    <row r="2485" spans="19:22" x14ac:dyDescent="0.45">
      <c r="S2485" t="s">
        <v>557</v>
      </c>
      <c r="T2485" t="s">
        <v>171</v>
      </c>
      <c r="U2485">
        <v>2.3179384002188552E-2</v>
      </c>
      <c r="V2485" t="s">
        <v>157</v>
      </c>
    </row>
    <row r="2486" spans="19:22" x14ac:dyDescent="0.45">
      <c r="S2486" t="s">
        <v>558</v>
      </c>
      <c r="T2486" t="s">
        <v>156</v>
      </c>
      <c r="U2486">
        <v>0.14311427019285533</v>
      </c>
      <c r="V2486" t="s">
        <v>157</v>
      </c>
    </row>
    <row r="2487" spans="19:22" x14ac:dyDescent="0.45">
      <c r="S2487" t="s">
        <v>558</v>
      </c>
      <c r="T2487" t="s">
        <v>158</v>
      </c>
      <c r="U2487">
        <v>0.20815102353935036</v>
      </c>
      <c r="V2487" t="s">
        <v>157</v>
      </c>
    </row>
    <row r="2488" spans="19:22" x14ac:dyDescent="0.45">
      <c r="S2488" t="s">
        <v>558</v>
      </c>
      <c r="T2488" t="s">
        <v>159</v>
      </c>
      <c r="U2488">
        <v>2.1237358042850402E-2</v>
      </c>
      <c r="V2488" t="s">
        <v>157</v>
      </c>
    </row>
    <row r="2489" spans="19:22" x14ac:dyDescent="0.45">
      <c r="S2489" t="s">
        <v>558</v>
      </c>
      <c r="T2489" t="s">
        <v>160</v>
      </c>
      <c r="U2489">
        <v>2.1134404907212502E-2</v>
      </c>
      <c r="V2489" t="s">
        <v>157</v>
      </c>
    </row>
    <row r="2490" spans="19:22" x14ac:dyDescent="0.45">
      <c r="S2490" t="s">
        <v>558</v>
      </c>
      <c r="T2490" t="s">
        <v>161</v>
      </c>
      <c r="U2490">
        <v>0.10382967550683725</v>
      </c>
      <c r="V2490" t="s">
        <v>157</v>
      </c>
    </row>
    <row r="2491" spans="19:22" x14ac:dyDescent="0.45">
      <c r="S2491" t="s">
        <v>558</v>
      </c>
      <c r="T2491" t="s">
        <v>162</v>
      </c>
      <c r="U2491">
        <v>9.973369440458589E-2</v>
      </c>
      <c r="V2491" t="s">
        <v>157</v>
      </c>
    </row>
    <row r="2492" spans="19:22" x14ac:dyDescent="0.45">
      <c r="S2492" t="s">
        <v>558</v>
      </c>
      <c r="T2492" t="s">
        <v>163</v>
      </c>
      <c r="U2492">
        <v>0.14716267995013546</v>
      </c>
      <c r="V2492" t="s">
        <v>157</v>
      </c>
    </row>
    <row r="2493" spans="19:22" x14ac:dyDescent="0.45">
      <c r="S2493" t="s">
        <v>558</v>
      </c>
      <c r="T2493" t="s">
        <v>164</v>
      </c>
      <c r="U2493">
        <v>1.4725737097204535E-2</v>
      </c>
      <c r="V2493" t="s">
        <v>157</v>
      </c>
    </row>
    <row r="2494" spans="19:22" x14ac:dyDescent="0.45">
      <c r="S2494" t="s">
        <v>558</v>
      </c>
      <c r="T2494" t="s">
        <v>165</v>
      </c>
      <c r="U2494">
        <v>1.468570857874163E-2</v>
      </c>
      <c r="V2494" t="s">
        <v>157</v>
      </c>
    </row>
    <row r="2495" spans="19:22" x14ac:dyDescent="0.45">
      <c r="S2495" t="s">
        <v>558</v>
      </c>
      <c r="T2495" t="s">
        <v>166</v>
      </c>
      <c r="U2495">
        <v>7.3524652927923401E-2</v>
      </c>
      <c r="V2495" t="s">
        <v>157</v>
      </c>
    </row>
    <row r="2496" spans="19:22" x14ac:dyDescent="0.45">
      <c r="S2496" t="s">
        <v>558</v>
      </c>
      <c r="T2496" t="s">
        <v>167</v>
      </c>
      <c r="U2496">
        <v>4.2572029368314224E-2</v>
      </c>
      <c r="V2496" t="s">
        <v>157</v>
      </c>
    </row>
    <row r="2497" spans="19:22" x14ac:dyDescent="0.45">
      <c r="S2497" t="s">
        <v>558</v>
      </c>
      <c r="T2497" t="s">
        <v>168</v>
      </c>
      <c r="U2497">
        <v>6.4296215534604323E-2</v>
      </c>
      <c r="V2497" t="s">
        <v>157</v>
      </c>
    </row>
    <row r="2498" spans="19:22" x14ac:dyDescent="0.45">
      <c r="S2498" t="s">
        <v>558</v>
      </c>
      <c r="T2498" t="s">
        <v>169</v>
      </c>
      <c r="U2498">
        <v>6.7466284496764039E-3</v>
      </c>
      <c r="V2498" t="s">
        <v>157</v>
      </c>
    </row>
    <row r="2499" spans="19:22" x14ac:dyDescent="0.45">
      <c r="S2499" t="s">
        <v>558</v>
      </c>
      <c r="T2499" t="s">
        <v>170</v>
      </c>
      <c r="U2499">
        <v>6.679645880866965E-3</v>
      </c>
      <c r="V2499" t="s">
        <v>157</v>
      </c>
    </row>
    <row r="2500" spans="19:22" x14ac:dyDescent="0.45">
      <c r="S2500" t="s">
        <v>558</v>
      </c>
      <c r="T2500" t="s">
        <v>171</v>
      </c>
      <c r="U2500">
        <v>3.2406275618841268E-2</v>
      </c>
      <c r="V2500" t="s">
        <v>157</v>
      </c>
    </row>
    <row r="2501" spans="19:22" x14ac:dyDescent="0.45">
      <c r="S2501" t="s">
        <v>559</v>
      </c>
      <c r="T2501" t="s">
        <v>156</v>
      </c>
      <c r="U2501">
        <v>0.14371681113957527</v>
      </c>
      <c r="V2501" t="s">
        <v>157</v>
      </c>
    </row>
    <row r="2502" spans="19:22" x14ac:dyDescent="0.45">
      <c r="S2502" t="s">
        <v>559</v>
      </c>
      <c r="T2502" t="s">
        <v>158</v>
      </c>
      <c r="U2502">
        <v>0.20715464714002765</v>
      </c>
      <c r="V2502" t="s">
        <v>157</v>
      </c>
    </row>
    <row r="2503" spans="19:22" x14ac:dyDescent="0.45">
      <c r="S2503" t="s">
        <v>559</v>
      </c>
      <c r="T2503" t="s">
        <v>159</v>
      </c>
      <c r="U2503">
        <v>2.1032372324426687E-2</v>
      </c>
      <c r="V2503" t="s">
        <v>157</v>
      </c>
    </row>
    <row r="2504" spans="19:22" x14ac:dyDescent="0.45">
      <c r="S2504" t="s">
        <v>559</v>
      </c>
      <c r="T2504" t="s">
        <v>160</v>
      </c>
      <c r="U2504">
        <v>2.0843542943004851E-2</v>
      </c>
      <c r="V2504" t="s">
        <v>157</v>
      </c>
    </row>
    <row r="2505" spans="19:22" x14ac:dyDescent="0.45">
      <c r="S2505" t="s">
        <v>559</v>
      </c>
      <c r="T2505" t="s">
        <v>161</v>
      </c>
      <c r="U2505">
        <v>0.10301826462500473</v>
      </c>
      <c r="V2505" t="s">
        <v>157</v>
      </c>
    </row>
    <row r="2506" spans="19:22" x14ac:dyDescent="0.45">
      <c r="S2506" t="s">
        <v>559</v>
      </c>
      <c r="T2506" t="s">
        <v>162</v>
      </c>
      <c r="U2506">
        <v>0.10009755360679681</v>
      </c>
      <c r="V2506" t="s">
        <v>157</v>
      </c>
    </row>
    <row r="2507" spans="19:22" x14ac:dyDescent="0.45">
      <c r="S2507" t="s">
        <v>559</v>
      </c>
      <c r="T2507" t="s">
        <v>163</v>
      </c>
      <c r="U2507">
        <v>0.14758822925164997</v>
      </c>
      <c r="V2507" t="s">
        <v>157</v>
      </c>
    </row>
    <row r="2508" spans="19:22" x14ac:dyDescent="0.45">
      <c r="S2508" t="s">
        <v>559</v>
      </c>
      <c r="T2508" t="s">
        <v>164</v>
      </c>
      <c r="U2508">
        <v>1.4807722130116659E-2</v>
      </c>
      <c r="V2508" t="s">
        <v>157</v>
      </c>
    </row>
    <row r="2509" spans="19:22" x14ac:dyDescent="0.45">
      <c r="S2509" t="s">
        <v>559</v>
      </c>
      <c r="T2509" t="s">
        <v>165</v>
      </c>
      <c r="U2509">
        <v>1.4823618011915184E-2</v>
      </c>
      <c r="V2509" t="s">
        <v>157</v>
      </c>
    </row>
    <row r="2510" spans="19:22" x14ac:dyDescent="0.45">
      <c r="S2510" t="s">
        <v>559</v>
      </c>
      <c r="T2510" t="s">
        <v>166</v>
      </c>
      <c r="U2510">
        <v>7.36167353869807E-2</v>
      </c>
      <c r="V2510" t="s">
        <v>157</v>
      </c>
    </row>
    <row r="2511" spans="19:22" x14ac:dyDescent="0.45">
      <c r="S2511" t="s">
        <v>559</v>
      </c>
      <c r="T2511" t="s">
        <v>167</v>
      </c>
      <c r="U2511">
        <v>4.2834352468433902E-2</v>
      </c>
      <c r="V2511" t="s">
        <v>157</v>
      </c>
    </row>
    <row r="2512" spans="19:22" x14ac:dyDescent="0.45">
      <c r="S2512" t="s">
        <v>559</v>
      </c>
      <c r="T2512" t="s">
        <v>168</v>
      </c>
      <c r="U2512">
        <v>6.4207177901057705E-2</v>
      </c>
      <c r="V2512" t="s">
        <v>157</v>
      </c>
    </row>
    <row r="2513" spans="19:22" x14ac:dyDescent="0.45">
      <c r="S2513" t="s">
        <v>559</v>
      </c>
      <c r="T2513" t="s">
        <v>169</v>
      </c>
      <c r="U2513">
        <v>6.7737567554290714E-3</v>
      </c>
      <c r="V2513" t="s">
        <v>157</v>
      </c>
    </row>
    <row r="2514" spans="19:22" x14ac:dyDescent="0.45">
      <c r="S2514" t="s">
        <v>559</v>
      </c>
      <c r="T2514" t="s">
        <v>170</v>
      </c>
      <c r="U2514">
        <v>6.7161913720332617E-3</v>
      </c>
      <c r="V2514" t="s">
        <v>157</v>
      </c>
    </row>
    <row r="2515" spans="19:22" x14ac:dyDescent="0.45">
      <c r="S2515" t="s">
        <v>559</v>
      </c>
      <c r="T2515" t="s">
        <v>171</v>
      </c>
      <c r="U2515">
        <v>3.2769024943547526E-2</v>
      </c>
      <c r="V2515" t="s">
        <v>157</v>
      </c>
    </row>
    <row r="2516" spans="19:22" x14ac:dyDescent="0.45">
      <c r="S2516" t="s">
        <v>560</v>
      </c>
      <c r="T2516" t="s">
        <v>156</v>
      </c>
      <c r="U2516">
        <v>0.14426694686016528</v>
      </c>
      <c r="V2516" t="s">
        <v>157</v>
      </c>
    </row>
    <row r="2517" spans="19:22" x14ac:dyDescent="0.45">
      <c r="S2517" t="s">
        <v>560</v>
      </c>
      <c r="T2517" t="s">
        <v>158</v>
      </c>
      <c r="U2517">
        <v>0.20625795660414409</v>
      </c>
      <c r="V2517" t="s">
        <v>157</v>
      </c>
    </row>
    <row r="2518" spans="19:22" x14ac:dyDescent="0.45">
      <c r="S2518" t="s">
        <v>560</v>
      </c>
      <c r="T2518" t="s">
        <v>159</v>
      </c>
      <c r="U2518">
        <v>2.0743424103576415E-2</v>
      </c>
      <c r="V2518" t="s">
        <v>157</v>
      </c>
    </row>
    <row r="2519" spans="19:22" x14ac:dyDescent="0.45">
      <c r="S2519" t="s">
        <v>560</v>
      </c>
      <c r="T2519" t="s">
        <v>160</v>
      </c>
      <c r="U2519">
        <v>2.0603522013590437E-2</v>
      </c>
      <c r="V2519" t="s">
        <v>157</v>
      </c>
    </row>
    <row r="2520" spans="19:22" x14ac:dyDescent="0.45">
      <c r="S2520" t="s">
        <v>560</v>
      </c>
      <c r="T2520" t="s">
        <v>161</v>
      </c>
      <c r="U2520">
        <v>0.10255814873216258</v>
      </c>
      <c r="V2520" t="s">
        <v>157</v>
      </c>
    </row>
    <row r="2521" spans="19:22" x14ac:dyDescent="0.45">
      <c r="S2521" t="s">
        <v>560</v>
      </c>
      <c r="T2521" t="s">
        <v>162</v>
      </c>
      <c r="U2521">
        <v>0.10110754207500909</v>
      </c>
      <c r="V2521" t="s">
        <v>157</v>
      </c>
    </row>
    <row r="2522" spans="19:22" x14ac:dyDescent="0.45">
      <c r="S2522" t="s">
        <v>560</v>
      </c>
      <c r="T2522" t="s">
        <v>163</v>
      </c>
      <c r="U2522">
        <v>0.14790992567948238</v>
      </c>
      <c r="V2522" t="s">
        <v>157</v>
      </c>
    </row>
    <row r="2523" spans="19:22" x14ac:dyDescent="0.45">
      <c r="S2523" t="s">
        <v>560</v>
      </c>
      <c r="T2523" t="s">
        <v>164</v>
      </c>
      <c r="U2523">
        <v>1.4715660848592034E-2</v>
      </c>
      <c r="V2523" t="s">
        <v>157</v>
      </c>
    </row>
    <row r="2524" spans="19:22" x14ac:dyDescent="0.45">
      <c r="S2524" t="s">
        <v>560</v>
      </c>
      <c r="T2524" t="s">
        <v>165</v>
      </c>
      <c r="U2524">
        <v>1.4641227085654622E-2</v>
      </c>
      <c r="V2524" t="s">
        <v>157</v>
      </c>
    </row>
    <row r="2525" spans="19:22" x14ac:dyDescent="0.45">
      <c r="S2525" t="s">
        <v>560</v>
      </c>
      <c r="T2525" t="s">
        <v>166</v>
      </c>
      <c r="U2525">
        <v>7.3398838120011842E-2</v>
      </c>
      <c r="V2525" t="s">
        <v>157</v>
      </c>
    </row>
    <row r="2526" spans="19:22" x14ac:dyDescent="0.45">
      <c r="S2526" t="s">
        <v>560</v>
      </c>
      <c r="T2526" t="s">
        <v>167</v>
      </c>
      <c r="U2526">
        <v>4.3081685355412652E-2</v>
      </c>
      <c r="V2526" t="s">
        <v>157</v>
      </c>
    </row>
    <row r="2527" spans="19:22" x14ac:dyDescent="0.45">
      <c r="S2527" t="s">
        <v>560</v>
      </c>
      <c r="T2527" t="s">
        <v>168</v>
      </c>
      <c r="U2527">
        <v>6.4328135038104389E-2</v>
      </c>
      <c r="V2527" t="s">
        <v>157</v>
      </c>
    </row>
    <row r="2528" spans="19:22" x14ac:dyDescent="0.45">
      <c r="S2528" t="s">
        <v>560</v>
      </c>
      <c r="T2528" t="s">
        <v>169</v>
      </c>
      <c r="U2528">
        <v>6.7267893826021804E-3</v>
      </c>
      <c r="V2528" t="s">
        <v>157</v>
      </c>
    </row>
    <row r="2529" spans="19:22" x14ac:dyDescent="0.45">
      <c r="S2529" t="s">
        <v>560</v>
      </c>
      <c r="T2529" t="s">
        <v>170</v>
      </c>
      <c r="U2529">
        <v>6.6933593551761223E-3</v>
      </c>
      <c r="V2529" t="s">
        <v>157</v>
      </c>
    </row>
    <row r="2530" spans="19:22" x14ac:dyDescent="0.45">
      <c r="S2530" t="s">
        <v>560</v>
      </c>
      <c r="T2530" t="s">
        <v>171</v>
      </c>
      <c r="U2530">
        <v>3.2966838746315903E-2</v>
      </c>
      <c r="V2530" t="s">
        <v>157</v>
      </c>
    </row>
    <row r="2531" spans="19:22" x14ac:dyDescent="0.45">
      <c r="S2531" t="s">
        <v>561</v>
      </c>
      <c r="T2531" t="s">
        <v>156</v>
      </c>
      <c r="U2531">
        <v>0.1359209608910836</v>
      </c>
      <c r="V2531" t="s">
        <v>157</v>
      </c>
    </row>
    <row r="2532" spans="19:22" x14ac:dyDescent="0.45">
      <c r="S2532" t="s">
        <v>561</v>
      </c>
      <c r="T2532" t="s">
        <v>158</v>
      </c>
      <c r="U2532">
        <v>0.20203836187883079</v>
      </c>
      <c r="V2532" t="s">
        <v>157</v>
      </c>
    </row>
    <row r="2533" spans="19:22" x14ac:dyDescent="0.45">
      <c r="S2533" t="s">
        <v>561</v>
      </c>
      <c r="T2533" t="s">
        <v>159</v>
      </c>
      <c r="U2533">
        <v>2.1291918111704049E-2</v>
      </c>
      <c r="V2533" t="s">
        <v>157</v>
      </c>
    </row>
    <row r="2534" spans="19:22" x14ac:dyDescent="0.45">
      <c r="S2534" t="s">
        <v>561</v>
      </c>
      <c r="T2534" t="s">
        <v>160</v>
      </c>
      <c r="U2534">
        <v>2.1163703904816436E-2</v>
      </c>
      <c r="V2534" t="s">
        <v>157</v>
      </c>
    </row>
    <row r="2535" spans="19:22" x14ac:dyDescent="0.45">
      <c r="S2535" t="s">
        <v>561</v>
      </c>
      <c r="T2535" t="s">
        <v>161</v>
      </c>
      <c r="U2535">
        <v>0.10528835576447353</v>
      </c>
      <c r="V2535" t="s">
        <v>157</v>
      </c>
    </row>
    <row r="2536" spans="19:22" x14ac:dyDescent="0.45">
      <c r="S2536" t="s">
        <v>561</v>
      </c>
      <c r="T2536" t="s">
        <v>162</v>
      </c>
      <c r="U2536">
        <v>0.10329867933083549</v>
      </c>
      <c r="V2536" t="s">
        <v>157</v>
      </c>
    </row>
    <row r="2537" spans="19:22" x14ac:dyDescent="0.45">
      <c r="S2537" t="s">
        <v>561</v>
      </c>
      <c r="T2537" t="s">
        <v>163</v>
      </c>
      <c r="U2537">
        <v>0.14801827198106737</v>
      </c>
      <c r="V2537" t="s">
        <v>157</v>
      </c>
    </row>
    <row r="2538" spans="19:22" x14ac:dyDescent="0.45">
      <c r="S2538" t="s">
        <v>561</v>
      </c>
      <c r="T2538" t="s">
        <v>164</v>
      </c>
      <c r="U2538">
        <v>1.5681546061735874E-2</v>
      </c>
      <c r="V2538" t="s">
        <v>157</v>
      </c>
    </row>
    <row r="2539" spans="19:22" x14ac:dyDescent="0.45">
      <c r="S2539" t="s">
        <v>561</v>
      </c>
      <c r="T2539" t="s">
        <v>165</v>
      </c>
      <c r="U2539">
        <v>1.6032647898491605E-2</v>
      </c>
      <c r="V2539" t="s">
        <v>157</v>
      </c>
    </row>
    <row r="2540" spans="19:22" x14ac:dyDescent="0.45">
      <c r="S2540" t="s">
        <v>561</v>
      </c>
      <c r="T2540" t="s">
        <v>166</v>
      </c>
      <c r="U2540">
        <v>7.9236343135586557E-2</v>
      </c>
      <c r="V2540" t="s">
        <v>157</v>
      </c>
    </row>
    <row r="2541" spans="19:22" x14ac:dyDescent="0.45">
      <c r="S2541" t="s">
        <v>561</v>
      </c>
      <c r="T2541" t="s">
        <v>167</v>
      </c>
      <c r="U2541">
        <v>4.1725392060806762E-2</v>
      </c>
      <c r="V2541" t="s">
        <v>157</v>
      </c>
    </row>
    <row r="2542" spans="19:22" x14ac:dyDescent="0.45">
      <c r="S2542" t="s">
        <v>561</v>
      </c>
      <c r="T2542" t="s">
        <v>168</v>
      </c>
      <c r="U2542">
        <v>6.2423924075222612E-2</v>
      </c>
      <c r="V2542" t="s">
        <v>157</v>
      </c>
    </row>
    <row r="2543" spans="19:22" x14ac:dyDescent="0.45">
      <c r="S2543" t="s">
        <v>561</v>
      </c>
      <c r="T2543" t="s">
        <v>169</v>
      </c>
      <c r="U2543">
        <v>6.8110172230998762E-3</v>
      </c>
      <c r="V2543" t="s">
        <v>157</v>
      </c>
    </row>
    <row r="2544" spans="19:22" x14ac:dyDescent="0.45">
      <c r="S2544" t="s">
        <v>561</v>
      </c>
      <c r="T2544" t="s">
        <v>170</v>
      </c>
      <c r="U2544">
        <v>6.6964808395430083E-3</v>
      </c>
      <c r="V2544" t="s">
        <v>157</v>
      </c>
    </row>
    <row r="2545" spans="19:22" x14ac:dyDescent="0.45">
      <c r="S2545" t="s">
        <v>561</v>
      </c>
      <c r="T2545" t="s">
        <v>171</v>
      </c>
      <c r="U2545">
        <v>3.4372396842702442E-2</v>
      </c>
      <c r="V2545" t="s">
        <v>157</v>
      </c>
    </row>
    <row r="2546" spans="19:22" x14ac:dyDescent="0.45">
      <c r="S2546" t="s">
        <v>562</v>
      </c>
      <c r="T2546" t="s">
        <v>156</v>
      </c>
      <c r="U2546">
        <v>0.13092178872191096</v>
      </c>
      <c r="V2546" t="s">
        <v>157</v>
      </c>
    </row>
    <row r="2547" spans="19:22" x14ac:dyDescent="0.45">
      <c r="S2547" t="s">
        <v>562</v>
      </c>
      <c r="T2547" t="s">
        <v>158</v>
      </c>
      <c r="U2547">
        <v>0.19757593919354047</v>
      </c>
      <c r="V2547" t="s">
        <v>157</v>
      </c>
    </row>
    <row r="2548" spans="19:22" x14ac:dyDescent="0.45">
      <c r="S2548" t="s">
        <v>562</v>
      </c>
      <c r="T2548" t="s">
        <v>159</v>
      </c>
      <c r="U2548">
        <v>2.2601345779476211E-2</v>
      </c>
      <c r="V2548" t="s">
        <v>157</v>
      </c>
    </row>
    <row r="2549" spans="19:22" x14ac:dyDescent="0.45">
      <c r="S2549" t="s">
        <v>562</v>
      </c>
      <c r="T2549" t="s">
        <v>160</v>
      </c>
      <c r="U2549">
        <v>2.2857784797698833E-2</v>
      </c>
      <c r="V2549" t="s">
        <v>157</v>
      </c>
    </row>
    <row r="2550" spans="19:22" x14ac:dyDescent="0.45">
      <c r="S2550" t="s">
        <v>562</v>
      </c>
      <c r="T2550" t="s">
        <v>161</v>
      </c>
      <c r="U2550">
        <v>0.10936576934842433</v>
      </c>
      <c r="V2550" t="s">
        <v>157</v>
      </c>
    </row>
    <row r="2551" spans="19:22" x14ac:dyDescent="0.45">
      <c r="S2551" t="s">
        <v>562</v>
      </c>
      <c r="T2551" t="s">
        <v>162</v>
      </c>
      <c r="U2551">
        <v>0.10367624177910237</v>
      </c>
      <c r="V2551" t="s">
        <v>157</v>
      </c>
    </row>
    <row r="2552" spans="19:22" x14ac:dyDescent="0.45">
      <c r="S2552" t="s">
        <v>562</v>
      </c>
      <c r="T2552" t="s">
        <v>163</v>
      </c>
      <c r="U2552">
        <v>0.1431873079315287</v>
      </c>
      <c r="V2552" t="s">
        <v>157</v>
      </c>
    </row>
    <row r="2553" spans="19:22" x14ac:dyDescent="0.45">
      <c r="S2553" t="s">
        <v>562</v>
      </c>
      <c r="T2553" t="s">
        <v>164</v>
      </c>
      <c r="U2553">
        <v>1.6208501678409239E-2</v>
      </c>
      <c r="V2553" t="s">
        <v>157</v>
      </c>
    </row>
    <row r="2554" spans="19:22" x14ac:dyDescent="0.45">
      <c r="S2554" t="s">
        <v>562</v>
      </c>
      <c r="T2554" t="s">
        <v>165</v>
      </c>
      <c r="U2554">
        <v>1.6974912201944636E-2</v>
      </c>
      <c r="V2554" t="s">
        <v>157</v>
      </c>
    </row>
    <row r="2555" spans="19:22" x14ac:dyDescent="0.45">
      <c r="S2555" t="s">
        <v>562</v>
      </c>
      <c r="T2555" t="s">
        <v>166</v>
      </c>
      <c r="U2555">
        <v>8.3720313765734605E-2</v>
      </c>
      <c r="V2555" t="s">
        <v>157</v>
      </c>
    </row>
    <row r="2556" spans="19:22" x14ac:dyDescent="0.45">
      <c r="S2556" t="s">
        <v>562</v>
      </c>
      <c r="T2556" t="s">
        <v>167</v>
      </c>
      <c r="U2556">
        <v>4.2330829273168273E-2</v>
      </c>
      <c r="V2556" t="s">
        <v>157</v>
      </c>
    </row>
    <row r="2557" spans="19:22" x14ac:dyDescent="0.45">
      <c r="S2557" t="s">
        <v>562</v>
      </c>
      <c r="T2557" t="s">
        <v>168</v>
      </c>
      <c r="U2557">
        <v>6.1252658530036988E-2</v>
      </c>
      <c r="V2557" t="s">
        <v>157</v>
      </c>
    </row>
    <row r="2558" spans="19:22" x14ac:dyDescent="0.45">
      <c r="S2558" t="s">
        <v>562</v>
      </c>
      <c r="T2558" t="s">
        <v>169</v>
      </c>
      <c r="U2558">
        <v>7.1555993304439104E-3</v>
      </c>
      <c r="V2558" t="s">
        <v>157</v>
      </c>
    </row>
    <row r="2559" spans="19:22" x14ac:dyDescent="0.45">
      <c r="S2559" t="s">
        <v>562</v>
      </c>
      <c r="T2559" t="s">
        <v>170</v>
      </c>
      <c r="U2559">
        <v>7.0721506586103973E-3</v>
      </c>
      <c r="V2559" t="s">
        <v>157</v>
      </c>
    </row>
    <row r="2560" spans="19:22" x14ac:dyDescent="0.45">
      <c r="S2560" t="s">
        <v>562</v>
      </c>
      <c r="T2560" t="s">
        <v>171</v>
      </c>
      <c r="U2560">
        <v>3.5098857009970015E-2</v>
      </c>
      <c r="V2560" t="s">
        <v>157</v>
      </c>
    </row>
    <row r="2561" spans="19:22" x14ac:dyDescent="0.45">
      <c r="S2561" t="s">
        <v>563</v>
      </c>
      <c r="T2561" t="s">
        <v>156</v>
      </c>
      <c r="U2561">
        <v>0.12716114173883264</v>
      </c>
      <c r="V2561" t="s">
        <v>157</v>
      </c>
    </row>
    <row r="2562" spans="19:22" x14ac:dyDescent="0.45">
      <c r="S2562" t="s">
        <v>563</v>
      </c>
      <c r="T2562" t="s">
        <v>158</v>
      </c>
      <c r="U2562">
        <v>0.18977198858947228</v>
      </c>
      <c r="V2562" t="s">
        <v>157</v>
      </c>
    </row>
    <row r="2563" spans="19:22" x14ac:dyDescent="0.45">
      <c r="S2563" t="s">
        <v>563</v>
      </c>
      <c r="T2563" t="s">
        <v>159</v>
      </c>
      <c r="U2563">
        <v>2.3473355233111018E-2</v>
      </c>
      <c r="V2563" t="s">
        <v>157</v>
      </c>
    </row>
    <row r="2564" spans="19:22" x14ac:dyDescent="0.45">
      <c r="S2564" t="s">
        <v>563</v>
      </c>
      <c r="T2564" t="s">
        <v>160</v>
      </c>
      <c r="U2564">
        <v>2.3979656411476875E-2</v>
      </c>
      <c r="V2564" t="s">
        <v>157</v>
      </c>
    </row>
    <row r="2565" spans="19:22" x14ac:dyDescent="0.45">
      <c r="S2565" t="s">
        <v>563</v>
      </c>
      <c r="T2565" t="s">
        <v>161</v>
      </c>
      <c r="U2565">
        <v>0.11226380910602995</v>
      </c>
      <c r="V2565" t="s">
        <v>157</v>
      </c>
    </row>
    <row r="2566" spans="19:22" x14ac:dyDescent="0.45">
      <c r="S2566" t="s">
        <v>563</v>
      </c>
      <c r="T2566" t="s">
        <v>162</v>
      </c>
      <c r="U2566">
        <v>0.10576956679823023</v>
      </c>
      <c r="V2566" t="s">
        <v>157</v>
      </c>
    </row>
    <row r="2567" spans="19:22" x14ac:dyDescent="0.45">
      <c r="S2567" t="s">
        <v>563</v>
      </c>
      <c r="T2567" t="s">
        <v>163</v>
      </c>
      <c r="U2567">
        <v>0.14174459799418185</v>
      </c>
      <c r="V2567" t="s">
        <v>157</v>
      </c>
    </row>
    <row r="2568" spans="19:22" x14ac:dyDescent="0.45">
      <c r="S2568" t="s">
        <v>563</v>
      </c>
      <c r="T2568" t="s">
        <v>164</v>
      </c>
      <c r="U2568">
        <v>1.6699704231482163E-2</v>
      </c>
      <c r="V2568" t="s">
        <v>157</v>
      </c>
    </row>
    <row r="2569" spans="19:22" x14ac:dyDescent="0.45">
      <c r="S2569" t="s">
        <v>563</v>
      </c>
      <c r="T2569" t="s">
        <v>165</v>
      </c>
      <c r="U2569">
        <v>1.74827407017401E-2</v>
      </c>
      <c r="V2569" t="s">
        <v>157</v>
      </c>
    </row>
    <row r="2570" spans="19:22" x14ac:dyDescent="0.45">
      <c r="S2570" t="s">
        <v>563</v>
      </c>
      <c r="T2570" t="s">
        <v>166</v>
      </c>
      <c r="U2570">
        <v>8.7914271605116279E-2</v>
      </c>
      <c r="V2570" t="s">
        <v>157</v>
      </c>
    </row>
    <row r="2571" spans="19:22" x14ac:dyDescent="0.45">
      <c r="S2571" t="s">
        <v>563</v>
      </c>
      <c r="T2571" t="s">
        <v>167</v>
      </c>
      <c r="U2571">
        <v>4.1870649069283589E-2</v>
      </c>
      <c r="V2571" t="s">
        <v>157</v>
      </c>
    </row>
    <row r="2572" spans="19:22" x14ac:dyDescent="0.45">
      <c r="S2572" t="s">
        <v>563</v>
      </c>
      <c r="T2572" t="s">
        <v>168</v>
      </c>
      <c r="U2572">
        <v>5.8636082258406025E-2</v>
      </c>
      <c r="V2572" t="s">
        <v>157</v>
      </c>
    </row>
    <row r="2573" spans="19:22" x14ac:dyDescent="0.45">
      <c r="S2573" t="s">
        <v>563</v>
      </c>
      <c r="T2573" t="s">
        <v>169</v>
      </c>
      <c r="U2573">
        <v>7.9674244710983139E-3</v>
      </c>
      <c r="V2573" t="s">
        <v>157</v>
      </c>
    </row>
    <row r="2574" spans="19:22" x14ac:dyDescent="0.45">
      <c r="S2574" t="s">
        <v>563</v>
      </c>
      <c r="T2574" t="s">
        <v>170</v>
      </c>
      <c r="U2574">
        <v>7.9883824931938005E-3</v>
      </c>
      <c r="V2574" t="s">
        <v>157</v>
      </c>
    </row>
    <row r="2575" spans="19:22" x14ac:dyDescent="0.45">
      <c r="S2575" t="s">
        <v>563</v>
      </c>
      <c r="T2575" t="s">
        <v>171</v>
      </c>
      <c r="U2575">
        <v>3.727662929834482E-2</v>
      </c>
      <c r="V2575" t="s">
        <v>157</v>
      </c>
    </row>
    <row r="2576" spans="19:22" x14ac:dyDescent="0.45">
      <c r="S2576" t="s">
        <v>564</v>
      </c>
      <c r="T2576" t="s">
        <v>156</v>
      </c>
      <c r="U2576">
        <v>0.12410741051826465</v>
      </c>
      <c r="V2576" t="s">
        <v>157</v>
      </c>
    </row>
    <row r="2577" spans="19:22" x14ac:dyDescent="0.45">
      <c r="S2577" t="s">
        <v>564</v>
      </c>
      <c r="T2577" t="s">
        <v>158</v>
      </c>
      <c r="U2577">
        <v>0.18085745666785311</v>
      </c>
      <c r="V2577" t="s">
        <v>157</v>
      </c>
    </row>
    <row r="2578" spans="19:22" x14ac:dyDescent="0.45">
      <c r="S2578" t="s">
        <v>564</v>
      </c>
      <c r="T2578" t="s">
        <v>159</v>
      </c>
      <c r="U2578">
        <v>2.4175726402508538E-2</v>
      </c>
      <c r="V2578" t="s">
        <v>157</v>
      </c>
    </row>
    <row r="2579" spans="19:22" x14ac:dyDescent="0.45">
      <c r="S2579" t="s">
        <v>564</v>
      </c>
      <c r="T2579" t="s">
        <v>160</v>
      </c>
      <c r="U2579">
        <v>2.4696640466934577E-2</v>
      </c>
      <c r="V2579" t="s">
        <v>157</v>
      </c>
    </row>
    <row r="2580" spans="19:22" x14ac:dyDescent="0.45">
      <c r="S2580" t="s">
        <v>564</v>
      </c>
      <c r="T2580" t="s">
        <v>161</v>
      </c>
      <c r="U2580">
        <v>0.11301091944988828</v>
      </c>
      <c r="V2580" t="s">
        <v>157</v>
      </c>
    </row>
    <row r="2581" spans="19:22" x14ac:dyDescent="0.45">
      <c r="S2581" t="s">
        <v>564</v>
      </c>
      <c r="T2581" t="s">
        <v>162</v>
      </c>
      <c r="U2581">
        <v>0.11205649740288803</v>
      </c>
      <c r="V2581" t="s">
        <v>157</v>
      </c>
    </row>
    <row r="2582" spans="19:22" x14ac:dyDescent="0.45">
      <c r="S2582" t="s">
        <v>564</v>
      </c>
      <c r="T2582" t="s">
        <v>163</v>
      </c>
      <c r="U2582">
        <v>0.14344163710852512</v>
      </c>
      <c r="V2582" t="s">
        <v>157</v>
      </c>
    </row>
    <row r="2583" spans="19:22" x14ac:dyDescent="0.45">
      <c r="S2583" t="s">
        <v>564</v>
      </c>
      <c r="T2583" t="s">
        <v>164</v>
      </c>
      <c r="U2583">
        <v>1.7056304601258596E-2</v>
      </c>
      <c r="V2583" t="s">
        <v>157</v>
      </c>
    </row>
    <row r="2584" spans="19:22" x14ac:dyDescent="0.45">
      <c r="S2584" t="s">
        <v>564</v>
      </c>
      <c r="T2584" t="s">
        <v>165</v>
      </c>
      <c r="U2584">
        <v>1.7814018318565109E-2</v>
      </c>
      <c r="V2584" t="s">
        <v>157</v>
      </c>
    </row>
    <row r="2585" spans="19:22" x14ac:dyDescent="0.45">
      <c r="S2585" t="s">
        <v>564</v>
      </c>
      <c r="T2585" t="s">
        <v>166</v>
      </c>
      <c r="U2585">
        <v>9.3065827356720116E-2</v>
      </c>
      <c r="V2585" t="s">
        <v>157</v>
      </c>
    </row>
    <row r="2586" spans="19:22" x14ac:dyDescent="0.45">
      <c r="S2586" t="s">
        <v>564</v>
      </c>
      <c r="T2586" t="s">
        <v>167</v>
      </c>
      <c r="U2586">
        <v>3.9710838028773406E-2</v>
      </c>
      <c r="V2586" t="s">
        <v>157</v>
      </c>
    </row>
    <row r="2587" spans="19:22" x14ac:dyDescent="0.45">
      <c r="S2587" t="s">
        <v>564</v>
      </c>
      <c r="T2587" t="s">
        <v>168</v>
      </c>
      <c r="U2587">
        <v>5.4728768491930556E-2</v>
      </c>
      <c r="V2587" t="s">
        <v>157</v>
      </c>
    </row>
    <row r="2588" spans="19:22" x14ac:dyDescent="0.45">
      <c r="S2588" t="s">
        <v>564</v>
      </c>
      <c r="T2588" t="s">
        <v>169</v>
      </c>
      <c r="U2588">
        <v>8.6052041544977514E-3</v>
      </c>
      <c r="V2588" t="s">
        <v>157</v>
      </c>
    </row>
    <row r="2589" spans="19:22" x14ac:dyDescent="0.45">
      <c r="S2589" t="s">
        <v>564</v>
      </c>
      <c r="T2589" t="s">
        <v>170</v>
      </c>
      <c r="U2589">
        <v>8.5178931264533481E-3</v>
      </c>
      <c r="V2589" t="s">
        <v>157</v>
      </c>
    </row>
    <row r="2590" spans="19:22" x14ac:dyDescent="0.45">
      <c r="S2590" t="s">
        <v>564</v>
      </c>
      <c r="T2590" t="s">
        <v>171</v>
      </c>
      <c r="U2590">
        <v>3.8154857904938756E-2</v>
      </c>
      <c r="V2590" t="s">
        <v>157</v>
      </c>
    </row>
    <row r="2591" spans="19:22" x14ac:dyDescent="0.45">
      <c r="S2591" t="s">
        <v>565</v>
      </c>
      <c r="T2591" t="s">
        <v>156</v>
      </c>
      <c r="U2591">
        <v>0.10493778957459909</v>
      </c>
      <c r="V2591" t="s">
        <v>157</v>
      </c>
    </row>
    <row r="2592" spans="19:22" x14ac:dyDescent="0.45">
      <c r="S2592" t="s">
        <v>565</v>
      </c>
      <c r="T2592" t="s">
        <v>158</v>
      </c>
      <c r="U2592">
        <v>0.19617041690293502</v>
      </c>
      <c r="V2592" t="s">
        <v>157</v>
      </c>
    </row>
    <row r="2593" spans="19:22" x14ac:dyDescent="0.45">
      <c r="S2593" t="s">
        <v>565</v>
      </c>
      <c r="T2593" t="s">
        <v>159</v>
      </c>
      <c r="U2593">
        <v>2.1425298176350003E-2</v>
      </c>
      <c r="V2593" t="s">
        <v>157</v>
      </c>
    </row>
    <row r="2594" spans="19:22" x14ac:dyDescent="0.45">
      <c r="S2594" t="s">
        <v>565</v>
      </c>
      <c r="T2594" t="s">
        <v>160</v>
      </c>
      <c r="U2594">
        <v>1.9925327058975449E-2</v>
      </c>
      <c r="V2594" t="s">
        <v>157</v>
      </c>
    </row>
    <row r="2595" spans="19:22" x14ac:dyDescent="0.45">
      <c r="S2595" t="s">
        <v>565</v>
      </c>
      <c r="T2595" t="s">
        <v>161</v>
      </c>
      <c r="U2595">
        <v>7.8490407805374696E-2</v>
      </c>
      <c r="V2595" t="s">
        <v>157</v>
      </c>
    </row>
    <row r="2596" spans="19:22" x14ac:dyDescent="0.45">
      <c r="S2596" t="s">
        <v>565</v>
      </c>
      <c r="T2596" t="s">
        <v>162</v>
      </c>
      <c r="U2596">
        <v>0.11809171162726587</v>
      </c>
      <c r="V2596" t="s">
        <v>157</v>
      </c>
    </row>
    <row r="2597" spans="19:22" x14ac:dyDescent="0.45">
      <c r="S2597" t="s">
        <v>565</v>
      </c>
      <c r="T2597" t="s">
        <v>163</v>
      </c>
      <c r="U2597">
        <v>0.19870786783788605</v>
      </c>
      <c r="V2597" t="s">
        <v>157</v>
      </c>
    </row>
    <row r="2598" spans="19:22" x14ac:dyDescent="0.45">
      <c r="S2598" t="s">
        <v>565</v>
      </c>
      <c r="T2598" t="s">
        <v>164</v>
      </c>
      <c r="U2598">
        <v>2.1322848467086587E-2</v>
      </c>
      <c r="V2598" t="s">
        <v>157</v>
      </c>
    </row>
    <row r="2599" spans="19:22" x14ac:dyDescent="0.45">
      <c r="S2599" t="s">
        <v>565</v>
      </c>
      <c r="T2599" t="s">
        <v>165</v>
      </c>
      <c r="U2599">
        <v>1.9714940989827172E-2</v>
      </c>
      <c r="V2599" t="s">
        <v>157</v>
      </c>
    </row>
    <row r="2600" spans="19:22" x14ac:dyDescent="0.45">
      <c r="S2600" t="s">
        <v>565</v>
      </c>
      <c r="T2600" t="s">
        <v>166</v>
      </c>
      <c r="U2600">
        <v>8.6671320186051115E-2</v>
      </c>
      <c r="V2600" t="s">
        <v>157</v>
      </c>
    </row>
    <row r="2601" spans="19:22" x14ac:dyDescent="0.45">
      <c r="S2601" t="s">
        <v>565</v>
      </c>
      <c r="T2601" t="s">
        <v>167</v>
      </c>
      <c r="U2601">
        <v>3.324272699288678E-2</v>
      </c>
      <c r="V2601" t="s">
        <v>157</v>
      </c>
    </row>
    <row r="2602" spans="19:22" x14ac:dyDescent="0.45">
      <c r="S2602" t="s">
        <v>565</v>
      </c>
      <c r="T2602" t="s">
        <v>168</v>
      </c>
      <c r="U2602">
        <v>6.5527992150974698E-2</v>
      </c>
      <c r="V2602" t="s">
        <v>157</v>
      </c>
    </row>
    <row r="2603" spans="19:22" x14ac:dyDescent="0.45">
      <c r="S2603" t="s">
        <v>565</v>
      </c>
      <c r="T2603" t="s">
        <v>169</v>
      </c>
      <c r="U2603">
        <v>6.3972286885598363E-3</v>
      </c>
      <c r="V2603" t="s">
        <v>157</v>
      </c>
    </row>
    <row r="2604" spans="19:22" x14ac:dyDescent="0.45">
      <c r="S2604" t="s">
        <v>565</v>
      </c>
      <c r="T2604" t="s">
        <v>170</v>
      </c>
      <c r="U2604">
        <v>5.788389007514572E-3</v>
      </c>
      <c r="V2604" t="s">
        <v>157</v>
      </c>
    </row>
    <row r="2605" spans="19:22" x14ac:dyDescent="0.45">
      <c r="S2605" t="s">
        <v>565</v>
      </c>
      <c r="T2605" t="s">
        <v>171</v>
      </c>
      <c r="U2605">
        <v>2.3585734533713036E-2</v>
      </c>
      <c r="V2605" t="s">
        <v>157</v>
      </c>
    </row>
    <row r="2606" spans="19:22" x14ac:dyDescent="0.45">
      <c r="S2606" t="s">
        <v>566</v>
      </c>
      <c r="T2606" t="s">
        <v>156</v>
      </c>
      <c r="U2606">
        <v>0.11615019795098146</v>
      </c>
      <c r="V2606" t="s">
        <v>157</v>
      </c>
    </row>
    <row r="2607" spans="19:22" x14ac:dyDescent="0.45">
      <c r="S2607" t="s">
        <v>566</v>
      </c>
      <c r="T2607" t="s">
        <v>158</v>
      </c>
      <c r="U2607">
        <v>0.18965035729557309</v>
      </c>
      <c r="V2607" t="s">
        <v>157</v>
      </c>
    </row>
    <row r="2608" spans="19:22" x14ac:dyDescent="0.45">
      <c r="S2608" t="s">
        <v>566</v>
      </c>
      <c r="T2608" t="s">
        <v>159</v>
      </c>
      <c r="U2608">
        <v>2.1055907879198494E-2</v>
      </c>
      <c r="V2608" t="s">
        <v>157</v>
      </c>
    </row>
    <row r="2609" spans="19:22" x14ac:dyDescent="0.45">
      <c r="S2609" t="s">
        <v>566</v>
      </c>
      <c r="T2609" t="s">
        <v>160</v>
      </c>
      <c r="U2609">
        <v>2.0470732129611584E-2</v>
      </c>
      <c r="V2609" t="s">
        <v>157</v>
      </c>
    </row>
    <row r="2610" spans="19:22" x14ac:dyDescent="0.45">
      <c r="S2610" t="s">
        <v>566</v>
      </c>
      <c r="T2610" t="s">
        <v>161</v>
      </c>
      <c r="U2610">
        <v>8.6268413002860728E-2</v>
      </c>
      <c r="V2610" t="s">
        <v>157</v>
      </c>
    </row>
    <row r="2611" spans="19:22" x14ac:dyDescent="0.45">
      <c r="S2611" t="s">
        <v>566</v>
      </c>
      <c r="T2611" t="s">
        <v>162</v>
      </c>
      <c r="U2611">
        <v>0.11775679747483815</v>
      </c>
      <c r="V2611" t="s">
        <v>157</v>
      </c>
    </row>
    <row r="2612" spans="19:22" x14ac:dyDescent="0.45">
      <c r="S2612" t="s">
        <v>566</v>
      </c>
      <c r="T2612" t="s">
        <v>163</v>
      </c>
      <c r="U2612">
        <v>0.17308333611608215</v>
      </c>
      <c r="V2612" t="s">
        <v>157</v>
      </c>
    </row>
    <row r="2613" spans="19:22" x14ac:dyDescent="0.45">
      <c r="S2613" t="s">
        <v>566</v>
      </c>
      <c r="T2613" t="s">
        <v>164</v>
      </c>
      <c r="U2613">
        <v>1.9580198792092295E-2</v>
      </c>
      <c r="V2613" t="s">
        <v>157</v>
      </c>
    </row>
    <row r="2614" spans="19:22" x14ac:dyDescent="0.45">
      <c r="S2614" t="s">
        <v>566</v>
      </c>
      <c r="T2614" t="s">
        <v>165</v>
      </c>
      <c r="U2614">
        <v>1.907806941775576E-2</v>
      </c>
      <c r="V2614" t="s">
        <v>157</v>
      </c>
    </row>
    <row r="2615" spans="19:22" x14ac:dyDescent="0.45">
      <c r="S2615" t="s">
        <v>566</v>
      </c>
      <c r="T2615" t="s">
        <v>166</v>
      </c>
      <c r="U2615">
        <v>9.0346780669475268E-2</v>
      </c>
      <c r="V2615" t="s">
        <v>157</v>
      </c>
    </row>
    <row r="2616" spans="19:22" x14ac:dyDescent="0.45">
      <c r="S2616" t="s">
        <v>566</v>
      </c>
      <c r="T2616" t="s">
        <v>167</v>
      </c>
      <c r="U2616">
        <v>3.8978659947564082E-2</v>
      </c>
      <c r="V2616" t="s">
        <v>157</v>
      </c>
    </row>
    <row r="2617" spans="19:22" x14ac:dyDescent="0.45">
      <c r="S2617" t="s">
        <v>566</v>
      </c>
      <c r="T2617" t="s">
        <v>168</v>
      </c>
      <c r="U2617">
        <v>6.4542449238156996E-2</v>
      </c>
      <c r="V2617" t="s">
        <v>157</v>
      </c>
    </row>
    <row r="2618" spans="19:22" x14ac:dyDescent="0.45">
      <c r="S2618" t="s">
        <v>566</v>
      </c>
      <c r="T2618" t="s">
        <v>169</v>
      </c>
      <c r="U2618">
        <v>7.2717760742654425E-3</v>
      </c>
      <c r="V2618" t="s">
        <v>157</v>
      </c>
    </row>
    <row r="2619" spans="19:22" x14ac:dyDescent="0.45">
      <c r="S2619" t="s">
        <v>566</v>
      </c>
      <c r="T2619" t="s">
        <v>170</v>
      </c>
      <c r="U2619">
        <v>6.9570582291063393E-3</v>
      </c>
      <c r="V2619" t="s">
        <v>157</v>
      </c>
    </row>
    <row r="2620" spans="19:22" x14ac:dyDescent="0.45">
      <c r="S2620" t="s">
        <v>566</v>
      </c>
      <c r="T2620" t="s">
        <v>171</v>
      </c>
      <c r="U2620">
        <v>2.8809265782438181E-2</v>
      </c>
      <c r="V2620" t="s">
        <v>157</v>
      </c>
    </row>
    <row r="2621" spans="19:22" x14ac:dyDescent="0.45">
      <c r="S2621" t="s">
        <v>567</v>
      </c>
      <c r="T2621" t="s">
        <v>156</v>
      </c>
      <c r="U2621">
        <v>0.12361196773857111</v>
      </c>
      <c r="V2621" t="s">
        <v>157</v>
      </c>
    </row>
    <row r="2622" spans="19:22" x14ac:dyDescent="0.45">
      <c r="S2622" t="s">
        <v>567</v>
      </c>
      <c r="T2622" t="s">
        <v>158</v>
      </c>
      <c r="U2622">
        <v>0.18292530689329245</v>
      </c>
      <c r="V2622" t="s">
        <v>157</v>
      </c>
    </row>
    <row r="2623" spans="19:22" x14ac:dyDescent="0.45">
      <c r="S2623" t="s">
        <v>567</v>
      </c>
      <c r="T2623" t="s">
        <v>159</v>
      </c>
      <c r="U2623">
        <v>1.9574781796828821E-2</v>
      </c>
      <c r="V2623" t="s">
        <v>157</v>
      </c>
    </row>
    <row r="2624" spans="19:22" x14ac:dyDescent="0.45">
      <c r="S2624" t="s">
        <v>567</v>
      </c>
      <c r="T2624" t="s">
        <v>160</v>
      </c>
      <c r="U2624">
        <v>1.9684435064257128E-2</v>
      </c>
      <c r="V2624" t="s">
        <v>157</v>
      </c>
    </row>
    <row r="2625" spans="19:22" x14ac:dyDescent="0.45">
      <c r="S2625" t="s">
        <v>567</v>
      </c>
      <c r="T2625" t="s">
        <v>161</v>
      </c>
      <c r="U2625">
        <v>9.0390181266998992E-2</v>
      </c>
      <c r="V2625" t="s">
        <v>157</v>
      </c>
    </row>
    <row r="2626" spans="19:22" x14ac:dyDescent="0.45">
      <c r="S2626" t="s">
        <v>567</v>
      </c>
      <c r="T2626" t="s">
        <v>162</v>
      </c>
      <c r="U2626">
        <v>0.1152317375991298</v>
      </c>
      <c r="V2626" t="s">
        <v>157</v>
      </c>
    </row>
    <row r="2627" spans="19:22" x14ac:dyDescent="0.45">
      <c r="S2627" t="s">
        <v>567</v>
      </c>
      <c r="T2627" t="s">
        <v>163</v>
      </c>
      <c r="U2627">
        <v>0.16350156260809062</v>
      </c>
      <c r="V2627" t="s">
        <v>157</v>
      </c>
    </row>
    <row r="2628" spans="19:22" x14ac:dyDescent="0.45">
      <c r="S2628" t="s">
        <v>567</v>
      </c>
      <c r="T2628" t="s">
        <v>164</v>
      </c>
      <c r="U2628">
        <v>1.7857505182246821E-2</v>
      </c>
      <c r="V2628" t="s">
        <v>157</v>
      </c>
    </row>
    <row r="2629" spans="19:22" x14ac:dyDescent="0.45">
      <c r="S2629" t="s">
        <v>567</v>
      </c>
      <c r="T2629" t="s">
        <v>165</v>
      </c>
      <c r="U2629">
        <v>1.7795874796250281E-2</v>
      </c>
      <c r="V2629" t="s">
        <v>157</v>
      </c>
    </row>
    <row r="2630" spans="19:22" x14ac:dyDescent="0.45">
      <c r="S2630" t="s">
        <v>567</v>
      </c>
      <c r="T2630" t="s">
        <v>166</v>
      </c>
      <c r="U2630">
        <v>8.7411226512839987E-2</v>
      </c>
      <c r="V2630" t="s">
        <v>157</v>
      </c>
    </row>
    <row r="2631" spans="19:22" x14ac:dyDescent="0.45">
      <c r="S2631" t="s">
        <v>567</v>
      </c>
      <c r="T2631" t="s">
        <v>167</v>
      </c>
      <c r="U2631">
        <v>4.5315923848815623E-2</v>
      </c>
      <c r="V2631" t="s">
        <v>157</v>
      </c>
    </row>
    <row r="2632" spans="19:22" x14ac:dyDescent="0.45">
      <c r="S2632" t="s">
        <v>567</v>
      </c>
      <c r="T2632" t="s">
        <v>168</v>
      </c>
      <c r="U2632">
        <v>6.7874330593468479E-2</v>
      </c>
      <c r="V2632" t="s">
        <v>157</v>
      </c>
    </row>
    <row r="2633" spans="19:22" x14ac:dyDescent="0.45">
      <c r="S2633" t="s">
        <v>567</v>
      </c>
      <c r="T2633" t="s">
        <v>169</v>
      </c>
      <c r="U2633">
        <v>7.4019172137352136E-3</v>
      </c>
      <c r="V2633" t="s">
        <v>157</v>
      </c>
    </row>
    <row r="2634" spans="19:22" x14ac:dyDescent="0.45">
      <c r="S2634" t="s">
        <v>567</v>
      </c>
      <c r="T2634" t="s">
        <v>170</v>
      </c>
      <c r="U2634">
        <v>7.326074472048914E-3</v>
      </c>
      <c r="V2634" t="s">
        <v>157</v>
      </c>
    </row>
    <row r="2635" spans="19:22" x14ac:dyDescent="0.45">
      <c r="S2635" t="s">
        <v>567</v>
      </c>
      <c r="T2635" t="s">
        <v>171</v>
      </c>
      <c r="U2635">
        <v>3.4097174413425801E-2</v>
      </c>
      <c r="V2635" t="s">
        <v>157</v>
      </c>
    </row>
    <row r="2636" spans="19:22" x14ac:dyDescent="0.45">
      <c r="S2636" t="s">
        <v>568</v>
      </c>
      <c r="T2636" t="s">
        <v>156</v>
      </c>
      <c r="U2636">
        <v>0.12892500307839852</v>
      </c>
      <c r="V2636" t="s">
        <v>157</v>
      </c>
    </row>
    <row r="2637" spans="19:22" x14ac:dyDescent="0.45">
      <c r="S2637" t="s">
        <v>568</v>
      </c>
      <c r="T2637" t="s">
        <v>158</v>
      </c>
      <c r="U2637">
        <v>0.18292018881326394</v>
      </c>
      <c r="V2637" t="s">
        <v>157</v>
      </c>
    </row>
    <row r="2638" spans="19:22" x14ac:dyDescent="0.45">
      <c r="S2638" t="s">
        <v>568</v>
      </c>
      <c r="T2638" t="s">
        <v>159</v>
      </c>
      <c r="U2638">
        <v>1.8550458300603666E-2</v>
      </c>
      <c r="V2638" t="s">
        <v>157</v>
      </c>
    </row>
    <row r="2639" spans="19:22" x14ac:dyDescent="0.45">
      <c r="S2639" t="s">
        <v>568</v>
      </c>
      <c r="T2639" t="s">
        <v>160</v>
      </c>
      <c r="U2639">
        <v>1.8763357233194868E-2</v>
      </c>
      <c r="V2639" t="s">
        <v>157</v>
      </c>
    </row>
    <row r="2640" spans="19:22" x14ac:dyDescent="0.45">
      <c r="S2640" t="s">
        <v>568</v>
      </c>
      <c r="T2640" t="s">
        <v>161</v>
      </c>
      <c r="U2640">
        <v>9.0519892827925635E-2</v>
      </c>
      <c r="V2640" t="s">
        <v>157</v>
      </c>
    </row>
    <row r="2641" spans="19:22" x14ac:dyDescent="0.45">
      <c r="S2641" t="s">
        <v>568</v>
      </c>
      <c r="T2641" t="s">
        <v>162</v>
      </c>
      <c r="U2641">
        <v>0.11624984310591842</v>
      </c>
      <c r="V2641" t="s">
        <v>157</v>
      </c>
    </row>
    <row r="2642" spans="19:22" x14ac:dyDescent="0.45">
      <c r="S2642" t="s">
        <v>568</v>
      </c>
      <c r="T2642" t="s">
        <v>163</v>
      </c>
      <c r="U2642">
        <v>0.16207373022224747</v>
      </c>
      <c r="V2642" t="s">
        <v>157</v>
      </c>
    </row>
    <row r="2643" spans="19:22" x14ac:dyDescent="0.45">
      <c r="S2643" t="s">
        <v>568</v>
      </c>
      <c r="T2643" t="s">
        <v>164</v>
      </c>
      <c r="U2643">
        <v>1.6940830861502065E-2</v>
      </c>
      <c r="V2643" t="s">
        <v>157</v>
      </c>
    </row>
    <row r="2644" spans="19:22" x14ac:dyDescent="0.45">
      <c r="S2644" t="s">
        <v>568</v>
      </c>
      <c r="T2644" t="s">
        <v>165</v>
      </c>
      <c r="U2644">
        <v>1.7031858297483833E-2</v>
      </c>
      <c r="V2644" t="s">
        <v>157</v>
      </c>
    </row>
    <row r="2645" spans="19:22" x14ac:dyDescent="0.45">
      <c r="S2645" t="s">
        <v>568</v>
      </c>
      <c r="T2645" t="s">
        <v>166</v>
      </c>
      <c r="U2645">
        <v>8.5499196990111298E-2</v>
      </c>
      <c r="V2645" t="s">
        <v>157</v>
      </c>
    </row>
    <row r="2646" spans="19:22" x14ac:dyDescent="0.45">
      <c r="S2646" t="s">
        <v>568</v>
      </c>
      <c r="T2646" t="s">
        <v>167</v>
      </c>
      <c r="U2646">
        <v>4.6253367516599843E-2</v>
      </c>
      <c r="V2646" t="s">
        <v>157</v>
      </c>
    </row>
    <row r="2647" spans="19:22" x14ac:dyDescent="0.45">
      <c r="S2647" t="s">
        <v>568</v>
      </c>
      <c r="T2647" t="s">
        <v>168</v>
      </c>
      <c r="U2647">
        <v>6.7640164397314601E-2</v>
      </c>
      <c r="V2647" t="s">
        <v>157</v>
      </c>
    </row>
    <row r="2648" spans="19:22" x14ac:dyDescent="0.45">
      <c r="S2648" t="s">
        <v>568</v>
      </c>
      <c r="T2648" t="s">
        <v>169</v>
      </c>
      <c r="U2648">
        <v>7.0819798367352449E-3</v>
      </c>
      <c r="V2648" t="s">
        <v>157</v>
      </c>
    </row>
    <row r="2649" spans="19:22" x14ac:dyDescent="0.45">
      <c r="S2649" t="s">
        <v>568</v>
      </c>
      <c r="T2649" t="s">
        <v>170</v>
      </c>
      <c r="U2649">
        <v>7.1192811727329476E-3</v>
      </c>
      <c r="V2649" t="s">
        <v>157</v>
      </c>
    </row>
    <row r="2650" spans="19:22" x14ac:dyDescent="0.45">
      <c r="S2650" t="s">
        <v>568</v>
      </c>
      <c r="T2650" t="s">
        <v>171</v>
      </c>
      <c r="U2650">
        <v>3.4430847345967741E-2</v>
      </c>
      <c r="V2650" t="s">
        <v>157</v>
      </c>
    </row>
    <row r="2651" spans="19:22" x14ac:dyDescent="0.45">
      <c r="S2651" t="s">
        <v>569</v>
      </c>
      <c r="T2651" t="s">
        <v>156</v>
      </c>
      <c r="U2651">
        <v>0.13215808603721957</v>
      </c>
      <c r="V2651" t="s">
        <v>157</v>
      </c>
    </row>
    <row r="2652" spans="19:22" x14ac:dyDescent="0.45">
      <c r="S2652" t="s">
        <v>569</v>
      </c>
      <c r="T2652" t="s">
        <v>158</v>
      </c>
      <c r="U2652">
        <v>0.18526076271421615</v>
      </c>
      <c r="V2652" t="s">
        <v>157</v>
      </c>
    </row>
    <row r="2653" spans="19:22" x14ac:dyDescent="0.45">
      <c r="S2653" t="s">
        <v>569</v>
      </c>
      <c r="T2653" t="s">
        <v>159</v>
      </c>
      <c r="U2653">
        <v>1.7949325196945153E-2</v>
      </c>
      <c r="V2653" t="s">
        <v>157</v>
      </c>
    </row>
    <row r="2654" spans="19:22" x14ac:dyDescent="0.45">
      <c r="S2654" t="s">
        <v>569</v>
      </c>
      <c r="T2654" t="s">
        <v>160</v>
      </c>
      <c r="U2654">
        <v>1.8043465651291852E-2</v>
      </c>
      <c r="V2654" t="s">
        <v>157</v>
      </c>
    </row>
    <row r="2655" spans="19:22" x14ac:dyDescent="0.45">
      <c r="S2655" t="s">
        <v>569</v>
      </c>
      <c r="T2655" t="s">
        <v>161</v>
      </c>
      <c r="U2655">
        <v>8.9831247468874637E-2</v>
      </c>
      <c r="V2655" t="s">
        <v>157</v>
      </c>
    </row>
    <row r="2656" spans="19:22" x14ac:dyDescent="0.45">
      <c r="S2656" t="s">
        <v>569</v>
      </c>
      <c r="T2656" t="s">
        <v>162</v>
      </c>
      <c r="U2656">
        <v>0.11693521741533162</v>
      </c>
      <c r="V2656" t="s">
        <v>157</v>
      </c>
    </row>
    <row r="2657" spans="19:22" x14ac:dyDescent="0.45">
      <c r="S2657" t="s">
        <v>569</v>
      </c>
      <c r="T2657" t="s">
        <v>163</v>
      </c>
      <c r="U2657">
        <v>0.16442356487813092</v>
      </c>
      <c r="V2657" t="s">
        <v>157</v>
      </c>
    </row>
    <row r="2658" spans="19:22" x14ac:dyDescent="0.45">
      <c r="S2658" t="s">
        <v>569</v>
      </c>
      <c r="T2658" t="s">
        <v>164</v>
      </c>
      <c r="U2658">
        <v>1.6660346788911918E-2</v>
      </c>
      <c r="V2658" t="s">
        <v>157</v>
      </c>
    </row>
    <row r="2659" spans="19:22" x14ac:dyDescent="0.45">
      <c r="S2659" t="s">
        <v>569</v>
      </c>
      <c r="T2659" t="s">
        <v>165</v>
      </c>
      <c r="U2659">
        <v>1.6764966822374175E-2</v>
      </c>
      <c r="V2659" t="s">
        <v>157</v>
      </c>
    </row>
    <row r="2660" spans="19:22" x14ac:dyDescent="0.45">
      <c r="S2660" t="s">
        <v>569</v>
      </c>
      <c r="T2660" t="s">
        <v>166</v>
      </c>
      <c r="U2660">
        <v>8.4192935319343881E-2</v>
      </c>
      <c r="V2660" t="s">
        <v>157</v>
      </c>
    </row>
    <row r="2661" spans="19:22" x14ac:dyDescent="0.45">
      <c r="S2661" t="s">
        <v>569</v>
      </c>
      <c r="T2661" t="s">
        <v>167</v>
      </c>
      <c r="U2661">
        <v>4.5669664410277394E-2</v>
      </c>
      <c r="V2661" t="s">
        <v>157</v>
      </c>
    </row>
    <row r="2662" spans="19:22" x14ac:dyDescent="0.45">
      <c r="S2662" t="s">
        <v>569</v>
      </c>
      <c r="T2662" t="s">
        <v>168</v>
      </c>
      <c r="U2662">
        <v>6.5783643179775003E-2</v>
      </c>
      <c r="V2662" t="s">
        <v>157</v>
      </c>
    </row>
    <row r="2663" spans="19:22" x14ac:dyDescent="0.45">
      <c r="S2663" t="s">
        <v>569</v>
      </c>
      <c r="T2663" t="s">
        <v>169</v>
      </c>
      <c r="U2663">
        <v>6.6998250636498913E-3</v>
      </c>
      <c r="V2663" t="s">
        <v>157</v>
      </c>
    </row>
    <row r="2664" spans="19:22" x14ac:dyDescent="0.45">
      <c r="S2664" t="s">
        <v>569</v>
      </c>
      <c r="T2664" t="s">
        <v>170</v>
      </c>
      <c r="U2664">
        <v>6.7242714769870249E-3</v>
      </c>
      <c r="V2664" t="s">
        <v>157</v>
      </c>
    </row>
    <row r="2665" spans="19:22" x14ac:dyDescent="0.45">
      <c r="S2665" t="s">
        <v>569</v>
      </c>
      <c r="T2665" t="s">
        <v>171</v>
      </c>
      <c r="U2665">
        <v>3.2902677576670696E-2</v>
      </c>
      <c r="V2665" t="s">
        <v>157</v>
      </c>
    </row>
    <row r="2666" spans="19:22" x14ac:dyDescent="0.45">
      <c r="S2666" t="s">
        <v>570</v>
      </c>
      <c r="T2666" t="s">
        <v>156</v>
      </c>
      <c r="U2666">
        <v>0.13405851640339406</v>
      </c>
      <c r="V2666" t="s">
        <v>157</v>
      </c>
    </row>
    <row r="2667" spans="19:22" x14ac:dyDescent="0.45">
      <c r="S2667" t="s">
        <v>570</v>
      </c>
      <c r="T2667" t="s">
        <v>158</v>
      </c>
      <c r="U2667">
        <v>0.18743726452424672</v>
      </c>
      <c r="V2667" t="s">
        <v>157</v>
      </c>
    </row>
    <row r="2668" spans="19:22" x14ac:dyDescent="0.45">
      <c r="S2668" t="s">
        <v>570</v>
      </c>
      <c r="T2668" t="s">
        <v>159</v>
      </c>
      <c r="U2668">
        <v>1.7860395710272793E-2</v>
      </c>
      <c r="V2668" t="s">
        <v>157</v>
      </c>
    </row>
    <row r="2669" spans="19:22" x14ac:dyDescent="0.45">
      <c r="S2669" t="s">
        <v>570</v>
      </c>
      <c r="T2669" t="s">
        <v>160</v>
      </c>
      <c r="U2669">
        <v>1.7842236571378477E-2</v>
      </c>
      <c r="V2669" t="s">
        <v>157</v>
      </c>
    </row>
    <row r="2670" spans="19:22" x14ac:dyDescent="0.45">
      <c r="S2670" t="s">
        <v>570</v>
      </c>
      <c r="T2670" t="s">
        <v>161</v>
      </c>
      <c r="U2670">
        <v>9.0237426693443049E-2</v>
      </c>
      <c r="V2670" t="s">
        <v>157</v>
      </c>
    </row>
    <row r="2671" spans="19:22" x14ac:dyDescent="0.45">
      <c r="S2671" t="s">
        <v>570</v>
      </c>
      <c r="T2671" t="s">
        <v>162</v>
      </c>
      <c r="U2671">
        <v>0.11527224695521959</v>
      </c>
      <c r="V2671" t="s">
        <v>157</v>
      </c>
    </row>
    <row r="2672" spans="19:22" x14ac:dyDescent="0.45">
      <c r="S2672" t="s">
        <v>570</v>
      </c>
      <c r="T2672" t="s">
        <v>163</v>
      </c>
      <c r="U2672">
        <v>0.16665254799964224</v>
      </c>
      <c r="V2672" t="s">
        <v>157</v>
      </c>
    </row>
    <row r="2673" spans="19:22" x14ac:dyDescent="0.45">
      <c r="S2673" t="s">
        <v>570</v>
      </c>
      <c r="T2673" t="s">
        <v>164</v>
      </c>
      <c r="U2673">
        <v>1.668374046129098E-2</v>
      </c>
      <c r="V2673" t="s">
        <v>157</v>
      </c>
    </row>
    <row r="2674" spans="19:22" x14ac:dyDescent="0.45">
      <c r="S2674" t="s">
        <v>570</v>
      </c>
      <c r="T2674" t="s">
        <v>165</v>
      </c>
      <c r="U2674">
        <v>1.6749549074548335E-2</v>
      </c>
      <c r="V2674" t="s">
        <v>157</v>
      </c>
    </row>
    <row r="2675" spans="19:22" x14ac:dyDescent="0.45">
      <c r="S2675" t="s">
        <v>570</v>
      </c>
      <c r="T2675" t="s">
        <v>166</v>
      </c>
      <c r="U2675">
        <v>8.2956934081287431E-2</v>
      </c>
      <c r="V2675" t="s">
        <v>157</v>
      </c>
    </row>
    <row r="2676" spans="19:22" x14ac:dyDescent="0.45">
      <c r="S2676" t="s">
        <v>570</v>
      </c>
      <c r="T2676" t="s">
        <v>167</v>
      </c>
      <c r="U2676">
        <v>4.5558058540292219E-2</v>
      </c>
      <c r="V2676" t="s">
        <v>157</v>
      </c>
    </row>
    <row r="2677" spans="19:22" x14ac:dyDescent="0.45">
      <c r="S2677" t="s">
        <v>570</v>
      </c>
      <c r="T2677" t="s">
        <v>168</v>
      </c>
      <c r="U2677">
        <v>6.3847685621777187E-2</v>
      </c>
      <c r="V2677" t="s">
        <v>157</v>
      </c>
    </row>
    <row r="2678" spans="19:22" x14ac:dyDescent="0.45">
      <c r="S2678" t="s">
        <v>570</v>
      </c>
      <c r="T2678" t="s">
        <v>169</v>
      </c>
      <c r="U2678">
        <v>6.4584123423262387E-3</v>
      </c>
      <c r="V2678" t="s">
        <v>157</v>
      </c>
    </row>
    <row r="2679" spans="19:22" x14ac:dyDescent="0.45">
      <c r="S2679" t="s">
        <v>570</v>
      </c>
      <c r="T2679" t="s">
        <v>170</v>
      </c>
      <c r="U2679">
        <v>6.433609527677033E-3</v>
      </c>
      <c r="V2679" t="s">
        <v>157</v>
      </c>
    </row>
    <row r="2680" spans="19:22" x14ac:dyDescent="0.45">
      <c r="S2680" t="s">
        <v>570</v>
      </c>
      <c r="T2680" t="s">
        <v>171</v>
      </c>
      <c r="U2680">
        <v>3.1951375493203704E-2</v>
      </c>
      <c r="V2680" t="s">
        <v>157</v>
      </c>
    </row>
    <row r="2681" spans="19:22" x14ac:dyDescent="0.45">
      <c r="S2681" t="s">
        <v>571</v>
      </c>
      <c r="T2681" t="s">
        <v>156</v>
      </c>
      <c r="U2681">
        <v>0.13688394180906069</v>
      </c>
      <c r="V2681" t="s">
        <v>157</v>
      </c>
    </row>
    <row r="2682" spans="19:22" x14ac:dyDescent="0.45">
      <c r="S2682" t="s">
        <v>571</v>
      </c>
      <c r="T2682" t="s">
        <v>158</v>
      </c>
      <c r="U2682">
        <v>0.18979985804412267</v>
      </c>
      <c r="V2682" t="s">
        <v>157</v>
      </c>
    </row>
    <row r="2683" spans="19:22" x14ac:dyDescent="0.45">
      <c r="S2683" t="s">
        <v>571</v>
      </c>
      <c r="T2683" t="s">
        <v>159</v>
      </c>
      <c r="U2683">
        <v>1.8280693831310865E-2</v>
      </c>
      <c r="V2683" t="s">
        <v>157</v>
      </c>
    </row>
    <row r="2684" spans="19:22" x14ac:dyDescent="0.45">
      <c r="S2684" t="s">
        <v>571</v>
      </c>
      <c r="T2684" t="s">
        <v>160</v>
      </c>
      <c r="U2684">
        <v>1.8154385495221949E-2</v>
      </c>
      <c r="V2684" t="s">
        <v>157</v>
      </c>
    </row>
    <row r="2685" spans="19:22" x14ac:dyDescent="0.45">
      <c r="S2685" t="s">
        <v>571</v>
      </c>
      <c r="T2685" t="s">
        <v>161</v>
      </c>
      <c r="U2685">
        <v>9.1857036363921146E-2</v>
      </c>
      <c r="V2685" t="s">
        <v>157</v>
      </c>
    </row>
    <row r="2686" spans="19:22" x14ac:dyDescent="0.45">
      <c r="S2686" t="s">
        <v>571</v>
      </c>
      <c r="T2686" t="s">
        <v>162</v>
      </c>
      <c r="U2686">
        <v>0.11347522112434635</v>
      </c>
      <c r="V2686" t="s">
        <v>157</v>
      </c>
    </row>
    <row r="2687" spans="19:22" x14ac:dyDescent="0.45">
      <c r="S2687" t="s">
        <v>571</v>
      </c>
      <c r="T2687" t="s">
        <v>163</v>
      </c>
      <c r="U2687">
        <v>0.16622910168009686</v>
      </c>
      <c r="V2687" t="s">
        <v>157</v>
      </c>
    </row>
    <row r="2688" spans="19:22" x14ac:dyDescent="0.45">
      <c r="S2688" t="s">
        <v>571</v>
      </c>
      <c r="T2688" t="s">
        <v>164</v>
      </c>
      <c r="U2688">
        <v>1.6660670699032952E-2</v>
      </c>
      <c r="V2688" t="s">
        <v>157</v>
      </c>
    </row>
    <row r="2689" spans="19:22" x14ac:dyDescent="0.45">
      <c r="S2689" t="s">
        <v>571</v>
      </c>
      <c r="T2689" t="s">
        <v>165</v>
      </c>
      <c r="U2689">
        <v>1.667353173625408E-2</v>
      </c>
      <c r="V2689" t="s">
        <v>157</v>
      </c>
    </row>
    <row r="2690" spans="19:22" x14ac:dyDescent="0.45">
      <c r="S2690" t="s">
        <v>571</v>
      </c>
      <c r="T2690" t="s">
        <v>166</v>
      </c>
      <c r="U2690">
        <v>8.2101449586894582E-2</v>
      </c>
      <c r="V2690" t="s">
        <v>157</v>
      </c>
    </row>
    <row r="2691" spans="19:22" x14ac:dyDescent="0.45">
      <c r="S2691" t="s">
        <v>571</v>
      </c>
      <c r="T2691" t="s">
        <v>167</v>
      </c>
      <c r="U2691">
        <v>4.4539819602731651E-2</v>
      </c>
      <c r="V2691" t="s">
        <v>157</v>
      </c>
    </row>
    <row r="2692" spans="19:22" x14ac:dyDescent="0.45">
      <c r="S2692" t="s">
        <v>571</v>
      </c>
      <c r="T2692" t="s">
        <v>168</v>
      </c>
      <c r="U2692">
        <v>6.1084375853349242E-2</v>
      </c>
      <c r="V2692" t="s">
        <v>157</v>
      </c>
    </row>
    <row r="2693" spans="19:22" x14ac:dyDescent="0.45">
      <c r="S2693" t="s">
        <v>571</v>
      </c>
      <c r="T2693" t="s">
        <v>169</v>
      </c>
      <c r="U2693">
        <v>6.2813244041770916E-3</v>
      </c>
      <c r="V2693" t="s">
        <v>157</v>
      </c>
    </row>
    <row r="2694" spans="19:22" x14ac:dyDescent="0.45">
      <c r="S2694" t="s">
        <v>571</v>
      </c>
      <c r="T2694" t="s">
        <v>170</v>
      </c>
      <c r="U2694">
        <v>6.2864000589298473E-3</v>
      </c>
      <c r="V2694" t="s">
        <v>157</v>
      </c>
    </row>
    <row r="2695" spans="19:22" x14ac:dyDescent="0.45">
      <c r="S2695" t="s">
        <v>571</v>
      </c>
      <c r="T2695" t="s">
        <v>171</v>
      </c>
      <c r="U2695">
        <v>3.1692189710549983E-2</v>
      </c>
      <c r="V2695" t="s">
        <v>157</v>
      </c>
    </row>
    <row r="2696" spans="19:22" x14ac:dyDescent="0.45">
      <c r="S2696" t="s">
        <v>572</v>
      </c>
      <c r="T2696" t="s">
        <v>156</v>
      </c>
      <c r="U2696">
        <v>0.14396449419967694</v>
      </c>
      <c r="V2696" t="s">
        <v>157</v>
      </c>
    </row>
    <row r="2697" spans="19:22" x14ac:dyDescent="0.45">
      <c r="S2697" t="s">
        <v>572</v>
      </c>
      <c r="T2697" t="s">
        <v>158</v>
      </c>
      <c r="U2697">
        <v>0.20633295465977491</v>
      </c>
      <c r="V2697" t="s">
        <v>157</v>
      </c>
    </row>
    <row r="2698" spans="19:22" x14ac:dyDescent="0.45">
      <c r="S2698" t="s">
        <v>572</v>
      </c>
      <c r="T2698" t="s">
        <v>159</v>
      </c>
      <c r="U2698">
        <v>2.0618804507797201E-2</v>
      </c>
      <c r="V2698" t="s">
        <v>157</v>
      </c>
    </row>
    <row r="2699" spans="19:22" x14ac:dyDescent="0.45">
      <c r="S2699" t="s">
        <v>572</v>
      </c>
      <c r="T2699" t="s">
        <v>160</v>
      </c>
      <c r="U2699">
        <v>2.0478557689445353E-2</v>
      </c>
      <c r="V2699" t="s">
        <v>157</v>
      </c>
    </row>
    <row r="2700" spans="19:22" x14ac:dyDescent="0.45">
      <c r="S2700" t="s">
        <v>572</v>
      </c>
      <c r="T2700" t="s">
        <v>161</v>
      </c>
      <c r="U2700">
        <v>0.10092115870647572</v>
      </c>
      <c r="V2700" t="s">
        <v>157</v>
      </c>
    </row>
    <row r="2701" spans="19:22" x14ac:dyDescent="0.45">
      <c r="S2701" t="s">
        <v>572</v>
      </c>
      <c r="T2701" t="s">
        <v>162</v>
      </c>
      <c r="U2701">
        <v>0.11484029117295359</v>
      </c>
      <c r="V2701" t="s">
        <v>157</v>
      </c>
    </row>
    <row r="2702" spans="19:22" x14ac:dyDescent="0.45">
      <c r="S2702" t="s">
        <v>572</v>
      </c>
      <c r="T2702" t="s">
        <v>163</v>
      </c>
      <c r="U2702">
        <v>0.15926589782279288</v>
      </c>
      <c r="V2702" t="s">
        <v>157</v>
      </c>
    </row>
    <row r="2703" spans="19:22" x14ac:dyDescent="0.45">
      <c r="S2703" t="s">
        <v>572</v>
      </c>
      <c r="T2703" t="s">
        <v>164</v>
      </c>
      <c r="U2703">
        <v>1.6611116727592929E-2</v>
      </c>
      <c r="V2703" t="s">
        <v>157</v>
      </c>
    </row>
    <row r="2704" spans="19:22" x14ac:dyDescent="0.45">
      <c r="S2704" t="s">
        <v>572</v>
      </c>
      <c r="T2704" t="s">
        <v>165</v>
      </c>
      <c r="U2704">
        <v>1.6546834030243981E-2</v>
      </c>
      <c r="V2704" t="s">
        <v>157</v>
      </c>
    </row>
    <row r="2705" spans="19:22" x14ac:dyDescent="0.45">
      <c r="S2705" t="s">
        <v>572</v>
      </c>
      <c r="T2705" t="s">
        <v>166</v>
      </c>
      <c r="U2705">
        <v>8.1529644195063353E-2</v>
      </c>
      <c r="V2705" t="s">
        <v>157</v>
      </c>
    </row>
    <row r="2706" spans="19:22" x14ac:dyDescent="0.45">
      <c r="S2706" t="s">
        <v>572</v>
      </c>
      <c r="T2706" t="s">
        <v>167</v>
      </c>
      <c r="U2706">
        <v>3.5410841317487354E-2</v>
      </c>
      <c r="V2706" t="s">
        <v>157</v>
      </c>
    </row>
    <row r="2707" spans="19:22" x14ac:dyDescent="0.45">
      <c r="S2707" t="s">
        <v>572</v>
      </c>
      <c r="T2707" t="s">
        <v>168</v>
      </c>
      <c r="U2707">
        <v>4.8883415039340267E-2</v>
      </c>
      <c r="V2707" t="s">
        <v>157</v>
      </c>
    </row>
    <row r="2708" spans="19:22" x14ac:dyDescent="0.45">
      <c r="S2708" t="s">
        <v>572</v>
      </c>
      <c r="T2708" t="s">
        <v>169</v>
      </c>
      <c r="U2708">
        <v>5.0064657206781741E-3</v>
      </c>
      <c r="V2708" t="s">
        <v>157</v>
      </c>
    </row>
    <row r="2709" spans="19:22" x14ac:dyDescent="0.45">
      <c r="S2709" t="s">
        <v>572</v>
      </c>
      <c r="T2709" t="s">
        <v>170</v>
      </c>
      <c r="U2709">
        <v>5.0281924850336971E-3</v>
      </c>
      <c r="V2709" t="s">
        <v>157</v>
      </c>
    </row>
    <row r="2710" spans="19:22" x14ac:dyDescent="0.45">
      <c r="S2710" t="s">
        <v>572</v>
      </c>
      <c r="T2710" t="s">
        <v>171</v>
      </c>
      <c r="U2710">
        <v>2.4561331725643593E-2</v>
      </c>
      <c r="V2710" t="s">
        <v>157</v>
      </c>
    </row>
    <row r="2711" spans="19:22" x14ac:dyDescent="0.45">
      <c r="S2711" t="s">
        <v>573</v>
      </c>
      <c r="T2711" t="s">
        <v>156</v>
      </c>
      <c r="U2711">
        <v>0.14607671903338251</v>
      </c>
      <c r="V2711" t="s">
        <v>157</v>
      </c>
    </row>
    <row r="2712" spans="19:22" x14ac:dyDescent="0.45">
      <c r="S2712" t="s">
        <v>573</v>
      </c>
      <c r="T2712" t="s">
        <v>158</v>
      </c>
      <c r="U2712">
        <v>0.20856243956345433</v>
      </c>
      <c r="V2712" t="s">
        <v>157</v>
      </c>
    </row>
    <row r="2713" spans="19:22" x14ac:dyDescent="0.45">
      <c r="S2713" t="s">
        <v>573</v>
      </c>
      <c r="T2713" t="s">
        <v>159</v>
      </c>
      <c r="U2713">
        <v>2.0870037630011141E-2</v>
      </c>
      <c r="V2713" t="s">
        <v>157</v>
      </c>
    </row>
    <row r="2714" spans="19:22" x14ac:dyDescent="0.45">
      <c r="S2714" t="s">
        <v>573</v>
      </c>
      <c r="T2714" t="s">
        <v>160</v>
      </c>
      <c r="U2714">
        <v>2.0657480655248164E-2</v>
      </c>
      <c r="V2714" t="s">
        <v>157</v>
      </c>
    </row>
    <row r="2715" spans="19:22" x14ac:dyDescent="0.45">
      <c r="S2715" t="s">
        <v>573</v>
      </c>
      <c r="T2715" t="s">
        <v>161</v>
      </c>
      <c r="U2715">
        <v>0.10154714523021431</v>
      </c>
      <c r="V2715" t="s">
        <v>157</v>
      </c>
    </row>
    <row r="2716" spans="19:22" x14ac:dyDescent="0.45">
      <c r="S2716" t="s">
        <v>573</v>
      </c>
      <c r="T2716" t="s">
        <v>162</v>
      </c>
      <c r="U2716">
        <v>0.11336489616266453</v>
      </c>
      <c r="V2716" t="s">
        <v>157</v>
      </c>
    </row>
    <row r="2717" spans="19:22" x14ac:dyDescent="0.45">
      <c r="S2717" t="s">
        <v>573</v>
      </c>
      <c r="T2717" t="s">
        <v>163</v>
      </c>
      <c r="U2717">
        <v>0.15799973119871585</v>
      </c>
      <c r="V2717" t="s">
        <v>157</v>
      </c>
    </row>
    <row r="2718" spans="19:22" x14ac:dyDescent="0.45">
      <c r="S2718" t="s">
        <v>573</v>
      </c>
      <c r="T2718" t="s">
        <v>164</v>
      </c>
      <c r="U2718">
        <v>1.6748051161957239E-2</v>
      </c>
      <c r="V2718" t="s">
        <v>157</v>
      </c>
    </row>
    <row r="2719" spans="19:22" x14ac:dyDescent="0.45">
      <c r="S2719" t="s">
        <v>573</v>
      </c>
      <c r="T2719" t="s">
        <v>165</v>
      </c>
      <c r="U2719">
        <v>1.658960467609686E-2</v>
      </c>
      <c r="V2719" t="s">
        <v>157</v>
      </c>
    </row>
    <row r="2720" spans="19:22" x14ac:dyDescent="0.45">
      <c r="S2720" t="s">
        <v>573</v>
      </c>
      <c r="T2720" t="s">
        <v>166</v>
      </c>
      <c r="U2720">
        <v>8.0623300442934365E-2</v>
      </c>
      <c r="V2720" t="s">
        <v>157</v>
      </c>
    </row>
    <row r="2721" spans="19:22" x14ac:dyDescent="0.45">
      <c r="S2721" t="s">
        <v>573</v>
      </c>
      <c r="T2721" t="s">
        <v>167</v>
      </c>
      <c r="U2721">
        <v>3.5701193067671971E-2</v>
      </c>
      <c r="V2721" t="s">
        <v>157</v>
      </c>
    </row>
    <row r="2722" spans="19:22" x14ac:dyDescent="0.45">
      <c r="S2722" t="s">
        <v>573</v>
      </c>
      <c r="T2722" t="s">
        <v>168</v>
      </c>
      <c r="U2722">
        <v>4.7738172288926954E-2</v>
      </c>
      <c r="V2722" t="s">
        <v>157</v>
      </c>
    </row>
    <row r="2723" spans="19:22" x14ac:dyDescent="0.45">
      <c r="S2723" t="s">
        <v>573</v>
      </c>
      <c r="T2723" t="s">
        <v>169</v>
      </c>
      <c r="U2723">
        <v>4.7681669635485134E-3</v>
      </c>
      <c r="V2723" t="s">
        <v>157</v>
      </c>
    </row>
    <row r="2724" spans="19:22" x14ac:dyDescent="0.45">
      <c r="S2724" t="s">
        <v>573</v>
      </c>
      <c r="T2724" t="s">
        <v>170</v>
      </c>
      <c r="U2724">
        <v>4.786507321588117E-3</v>
      </c>
      <c r="V2724" t="s">
        <v>157</v>
      </c>
    </row>
    <row r="2725" spans="19:22" x14ac:dyDescent="0.45">
      <c r="S2725" t="s">
        <v>573</v>
      </c>
      <c r="T2725" t="s">
        <v>171</v>
      </c>
      <c r="U2725">
        <v>2.3966554603585075E-2</v>
      </c>
      <c r="V2725" t="s">
        <v>157</v>
      </c>
    </row>
    <row r="2726" spans="19:22" x14ac:dyDescent="0.45">
      <c r="S2726" t="s">
        <v>574</v>
      </c>
      <c r="T2726" t="s">
        <v>156</v>
      </c>
      <c r="U2726">
        <v>0.14806583973882564</v>
      </c>
      <c r="V2726" t="s">
        <v>157</v>
      </c>
    </row>
    <row r="2727" spans="19:22" x14ac:dyDescent="0.45">
      <c r="S2727" t="s">
        <v>574</v>
      </c>
      <c r="T2727" t="s">
        <v>158</v>
      </c>
      <c r="U2727">
        <v>0.21430918218789896</v>
      </c>
      <c r="V2727" t="s">
        <v>157</v>
      </c>
    </row>
    <row r="2728" spans="19:22" x14ac:dyDescent="0.45">
      <c r="S2728" t="s">
        <v>574</v>
      </c>
      <c r="T2728" t="s">
        <v>159</v>
      </c>
      <c r="U2728">
        <v>2.1525766847830374E-2</v>
      </c>
      <c r="V2728" t="s">
        <v>157</v>
      </c>
    </row>
    <row r="2729" spans="19:22" x14ac:dyDescent="0.45">
      <c r="S2729" t="s">
        <v>574</v>
      </c>
      <c r="T2729" t="s">
        <v>160</v>
      </c>
      <c r="U2729">
        <v>2.1290815295575267E-2</v>
      </c>
      <c r="V2729" t="s">
        <v>157</v>
      </c>
    </row>
    <row r="2730" spans="19:22" x14ac:dyDescent="0.45">
      <c r="S2730" t="s">
        <v>574</v>
      </c>
      <c r="T2730" t="s">
        <v>161</v>
      </c>
      <c r="U2730">
        <v>0.10302051363848555</v>
      </c>
      <c r="V2730" t="s">
        <v>157</v>
      </c>
    </row>
    <row r="2731" spans="19:22" x14ac:dyDescent="0.45">
      <c r="S2731" t="s">
        <v>574</v>
      </c>
      <c r="T2731" t="s">
        <v>162</v>
      </c>
      <c r="U2731">
        <v>0.11068031772153039</v>
      </c>
      <c r="V2731" t="s">
        <v>157</v>
      </c>
    </row>
    <row r="2732" spans="19:22" x14ac:dyDescent="0.45">
      <c r="S2732" t="s">
        <v>574</v>
      </c>
      <c r="T2732" t="s">
        <v>163</v>
      </c>
      <c r="U2732">
        <v>0.15525301437654113</v>
      </c>
      <c r="V2732" t="s">
        <v>157</v>
      </c>
    </row>
    <row r="2733" spans="19:22" x14ac:dyDescent="0.45">
      <c r="S2733" t="s">
        <v>574</v>
      </c>
      <c r="T2733" t="s">
        <v>164</v>
      </c>
      <c r="U2733">
        <v>1.6499023034939622E-2</v>
      </c>
      <c r="V2733" t="s">
        <v>157</v>
      </c>
    </row>
    <row r="2734" spans="19:22" x14ac:dyDescent="0.45">
      <c r="S2734" t="s">
        <v>574</v>
      </c>
      <c r="T2734" t="s">
        <v>165</v>
      </c>
      <c r="U2734">
        <v>1.6346332645185764E-2</v>
      </c>
      <c r="V2734" t="s">
        <v>157</v>
      </c>
    </row>
    <row r="2735" spans="19:22" x14ac:dyDescent="0.45">
      <c r="S2735" t="s">
        <v>574</v>
      </c>
      <c r="T2735" t="s">
        <v>166</v>
      </c>
      <c r="U2735">
        <v>7.9023081885738256E-2</v>
      </c>
      <c r="V2735" t="s">
        <v>157</v>
      </c>
    </row>
    <row r="2736" spans="19:22" x14ac:dyDescent="0.45">
      <c r="S2736" t="s">
        <v>574</v>
      </c>
      <c r="T2736" t="s">
        <v>167</v>
      </c>
      <c r="U2736">
        <v>3.4831646011758151E-2</v>
      </c>
      <c r="V2736" t="s">
        <v>157</v>
      </c>
    </row>
    <row r="2737" spans="19:22" x14ac:dyDescent="0.45">
      <c r="S2737" t="s">
        <v>574</v>
      </c>
      <c r="T2737" t="s">
        <v>168</v>
      </c>
      <c r="U2737">
        <v>4.6624989672354185E-2</v>
      </c>
      <c r="V2737" t="s">
        <v>157</v>
      </c>
    </row>
    <row r="2738" spans="19:22" x14ac:dyDescent="0.45">
      <c r="S2738" t="s">
        <v>574</v>
      </c>
      <c r="T2738" t="s">
        <v>169</v>
      </c>
      <c r="U2738">
        <v>4.6861696339139487E-3</v>
      </c>
      <c r="V2738" t="s">
        <v>157</v>
      </c>
    </row>
    <row r="2739" spans="19:22" x14ac:dyDescent="0.45">
      <c r="S2739" t="s">
        <v>574</v>
      </c>
      <c r="T2739" t="s">
        <v>170</v>
      </c>
      <c r="U2739">
        <v>4.651342430552984E-3</v>
      </c>
      <c r="V2739" t="s">
        <v>157</v>
      </c>
    </row>
    <row r="2740" spans="19:22" x14ac:dyDescent="0.45">
      <c r="S2740" t="s">
        <v>574</v>
      </c>
      <c r="T2740" t="s">
        <v>171</v>
      </c>
      <c r="U2740">
        <v>2.3191964878869778E-2</v>
      </c>
      <c r="V2740" t="s">
        <v>157</v>
      </c>
    </row>
    <row r="2741" spans="19:22" x14ac:dyDescent="0.45">
      <c r="S2741" t="s">
        <v>575</v>
      </c>
      <c r="T2741" t="s">
        <v>156</v>
      </c>
      <c r="U2741">
        <v>0.15002838434253674</v>
      </c>
      <c r="V2741" t="s">
        <v>157</v>
      </c>
    </row>
    <row r="2742" spans="19:22" x14ac:dyDescent="0.45">
      <c r="S2742" t="s">
        <v>575</v>
      </c>
      <c r="T2742" t="s">
        <v>158</v>
      </c>
      <c r="U2742">
        <v>0.22045867250319107</v>
      </c>
      <c r="V2742" t="s">
        <v>157</v>
      </c>
    </row>
    <row r="2743" spans="19:22" x14ac:dyDescent="0.45">
      <c r="S2743" t="s">
        <v>575</v>
      </c>
      <c r="T2743" t="s">
        <v>159</v>
      </c>
      <c r="U2743">
        <v>2.2089633438820651E-2</v>
      </c>
      <c r="V2743" t="s">
        <v>157</v>
      </c>
    </row>
    <row r="2744" spans="19:22" x14ac:dyDescent="0.45">
      <c r="S2744" t="s">
        <v>575</v>
      </c>
      <c r="T2744" t="s">
        <v>160</v>
      </c>
      <c r="U2744">
        <v>2.1897753320919665E-2</v>
      </c>
      <c r="V2744" t="s">
        <v>157</v>
      </c>
    </row>
    <row r="2745" spans="19:22" x14ac:dyDescent="0.45">
      <c r="S2745" t="s">
        <v>575</v>
      </c>
      <c r="T2745" t="s">
        <v>161</v>
      </c>
      <c r="U2745">
        <v>0.10626773524580138</v>
      </c>
      <c r="V2745" t="s">
        <v>157</v>
      </c>
    </row>
    <row r="2746" spans="19:22" x14ac:dyDescent="0.45">
      <c r="S2746" t="s">
        <v>575</v>
      </c>
      <c r="T2746" t="s">
        <v>162</v>
      </c>
      <c r="U2746">
        <v>0.10732607482556848</v>
      </c>
      <c r="V2746" t="s">
        <v>157</v>
      </c>
    </row>
    <row r="2747" spans="19:22" x14ac:dyDescent="0.45">
      <c r="S2747" t="s">
        <v>575</v>
      </c>
      <c r="T2747" t="s">
        <v>163</v>
      </c>
      <c r="U2747">
        <v>0.15279816885446201</v>
      </c>
      <c r="V2747" t="s">
        <v>157</v>
      </c>
    </row>
    <row r="2748" spans="19:22" x14ac:dyDescent="0.45">
      <c r="S2748" t="s">
        <v>575</v>
      </c>
      <c r="T2748" t="s">
        <v>164</v>
      </c>
      <c r="U2748">
        <v>1.6064174416311135E-2</v>
      </c>
      <c r="V2748" t="s">
        <v>157</v>
      </c>
    </row>
    <row r="2749" spans="19:22" x14ac:dyDescent="0.45">
      <c r="S2749" t="s">
        <v>575</v>
      </c>
      <c r="T2749" t="s">
        <v>165</v>
      </c>
      <c r="U2749">
        <v>1.5951026248081587E-2</v>
      </c>
      <c r="V2749" t="s">
        <v>157</v>
      </c>
    </row>
    <row r="2750" spans="19:22" x14ac:dyDescent="0.45">
      <c r="S2750" t="s">
        <v>575</v>
      </c>
      <c r="T2750" t="s">
        <v>166</v>
      </c>
      <c r="U2750">
        <v>7.6568840059607832E-2</v>
      </c>
      <c r="V2750" t="s">
        <v>157</v>
      </c>
    </row>
    <row r="2751" spans="19:22" x14ac:dyDescent="0.45">
      <c r="S2751" t="s">
        <v>575</v>
      </c>
      <c r="T2751" t="s">
        <v>167</v>
      </c>
      <c r="U2751">
        <v>3.3454788959976799E-2</v>
      </c>
      <c r="V2751" t="s">
        <v>157</v>
      </c>
    </row>
    <row r="2752" spans="19:22" x14ac:dyDescent="0.45">
      <c r="S2752" t="s">
        <v>575</v>
      </c>
      <c r="T2752" t="s">
        <v>168</v>
      </c>
      <c r="U2752">
        <v>4.5466629965658881E-2</v>
      </c>
      <c r="V2752" t="s">
        <v>157</v>
      </c>
    </row>
    <row r="2753" spans="19:22" x14ac:dyDescent="0.45">
      <c r="S2753" t="s">
        <v>575</v>
      </c>
      <c r="T2753" t="s">
        <v>169</v>
      </c>
      <c r="U2753">
        <v>4.7011724694384647E-3</v>
      </c>
      <c r="V2753" t="s">
        <v>157</v>
      </c>
    </row>
    <row r="2754" spans="19:22" x14ac:dyDescent="0.45">
      <c r="S2754" t="s">
        <v>575</v>
      </c>
      <c r="T2754" t="s">
        <v>170</v>
      </c>
      <c r="U2754">
        <v>4.7161885829816695E-3</v>
      </c>
      <c r="V2754" t="s">
        <v>157</v>
      </c>
    </row>
    <row r="2755" spans="19:22" x14ac:dyDescent="0.45">
      <c r="S2755" t="s">
        <v>575</v>
      </c>
      <c r="T2755" t="s">
        <v>171</v>
      </c>
      <c r="U2755">
        <v>2.2210756766643643E-2</v>
      </c>
      <c r="V2755" t="s">
        <v>157</v>
      </c>
    </row>
    <row r="2756" spans="19:22" x14ac:dyDescent="0.45">
      <c r="S2756" t="s">
        <v>576</v>
      </c>
      <c r="T2756" t="s">
        <v>156</v>
      </c>
      <c r="U2756">
        <v>0.1512732256046862</v>
      </c>
      <c r="V2756" t="s">
        <v>157</v>
      </c>
    </row>
    <row r="2757" spans="19:22" x14ac:dyDescent="0.45">
      <c r="S2757" t="s">
        <v>576</v>
      </c>
      <c r="T2757" t="s">
        <v>158</v>
      </c>
      <c r="U2757">
        <v>0.22414736616281369</v>
      </c>
      <c r="V2757" t="s">
        <v>157</v>
      </c>
    </row>
    <row r="2758" spans="19:22" x14ac:dyDescent="0.45">
      <c r="S2758" t="s">
        <v>576</v>
      </c>
      <c r="T2758" t="s">
        <v>159</v>
      </c>
      <c r="U2758">
        <v>2.2474388335662756E-2</v>
      </c>
      <c r="V2758" t="s">
        <v>157</v>
      </c>
    </row>
    <row r="2759" spans="19:22" x14ac:dyDescent="0.45">
      <c r="S2759" t="s">
        <v>576</v>
      </c>
      <c r="T2759" t="s">
        <v>160</v>
      </c>
      <c r="U2759">
        <v>2.2568269334976243E-2</v>
      </c>
      <c r="V2759" t="s">
        <v>157</v>
      </c>
    </row>
    <row r="2760" spans="19:22" x14ac:dyDescent="0.45">
      <c r="S2760" t="s">
        <v>576</v>
      </c>
      <c r="T2760" t="s">
        <v>161</v>
      </c>
      <c r="U2760">
        <v>0.10935697490960486</v>
      </c>
      <c r="V2760" t="s">
        <v>157</v>
      </c>
    </row>
    <row r="2761" spans="19:22" x14ac:dyDescent="0.45">
      <c r="S2761" t="s">
        <v>576</v>
      </c>
      <c r="T2761" t="s">
        <v>162</v>
      </c>
      <c r="U2761">
        <v>0.10437132020548015</v>
      </c>
      <c r="V2761" t="s">
        <v>157</v>
      </c>
    </row>
    <row r="2762" spans="19:22" x14ac:dyDescent="0.45">
      <c r="S2762" t="s">
        <v>576</v>
      </c>
      <c r="T2762" t="s">
        <v>163</v>
      </c>
      <c r="U2762">
        <v>0.15047508448920324</v>
      </c>
      <c r="V2762" t="s">
        <v>157</v>
      </c>
    </row>
    <row r="2763" spans="19:22" x14ac:dyDescent="0.45">
      <c r="S2763" t="s">
        <v>576</v>
      </c>
      <c r="T2763" t="s">
        <v>164</v>
      </c>
      <c r="U2763">
        <v>1.5567630509214805E-2</v>
      </c>
      <c r="V2763" t="s">
        <v>157</v>
      </c>
    </row>
    <row r="2764" spans="19:22" x14ac:dyDescent="0.45">
      <c r="S2764" t="s">
        <v>576</v>
      </c>
      <c r="T2764" t="s">
        <v>165</v>
      </c>
      <c r="U2764">
        <v>1.5439534455639748E-2</v>
      </c>
      <c r="V2764" t="s">
        <v>157</v>
      </c>
    </row>
    <row r="2765" spans="19:22" x14ac:dyDescent="0.45">
      <c r="S2765" t="s">
        <v>576</v>
      </c>
      <c r="T2765" t="s">
        <v>166</v>
      </c>
      <c r="U2765">
        <v>7.3925747728662949E-2</v>
      </c>
      <c r="V2765" t="s">
        <v>157</v>
      </c>
    </row>
    <row r="2766" spans="19:22" x14ac:dyDescent="0.45">
      <c r="S2766" t="s">
        <v>576</v>
      </c>
      <c r="T2766" t="s">
        <v>167</v>
      </c>
      <c r="U2766">
        <v>3.3141432074923385E-2</v>
      </c>
      <c r="V2766" t="s">
        <v>157</v>
      </c>
    </row>
    <row r="2767" spans="19:22" x14ac:dyDescent="0.45">
      <c r="S2767" t="s">
        <v>576</v>
      </c>
      <c r="T2767" t="s">
        <v>168</v>
      </c>
      <c r="U2767">
        <v>4.5904796781843817E-2</v>
      </c>
      <c r="V2767" t="s">
        <v>157</v>
      </c>
    </row>
    <row r="2768" spans="19:22" x14ac:dyDescent="0.45">
      <c r="S2768" t="s">
        <v>576</v>
      </c>
      <c r="T2768" t="s">
        <v>169</v>
      </c>
      <c r="U2768">
        <v>4.7219426522439271E-3</v>
      </c>
      <c r="V2768" t="s">
        <v>157</v>
      </c>
    </row>
    <row r="2769" spans="19:22" x14ac:dyDescent="0.45">
      <c r="S2769" t="s">
        <v>576</v>
      </c>
      <c r="T2769" t="s">
        <v>170</v>
      </c>
      <c r="U2769">
        <v>4.7085257317505671E-3</v>
      </c>
      <c r="V2769" t="s">
        <v>157</v>
      </c>
    </row>
    <row r="2770" spans="19:22" x14ac:dyDescent="0.45">
      <c r="S2770" t="s">
        <v>576</v>
      </c>
      <c r="T2770" t="s">
        <v>171</v>
      </c>
      <c r="U2770">
        <v>2.1923761023293787E-2</v>
      </c>
      <c r="V2770" t="s">
        <v>157</v>
      </c>
    </row>
    <row r="2771" spans="19:22" x14ac:dyDescent="0.45">
      <c r="S2771" t="s">
        <v>577</v>
      </c>
      <c r="T2771" t="s">
        <v>156</v>
      </c>
      <c r="U2771">
        <v>0.13637942442875992</v>
      </c>
      <c r="V2771" t="s">
        <v>157</v>
      </c>
    </row>
    <row r="2772" spans="19:22" x14ac:dyDescent="0.45">
      <c r="S2772" t="s">
        <v>577</v>
      </c>
      <c r="T2772" t="s">
        <v>158</v>
      </c>
      <c r="U2772">
        <v>0.19027485037680761</v>
      </c>
      <c r="V2772" t="s">
        <v>157</v>
      </c>
    </row>
    <row r="2773" spans="19:22" x14ac:dyDescent="0.45">
      <c r="S2773" t="s">
        <v>577</v>
      </c>
      <c r="T2773" t="s">
        <v>159</v>
      </c>
      <c r="U2773">
        <v>2.1799092360818673E-2</v>
      </c>
      <c r="V2773" t="s">
        <v>157</v>
      </c>
    </row>
    <row r="2774" spans="19:22" x14ac:dyDescent="0.45">
      <c r="S2774" t="s">
        <v>577</v>
      </c>
      <c r="T2774" t="s">
        <v>160</v>
      </c>
      <c r="U2774">
        <v>2.2236379088073101E-2</v>
      </c>
      <c r="V2774" t="s">
        <v>157</v>
      </c>
    </row>
    <row r="2775" spans="19:22" x14ac:dyDescent="0.45">
      <c r="S2775" t="s">
        <v>577</v>
      </c>
      <c r="T2775" t="s">
        <v>161</v>
      </c>
      <c r="U2775">
        <v>0.11039879739221256</v>
      </c>
      <c r="V2775" t="s">
        <v>157</v>
      </c>
    </row>
    <row r="2776" spans="19:22" x14ac:dyDescent="0.45">
      <c r="S2776" t="s">
        <v>577</v>
      </c>
      <c r="T2776" t="s">
        <v>162</v>
      </c>
      <c r="U2776">
        <v>0.1123072879444577</v>
      </c>
      <c r="V2776" t="s">
        <v>157</v>
      </c>
    </row>
    <row r="2777" spans="19:22" x14ac:dyDescent="0.45">
      <c r="S2777" t="s">
        <v>577</v>
      </c>
      <c r="T2777" t="s">
        <v>163</v>
      </c>
      <c r="U2777">
        <v>0.14351330165809983</v>
      </c>
      <c r="V2777" t="s">
        <v>157</v>
      </c>
    </row>
    <row r="2778" spans="19:22" x14ac:dyDescent="0.45">
      <c r="S2778" t="s">
        <v>577</v>
      </c>
      <c r="T2778" t="s">
        <v>164</v>
      </c>
      <c r="U2778">
        <v>1.5685825130445984E-2</v>
      </c>
      <c r="V2778" t="s">
        <v>157</v>
      </c>
    </row>
    <row r="2779" spans="19:22" x14ac:dyDescent="0.45">
      <c r="S2779" t="s">
        <v>577</v>
      </c>
      <c r="T2779" t="s">
        <v>165</v>
      </c>
      <c r="U2779">
        <v>1.6311283562914093E-2</v>
      </c>
      <c r="V2779" t="s">
        <v>157</v>
      </c>
    </row>
    <row r="2780" spans="19:22" x14ac:dyDescent="0.45">
      <c r="S2780" t="s">
        <v>577</v>
      </c>
      <c r="T2780" t="s">
        <v>166</v>
      </c>
      <c r="U2780">
        <v>8.6550422174195563E-2</v>
      </c>
      <c r="V2780" t="s">
        <v>157</v>
      </c>
    </row>
    <row r="2781" spans="19:22" x14ac:dyDescent="0.45">
      <c r="S2781" t="s">
        <v>577</v>
      </c>
      <c r="T2781" t="s">
        <v>167</v>
      </c>
      <c r="U2781">
        <v>4.1153574663282018E-2</v>
      </c>
      <c r="V2781" t="s">
        <v>157</v>
      </c>
    </row>
    <row r="2782" spans="19:22" x14ac:dyDescent="0.45">
      <c r="S2782" t="s">
        <v>577</v>
      </c>
      <c r="T2782" t="s">
        <v>168</v>
      </c>
      <c r="U2782">
        <v>5.6072571565474877E-2</v>
      </c>
      <c r="V2782" t="s">
        <v>157</v>
      </c>
    </row>
    <row r="2783" spans="19:22" x14ac:dyDescent="0.45">
      <c r="S2783" t="s">
        <v>577</v>
      </c>
      <c r="T2783" t="s">
        <v>169</v>
      </c>
      <c r="U2783">
        <v>6.8691721062481949E-3</v>
      </c>
      <c r="V2783" t="s">
        <v>157</v>
      </c>
    </row>
    <row r="2784" spans="19:22" x14ac:dyDescent="0.45">
      <c r="S2784" t="s">
        <v>577</v>
      </c>
      <c r="T2784" t="s">
        <v>170</v>
      </c>
      <c r="U2784">
        <v>6.9441584807916215E-3</v>
      </c>
      <c r="V2784" t="s">
        <v>157</v>
      </c>
    </row>
    <row r="2785" spans="19:22" x14ac:dyDescent="0.45">
      <c r="S2785" t="s">
        <v>577</v>
      </c>
      <c r="T2785" t="s">
        <v>171</v>
      </c>
      <c r="U2785">
        <v>3.3503859067418235E-2</v>
      </c>
      <c r="V2785" t="s">
        <v>157</v>
      </c>
    </row>
    <row r="2786" spans="19:22" x14ac:dyDescent="0.45">
      <c r="S2786" t="s">
        <v>578</v>
      </c>
      <c r="T2786" t="s">
        <v>156</v>
      </c>
      <c r="U2786">
        <v>0.13246060119643516</v>
      </c>
      <c r="V2786" t="s">
        <v>157</v>
      </c>
    </row>
    <row r="2787" spans="19:22" x14ac:dyDescent="0.45">
      <c r="S2787" t="s">
        <v>578</v>
      </c>
      <c r="T2787" t="s">
        <v>158</v>
      </c>
      <c r="U2787">
        <v>0.18252705032763941</v>
      </c>
      <c r="V2787" t="s">
        <v>157</v>
      </c>
    </row>
    <row r="2788" spans="19:22" x14ac:dyDescent="0.45">
      <c r="S2788" t="s">
        <v>578</v>
      </c>
      <c r="T2788" t="s">
        <v>159</v>
      </c>
      <c r="U2788">
        <v>2.262569193821452E-2</v>
      </c>
      <c r="V2788" t="s">
        <v>157</v>
      </c>
    </row>
    <row r="2789" spans="19:22" x14ac:dyDescent="0.45">
      <c r="S2789" t="s">
        <v>578</v>
      </c>
      <c r="T2789" t="s">
        <v>160</v>
      </c>
      <c r="U2789">
        <v>2.3009078339841709E-2</v>
      </c>
      <c r="V2789" t="s">
        <v>157</v>
      </c>
    </row>
    <row r="2790" spans="19:22" x14ac:dyDescent="0.45">
      <c r="S2790" t="s">
        <v>578</v>
      </c>
      <c r="T2790" t="s">
        <v>161</v>
      </c>
      <c r="U2790">
        <v>0.11141989475980273</v>
      </c>
      <c r="V2790" t="s">
        <v>157</v>
      </c>
    </row>
    <row r="2791" spans="19:22" x14ac:dyDescent="0.45">
      <c r="S2791" t="s">
        <v>578</v>
      </c>
      <c r="T2791" t="s">
        <v>162</v>
      </c>
      <c r="U2791">
        <v>0.11761779850098471</v>
      </c>
      <c r="V2791" t="s">
        <v>157</v>
      </c>
    </row>
    <row r="2792" spans="19:22" x14ac:dyDescent="0.45">
      <c r="S2792" t="s">
        <v>578</v>
      </c>
      <c r="T2792" t="s">
        <v>163</v>
      </c>
      <c r="U2792">
        <v>0.1438542025694067</v>
      </c>
      <c r="V2792" t="s">
        <v>157</v>
      </c>
    </row>
    <row r="2793" spans="19:22" x14ac:dyDescent="0.45">
      <c r="S2793" t="s">
        <v>578</v>
      </c>
      <c r="T2793" t="s">
        <v>164</v>
      </c>
      <c r="U2793">
        <v>1.6067834910405445E-2</v>
      </c>
      <c r="V2793" t="s">
        <v>157</v>
      </c>
    </row>
    <row r="2794" spans="19:22" x14ac:dyDescent="0.45">
      <c r="S2794" t="s">
        <v>578</v>
      </c>
      <c r="T2794" t="s">
        <v>165</v>
      </c>
      <c r="U2794">
        <v>1.6535923243125566E-2</v>
      </c>
      <c r="V2794" t="s">
        <v>157</v>
      </c>
    </row>
    <row r="2795" spans="19:22" x14ac:dyDescent="0.45">
      <c r="S2795" t="s">
        <v>578</v>
      </c>
      <c r="T2795" t="s">
        <v>166</v>
      </c>
      <c r="U2795">
        <v>8.9360146019034137E-2</v>
      </c>
      <c r="V2795" t="s">
        <v>157</v>
      </c>
    </row>
    <row r="2796" spans="19:22" x14ac:dyDescent="0.45">
      <c r="S2796" t="s">
        <v>578</v>
      </c>
      <c r="T2796" t="s">
        <v>167</v>
      </c>
      <c r="U2796">
        <v>4.1325937702189119E-2</v>
      </c>
      <c r="V2796" t="s">
        <v>157</v>
      </c>
    </row>
    <row r="2797" spans="19:22" x14ac:dyDescent="0.45">
      <c r="S2797" t="s">
        <v>578</v>
      </c>
      <c r="T2797" t="s">
        <v>168</v>
      </c>
      <c r="U2797">
        <v>5.4576502334136259E-2</v>
      </c>
      <c r="V2797" t="s">
        <v>157</v>
      </c>
    </row>
    <row r="2798" spans="19:22" x14ac:dyDescent="0.45">
      <c r="S2798" t="s">
        <v>578</v>
      </c>
      <c r="T2798" t="s">
        <v>169</v>
      </c>
      <c r="U2798">
        <v>7.3550496131394149E-3</v>
      </c>
      <c r="V2798" t="s">
        <v>157</v>
      </c>
    </row>
    <row r="2799" spans="19:22" x14ac:dyDescent="0.45">
      <c r="S2799" t="s">
        <v>578</v>
      </c>
      <c r="T2799" t="s">
        <v>170</v>
      </c>
      <c r="U2799">
        <v>7.2142392906573375E-3</v>
      </c>
      <c r="V2799" t="s">
        <v>157</v>
      </c>
    </row>
    <row r="2800" spans="19:22" x14ac:dyDescent="0.45">
      <c r="S2800" t="s">
        <v>578</v>
      </c>
      <c r="T2800" t="s">
        <v>171</v>
      </c>
      <c r="U2800">
        <v>3.4050049254987842E-2</v>
      </c>
      <c r="V2800" t="s">
        <v>157</v>
      </c>
    </row>
    <row r="2801" spans="19:22" x14ac:dyDescent="0.45">
      <c r="S2801" t="s">
        <v>579</v>
      </c>
      <c r="T2801" t="s">
        <v>156</v>
      </c>
      <c r="U2801">
        <v>0.12705858904908554</v>
      </c>
      <c r="V2801" t="s">
        <v>157</v>
      </c>
    </row>
    <row r="2802" spans="19:22" x14ac:dyDescent="0.45">
      <c r="S2802" t="s">
        <v>579</v>
      </c>
      <c r="T2802" t="s">
        <v>158</v>
      </c>
      <c r="U2802">
        <v>0.18202256348891704</v>
      </c>
      <c r="V2802" t="s">
        <v>157</v>
      </c>
    </row>
    <row r="2803" spans="19:22" x14ac:dyDescent="0.45">
      <c r="S2803" t="s">
        <v>579</v>
      </c>
      <c r="T2803" t="s">
        <v>159</v>
      </c>
      <c r="U2803">
        <v>2.3244439008599422E-2</v>
      </c>
      <c r="V2803" t="s">
        <v>157</v>
      </c>
    </row>
    <row r="2804" spans="19:22" x14ac:dyDescent="0.45">
      <c r="S2804" t="s">
        <v>579</v>
      </c>
      <c r="T2804" t="s">
        <v>160</v>
      </c>
      <c r="U2804">
        <v>2.3366271139372636E-2</v>
      </c>
      <c r="V2804" t="s">
        <v>157</v>
      </c>
    </row>
    <row r="2805" spans="19:22" x14ac:dyDescent="0.45">
      <c r="S2805" t="s">
        <v>579</v>
      </c>
      <c r="T2805" t="s">
        <v>161</v>
      </c>
      <c r="U2805">
        <v>0.11030845385138364</v>
      </c>
      <c r="V2805" t="s">
        <v>157</v>
      </c>
    </row>
    <row r="2806" spans="19:22" x14ac:dyDescent="0.45">
      <c r="S2806" t="s">
        <v>579</v>
      </c>
      <c r="T2806" t="s">
        <v>162</v>
      </c>
      <c r="U2806">
        <v>0.11976669265706563</v>
      </c>
      <c r="V2806" t="s">
        <v>157</v>
      </c>
    </row>
    <row r="2807" spans="19:22" x14ac:dyDescent="0.45">
      <c r="S2807" t="s">
        <v>579</v>
      </c>
      <c r="T2807" t="s">
        <v>163</v>
      </c>
      <c r="U2807">
        <v>0.14821748374139271</v>
      </c>
      <c r="V2807" t="s">
        <v>157</v>
      </c>
    </row>
    <row r="2808" spans="19:22" x14ac:dyDescent="0.45">
      <c r="S2808" t="s">
        <v>579</v>
      </c>
      <c r="T2808" t="s">
        <v>164</v>
      </c>
      <c r="U2808">
        <v>1.6835069351685175E-2</v>
      </c>
      <c r="V2808" t="s">
        <v>157</v>
      </c>
    </row>
    <row r="2809" spans="19:22" x14ac:dyDescent="0.45">
      <c r="S2809" t="s">
        <v>579</v>
      </c>
      <c r="T2809" t="s">
        <v>165</v>
      </c>
      <c r="U2809">
        <v>1.7424981050507705E-2</v>
      </c>
      <c r="V2809" t="s">
        <v>157</v>
      </c>
    </row>
    <row r="2810" spans="19:22" x14ac:dyDescent="0.45">
      <c r="S2810" t="s">
        <v>579</v>
      </c>
      <c r="T2810" t="s">
        <v>166</v>
      </c>
      <c r="U2810">
        <v>9.1262657509753237E-2</v>
      </c>
      <c r="V2810" t="s">
        <v>157</v>
      </c>
    </row>
    <row r="2811" spans="19:22" x14ac:dyDescent="0.45">
      <c r="S2811" t="s">
        <v>579</v>
      </c>
      <c r="T2811" t="s">
        <v>167</v>
      </c>
      <c r="U2811">
        <v>3.9574457125000316E-2</v>
      </c>
      <c r="V2811" t="s">
        <v>157</v>
      </c>
    </row>
    <row r="2812" spans="19:22" x14ac:dyDescent="0.45">
      <c r="S2812" t="s">
        <v>579</v>
      </c>
      <c r="T2812" t="s">
        <v>168</v>
      </c>
      <c r="U2812">
        <v>5.277221144343186E-2</v>
      </c>
      <c r="V2812" t="s">
        <v>157</v>
      </c>
    </row>
    <row r="2813" spans="19:22" x14ac:dyDescent="0.45">
      <c r="S2813" t="s">
        <v>579</v>
      </c>
      <c r="T2813" t="s">
        <v>169</v>
      </c>
      <c r="U2813">
        <v>7.2425187916017051E-3</v>
      </c>
      <c r="V2813" t="s">
        <v>157</v>
      </c>
    </row>
    <row r="2814" spans="19:22" x14ac:dyDescent="0.45">
      <c r="S2814" t="s">
        <v>579</v>
      </c>
      <c r="T2814" t="s">
        <v>170</v>
      </c>
      <c r="U2814">
        <v>7.0051150490532694E-3</v>
      </c>
      <c r="V2814" t="s">
        <v>157</v>
      </c>
    </row>
    <row r="2815" spans="19:22" x14ac:dyDescent="0.45">
      <c r="S2815" t="s">
        <v>579</v>
      </c>
      <c r="T2815" t="s">
        <v>171</v>
      </c>
      <c r="U2815">
        <v>3.3898496743150146E-2</v>
      </c>
      <c r="V2815" t="s">
        <v>157</v>
      </c>
    </row>
    <row r="2816" spans="19:22" x14ac:dyDescent="0.45">
      <c r="S2816" t="s">
        <v>580</v>
      </c>
      <c r="T2816" t="s">
        <v>156</v>
      </c>
      <c r="U2816">
        <v>0.11490563248124856</v>
      </c>
      <c r="V2816" t="s">
        <v>157</v>
      </c>
    </row>
    <row r="2817" spans="19:22" x14ac:dyDescent="0.45">
      <c r="S2817" t="s">
        <v>580</v>
      </c>
      <c r="T2817" t="s">
        <v>158</v>
      </c>
      <c r="U2817">
        <v>0.16842335963522684</v>
      </c>
      <c r="V2817" t="s">
        <v>157</v>
      </c>
    </row>
    <row r="2818" spans="19:22" x14ac:dyDescent="0.45">
      <c r="S2818" t="s">
        <v>580</v>
      </c>
      <c r="T2818" t="s">
        <v>159</v>
      </c>
      <c r="U2818">
        <v>1.8061319742701452E-2</v>
      </c>
      <c r="V2818" t="s">
        <v>157</v>
      </c>
    </row>
    <row r="2819" spans="19:22" x14ac:dyDescent="0.45">
      <c r="S2819" t="s">
        <v>580</v>
      </c>
      <c r="T2819" t="s">
        <v>160</v>
      </c>
      <c r="U2819">
        <v>1.784606351739319E-2</v>
      </c>
      <c r="V2819" t="s">
        <v>157</v>
      </c>
    </row>
    <row r="2820" spans="19:22" x14ac:dyDescent="0.45">
      <c r="S2820" t="s">
        <v>580</v>
      </c>
      <c r="T2820" t="s">
        <v>161</v>
      </c>
      <c r="U2820">
        <v>8.4380487386182132E-2</v>
      </c>
      <c r="V2820" t="s">
        <v>157</v>
      </c>
    </row>
    <row r="2821" spans="19:22" x14ac:dyDescent="0.45">
      <c r="S2821" t="s">
        <v>580</v>
      </c>
      <c r="T2821" t="s">
        <v>162</v>
      </c>
      <c r="U2821">
        <v>0.11888368834537337</v>
      </c>
      <c r="V2821" t="s">
        <v>157</v>
      </c>
    </row>
    <row r="2822" spans="19:22" x14ac:dyDescent="0.45">
      <c r="S2822" t="s">
        <v>580</v>
      </c>
      <c r="T2822" t="s">
        <v>163</v>
      </c>
      <c r="U2822">
        <v>0.1759405585966031</v>
      </c>
      <c r="V2822" t="s">
        <v>157</v>
      </c>
    </row>
    <row r="2823" spans="19:22" x14ac:dyDescent="0.45">
      <c r="S2823" t="s">
        <v>580</v>
      </c>
      <c r="T2823" t="s">
        <v>164</v>
      </c>
      <c r="U2823">
        <v>1.8856758272081234E-2</v>
      </c>
      <c r="V2823" t="s">
        <v>157</v>
      </c>
    </row>
    <row r="2824" spans="19:22" x14ac:dyDescent="0.45">
      <c r="S2824" t="s">
        <v>580</v>
      </c>
      <c r="T2824" t="s">
        <v>165</v>
      </c>
      <c r="U2824">
        <v>1.8648946204716573E-2</v>
      </c>
      <c r="V2824" t="s">
        <v>157</v>
      </c>
    </row>
    <row r="2825" spans="19:22" x14ac:dyDescent="0.45">
      <c r="S2825" t="s">
        <v>580</v>
      </c>
      <c r="T2825" t="s">
        <v>166</v>
      </c>
      <c r="U2825">
        <v>8.7935249556983605E-2</v>
      </c>
      <c r="V2825" t="s">
        <v>157</v>
      </c>
    </row>
    <row r="2826" spans="19:22" x14ac:dyDescent="0.45">
      <c r="S2826" t="s">
        <v>580</v>
      </c>
      <c r="T2826" t="s">
        <v>167</v>
      </c>
      <c r="U2826">
        <v>4.5066523183760664E-2</v>
      </c>
      <c r="V2826" t="s">
        <v>157</v>
      </c>
    </row>
    <row r="2827" spans="19:22" x14ac:dyDescent="0.45">
      <c r="S2827" t="s">
        <v>580</v>
      </c>
      <c r="T2827" t="s">
        <v>168</v>
      </c>
      <c r="U2827">
        <v>7.6760491501699266E-2</v>
      </c>
      <c r="V2827" t="s">
        <v>157</v>
      </c>
    </row>
    <row r="2828" spans="19:22" x14ac:dyDescent="0.45">
      <c r="S2828" t="s">
        <v>580</v>
      </c>
      <c r="T2828" t="s">
        <v>169</v>
      </c>
      <c r="U2828">
        <v>8.5118120313236144E-3</v>
      </c>
      <c r="V2828" t="s">
        <v>157</v>
      </c>
    </row>
    <row r="2829" spans="19:22" x14ac:dyDescent="0.45">
      <c r="S2829" t="s">
        <v>580</v>
      </c>
      <c r="T2829" t="s">
        <v>170</v>
      </c>
      <c r="U2829">
        <v>8.3545674973053569E-3</v>
      </c>
      <c r="V2829" t="s">
        <v>157</v>
      </c>
    </row>
    <row r="2830" spans="19:22" x14ac:dyDescent="0.45">
      <c r="S2830" t="s">
        <v>580</v>
      </c>
      <c r="T2830" t="s">
        <v>171</v>
      </c>
      <c r="U2830">
        <v>3.7424542047401005E-2</v>
      </c>
      <c r="V2830" t="s">
        <v>157</v>
      </c>
    </row>
    <row r="2831" spans="19:22" x14ac:dyDescent="0.45">
      <c r="S2831" t="s">
        <v>581</v>
      </c>
      <c r="T2831" t="s">
        <v>156</v>
      </c>
      <c r="U2831">
        <v>0.12526207334716036</v>
      </c>
      <c r="V2831" t="s">
        <v>157</v>
      </c>
    </row>
    <row r="2832" spans="19:22" x14ac:dyDescent="0.45">
      <c r="S2832" t="s">
        <v>581</v>
      </c>
      <c r="T2832" t="s">
        <v>158</v>
      </c>
      <c r="U2832">
        <v>0.17280876004270973</v>
      </c>
      <c r="V2832" t="s">
        <v>157</v>
      </c>
    </row>
    <row r="2833" spans="19:22" x14ac:dyDescent="0.45">
      <c r="S2833" t="s">
        <v>581</v>
      </c>
      <c r="T2833" t="s">
        <v>159</v>
      </c>
      <c r="U2833">
        <v>1.7756522571539261E-2</v>
      </c>
      <c r="V2833" t="s">
        <v>157</v>
      </c>
    </row>
    <row r="2834" spans="19:22" x14ac:dyDescent="0.45">
      <c r="S2834" t="s">
        <v>581</v>
      </c>
      <c r="T2834" t="s">
        <v>160</v>
      </c>
      <c r="U2834">
        <v>1.7668924811011826E-2</v>
      </c>
      <c r="V2834" t="s">
        <v>157</v>
      </c>
    </row>
    <row r="2835" spans="19:22" x14ac:dyDescent="0.45">
      <c r="S2835" t="s">
        <v>581</v>
      </c>
      <c r="T2835" t="s">
        <v>161</v>
      </c>
      <c r="U2835">
        <v>8.7106416878078477E-2</v>
      </c>
      <c r="V2835" t="s">
        <v>157</v>
      </c>
    </row>
    <row r="2836" spans="19:22" x14ac:dyDescent="0.45">
      <c r="S2836" t="s">
        <v>581</v>
      </c>
      <c r="T2836" t="s">
        <v>162</v>
      </c>
      <c r="U2836">
        <v>0.11722235003288356</v>
      </c>
      <c r="V2836" t="s">
        <v>157</v>
      </c>
    </row>
    <row r="2837" spans="19:22" x14ac:dyDescent="0.45">
      <c r="S2837" t="s">
        <v>581</v>
      </c>
      <c r="T2837" t="s">
        <v>163</v>
      </c>
      <c r="U2837">
        <v>0.16890277575748436</v>
      </c>
      <c r="V2837" t="s">
        <v>157</v>
      </c>
    </row>
    <row r="2838" spans="19:22" x14ac:dyDescent="0.45">
      <c r="S2838" t="s">
        <v>581</v>
      </c>
      <c r="T2838" t="s">
        <v>164</v>
      </c>
      <c r="U2838">
        <v>1.757103916642936E-2</v>
      </c>
      <c r="V2838" t="s">
        <v>157</v>
      </c>
    </row>
    <row r="2839" spans="19:22" x14ac:dyDescent="0.45">
      <c r="S2839" t="s">
        <v>581</v>
      </c>
      <c r="T2839" t="s">
        <v>165</v>
      </c>
      <c r="U2839">
        <v>1.7652051074447145E-2</v>
      </c>
      <c r="V2839" t="s">
        <v>157</v>
      </c>
    </row>
    <row r="2840" spans="19:22" x14ac:dyDescent="0.45">
      <c r="S2840" t="s">
        <v>581</v>
      </c>
      <c r="T2840" t="s">
        <v>166</v>
      </c>
      <c r="U2840">
        <v>8.601184756600995E-2</v>
      </c>
      <c r="V2840" t="s">
        <v>157</v>
      </c>
    </row>
    <row r="2841" spans="19:22" x14ac:dyDescent="0.45">
      <c r="S2841" t="s">
        <v>581</v>
      </c>
      <c r="T2841" t="s">
        <v>167</v>
      </c>
      <c r="U2841">
        <v>4.6849031782927389E-2</v>
      </c>
      <c r="V2841" t="s">
        <v>157</v>
      </c>
    </row>
    <row r="2842" spans="19:22" x14ac:dyDescent="0.45">
      <c r="S2842" t="s">
        <v>581</v>
      </c>
      <c r="T2842" t="s">
        <v>168</v>
      </c>
      <c r="U2842">
        <v>7.2734303516820906E-2</v>
      </c>
      <c r="V2842" t="s">
        <v>157</v>
      </c>
    </row>
    <row r="2843" spans="19:22" x14ac:dyDescent="0.45">
      <c r="S2843" t="s">
        <v>581</v>
      </c>
      <c r="T2843" t="s">
        <v>169</v>
      </c>
      <c r="U2843">
        <v>7.7470297006249833E-3</v>
      </c>
      <c r="V2843" t="s">
        <v>157</v>
      </c>
    </row>
    <row r="2844" spans="19:22" x14ac:dyDescent="0.45">
      <c r="S2844" t="s">
        <v>581</v>
      </c>
      <c r="T2844" t="s">
        <v>170</v>
      </c>
      <c r="U2844">
        <v>7.765335857592928E-3</v>
      </c>
      <c r="V2844" t="s">
        <v>157</v>
      </c>
    </row>
    <row r="2845" spans="19:22" x14ac:dyDescent="0.45">
      <c r="S2845" t="s">
        <v>581</v>
      </c>
      <c r="T2845" t="s">
        <v>171</v>
      </c>
      <c r="U2845">
        <v>3.6941537894279758E-2</v>
      </c>
      <c r="V2845" t="s">
        <v>157</v>
      </c>
    </row>
    <row r="2846" spans="19:22" x14ac:dyDescent="0.45">
      <c r="S2846" t="s">
        <v>582</v>
      </c>
      <c r="T2846" t="s">
        <v>156</v>
      </c>
      <c r="U2846">
        <v>0.13235811247212051</v>
      </c>
      <c r="V2846" t="s">
        <v>157</v>
      </c>
    </row>
    <row r="2847" spans="19:22" x14ac:dyDescent="0.45">
      <c r="S2847" t="s">
        <v>582</v>
      </c>
      <c r="T2847" t="s">
        <v>158</v>
      </c>
      <c r="U2847">
        <v>0.17890027816982962</v>
      </c>
      <c r="V2847" t="s">
        <v>157</v>
      </c>
    </row>
    <row r="2848" spans="19:22" x14ac:dyDescent="0.45">
      <c r="S2848" t="s">
        <v>582</v>
      </c>
      <c r="T2848" t="s">
        <v>159</v>
      </c>
      <c r="U2848">
        <v>1.7749735204841875E-2</v>
      </c>
      <c r="V2848" t="s">
        <v>157</v>
      </c>
    </row>
    <row r="2849" spans="19:22" x14ac:dyDescent="0.45">
      <c r="S2849" t="s">
        <v>582</v>
      </c>
      <c r="T2849" t="s">
        <v>160</v>
      </c>
      <c r="U2849">
        <v>1.7705634155916285E-2</v>
      </c>
      <c r="V2849" t="s">
        <v>157</v>
      </c>
    </row>
    <row r="2850" spans="19:22" x14ac:dyDescent="0.45">
      <c r="S2850" t="s">
        <v>582</v>
      </c>
      <c r="T2850" t="s">
        <v>161</v>
      </c>
      <c r="U2850">
        <v>8.952090924798542E-2</v>
      </c>
      <c r="V2850" t="s">
        <v>157</v>
      </c>
    </row>
    <row r="2851" spans="19:22" x14ac:dyDescent="0.45">
      <c r="S2851" t="s">
        <v>582</v>
      </c>
      <c r="T2851" t="s">
        <v>162</v>
      </c>
      <c r="U2851">
        <v>0.11501340014259237</v>
      </c>
      <c r="V2851" t="s">
        <v>157</v>
      </c>
    </row>
    <row r="2852" spans="19:22" x14ac:dyDescent="0.45">
      <c r="S2852" t="s">
        <v>582</v>
      </c>
      <c r="T2852" t="s">
        <v>163</v>
      </c>
      <c r="U2852">
        <v>0.16698217002638541</v>
      </c>
      <c r="V2852" t="s">
        <v>157</v>
      </c>
    </row>
    <row r="2853" spans="19:22" x14ac:dyDescent="0.45">
      <c r="S2853" t="s">
        <v>582</v>
      </c>
      <c r="T2853" t="s">
        <v>164</v>
      </c>
      <c r="U2853">
        <v>1.6913425336687979E-2</v>
      </c>
      <c r="V2853" t="s">
        <v>157</v>
      </c>
    </row>
    <row r="2854" spans="19:22" x14ac:dyDescent="0.45">
      <c r="S2854" t="s">
        <v>582</v>
      </c>
      <c r="T2854" t="s">
        <v>165</v>
      </c>
      <c r="U2854">
        <v>1.7001036491711419E-2</v>
      </c>
      <c r="V2854" t="s">
        <v>157</v>
      </c>
    </row>
    <row r="2855" spans="19:22" x14ac:dyDescent="0.45">
      <c r="S2855" t="s">
        <v>582</v>
      </c>
      <c r="T2855" t="s">
        <v>166</v>
      </c>
      <c r="U2855">
        <v>8.4462972471469791E-2</v>
      </c>
      <c r="V2855" t="s">
        <v>157</v>
      </c>
    </row>
    <row r="2856" spans="19:22" x14ac:dyDescent="0.45">
      <c r="S2856" t="s">
        <v>582</v>
      </c>
      <c r="T2856" t="s">
        <v>167</v>
      </c>
      <c r="U2856">
        <v>4.7258209213444521E-2</v>
      </c>
      <c r="V2856" t="s">
        <v>157</v>
      </c>
    </row>
    <row r="2857" spans="19:22" x14ac:dyDescent="0.45">
      <c r="S2857" t="s">
        <v>582</v>
      </c>
      <c r="T2857" t="s">
        <v>168</v>
      </c>
      <c r="U2857">
        <v>6.781406604292034E-2</v>
      </c>
      <c r="V2857" t="s">
        <v>157</v>
      </c>
    </row>
    <row r="2858" spans="19:22" x14ac:dyDescent="0.45">
      <c r="S2858" t="s">
        <v>582</v>
      </c>
      <c r="T2858" t="s">
        <v>169</v>
      </c>
      <c r="U2858">
        <v>6.8848806951365346E-3</v>
      </c>
      <c r="V2858" t="s">
        <v>157</v>
      </c>
    </row>
    <row r="2859" spans="19:22" x14ac:dyDescent="0.45">
      <c r="S2859" t="s">
        <v>582</v>
      </c>
      <c r="T2859" t="s">
        <v>170</v>
      </c>
      <c r="U2859">
        <v>6.9105919531075172E-3</v>
      </c>
      <c r="V2859" t="s">
        <v>157</v>
      </c>
    </row>
    <row r="2860" spans="19:22" x14ac:dyDescent="0.45">
      <c r="S2860" t="s">
        <v>582</v>
      </c>
      <c r="T2860" t="s">
        <v>171</v>
      </c>
      <c r="U2860">
        <v>3.4524578375850372E-2</v>
      </c>
      <c r="V2860" t="s">
        <v>157</v>
      </c>
    </row>
    <row r="2861" spans="19:22" x14ac:dyDescent="0.45">
      <c r="S2861" t="s">
        <v>583</v>
      </c>
      <c r="T2861" t="s">
        <v>156</v>
      </c>
      <c r="U2861">
        <v>0.13420181067804959</v>
      </c>
      <c r="V2861" t="s">
        <v>157</v>
      </c>
    </row>
    <row r="2862" spans="19:22" x14ac:dyDescent="0.45">
      <c r="S2862" t="s">
        <v>583</v>
      </c>
      <c r="T2862" t="s">
        <v>158</v>
      </c>
      <c r="U2862">
        <v>0.18427969920690696</v>
      </c>
      <c r="V2862" t="s">
        <v>157</v>
      </c>
    </row>
    <row r="2863" spans="19:22" x14ac:dyDescent="0.45">
      <c r="S2863" t="s">
        <v>583</v>
      </c>
      <c r="T2863" t="s">
        <v>159</v>
      </c>
      <c r="U2863">
        <v>1.8220788489999088E-2</v>
      </c>
      <c r="V2863" t="s">
        <v>157</v>
      </c>
    </row>
    <row r="2864" spans="19:22" x14ac:dyDescent="0.45">
      <c r="S2864" t="s">
        <v>583</v>
      </c>
      <c r="T2864" t="s">
        <v>160</v>
      </c>
      <c r="U2864">
        <v>1.8250779992604136E-2</v>
      </c>
      <c r="V2864" t="s">
        <v>157</v>
      </c>
    </row>
    <row r="2865" spans="19:22" x14ac:dyDescent="0.45">
      <c r="S2865" t="s">
        <v>583</v>
      </c>
      <c r="T2865" t="s">
        <v>161</v>
      </c>
      <c r="U2865">
        <v>9.2307998381245954E-2</v>
      </c>
      <c r="V2865" t="s">
        <v>157</v>
      </c>
    </row>
    <row r="2866" spans="19:22" x14ac:dyDescent="0.45">
      <c r="S2866" t="s">
        <v>583</v>
      </c>
      <c r="T2866" t="s">
        <v>162</v>
      </c>
      <c r="U2866">
        <v>0.11263861510280535</v>
      </c>
      <c r="V2866" t="s">
        <v>157</v>
      </c>
    </row>
    <row r="2867" spans="19:22" x14ac:dyDescent="0.45">
      <c r="S2867" t="s">
        <v>583</v>
      </c>
      <c r="T2867" t="s">
        <v>163</v>
      </c>
      <c r="U2867">
        <v>0.1665764976924369</v>
      </c>
      <c r="V2867" t="s">
        <v>157</v>
      </c>
    </row>
    <row r="2868" spans="19:22" x14ac:dyDescent="0.45">
      <c r="S2868" t="s">
        <v>583</v>
      </c>
      <c r="T2868" t="s">
        <v>164</v>
      </c>
      <c r="U2868">
        <v>1.6794204863721719E-2</v>
      </c>
      <c r="V2868" t="s">
        <v>157</v>
      </c>
    </row>
    <row r="2869" spans="19:22" x14ac:dyDescent="0.45">
      <c r="S2869" t="s">
        <v>583</v>
      </c>
      <c r="T2869" t="s">
        <v>165</v>
      </c>
      <c r="U2869">
        <v>1.6749892764370344E-2</v>
      </c>
      <c r="V2869" t="s">
        <v>157</v>
      </c>
    </row>
    <row r="2870" spans="19:22" x14ac:dyDescent="0.45">
      <c r="S2870" t="s">
        <v>583</v>
      </c>
      <c r="T2870" t="s">
        <v>166</v>
      </c>
      <c r="U2870">
        <v>8.379294471641871E-2</v>
      </c>
      <c r="V2870" t="s">
        <v>157</v>
      </c>
    </row>
    <row r="2871" spans="19:22" x14ac:dyDescent="0.45">
      <c r="S2871" t="s">
        <v>583</v>
      </c>
      <c r="T2871" t="s">
        <v>167</v>
      </c>
      <c r="U2871">
        <v>4.680320041990111E-2</v>
      </c>
      <c r="V2871" t="s">
        <v>157</v>
      </c>
    </row>
    <row r="2872" spans="19:22" x14ac:dyDescent="0.45">
      <c r="S2872" t="s">
        <v>583</v>
      </c>
      <c r="T2872" t="s">
        <v>168</v>
      </c>
      <c r="U2872">
        <v>6.386131201131702E-2</v>
      </c>
      <c r="V2872" t="s">
        <v>157</v>
      </c>
    </row>
    <row r="2873" spans="19:22" x14ac:dyDescent="0.45">
      <c r="S2873" t="s">
        <v>583</v>
      </c>
      <c r="T2873" t="s">
        <v>169</v>
      </c>
      <c r="U2873">
        <v>6.5164041388486851E-3</v>
      </c>
      <c r="V2873" t="s">
        <v>157</v>
      </c>
    </row>
    <row r="2874" spans="19:22" x14ac:dyDescent="0.45">
      <c r="S2874" t="s">
        <v>583</v>
      </c>
      <c r="T2874" t="s">
        <v>170</v>
      </c>
      <c r="U2874">
        <v>6.4515601055139555E-3</v>
      </c>
      <c r="V2874" t="s">
        <v>157</v>
      </c>
    </row>
    <row r="2875" spans="19:22" x14ac:dyDescent="0.45">
      <c r="S2875" t="s">
        <v>583</v>
      </c>
      <c r="T2875" t="s">
        <v>171</v>
      </c>
      <c r="U2875">
        <v>3.2554291435860423E-2</v>
      </c>
      <c r="V2875" t="s">
        <v>157</v>
      </c>
    </row>
    <row r="2876" spans="19:22" x14ac:dyDescent="0.45">
      <c r="S2876" t="s">
        <v>584</v>
      </c>
      <c r="T2876" t="s">
        <v>156</v>
      </c>
      <c r="U2876">
        <v>0.13616023098580057</v>
      </c>
      <c r="V2876" t="s">
        <v>157</v>
      </c>
    </row>
    <row r="2877" spans="19:22" x14ac:dyDescent="0.45">
      <c r="S2877" t="s">
        <v>584</v>
      </c>
      <c r="T2877" t="s">
        <v>158</v>
      </c>
      <c r="U2877">
        <v>0.18830444750004988</v>
      </c>
      <c r="V2877" t="s">
        <v>157</v>
      </c>
    </row>
    <row r="2878" spans="19:22" x14ac:dyDescent="0.45">
      <c r="S2878" t="s">
        <v>584</v>
      </c>
      <c r="T2878" t="s">
        <v>159</v>
      </c>
      <c r="U2878">
        <v>1.8738723572704261E-2</v>
      </c>
      <c r="V2878" t="s">
        <v>157</v>
      </c>
    </row>
    <row r="2879" spans="19:22" x14ac:dyDescent="0.45">
      <c r="S2879" t="s">
        <v>584</v>
      </c>
      <c r="T2879" t="s">
        <v>160</v>
      </c>
      <c r="U2879">
        <v>1.8781697968802587E-2</v>
      </c>
      <c r="V2879" t="s">
        <v>157</v>
      </c>
    </row>
    <row r="2880" spans="19:22" x14ac:dyDescent="0.45">
      <c r="S2880" t="s">
        <v>584</v>
      </c>
      <c r="T2880" t="s">
        <v>161</v>
      </c>
      <c r="U2880">
        <v>9.47661693108377E-2</v>
      </c>
      <c r="V2880" t="s">
        <v>157</v>
      </c>
    </row>
    <row r="2881" spans="19:22" x14ac:dyDescent="0.45">
      <c r="S2881" t="s">
        <v>584</v>
      </c>
      <c r="T2881" t="s">
        <v>162</v>
      </c>
      <c r="U2881">
        <v>0.11294361892349671</v>
      </c>
      <c r="V2881" t="s">
        <v>157</v>
      </c>
    </row>
    <row r="2882" spans="19:22" x14ac:dyDescent="0.45">
      <c r="S2882" t="s">
        <v>584</v>
      </c>
      <c r="T2882" t="s">
        <v>163</v>
      </c>
      <c r="U2882">
        <v>0.16478111448238481</v>
      </c>
      <c r="V2882" t="s">
        <v>157</v>
      </c>
    </row>
    <row r="2883" spans="19:22" x14ac:dyDescent="0.45">
      <c r="S2883" t="s">
        <v>584</v>
      </c>
      <c r="T2883" t="s">
        <v>164</v>
      </c>
      <c r="U2883">
        <v>1.6607824279002127E-2</v>
      </c>
      <c r="V2883" t="s">
        <v>157</v>
      </c>
    </row>
    <row r="2884" spans="19:22" x14ac:dyDescent="0.45">
      <c r="S2884" t="s">
        <v>584</v>
      </c>
      <c r="T2884" t="s">
        <v>165</v>
      </c>
      <c r="U2884">
        <v>1.6561668957436281E-2</v>
      </c>
      <c r="V2884" t="s">
        <v>157</v>
      </c>
    </row>
    <row r="2885" spans="19:22" x14ac:dyDescent="0.45">
      <c r="S2885" t="s">
        <v>584</v>
      </c>
      <c r="T2885" t="s">
        <v>166</v>
      </c>
      <c r="U2885">
        <v>8.3331931205332929E-2</v>
      </c>
      <c r="V2885" t="s">
        <v>157</v>
      </c>
    </row>
    <row r="2886" spans="19:22" x14ac:dyDescent="0.45">
      <c r="S2886" t="s">
        <v>584</v>
      </c>
      <c r="T2886" t="s">
        <v>167</v>
      </c>
      <c r="U2886">
        <v>4.5181925784038117E-2</v>
      </c>
      <c r="V2886" t="s">
        <v>157</v>
      </c>
    </row>
    <row r="2887" spans="19:22" x14ac:dyDescent="0.45">
      <c r="S2887" t="s">
        <v>584</v>
      </c>
      <c r="T2887" t="s">
        <v>168</v>
      </c>
      <c r="U2887">
        <v>5.9281714579353301E-2</v>
      </c>
      <c r="V2887" t="s">
        <v>157</v>
      </c>
    </row>
    <row r="2888" spans="19:22" x14ac:dyDescent="0.45">
      <c r="S2888" t="s">
        <v>584</v>
      </c>
      <c r="T2888" t="s">
        <v>169</v>
      </c>
      <c r="U2888">
        <v>6.3683986536222717E-3</v>
      </c>
      <c r="V2888" t="s">
        <v>157</v>
      </c>
    </row>
    <row r="2889" spans="19:22" x14ac:dyDescent="0.45">
      <c r="S2889" t="s">
        <v>584</v>
      </c>
      <c r="T2889" t="s">
        <v>170</v>
      </c>
      <c r="U2889">
        <v>6.2953025698060244E-3</v>
      </c>
      <c r="V2889" t="s">
        <v>157</v>
      </c>
    </row>
    <row r="2890" spans="19:22" x14ac:dyDescent="0.45">
      <c r="S2890" t="s">
        <v>584</v>
      </c>
      <c r="T2890" t="s">
        <v>171</v>
      </c>
      <c r="U2890">
        <v>3.1895231227332517E-2</v>
      </c>
      <c r="V2890" t="s">
        <v>157</v>
      </c>
    </row>
    <row r="2891" spans="19:22" x14ac:dyDescent="0.45">
      <c r="S2891" t="s">
        <v>585</v>
      </c>
      <c r="T2891" t="s">
        <v>156</v>
      </c>
      <c r="U2891">
        <v>0.14015297523710749</v>
      </c>
      <c r="V2891" t="s">
        <v>157</v>
      </c>
    </row>
    <row r="2892" spans="19:22" x14ac:dyDescent="0.45">
      <c r="S2892" t="s">
        <v>585</v>
      </c>
      <c r="T2892" t="s">
        <v>158</v>
      </c>
      <c r="U2892">
        <v>0.19114908889402774</v>
      </c>
      <c r="V2892" t="s">
        <v>157</v>
      </c>
    </row>
    <row r="2893" spans="19:22" x14ac:dyDescent="0.45">
      <c r="S2893" t="s">
        <v>585</v>
      </c>
      <c r="T2893" t="s">
        <v>159</v>
      </c>
      <c r="U2893">
        <v>1.8967808703149219E-2</v>
      </c>
      <c r="V2893" t="s">
        <v>157</v>
      </c>
    </row>
    <row r="2894" spans="19:22" x14ac:dyDescent="0.45">
      <c r="S2894" t="s">
        <v>585</v>
      </c>
      <c r="T2894" t="s">
        <v>160</v>
      </c>
      <c r="U2894">
        <v>1.8858143226013972E-2</v>
      </c>
      <c r="V2894" t="s">
        <v>157</v>
      </c>
    </row>
    <row r="2895" spans="19:22" x14ac:dyDescent="0.45">
      <c r="S2895" t="s">
        <v>585</v>
      </c>
      <c r="T2895" t="s">
        <v>161</v>
      </c>
      <c r="U2895">
        <v>9.6154045027326052E-2</v>
      </c>
      <c r="V2895" t="s">
        <v>157</v>
      </c>
    </row>
    <row r="2896" spans="19:22" x14ac:dyDescent="0.45">
      <c r="S2896" t="s">
        <v>585</v>
      </c>
      <c r="T2896" t="s">
        <v>162</v>
      </c>
      <c r="U2896">
        <v>0.11517773871512849</v>
      </c>
      <c r="V2896" t="s">
        <v>157</v>
      </c>
    </row>
    <row r="2897" spans="19:22" x14ac:dyDescent="0.45">
      <c r="S2897" t="s">
        <v>585</v>
      </c>
      <c r="T2897" t="s">
        <v>163</v>
      </c>
      <c r="U2897">
        <v>0.16382976053582352</v>
      </c>
      <c r="V2897" t="s">
        <v>157</v>
      </c>
    </row>
    <row r="2898" spans="19:22" x14ac:dyDescent="0.45">
      <c r="S2898" t="s">
        <v>585</v>
      </c>
      <c r="T2898" t="s">
        <v>164</v>
      </c>
      <c r="U2898">
        <v>1.6783456943619622E-2</v>
      </c>
      <c r="V2898" t="s">
        <v>157</v>
      </c>
    </row>
    <row r="2899" spans="19:22" x14ac:dyDescent="0.45">
      <c r="S2899" t="s">
        <v>585</v>
      </c>
      <c r="T2899" t="s">
        <v>165</v>
      </c>
      <c r="U2899">
        <v>1.6730196450642849E-2</v>
      </c>
      <c r="V2899" t="s">
        <v>157</v>
      </c>
    </row>
    <row r="2900" spans="19:22" x14ac:dyDescent="0.45">
      <c r="S2900" t="s">
        <v>585</v>
      </c>
      <c r="T2900" t="s">
        <v>166</v>
      </c>
      <c r="U2900">
        <v>8.3143106023126051E-2</v>
      </c>
      <c r="V2900" t="s">
        <v>157</v>
      </c>
    </row>
    <row r="2901" spans="19:22" x14ac:dyDescent="0.45">
      <c r="S2901" t="s">
        <v>585</v>
      </c>
      <c r="T2901" t="s">
        <v>167</v>
      </c>
      <c r="U2901">
        <v>4.207056528815737E-2</v>
      </c>
      <c r="V2901" t="s">
        <v>157</v>
      </c>
    </row>
    <row r="2902" spans="19:22" x14ac:dyDescent="0.45">
      <c r="S2902" t="s">
        <v>585</v>
      </c>
      <c r="T2902" t="s">
        <v>168</v>
      </c>
      <c r="U2902">
        <v>5.3379179940236644E-2</v>
      </c>
      <c r="V2902" t="s">
        <v>157</v>
      </c>
    </row>
    <row r="2903" spans="19:22" x14ac:dyDescent="0.45">
      <c r="S2903" t="s">
        <v>585</v>
      </c>
      <c r="T2903" t="s">
        <v>169</v>
      </c>
      <c r="U2903">
        <v>6.1161837113389989E-3</v>
      </c>
      <c r="V2903" t="s">
        <v>157</v>
      </c>
    </row>
    <row r="2904" spans="19:22" x14ac:dyDescent="0.45">
      <c r="S2904" t="s">
        <v>585</v>
      </c>
      <c r="T2904" t="s">
        <v>170</v>
      </c>
      <c r="U2904">
        <v>6.2007974917984623E-3</v>
      </c>
      <c r="V2904" t="s">
        <v>157</v>
      </c>
    </row>
    <row r="2905" spans="19:22" x14ac:dyDescent="0.45">
      <c r="S2905" t="s">
        <v>585</v>
      </c>
      <c r="T2905" t="s">
        <v>171</v>
      </c>
      <c r="U2905">
        <v>3.128695381250348E-2</v>
      </c>
      <c r="V2905" t="s">
        <v>157</v>
      </c>
    </row>
    <row r="2906" spans="19:22" x14ac:dyDescent="0.45">
      <c r="S2906" t="s">
        <v>586</v>
      </c>
      <c r="T2906" t="s">
        <v>156</v>
      </c>
      <c r="U2906">
        <v>0.14223379855450474</v>
      </c>
      <c r="V2906" t="s">
        <v>157</v>
      </c>
    </row>
    <row r="2907" spans="19:22" x14ac:dyDescent="0.45">
      <c r="S2907" t="s">
        <v>586</v>
      </c>
      <c r="T2907" t="s">
        <v>158</v>
      </c>
      <c r="U2907">
        <v>0.19751000541126815</v>
      </c>
      <c r="V2907" t="s">
        <v>157</v>
      </c>
    </row>
    <row r="2908" spans="19:22" x14ac:dyDescent="0.45">
      <c r="S2908" t="s">
        <v>586</v>
      </c>
      <c r="T2908" t="s">
        <v>159</v>
      </c>
      <c r="U2908">
        <v>2.0397929111659566E-2</v>
      </c>
      <c r="V2908" t="s">
        <v>157</v>
      </c>
    </row>
    <row r="2909" spans="19:22" x14ac:dyDescent="0.45">
      <c r="S2909" t="s">
        <v>586</v>
      </c>
      <c r="T2909" t="s">
        <v>160</v>
      </c>
      <c r="U2909">
        <v>2.0465010700802373E-2</v>
      </c>
      <c r="V2909" t="s">
        <v>157</v>
      </c>
    </row>
    <row r="2910" spans="19:22" x14ac:dyDescent="0.45">
      <c r="S2910" t="s">
        <v>586</v>
      </c>
      <c r="T2910" t="s">
        <v>161</v>
      </c>
      <c r="U2910">
        <v>0.10207904465832086</v>
      </c>
      <c r="V2910" t="s">
        <v>157</v>
      </c>
    </row>
    <row r="2911" spans="19:22" x14ac:dyDescent="0.45">
      <c r="S2911" t="s">
        <v>586</v>
      </c>
      <c r="T2911" t="s">
        <v>162</v>
      </c>
      <c r="U2911">
        <v>0.11808382385584872</v>
      </c>
      <c r="V2911" t="s">
        <v>157</v>
      </c>
    </row>
    <row r="2912" spans="19:22" x14ac:dyDescent="0.45">
      <c r="S2912" t="s">
        <v>586</v>
      </c>
      <c r="T2912" t="s">
        <v>163</v>
      </c>
      <c r="U2912">
        <v>0.16049672275913601</v>
      </c>
      <c r="V2912" t="s">
        <v>157</v>
      </c>
    </row>
    <row r="2913" spans="19:22" x14ac:dyDescent="0.45">
      <c r="S2913" t="s">
        <v>586</v>
      </c>
      <c r="T2913" t="s">
        <v>164</v>
      </c>
      <c r="U2913">
        <v>1.6850533784700614E-2</v>
      </c>
      <c r="V2913" t="s">
        <v>157</v>
      </c>
    </row>
    <row r="2914" spans="19:22" x14ac:dyDescent="0.45">
      <c r="S2914" t="s">
        <v>586</v>
      </c>
      <c r="T2914" t="s">
        <v>165</v>
      </c>
      <c r="U2914">
        <v>1.7104518475132568E-2</v>
      </c>
      <c r="V2914" t="s">
        <v>157</v>
      </c>
    </row>
    <row r="2915" spans="19:22" x14ac:dyDescent="0.45">
      <c r="S2915" t="s">
        <v>586</v>
      </c>
      <c r="T2915" t="s">
        <v>166</v>
      </c>
      <c r="U2915">
        <v>8.4763416960278073E-2</v>
      </c>
      <c r="V2915" t="s">
        <v>157</v>
      </c>
    </row>
    <row r="2916" spans="19:22" x14ac:dyDescent="0.45">
      <c r="S2916" t="s">
        <v>586</v>
      </c>
      <c r="T2916" t="s">
        <v>167</v>
      </c>
      <c r="U2916">
        <v>3.4880571937371235E-2</v>
      </c>
      <c r="V2916" t="s">
        <v>157</v>
      </c>
    </row>
    <row r="2917" spans="19:22" x14ac:dyDescent="0.45">
      <c r="S2917" t="s">
        <v>586</v>
      </c>
      <c r="T2917" t="s">
        <v>168</v>
      </c>
      <c r="U2917">
        <v>4.7637447313099344E-2</v>
      </c>
      <c r="V2917" t="s">
        <v>157</v>
      </c>
    </row>
    <row r="2918" spans="19:22" x14ac:dyDescent="0.45">
      <c r="S2918" t="s">
        <v>586</v>
      </c>
      <c r="T2918" t="s">
        <v>169</v>
      </c>
      <c r="U2918">
        <v>5.425068853719797E-3</v>
      </c>
      <c r="V2918" t="s">
        <v>157</v>
      </c>
    </row>
    <row r="2919" spans="19:22" x14ac:dyDescent="0.45">
      <c r="S2919" t="s">
        <v>586</v>
      </c>
      <c r="T2919" t="s">
        <v>170</v>
      </c>
      <c r="U2919">
        <v>5.5893623675129234E-3</v>
      </c>
      <c r="V2919" t="s">
        <v>157</v>
      </c>
    </row>
    <row r="2920" spans="19:22" x14ac:dyDescent="0.45">
      <c r="S2920" t="s">
        <v>586</v>
      </c>
      <c r="T2920" t="s">
        <v>171</v>
      </c>
      <c r="U2920">
        <v>2.6482745256645058E-2</v>
      </c>
      <c r="V2920" t="s">
        <v>157</v>
      </c>
    </row>
    <row r="2921" spans="19:22" x14ac:dyDescent="0.45">
      <c r="S2921" t="s">
        <v>587</v>
      </c>
      <c r="T2921" t="s">
        <v>156</v>
      </c>
      <c r="U2921">
        <v>0.14067412918716449</v>
      </c>
      <c r="V2921" t="s">
        <v>157</v>
      </c>
    </row>
    <row r="2922" spans="19:22" x14ac:dyDescent="0.45">
      <c r="S2922" t="s">
        <v>587</v>
      </c>
      <c r="T2922" t="s">
        <v>158</v>
      </c>
      <c r="U2922">
        <v>0.20327456731547883</v>
      </c>
      <c r="V2922" t="s">
        <v>157</v>
      </c>
    </row>
    <row r="2923" spans="19:22" x14ac:dyDescent="0.45">
      <c r="S2923" t="s">
        <v>587</v>
      </c>
      <c r="T2923" t="s">
        <v>159</v>
      </c>
      <c r="U2923">
        <v>2.1555856422651707E-2</v>
      </c>
      <c r="V2923" t="s">
        <v>157</v>
      </c>
    </row>
    <row r="2924" spans="19:22" x14ac:dyDescent="0.45">
      <c r="S2924" t="s">
        <v>587</v>
      </c>
      <c r="T2924" t="s">
        <v>160</v>
      </c>
      <c r="U2924">
        <v>2.1355021366873939E-2</v>
      </c>
      <c r="V2924" t="s">
        <v>157</v>
      </c>
    </row>
    <row r="2925" spans="19:22" x14ac:dyDescent="0.45">
      <c r="S2925" t="s">
        <v>587</v>
      </c>
      <c r="T2925" t="s">
        <v>161</v>
      </c>
      <c r="U2925">
        <v>0.10202137068493598</v>
      </c>
      <c r="V2925" t="s">
        <v>157</v>
      </c>
    </row>
    <row r="2926" spans="19:22" x14ac:dyDescent="0.45">
      <c r="S2926" t="s">
        <v>587</v>
      </c>
      <c r="T2926" t="s">
        <v>162</v>
      </c>
      <c r="U2926">
        <v>0.11597039333718376</v>
      </c>
      <c r="V2926" t="s">
        <v>157</v>
      </c>
    </row>
    <row r="2927" spans="19:22" x14ac:dyDescent="0.45">
      <c r="S2927" t="s">
        <v>587</v>
      </c>
      <c r="T2927" t="s">
        <v>163</v>
      </c>
      <c r="U2927">
        <v>0.1594596142478216</v>
      </c>
      <c r="V2927" t="s">
        <v>157</v>
      </c>
    </row>
    <row r="2928" spans="19:22" x14ac:dyDescent="0.45">
      <c r="S2928" t="s">
        <v>587</v>
      </c>
      <c r="T2928" t="s">
        <v>164</v>
      </c>
      <c r="U2928">
        <v>1.6673659491508001E-2</v>
      </c>
      <c r="V2928" t="s">
        <v>157</v>
      </c>
    </row>
    <row r="2929" spans="19:22" x14ac:dyDescent="0.45">
      <c r="S2929" t="s">
        <v>587</v>
      </c>
      <c r="T2929" t="s">
        <v>165</v>
      </c>
      <c r="U2929">
        <v>1.6818462849709229E-2</v>
      </c>
      <c r="V2929" t="s">
        <v>157</v>
      </c>
    </row>
    <row r="2930" spans="19:22" x14ac:dyDescent="0.45">
      <c r="S2930" t="s">
        <v>587</v>
      </c>
      <c r="T2930" t="s">
        <v>166</v>
      </c>
      <c r="U2930">
        <v>8.3839154199780663E-2</v>
      </c>
      <c r="V2930" t="s">
        <v>157</v>
      </c>
    </row>
    <row r="2931" spans="19:22" x14ac:dyDescent="0.45">
      <c r="S2931" t="s">
        <v>587</v>
      </c>
      <c r="T2931" t="s">
        <v>167</v>
      </c>
      <c r="U2931">
        <v>3.4519874898431384E-2</v>
      </c>
      <c r="V2931" t="s">
        <v>157</v>
      </c>
    </row>
    <row r="2932" spans="19:22" x14ac:dyDescent="0.45">
      <c r="S2932" t="s">
        <v>587</v>
      </c>
      <c r="T2932" t="s">
        <v>168</v>
      </c>
      <c r="U2932">
        <v>4.8077366515872168E-2</v>
      </c>
      <c r="V2932" t="s">
        <v>157</v>
      </c>
    </row>
    <row r="2933" spans="19:22" x14ac:dyDescent="0.45">
      <c r="S2933" t="s">
        <v>587</v>
      </c>
      <c r="T2933" t="s">
        <v>169</v>
      </c>
      <c r="U2933">
        <v>5.3707425167758083E-3</v>
      </c>
      <c r="V2933" t="s">
        <v>157</v>
      </c>
    </row>
    <row r="2934" spans="19:22" x14ac:dyDescent="0.45">
      <c r="S2934" t="s">
        <v>587</v>
      </c>
      <c r="T2934" t="s">
        <v>170</v>
      </c>
      <c r="U2934">
        <v>5.401489434204718E-3</v>
      </c>
      <c r="V2934" t="s">
        <v>157</v>
      </c>
    </row>
    <row r="2935" spans="19:22" x14ac:dyDescent="0.45">
      <c r="S2935" t="s">
        <v>587</v>
      </c>
      <c r="T2935" t="s">
        <v>171</v>
      </c>
      <c r="U2935">
        <v>2.4988297531607702E-2</v>
      </c>
      <c r="V2935" t="s">
        <v>157</v>
      </c>
    </row>
    <row r="2936" spans="19:22" x14ac:dyDescent="0.45">
      <c r="S2936" t="s">
        <v>588</v>
      </c>
      <c r="T2936" t="s">
        <v>156</v>
      </c>
      <c r="U2936">
        <v>0.14025838142620839</v>
      </c>
      <c r="V2936" t="s">
        <v>157</v>
      </c>
    </row>
    <row r="2937" spans="19:22" x14ac:dyDescent="0.45">
      <c r="S2937" t="s">
        <v>588</v>
      </c>
      <c r="T2937" t="s">
        <v>158</v>
      </c>
      <c r="U2937">
        <v>0.20656888484942396</v>
      </c>
      <c r="V2937" t="s">
        <v>157</v>
      </c>
    </row>
    <row r="2938" spans="19:22" x14ac:dyDescent="0.45">
      <c r="S2938" t="s">
        <v>588</v>
      </c>
      <c r="T2938" t="s">
        <v>159</v>
      </c>
      <c r="U2938">
        <v>2.200530125259462E-2</v>
      </c>
      <c r="V2938" t="s">
        <v>157</v>
      </c>
    </row>
    <row r="2939" spans="19:22" x14ac:dyDescent="0.45">
      <c r="S2939" t="s">
        <v>588</v>
      </c>
      <c r="T2939" t="s">
        <v>160</v>
      </c>
      <c r="U2939">
        <v>2.1671146875176739E-2</v>
      </c>
      <c r="V2939" t="s">
        <v>157</v>
      </c>
    </row>
    <row r="2940" spans="19:22" x14ac:dyDescent="0.45">
      <c r="S2940" t="s">
        <v>588</v>
      </c>
      <c r="T2940" t="s">
        <v>161</v>
      </c>
      <c r="U2940">
        <v>0.10132301836429701</v>
      </c>
      <c r="V2940" t="s">
        <v>157</v>
      </c>
    </row>
    <row r="2941" spans="19:22" x14ac:dyDescent="0.45">
      <c r="S2941" t="s">
        <v>588</v>
      </c>
      <c r="T2941" t="s">
        <v>162</v>
      </c>
      <c r="U2941">
        <v>0.11390757383745913</v>
      </c>
      <c r="V2941" t="s">
        <v>157</v>
      </c>
    </row>
    <row r="2942" spans="19:22" x14ac:dyDescent="0.45">
      <c r="S2942" t="s">
        <v>588</v>
      </c>
      <c r="T2942" t="s">
        <v>163</v>
      </c>
      <c r="U2942">
        <v>0.1596802470132781</v>
      </c>
      <c r="V2942" t="s">
        <v>157</v>
      </c>
    </row>
    <row r="2943" spans="19:22" x14ac:dyDescent="0.45">
      <c r="S2943" t="s">
        <v>588</v>
      </c>
      <c r="T2943" t="s">
        <v>164</v>
      </c>
      <c r="U2943">
        <v>1.6742079320578723E-2</v>
      </c>
      <c r="V2943" t="s">
        <v>157</v>
      </c>
    </row>
    <row r="2944" spans="19:22" x14ac:dyDescent="0.45">
      <c r="S2944" t="s">
        <v>588</v>
      </c>
      <c r="T2944" t="s">
        <v>165</v>
      </c>
      <c r="U2944">
        <v>1.6734073138620367E-2</v>
      </c>
      <c r="V2944" t="s">
        <v>157</v>
      </c>
    </row>
    <row r="2945" spans="19:22" x14ac:dyDescent="0.45">
      <c r="S2945" t="s">
        <v>588</v>
      </c>
      <c r="T2945" t="s">
        <v>166</v>
      </c>
      <c r="U2945">
        <v>8.2503212205655166E-2</v>
      </c>
      <c r="V2945" t="s">
        <v>157</v>
      </c>
    </row>
    <row r="2946" spans="19:22" x14ac:dyDescent="0.45">
      <c r="S2946" t="s">
        <v>588</v>
      </c>
      <c r="T2946" t="s">
        <v>167</v>
      </c>
      <c r="U2946">
        <v>3.5133344599111063E-2</v>
      </c>
      <c r="V2946" t="s">
        <v>157</v>
      </c>
    </row>
    <row r="2947" spans="19:22" x14ac:dyDescent="0.45">
      <c r="S2947" t="s">
        <v>588</v>
      </c>
      <c r="T2947" t="s">
        <v>168</v>
      </c>
      <c r="U2947">
        <v>4.9187045512731321E-2</v>
      </c>
      <c r="V2947" t="s">
        <v>157</v>
      </c>
    </row>
    <row r="2948" spans="19:22" x14ac:dyDescent="0.45">
      <c r="S2948" t="s">
        <v>588</v>
      </c>
      <c r="T2948" t="s">
        <v>169</v>
      </c>
      <c r="U2948">
        <v>5.3537425864481685E-3</v>
      </c>
      <c r="V2948" t="s">
        <v>157</v>
      </c>
    </row>
    <row r="2949" spans="19:22" x14ac:dyDescent="0.45">
      <c r="S2949" t="s">
        <v>588</v>
      </c>
      <c r="T2949" t="s">
        <v>170</v>
      </c>
      <c r="U2949">
        <v>5.2088995311999715E-3</v>
      </c>
      <c r="V2949" t="s">
        <v>157</v>
      </c>
    </row>
    <row r="2950" spans="19:22" x14ac:dyDescent="0.45">
      <c r="S2950" t="s">
        <v>588</v>
      </c>
      <c r="T2950" t="s">
        <v>171</v>
      </c>
      <c r="U2950">
        <v>2.3723049487217276E-2</v>
      </c>
      <c r="V2950" t="s">
        <v>157</v>
      </c>
    </row>
    <row r="2951" spans="19:22" x14ac:dyDescent="0.45">
      <c r="S2951" t="s">
        <v>589</v>
      </c>
      <c r="T2951" t="s">
        <v>156</v>
      </c>
      <c r="U2951">
        <v>0.14314249740501941</v>
      </c>
      <c r="V2951" t="s">
        <v>157</v>
      </c>
    </row>
    <row r="2952" spans="19:22" x14ac:dyDescent="0.45">
      <c r="S2952" t="s">
        <v>589</v>
      </c>
      <c r="T2952" t="s">
        <v>158</v>
      </c>
      <c r="U2952">
        <v>0.20901598444102049</v>
      </c>
      <c r="V2952" t="s">
        <v>157</v>
      </c>
    </row>
    <row r="2953" spans="19:22" x14ac:dyDescent="0.45">
      <c r="S2953" t="s">
        <v>589</v>
      </c>
      <c r="T2953" t="s">
        <v>159</v>
      </c>
      <c r="U2953">
        <v>2.1769718811572726E-2</v>
      </c>
      <c r="V2953" t="s">
        <v>157</v>
      </c>
    </row>
    <row r="2954" spans="19:22" x14ac:dyDescent="0.45">
      <c r="S2954" t="s">
        <v>589</v>
      </c>
      <c r="T2954" t="s">
        <v>160</v>
      </c>
      <c r="U2954">
        <v>2.1476978484575016E-2</v>
      </c>
      <c r="V2954" t="s">
        <v>157</v>
      </c>
    </row>
    <row r="2955" spans="19:22" x14ac:dyDescent="0.45">
      <c r="S2955" t="s">
        <v>589</v>
      </c>
      <c r="T2955" t="s">
        <v>161</v>
      </c>
      <c r="U2955">
        <v>0.10188211233810565</v>
      </c>
      <c r="V2955" t="s">
        <v>157</v>
      </c>
    </row>
    <row r="2956" spans="19:22" x14ac:dyDescent="0.45">
      <c r="S2956" t="s">
        <v>589</v>
      </c>
      <c r="T2956" t="s">
        <v>162</v>
      </c>
      <c r="U2956">
        <v>0.11127029063179866</v>
      </c>
      <c r="V2956" t="s">
        <v>157</v>
      </c>
    </row>
    <row r="2957" spans="19:22" x14ac:dyDescent="0.45">
      <c r="S2957" t="s">
        <v>589</v>
      </c>
      <c r="T2957" t="s">
        <v>163</v>
      </c>
      <c r="U2957">
        <v>0.15804688380454981</v>
      </c>
      <c r="V2957" t="s">
        <v>157</v>
      </c>
    </row>
    <row r="2958" spans="19:22" x14ac:dyDescent="0.45">
      <c r="S2958" t="s">
        <v>589</v>
      </c>
      <c r="T2958" t="s">
        <v>164</v>
      </c>
      <c r="U2958">
        <v>1.6792945091088647E-2</v>
      </c>
      <c r="V2958" t="s">
        <v>157</v>
      </c>
    </row>
    <row r="2959" spans="19:22" x14ac:dyDescent="0.45">
      <c r="S2959" t="s">
        <v>589</v>
      </c>
      <c r="T2959" t="s">
        <v>165</v>
      </c>
      <c r="U2959">
        <v>1.665743593443203E-2</v>
      </c>
      <c r="V2959" t="s">
        <v>157</v>
      </c>
    </row>
    <row r="2960" spans="19:22" x14ac:dyDescent="0.45">
      <c r="S2960" t="s">
        <v>589</v>
      </c>
      <c r="T2960" t="s">
        <v>166</v>
      </c>
      <c r="U2960">
        <v>8.0794678160825445E-2</v>
      </c>
      <c r="V2960" t="s">
        <v>157</v>
      </c>
    </row>
    <row r="2961" spans="19:22" x14ac:dyDescent="0.45">
      <c r="S2961" t="s">
        <v>589</v>
      </c>
      <c r="T2961" t="s">
        <v>167</v>
      </c>
      <c r="U2961">
        <v>3.6035831452862939E-2</v>
      </c>
      <c r="V2961" t="s">
        <v>157</v>
      </c>
    </row>
    <row r="2962" spans="19:22" x14ac:dyDescent="0.45">
      <c r="S2962" t="s">
        <v>589</v>
      </c>
      <c r="T2962" t="s">
        <v>168</v>
      </c>
      <c r="U2962">
        <v>4.9808116555859511E-2</v>
      </c>
      <c r="V2962" t="s">
        <v>157</v>
      </c>
    </row>
    <row r="2963" spans="19:22" x14ac:dyDescent="0.45">
      <c r="S2963" t="s">
        <v>589</v>
      </c>
      <c r="T2963" t="s">
        <v>169</v>
      </c>
      <c r="U2963">
        <v>5.2605813532285873E-3</v>
      </c>
      <c r="V2963" t="s">
        <v>157</v>
      </c>
    </row>
    <row r="2964" spans="19:22" x14ac:dyDescent="0.45">
      <c r="S2964" t="s">
        <v>589</v>
      </c>
      <c r="T2964" t="s">
        <v>170</v>
      </c>
      <c r="U2964">
        <v>5.0612946280852705E-3</v>
      </c>
      <c r="V2964" t="s">
        <v>157</v>
      </c>
    </row>
    <row r="2965" spans="19:22" x14ac:dyDescent="0.45">
      <c r="S2965" t="s">
        <v>589</v>
      </c>
      <c r="T2965" t="s">
        <v>171</v>
      </c>
      <c r="U2965">
        <v>2.2984650906975757E-2</v>
      </c>
      <c r="V2965" t="s">
        <v>157</v>
      </c>
    </row>
    <row r="2966" spans="19:22" x14ac:dyDescent="0.45">
      <c r="S2966" t="s">
        <v>590</v>
      </c>
      <c r="T2966" t="s">
        <v>156</v>
      </c>
      <c r="U2966">
        <v>0.14824279270170942</v>
      </c>
      <c r="V2966" t="s">
        <v>157</v>
      </c>
    </row>
    <row r="2967" spans="19:22" x14ac:dyDescent="0.45">
      <c r="S2967" t="s">
        <v>590</v>
      </c>
      <c r="T2967" t="s">
        <v>158</v>
      </c>
      <c r="U2967">
        <v>0.21441794616711804</v>
      </c>
      <c r="V2967" t="s">
        <v>157</v>
      </c>
    </row>
    <row r="2968" spans="19:22" x14ac:dyDescent="0.45">
      <c r="S2968" t="s">
        <v>590</v>
      </c>
      <c r="T2968" t="s">
        <v>159</v>
      </c>
      <c r="U2968">
        <v>2.1676283268158236E-2</v>
      </c>
      <c r="V2968" t="s">
        <v>157</v>
      </c>
    </row>
    <row r="2969" spans="19:22" x14ac:dyDescent="0.45">
      <c r="S2969" t="s">
        <v>590</v>
      </c>
      <c r="T2969" t="s">
        <v>160</v>
      </c>
      <c r="U2969">
        <v>2.1504736137420755E-2</v>
      </c>
      <c r="V2969" t="s">
        <v>157</v>
      </c>
    </row>
    <row r="2970" spans="19:22" x14ac:dyDescent="0.45">
      <c r="S2970" t="s">
        <v>590</v>
      </c>
      <c r="T2970" t="s">
        <v>161</v>
      </c>
      <c r="U2970">
        <v>0.10422876089979437</v>
      </c>
      <c r="V2970" t="s">
        <v>157</v>
      </c>
    </row>
    <row r="2971" spans="19:22" x14ac:dyDescent="0.45">
      <c r="S2971" t="s">
        <v>590</v>
      </c>
      <c r="T2971" t="s">
        <v>162</v>
      </c>
      <c r="U2971">
        <v>0.10795708599444818</v>
      </c>
      <c r="V2971" t="s">
        <v>157</v>
      </c>
    </row>
    <row r="2972" spans="19:22" x14ac:dyDescent="0.45">
      <c r="S2972" t="s">
        <v>590</v>
      </c>
      <c r="T2972" t="s">
        <v>163</v>
      </c>
      <c r="U2972">
        <v>0.15285612409800914</v>
      </c>
      <c r="V2972" t="s">
        <v>157</v>
      </c>
    </row>
    <row r="2973" spans="19:22" x14ac:dyDescent="0.45">
      <c r="S2973" t="s">
        <v>590</v>
      </c>
      <c r="T2973" t="s">
        <v>164</v>
      </c>
      <c r="U2973">
        <v>1.6335213884440661E-2</v>
      </c>
      <c r="V2973" t="s">
        <v>157</v>
      </c>
    </row>
    <row r="2974" spans="19:22" x14ac:dyDescent="0.45">
      <c r="S2974" t="s">
        <v>590</v>
      </c>
      <c r="T2974" t="s">
        <v>165</v>
      </c>
      <c r="U2974">
        <v>1.6163836487432727E-2</v>
      </c>
      <c r="V2974" t="s">
        <v>157</v>
      </c>
    </row>
    <row r="2975" spans="19:22" x14ac:dyDescent="0.45">
      <c r="S2975" t="s">
        <v>590</v>
      </c>
      <c r="T2975" t="s">
        <v>166</v>
      </c>
      <c r="U2975">
        <v>7.8715869286097501E-2</v>
      </c>
      <c r="V2975" t="s">
        <v>157</v>
      </c>
    </row>
    <row r="2976" spans="19:22" x14ac:dyDescent="0.45">
      <c r="S2976" t="s">
        <v>590</v>
      </c>
      <c r="T2976" t="s">
        <v>167</v>
      </c>
      <c r="U2976">
        <v>3.5840377546102517E-2</v>
      </c>
      <c r="V2976" t="s">
        <v>157</v>
      </c>
    </row>
    <row r="2977" spans="19:22" x14ac:dyDescent="0.45">
      <c r="S2977" t="s">
        <v>590</v>
      </c>
      <c r="T2977" t="s">
        <v>168</v>
      </c>
      <c r="U2977">
        <v>4.9641189426043258E-2</v>
      </c>
      <c r="V2977" t="s">
        <v>157</v>
      </c>
    </row>
    <row r="2978" spans="19:22" x14ac:dyDescent="0.45">
      <c r="S2978" t="s">
        <v>590</v>
      </c>
      <c r="T2978" t="s">
        <v>169</v>
      </c>
      <c r="U2978">
        <v>5.1108507296277412E-3</v>
      </c>
      <c r="V2978" t="s">
        <v>157</v>
      </c>
    </row>
    <row r="2979" spans="19:22" x14ac:dyDescent="0.45">
      <c r="S2979" t="s">
        <v>590</v>
      </c>
      <c r="T2979" t="s">
        <v>170</v>
      </c>
      <c r="U2979">
        <v>4.9219517872198665E-3</v>
      </c>
      <c r="V2979" t="s">
        <v>157</v>
      </c>
    </row>
    <row r="2980" spans="19:22" x14ac:dyDescent="0.45">
      <c r="S2980" t="s">
        <v>590</v>
      </c>
      <c r="T2980" t="s">
        <v>171</v>
      </c>
      <c r="U2980">
        <v>2.2386981586377593E-2</v>
      </c>
      <c r="V2980" t="s">
        <v>157</v>
      </c>
    </row>
    <row r="2981" spans="19:22" x14ac:dyDescent="0.45">
      <c r="S2981" t="s">
        <v>591</v>
      </c>
      <c r="T2981" t="s">
        <v>156</v>
      </c>
      <c r="U2981">
        <v>0.15019772813742507</v>
      </c>
      <c r="V2981" t="s">
        <v>157</v>
      </c>
    </row>
    <row r="2982" spans="19:22" x14ac:dyDescent="0.45">
      <c r="S2982" t="s">
        <v>591</v>
      </c>
      <c r="T2982" t="s">
        <v>158</v>
      </c>
      <c r="U2982">
        <v>0.21978210207699167</v>
      </c>
      <c r="V2982" t="s">
        <v>157</v>
      </c>
    </row>
    <row r="2983" spans="19:22" x14ac:dyDescent="0.45">
      <c r="S2983" t="s">
        <v>591</v>
      </c>
      <c r="T2983" t="s">
        <v>159</v>
      </c>
      <c r="U2983">
        <v>2.1919437042085686E-2</v>
      </c>
      <c r="V2983" t="s">
        <v>157</v>
      </c>
    </row>
    <row r="2984" spans="19:22" x14ac:dyDescent="0.45">
      <c r="S2984" t="s">
        <v>591</v>
      </c>
      <c r="T2984" t="s">
        <v>160</v>
      </c>
      <c r="U2984">
        <v>2.183628978904454E-2</v>
      </c>
      <c r="V2984" t="s">
        <v>157</v>
      </c>
    </row>
    <row r="2985" spans="19:22" x14ac:dyDescent="0.45">
      <c r="S2985" t="s">
        <v>591</v>
      </c>
      <c r="T2985" t="s">
        <v>161</v>
      </c>
      <c r="U2985">
        <v>0.1066649418210069</v>
      </c>
      <c r="V2985" t="s">
        <v>157</v>
      </c>
    </row>
    <row r="2986" spans="19:22" x14ac:dyDescent="0.45">
      <c r="S2986" t="s">
        <v>591</v>
      </c>
      <c r="T2986" t="s">
        <v>162</v>
      </c>
      <c r="U2986">
        <v>0.10568292309533547</v>
      </c>
      <c r="V2986" t="s">
        <v>157</v>
      </c>
    </row>
    <row r="2987" spans="19:22" x14ac:dyDescent="0.45">
      <c r="S2987" t="s">
        <v>591</v>
      </c>
      <c r="T2987" t="s">
        <v>163</v>
      </c>
      <c r="U2987">
        <v>0.1508000101193181</v>
      </c>
      <c r="V2987" t="s">
        <v>157</v>
      </c>
    </row>
    <row r="2988" spans="19:22" x14ac:dyDescent="0.45">
      <c r="S2988" t="s">
        <v>591</v>
      </c>
      <c r="T2988" t="s">
        <v>164</v>
      </c>
      <c r="U2988">
        <v>1.589095518322101E-2</v>
      </c>
      <c r="V2988" t="s">
        <v>157</v>
      </c>
    </row>
    <row r="2989" spans="19:22" x14ac:dyDescent="0.45">
      <c r="S2989" t="s">
        <v>591</v>
      </c>
      <c r="T2989" t="s">
        <v>165</v>
      </c>
      <c r="U2989">
        <v>1.5679197045158702E-2</v>
      </c>
      <c r="V2989" t="s">
        <v>157</v>
      </c>
    </row>
    <row r="2990" spans="19:22" x14ac:dyDescent="0.45">
      <c r="S2990" t="s">
        <v>591</v>
      </c>
      <c r="T2990" t="s">
        <v>166</v>
      </c>
      <c r="U2990">
        <v>7.6646050568700233E-2</v>
      </c>
      <c r="V2990" t="s">
        <v>157</v>
      </c>
    </row>
    <row r="2991" spans="19:22" x14ac:dyDescent="0.45">
      <c r="S2991" t="s">
        <v>591</v>
      </c>
      <c r="T2991" t="s">
        <v>167</v>
      </c>
      <c r="U2991">
        <v>3.4654838455571498E-2</v>
      </c>
      <c r="V2991" t="s">
        <v>157</v>
      </c>
    </row>
    <row r="2992" spans="19:22" x14ac:dyDescent="0.45">
      <c r="S2992" t="s">
        <v>591</v>
      </c>
      <c r="T2992" t="s">
        <v>168</v>
      </c>
      <c r="U2992">
        <v>4.874220546054843E-2</v>
      </c>
      <c r="V2992" t="s">
        <v>157</v>
      </c>
    </row>
    <row r="2993" spans="19:22" x14ac:dyDescent="0.45">
      <c r="S2993" t="s">
        <v>591</v>
      </c>
      <c r="T2993" t="s">
        <v>169</v>
      </c>
      <c r="U2993">
        <v>4.8294235160107413E-3</v>
      </c>
      <c r="V2993" t="s">
        <v>157</v>
      </c>
    </row>
    <row r="2994" spans="19:22" x14ac:dyDescent="0.45">
      <c r="S2994" t="s">
        <v>591</v>
      </c>
      <c r="T2994" t="s">
        <v>170</v>
      </c>
      <c r="U2994">
        <v>4.7159380916320538E-3</v>
      </c>
      <c r="V2994" t="s">
        <v>157</v>
      </c>
    </row>
    <row r="2995" spans="19:22" x14ac:dyDescent="0.45">
      <c r="S2995" t="s">
        <v>591</v>
      </c>
      <c r="T2995" t="s">
        <v>171</v>
      </c>
      <c r="U2995">
        <v>2.1957959597949928E-2</v>
      </c>
      <c r="V2995" t="s">
        <v>157</v>
      </c>
    </row>
    <row r="2996" spans="19:22" x14ac:dyDescent="0.45">
      <c r="S2996" t="s">
        <v>592</v>
      </c>
      <c r="T2996" t="s">
        <v>156</v>
      </c>
      <c r="U2996">
        <v>0.15564805676452803</v>
      </c>
      <c r="V2996" t="s">
        <v>157</v>
      </c>
    </row>
    <row r="2997" spans="19:22" x14ac:dyDescent="0.45">
      <c r="S2997" t="s">
        <v>592</v>
      </c>
      <c r="T2997" t="s">
        <v>158</v>
      </c>
      <c r="U2997">
        <v>0.22752011048316431</v>
      </c>
      <c r="V2997" t="s">
        <v>157</v>
      </c>
    </row>
    <row r="2998" spans="19:22" x14ac:dyDescent="0.45">
      <c r="S2998" t="s">
        <v>592</v>
      </c>
      <c r="T2998" t="s">
        <v>159</v>
      </c>
      <c r="U2998">
        <v>2.2856698232430937E-2</v>
      </c>
      <c r="V2998" t="s">
        <v>157</v>
      </c>
    </row>
    <row r="2999" spans="19:22" x14ac:dyDescent="0.45">
      <c r="S2999" t="s">
        <v>592</v>
      </c>
      <c r="T2999" t="s">
        <v>160</v>
      </c>
      <c r="U2999">
        <v>2.279795547822969E-2</v>
      </c>
      <c r="V2999" t="s">
        <v>157</v>
      </c>
    </row>
    <row r="3000" spans="19:22" x14ac:dyDescent="0.45">
      <c r="S3000" t="s">
        <v>592</v>
      </c>
      <c r="T3000" t="s">
        <v>161</v>
      </c>
      <c r="U3000">
        <v>0.11060858751743907</v>
      </c>
      <c r="V3000" t="s">
        <v>157</v>
      </c>
    </row>
    <row r="3001" spans="19:22" x14ac:dyDescent="0.45">
      <c r="S3001" t="s">
        <v>592</v>
      </c>
      <c r="T3001" t="s">
        <v>162</v>
      </c>
      <c r="U3001">
        <v>9.973062904826363E-2</v>
      </c>
      <c r="V3001" t="s">
        <v>157</v>
      </c>
    </row>
    <row r="3002" spans="19:22" x14ac:dyDescent="0.45">
      <c r="S3002" t="s">
        <v>592</v>
      </c>
      <c r="T3002" t="s">
        <v>163</v>
      </c>
      <c r="U3002">
        <v>0.14546905142339417</v>
      </c>
      <c r="V3002" t="s">
        <v>157</v>
      </c>
    </row>
    <row r="3003" spans="19:22" x14ac:dyDescent="0.45">
      <c r="S3003" t="s">
        <v>592</v>
      </c>
      <c r="T3003" t="s">
        <v>164</v>
      </c>
      <c r="U3003">
        <v>1.5206400665200348E-2</v>
      </c>
      <c r="V3003" t="s">
        <v>157</v>
      </c>
    </row>
    <row r="3004" spans="19:22" x14ac:dyDescent="0.45">
      <c r="S3004" t="s">
        <v>592</v>
      </c>
      <c r="T3004" t="s">
        <v>165</v>
      </c>
      <c r="U3004">
        <v>1.5098816347553888E-2</v>
      </c>
      <c r="V3004" t="s">
        <v>157</v>
      </c>
    </row>
    <row r="3005" spans="19:22" x14ac:dyDescent="0.45">
      <c r="S3005" t="s">
        <v>592</v>
      </c>
      <c r="T3005" t="s">
        <v>166</v>
      </c>
      <c r="U3005">
        <v>7.2180387893384795E-2</v>
      </c>
      <c r="V3005" t="s">
        <v>157</v>
      </c>
    </row>
    <row r="3006" spans="19:22" x14ac:dyDescent="0.45">
      <c r="S3006" t="s">
        <v>592</v>
      </c>
      <c r="T3006" t="s">
        <v>167</v>
      </c>
      <c r="U3006">
        <v>3.3703689510885496E-2</v>
      </c>
      <c r="V3006" t="s">
        <v>157</v>
      </c>
    </row>
    <row r="3007" spans="19:22" x14ac:dyDescent="0.45">
      <c r="S3007" t="s">
        <v>592</v>
      </c>
      <c r="T3007" t="s">
        <v>168</v>
      </c>
      <c r="U3007">
        <v>4.7218435566715337E-2</v>
      </c>
      <c r="V3007" t="s">
        <v>157</v>
      </c>
    </row>
    <row r="3008" spans="19:22" x14ac:dyDescent="0.45">
      <c r="S3008" t="s">
        <v>592</v>
      </c>
      <c r="T3008" t="s">
        <v>169</v>
      </c>
      <c r="U3008">
        <v>4.8680821633559426E-3</v>
      </c>
      <c r="V3008" t="s">
        <v>157</v>
      </c>
    </row>
    <row r="3009" spans="19:22" x14ac:dyDescent="0.45">
      <c r="S3009" t="s">
        <v>592</v>
      </c>
      <c r="T3009" t="s">
        <v>170</v>
      </c>
      <c r="U3009">
        <v>4.6748225669677465E-3</v>
      </c>
      <c r="V3009" t="s">
        <v>157</v>
      </c>
    </row>
    <row r="3010" spans="19:22" x14ac:dyDescent="0.45">
      <c r="S3010" t="s">
        <v>592</v>
      </c>
      <c r="T3010" t="s">
        <v>171</v>
      </c>
      <c r="U3010">
        <v>2.2418276338486649E-2</v>
      </c>
      <c r="V3010" t="s">
        <v>157</v>
      </c>
    </row>
    <row r="3011" spans="19:22" x14ac:dyDescent="0.45">
      <c r="S3011" t="s">
        <v>593</v>
      </c>
      <c r="T3011" t="s">
        <v>156</v>
      </c>
      <c r="U3011">
        <v>0.14432922377750998</v>
      </c>
      <c r="V3011" t="s">
        <v>157</v>
      </c>
    </row>
    <row r="3012" spans="19:22" x14ac:dyDescent="0.45">
      <c r="S3012" t="s">
        <v>593</v>
      </c>
      <c r="T3012" t="s">
        <v>158</v>
      </c>
      <c r="U3012">
        <v>0.2071312924395953</v>
      </c>
      <c r="V3012" t="s">
        <v>157</v>
      </c>
    </row>
    <row r="3013" spans="19:22" x14ac:dyDescent="0.45">
      <c r="S3013" t="s">
        <v>593</v>
      </c>
      <c r="T3013" t="s">
        <v>159</v>
      </c>
      <c r="U3013">
        <v>2.0773021632884293E-2</v>
      </c>
      <c r="V3013" t="s">
        <v>157</v>
      </c>
    </row>
    <row r="3014" spans="19:22" x14ac:dyDescent="0.45">
      <c r="S3014" t="s">
        <v>593</v>
      </c>
      <c r="T3014" t="s">
        <v>160</v>
      </c>
      <c r="U3014">
        <v>2.0795164606172329E-2</v>
      </c>
      <c r="V3014" t="s">
        <v>157</v>
      </c>
    </row>
    <row r="3015" spans="19:22" x14ac:dyDescent="0.45">
      <c r="S3015" t="s">
        <v>593</v>
      </c>
      <c r="T3015" t="s">
        <v>161</v>
      </c>
      <c r="U3015">
        <v>0.10271422199385645</v>
      </c>
      <c r="V3015" t="s">
        <v>157</v>
      </c>
    </row>
    <row r="3016" spans="19:22" x14ac:dyDescent="0.45">
      <c r="S3016" t="s">
        <v>593</v>
      </c>
      <c r="T3016" t="s">
        <v>162</v>
      </c>
      <c r="U3016">
        <v>0.10276603734743017</v>
      </c>
      <c r="V3016" t="s">
        <v>157</v>
      </c>
    </row>
    <row r="3017" spans="19:22" x14ac:dyDescent="0.45">
      <c r="S3017" t="s">
        <v>593</v>
      </c>
      <c r="T3017" t="s">
        <v>163</v>
      </c>
      <c r="U3017">
        <v>0.14694443028566415</v>
      </c>
      <c r="V3017" t="s">
        <v>157</v>
      </c>
    </row>
    <row r="3018" spans="19:22" x14ac:dyDescent="0.45">
      <c r="S3018" t="s">
        <v>593</v>
      </c>
      <c r="T3018" t="s">
        <v>164</v>
      </c>
      <c r="U3018">
        <v>1.4560740160576194E-2</v>
      </c>
      <c r="V3018" t="s">
        <v>157</v>
      </c>
    </row>
    <row r="3019" spans="19:22" x14ac:dyDescent="0.45">
      <c r="S3019" t="s">
        <v>593</v>
      </c>
      <c r="T3019" t="s">
        <v>165</v>
      </c>
      <c r="U3019">
        <v>1.4408605876979409E-2</v>
      </c>
      <c r="V3019" t="s">
        <v>157</v>
      </c>
    </row>
    <row r="3020" spans="19:22" x14ac:dyDescent="0.45">
      <c r="S3020" t="s">
        <v>593</v>
      </c>
      <c r="T3020" t="s">
        <v>166</v>
      </c>
      <c r="U3020">
        <v>7.3228754620503794E-2</v>
      </c>
      <c r="V3020" t="s">
        <v>157</v>
      </c>
    </row>
    <row r="3021" spans="19:22" x14ac:dyDescent="0.45">
      <c r="S3021" t="s">
        <v>593</v>
      </c>
      <c r="T3021" t="s">
        <v>167</v>
      </c>
      <c r="U3021">
        <v>4.6221433234325877E-2</v>
      </c>
      <c r="V3021" t="s">
        <v>157</v>
      </c>
    </row>
    <row r="3022" spans="19:22" x14ac:dyDescent="0.45">
      <c r="S3022" t="s">
        <v>593</v>
      </c>
      <c r="T3022" t="s">
        <v>168</v>
      </c>
      <c r="U3022">
        <v>6.2943913073743113E-2</v>
      </c>
      <c r="V3022" t="s">
        <v>157</v>
      </c>
    </row>
    <row r="3023" spans="19:22" x14ac:dyDescent="0.45">
      <c r="S3023" t="s">
        <v>593</v>
      </c>
      <c r="T3023" t="s">
        <v>169</v>
      </c>
      <c r="U3023">
        <v>6.1691862923082029E-3</v>
      </c>
      <c r="V3023" t="s">
        <v>157</v>
      </c>
    </row>
    <row r="3024" spans="19:22" x14ac:dyDescent="0.45">
      <c r="S3024" t="s">
        <v>593</v>
      </c>
      <c r="T3024" t="s">
        <v>170</v>
      </c>
      <c r="U3024">
        <v>6.1711135975999016E-3</v>
      </c>
      <c r="V3024" t="s">
        <v>157</v>
      </c>
    </row>
    <row r="3025" spans="19:22" x14ac:dyDescent="0.45">
      <c r="S3025" t="s">
        <v>593</v>
      </c>
      <c r="T3025" t="s">
        <v>171</v>
      </c>
      <c r="U3025">
        <v>3.0842861060850834E-2</v>
      </c>
      <c r="V3025" t="s">
        <v>157</v>
      </c>
    </row>
    <row r="3026" spans="19:22" x14ac:dyDescent="0.45">
      <c r="S3026" t="s">
        <v>594</v>
      </c>
      <c r="T3026" t="s">
        <v>156</v>
      </c>
      <c r="U3026">
        <v>0.1431748638883498</v>
      </c>
      <c r="V3026" t="s">
        <v>157</v>
      </c>
    </row>
    <row r="3027" spans="19:22" x14ac:dyDescent="0.45">
      <c r="S3027" t="s">
        <v>594</v>
      </c>
      <c r="T3027" t="s">
        <v>158</v>
      </c>
      <c r="U3027">
        <v>0.19453448201925064</v>
      </c>
      <c r="V3027" t="s">
        <v>157</v>
      </c>
    </row>
    <row r="3028" spans="19:22" x14ac:dyDescent="0.45">
      <c r="S3028" t="s">
        <v>594</v>
      </c>
      <c r="T3028" t="s">
        <v>159</v>
      </c>
      <c r="U3028">
        <v>2.113965570195294E-2</v>
      </c>
      <c r="V3028" t="s">
        <v>157</v>
      </c>
    </row>
    <row r="3029" spans="19:22" x14ac:dyDescent="0.45">
      <c r="S3029" t="s">
        <v>594</v>
      </c>
      <c r="T3029" t="s">
        <v>160</v>
      </c>
      <c r="U3029">
        <v>2.1489944675290813E-2</v>
      </c>
      <c r="V3029" t="s">
        <v>157</v>
      </c>
    </row>
    <row r="3030" spans="19:22" x14ac:dyDescent="0.45">
      <c r="S3030" t="s">
        <v>594</v>
      </c>
      <c r="T3030" t="s">
        <v>161</v>
      </c>
      <c r="U3030">
        <v>0.10749139910794238</v>
      </c>
      <c r="V3030" t="s">
        <v>157</v>
      </c>
    </row>
    <row r="3031" spans="19:22" x14ac:dyDescent="0.45">
      <c r="S3031" t="s">
        <v>594</v>
      </c>
      <c r="T3031" t="s">
        <v>162</v>
      </c>
      <c r="U3031">
        <v>0.11174171264620331</v>
      </c>
      <c r="V3031" t="s">
        <v>157</v>
      </c>
    </row>
    <row r="3032" spans="19:22" x14ac:dyDescent="0.45">
      <c r="S3032" t="s">
        <v>594</v>
      </c>
      <c r="T3032" t="s">
        <v>163</v>
      </c>
      <c r="U3032">
        <v>0.1444837034411961</v>
      </c>
      <c r="V3032" t="s">
        <v>157</v>
      </c>
    </row>
    <row r="3033" spans="19:22" x14ac:dyDescent="0.45">
      <c r="S3033" t="s">
        <v>594</v>
      </c>
      <c r="T3033" t="s">
        <v>164</v>
      </c>
      <c r="U3033">
        <v>1.5521568866965941E-2</v>
      </c>
      <c r="V3033" t="s">
        <v>157</v>
      </c>
    </row>
    <row r="3034" spans="19:22" x14ac:dyDescent="0.45">
      <c r="S3034" t="s">
        <v>594</v>
      </c>
      <c r="T3034" t="s">
        <v>165</v>
      </c>
      <c r="U3034">
        <v>1.5878022823440148E-2</v>
      </c>
      <c r="V3034" t="s">
        <v>157</v>
      </c>
    </row>
    <row r="3035" spans="19:22" x14ac:dyDescent="0.45">
      <c r="S3035" t="s">
        <v>594</v>
      </c>
      <c r="T3035" t="s">
        <v>166</v>
      </c>
      <c r="U3035">
        <v>8.437352487655625E-2</v>
      </c>
      <c r="V3035" t="s">
        <v>157</v>
      </c>
    </row>
    <row r="3036" spans="19:22" x14ac:dyDescent="0.45">
      <c r="S3036" t="s">
        <v>594</v>
      </c>
      <c r="T3036" t="s">
        <v>167</v>
      </c>
      <c r="U3036">
        <v>3.9947112082716514E-2</v>
      </c>
      <c r="V3036" t="s">
        <v>157</v>
      </c>
    </row>
    <row r="3037" spans="19:22" x14ac:dyDescent="0.45">
      <c r="S3037" t="s">
        <v>594</v>
      </c>
      <c r="T3037" t="s">
        <v>168</v>
      </c>
      <c r="U3037">
        <v>5.5341169732715474E-2</v>
      </c>
      <c r="V3037" t="s">
        <v>157</v>
      </c>
    </row>
    <row r="3038" spans="19:22" x14ac:dyDescent="0.45">
      <c r="S3038" t="s">
        <v>594</v>
      </c>
      <c r="T3038" t="s">
        <v>169</v>
      </c>
      <c r="U3038">
        <v>6.2222205513982028E-3</v>
      </c>
      <c r="V3038" t="s">
        <v>157</v>
      </c>
    </row>
    <row r="3039" spans="19:22" x14ac:dyDescent="0.45">
      <c r="S3039" t="s">
        <v>594</v>
      </c>
      <c r="T3039" t="s">
        <v>170</v>
      </c>
      <c r="U3039">
        <v>6.482138235781849E-3</v>
      </c>
      <c r="V3039" t="s">
        <v>157</v>
      </c>
    </row>
    <row r="3040" spans="19:22" x14ac:dyDescent="0.45">
      <c r="S3040" t="s">
        <v>594</v>
      </c>
      <c r="T3040" t="s">
        <v>171</v>
      </c>
      <c r="U3040">
        <v>3.2178481350239596E-2</v>
      </c>
      <c r="V3040" t="s">
        <v>157</v>
      </c>
    </row>
    <row r="3041" spans="19:22" x14ac:dyDescent="0.45">
      <c r="S3041" t="s">
        <v>595</v>
      </c>
      <c r="T3041" t="s">
        <v>156</v>
      </c>
      <c r="U3041">
        <v>0.14050755201793105</v>
      </c>
      <c r="V3041" t="s">
        <v>157</v>
      </c>
    </row>
    <row r="3042" spans="19:22" x14ac:dyDescent="0.45">
      <c r="S3042" t="s">
        <v>595</v>
      </c>
      <c r="T3042" t="s">
        <v>158</v>
      </c>
      <c r="U3042">
        <v>0.19038758513761481</v>
      </c>
      <c r="V3042" t="s">
        <v>157</v>
      </c>
    </row>
    <row r="3043" spans="19:22" x14ac:dyDescent="0.45">
      <c r="S3043" t="s">
        <v>595</v>
      </c>
      <c r="T3043" t="s">
        <v>159</v>
      </c>
      <c r="U3043">
        <v>2.1318428736199761E-2</v>
      </c>
      <c r="V3043" t="s">
        <v>157</v>
      </c>
    </row>
    <row r="3044" spans="19:22" x14ac:dyDescent="0.45">
      <c r="S3044" t="s">
        <v>595</v>
      </c>
      <c r="T3044" t="s">
        <v>160</v>
      </c>
      <c r="U3044">
        <v>2.195343232297178E-2</v>
      </c>
      <c r="V3044" t="s">
        <v>157</v>
      </c>
    </row>
    <row r="3045" spans="19:22" x14ac:dyDescent="0.45">
      <c r="S3045" t="s">
        <v>595</v>
      </c>
      <c r="T3045" t="s">
        <v>161</v>
      </c>
      <c r="U3045">
        <v>0.10956753772490166</v>
      </c>
      <c r="V3045" t="s">
        <v>157</v>
      </c>
    </row>
    <row r="3046" spans="19:22" x14ac:dyDescent="0.45">
      <c r="S3046" t="s">
        <v>595</v>
      </c>
      <c r="T3046" t="s">
        <v>162</v>
      </c>
      <c r="U3046">
        <v>0.11534298036245813</v>
      </c>
      <c r="V3046" t="s">
        <v>157</v>
      </c>
    </row>
    <row r="3047" spans="19:22" x14ac:dyDescent="0.45">
      <c r="S3047" t="s">
        <v>595</v>
      </c>
      <c r="T3047" t="s">
        <v>163</v>
      </c>
      <c r="U3047">
        <v>0.14317145505906234</v>
      </c>
      <c r="V3047" t="s">
        <v>157</v>
      </c>
    </row>
    <row r="3048" spans="19:22" x14ac:dyDescent="0.45">
      <c r="S3048" t="s">
        <v>595</v>
      </c>
      <c r="T3048" t="s">
        <v>164</v>
      </c>
      <c r="U3048">
        <v>1.5573752137505057E-2</v>
      </c>
      <c r="V3048" t="s">
        <v>157</v>
      </c>
    </row>
    <row r="3049" spans="19:22" x14ac:dyDescent="0.45">
      <c r="S3049" t="s">
        <v>595</v>
      </c>
      <c r="T3049" t="s">
        <v>165</v>
      </c>
      <c r="U3049">
        <v>1.5883779251345678E-2</v>
      </c>
      <c r="V3049" t="s">
        <v>157</v>
      </c>
    </row>
    <row r="3050" spans="19:22" x14ac:dyDescent="0.45">
      <c r="S3050" t="s">
        <v>595</v>
      </c>
      <c r="T3050" t="s">
        <v>166</v>
      </c>
      <c r="U3050">
        <v>8.5000810138424809E-2</v>
      </c>
      <c r="V3050" t="s">
        <v>157</v>
      </c>
    </row>
    <row r="3051" spans="19:22" x14ac:dyDescent="0.45">
      <c r="S3051" t="s">
        <v>595</v>
      </c>
      <c r="T3051" t="s">
        <v>167</v>
      </c>
      <c r="U3051">
        <v>4.1011323205038974E-2</v>
      </c>
      <c r="V3051" t="s">
        <v>157</v>
      </c>
    </row>
    <row r="3052" spans="19:22" x14ac:dyDescent="0.45">
      <c r="S3052" t="s">
        <v>595</v>
      </c>
      <c r="T3052" t="s">
        <v>168</v>
      </c>
      <c r="U3052">
        <v>5.5122869805767014E-2</v>
      </c>
      <c r="V3052" t="s">
        <v>157</v>
      </c>
    </row>
    <row r="3053" spans="19:22" x14ac:dyDescent="0.45">
      <c r="S3053" t="s">
        <v>595</v>
      </c>
      <c r="T3053" t="s">
        <v>169</v>
      </c>
      <c r="U3053">
        <v>6.2649359438884875E-3</v>
      </c>
      <c r="V3053" t="s">
        <v>157</v>
      </c>
    </row>
    <row r="3054" spans="19:22" x14ac:dyDescent="0.45">
      <c r="S3054" t="s">
        <v>595</v>
      </c>
      <c r="T3054" t="s">
        <v>170</v>
      </c>
      <c r="U3054">
        <v>6.4324167243464967E-3</v>
      </c>
      <c r="V3054" t="s">
        <v>157</v>
      </c>
    </row>
    <row r="3055" spans="19:22" x14ac:dyDescent="0.45">
      <c r="S3055" t="s">
        <v>595</v>
      </c>
      <c r="T3055" t="s">
        <v>171</v>
      </c>
      <c r="U3055">
        <v>3.2461141432543937E-2</v>
      </c>
      <c r="V3055" t="s">
        <v>157</v>
      </c>
    </row>
    <row r="3056" spans="19:22" x14ac:dyDescent="0.45">
      <c r="S3056" t="s">
        <v>596</v>
      </c>
      <c r="T3056" t="s">
        <v>156</v>
      </c>
      <c r="U3056">
        <v>0.137257093043781</v>
      </c>
      <c r="V3056" t="s">
        <v>157</v>
      </c>
    </row>
    <row r="3057" spans="19:22" x14ac:dyDescent="0.45">
      <c r="S3057" t="s">
        <v>596</v>
      </c>
      <c r="T3057" t="s">
        <v>158</v>
      </c>
      <c r="U3057">
        <v>0.18955634429834819</v>
      </c>
      <c r="V3057" t="s">
        <v>157</v>
      </c>
    </row>
    <row r="3058" spans="19:22" x14ac:dyDescent="0.45">
      <c r="S3058" t="s">
        <v>596</v>
      </c>
      <c r="T3058" t="s">
        <v>159</v>
      </c>
      <c r="U3058">
        <v>2.1323133976666152E-2</v>
      </c>
      <c r="V3058" t="s">
        <v>157</v>
      </c>
    </row>
    <row r="3059" spans="19:22" x14ac:dyDescent="0.45">
      <c r="S3059" t="s">
        <v>596</v>
      </c>
      <c r="T3059" t="s">
        <v>160</v>
      </c>
      <c r="U3059">
        <v>2.1892302318803687E-2</v>
      </c>
      <c r="V3059" t="s">
        <v>157</v>
      </c>
    </row>
    <row r="3060" spans="19:22" x14ac:dyDescent="0.45">
      <c r="S3060" t="s">
        <v>596</v>
      </c>
      <c r="T3060" t="s">
        <v>161</v>
      </c>
      <c r="U3060">
        <v>0.10936769537494793</v>
      </c>
      <c r="V3060" t="s">
        <v>157</v>
      </c>
    </row>
    <row r="3061" spans="19:22" x14ac:dyDescent="0.45">
      <c r="S3061" t="s">
        <v>596</v>
      </c>
      <c r="T3061" t="s">
        <v>162</v>
      </c>
      <c r="U3061">
        <v>0.11635248548644907</v>
      </c>
      <c r="V3061" t="s">
        <v>157</v>
      </c>
    </row>
    <row r="3062" spans="19:22" x14ac:dyDescent="0.45">
      <c r="S3062" t="s">
        <v>596</v>
      </c>
      <c r="T3062" t="s">
        <v>163</v>
      </c>
      <c r="U3062">
        <v>0.14468245613788214</v>
      </c>
      <c r="V3062" t="s">
        <v>157</v>
      </c>
    </row>
    <row r="3063" spans="19:22" x14ac:dyDescent="0.45">
      <c r="S3063" t="s">
        <v>596</v>
      </c>
      <c r="T3063" t="s">
        <v>164</v>
      </c>
      <c r="U3063">
        <v>1.6137085293857056E-2</v>
      </c>
      <c r="V3063" t="s">
        <v>157</v>
      </c>
    </row>
    <row r="3064" spans="19:22" x14ac:dyDescent="0.45">
      <c r="S3064" t="s">
        <v>596</v>
      </c>
      <c r="T3064" t="s">
        <v>165</v>
      </c>
      <c r="U3064">
        <v>1.652391984824322E-2</v>
      </c>
      <c r="V3064" t="s">
        <v>157</v>
      </c>
    </row>
    <row r="3065" spans="19:22" x14ac:dyDescent="0.45">
      <c r="S3065" t="s">
        <v>596</v>
      </c>
      <c r="T3065" t="s">
        <v>166</v>
      </c>
      <c r="U3065">
        <v>8.5698971845727751E-2</v>
      </c>
      <c r="V3065" t="s">
        <v>157</v>
      </c>
    </row>
    <row r="3066" spans="19:22" x14ac:dyDescent="0.45">
      <c r="S3066" t="s">
        <v>596</v>
      </c>
      <c r="T3066" t="s">
        <v>167</v>
      </c>
      <c r="U3066">
        <v>4.1663808528014101E-2</v>
      </c>
      <c r="V3066" t="s">
        <v>157</v>
      </c>
    </row>
    <row r="3067" spans="19:22" x14ac:dyDescent="0.45">
      <c r="S3067" t="s">
        <v>596</v>
      </c>
      <c r="T3067" t="s">
        <v>168</v>
      </c>
      <c r="U3067">
        <v>5.506254576423239E-2</v>
      </c>
      <c r="V3067" t="s">
        <v>157</v>
      </c>
    </row>
    <row r="3068" spans="19:22" x14ac:dyDescent="0.45">
      <c r="S3068" t="s">
        <v>596</v>
      </c>
      <c r="T3068" t="s">
        <v>169</v>
      </c>
      <c r="U3068">
        <v>6.0830715122974274E-3</v>
      </c>
      <c r="V3068" t="s">
        <v>157</v>
      </c>
    </row>
    <row r="3069" spans="19:22" x14ac:dyDescent="0.45">
      <c r="S3069" t="s">
        <v>596</v>
      </c>
      <c r="T3069" t="s">
        <v>170</v>
      </c>
      <c r="U3069">
        <v>6.2120331488288135E-3</v>
      </c>
      <c r="V3069" t="s">
        <v>157</v>
      </c>
    </row>
    <row r="3070" spans="19:22" x14ac:dyDescent="0.45">
      <c r="S3070" t="s">
        <v>596</v>
      </c>
      <c r="T3070" t="s">
        <v>171</v>
      </c>
      <c r="U3070">
        <v>3.2187053421921075E-2</v>
      </c>
      <c r="V3070" t="s">
        <v>157</v>
      </c>
    </row>
    <row r="3071" spans="19:22" x14ac:dyDescent="0.45">
      <c r="S3071" t="s">
        <v>597</v>
      </c>
      <c r="T3071" t="s">
        <v>156</v>
      </c>
      <c r="U3071">
        <v>0.13326639552814809</v>
      </c>
      <c r="V3071" t="s">
        <v>157</v>
      </c>
    </row>
    <row r="3072" spans="19:22" x14ac:dyDescent="0.45">
      <c r="S3072" t="s">
        <v>597</v>
      </c>
      <c r="T3072" t="s">
        <v>158</v>
      </c>
      <c r="U3072">
        <v>0.18709253636774123</v>
      </c>
      <c r="V3072" t="s">
        <v>157</v>
      </c>
    </row>
    <row r="3073" spans="19:22" x14ac:dyDescent="0.45">
      <c r="S3073" t="s">
        <v>597</v>
      </c>
      <c r="T3073" t="s">
        <v>159</v>
      </c>
      <c r="U3073">
        <v>2.2245600008242702E-2</v>
      </c>
      <c r="V3073" t="s">
        <v>157</v>
      </c>
    </row>
    <row r="3074" spans="19:22" x14ac:dyDescent="0.45">
      <c r="S3074" t="s">
        <v>597</v>
      </c>
      <c r="T3074" t="s">
        <v>160</v>
      </c>
      <c r="U3074">
        <v>2.2134980779810239E-2</v>
      </c>
      <c r="V3074" t="s">
        <v>157</v>
      </c>
    </row>
    <row r="3075" spans="19:22" x14ac:dyDescent="0.45">
      <c r="S3075" t="s">
        <v>597</v>
      </c>
      <c r="T3075" t="s">
        <v>161</v>
      </c>
      <c r="U3075">
        <v>0.10819970430113839</v>
      </c>
      <c r="V3075" t="s">
        <v>157</v>
      </c>
    </row>
    <row r="3076" spans="19:22" x14ac:dyDescent="0.45">
      <c r="S3076" t="s">
        <v>597</v>
      </c>
      <c r="T3076" t="s">
        <v>162</v>
      </c>
      <c r="U3076">
        <v>0.118097057551927</v>
      </c>
      <c r="V3076" t="s">
        <v>157</v>
      </c>
    </row>
    <row r="3077" spans="19:22" x14ac:dyDescent="0.45">
      <c r="S3077" t="s">
        <v>597</v>
      </c>
      <c r="T3077" t="s">
        <v>163</v>
      </c>
      <c r="U3077">
        <v>0.15121424894555746</v>
      </c>
      <c r="V3077" t="s">
        <v>157</v>
      </c>
    </row>
    <row r="3078" spans="19:22" x14ac:dyDescent="0.45">
      <c r="S3078" t="s">
        <v>597</v>
      </c>
      <c r="T3078" t="s">
        <v>164</v>
      </c>
      <c r="U3078">
        <v>1.6747124729269508E-2</v>
      </c>
      <c r="V3078" t="s">
        <v>157</v>
      </c>
    </row>
    <row r="3079" spans="19:22" x14ac:dyDescent="0.45">
      <c r="S3079" t="s">
        <v>597</v>
      </c>
      <c r="T3079" t="s">
        <v>165</v>
      </c>
      <c r="U3079">
        <v>1.7225480384283284E-2</v>
      </c>
      <c r="V3079" t="s">
        <v>157</v>
      </c>
    </row>
    <row r="3080" spans="19:22" x14ac:dyDescent="0.45">
      <c r="S3080" t="s">
        <v>597</v>
      </c>
      <c r="T3080" t="s">
        <v>166</v>
      </c>
      <c r="U3080">
        <v>8.7220062225836933E-2</v>
      </c>
      <c r="V3080" t="s">
        <v>157</v>
      </c>
    </row>
    <row r="3081" spans="19:22" x14ac:dyDescent="0.45">
      <c r="S3081" t="s">
        <v>597</v>
      </c>
      <c r="T3081" t="s">
        <v>167</v>
      </c>
      <c r="U3081">
        <v>3.9842005973151184E-2</v>
      </c>
      <c r="V3081" t="s">
        <v>157</v>
      </c>
    </row>
    <row r="3082" spans="19:22" x14ac:dyDescent="0.45">
      <c r="S3082" t="s">
        <v>597</v>
      </c>
      <c r="T3082" t="s">
        <v>168</v>
      </c>
      <c r="U3082">
        <v>5.4218834672807116E-2</v>
      </c>
      <c r="V3082" t="s">
        <v>157</v>
      </c>
    </row>
    <row r="3083" spans="19:22" x14ac:dyDescent="0.45">
      <c r="S3083" t="s">
        <v>597</v>
      </c>
      <c r="T3083" t="s">
        <v>169</v>
      </c>
      <c r="U3083">
        <v>5.6865358855462296E-3</v>
      </c>
      <c r="V3083" t="s">
        <v>157</v>
      </c>
    </row>
    <row r="3084" spans="19:22" x14ac:dyDescent="0.45">
      <c r="S3084" t="s">
        <v>597</v>
      </c>
      <c r="T3084" t="s">
        <v>170</v>
      </c>
      <c r="U3084">
        <v>5.8153962544518663E-3</v>
      </c>
      <c r="V3084" t="s">
        <v>157</v>
      </c>
    </row>
    <row r="3085" spans="19:22" x14ac:dyDescent="0.45">
      <c r="S3085" t="s">
        <v>597</v>
      </c>
      <c r="T3085" t="s">
        <v>171</v>
      </c>
      <c r="U3085">
        <v>3.0994036392088767E-2</v>
      </c>
      <c r="V3085" t="s">
        <v>157</v>
      </c>
    </row>
    <row r="3086" spans="19:22" x14ac:dyDescent="0.45">
      <c r="S3086" t="s">
        <v>598</v>
      </c>
      <c r="T3086" t="s">
        <v>156</v>
      </c>
      <c r="U3086">
        <v>0.13151093295375235</v>
      </c>
      <c r="V3086" t="s">
        <v>157</v>
      </c>
    </row>
    <row r="3087" spans="19:22" x14ac:dyDescent="0.45">
      <c r="S3087" t="s">
        <v>598</v>
      </c>
      <c r="T3087" t="s">
        <v>158</v>
      </c>
      <c r="U3087">
        <v>0.18313863080719917</v>
      </c>
      <c r="V3087" t="s">
        <v>157</v>
      </c>
    </row>
    <row r="3088" spans="19:22" x14ac:dyDescent="0.45">
      <c r="S3088" t="s">
        <v>598</v>
      </c>
      <c r="T3088" t="s">
        <v>159</v>
      </c>
      <c r="U3088">
        <v>2.2660373432432108E-2</v>
      </c>
      <c r="V3088" t="s">
        <v>157</v>
      </c>
    </row>
    <row r="3089" spans="19:22" x14ac:dyDescent="0.45">
      <c r="S3089" t="s">
        <v>598</v>
      </c>
      <c r="T3089" t="s">
        <v>160</v>
      </c>
      <c r="U3089">
        <v>2.262914897040114E-2</v>
      </c>
      <c r="V3089" t="s">
        <v>157</v>
      </c>
    </row>
    <row r="3090" spans="19:22" x14ac:dyDescent="0.45">
      <c r="S3090" t="s">
        <v>598</v>
      </c>
      <c r="T3090" t="s">
        <v>161</v>
      </c>
      <c r="U3090">
        <v>0.10831817276362551</v>
      </c>
      <c r="V3090" t="s">
        <v>157</v>
      </c>
    </row>
    <row r="3091" spans="19:22" x14ac:dyDescent="0.45">
      <c r="S3091" t="s">
        <v>598</v>
      </c>
      <c r="T3091" t="s">
        <v>162</v>
      </c>
      <c r="U3091">
        <v>0.12337549036369737</v>
      </c>
      <c r="V3091" t="s">
        <v>157</v>
      </c>
    </row>
    <row r="3092" spans="19:22" x14ac:dyDescent="0.45">
      <c r="S3092" t="s">
        <v>598</v>
      </c>
      <c r="T3092" t="s">
        <v>163</v>
      </c>
      <c r="U3092">
        <v>0.15829115820187098</v>
      </c>
      <c r="V3092" t="s">
        <v>157</v>
      </c>
    </row>
    <row r="3093" spans="19:22" x14ac:dyDescent="0.45">
      <c r="S3093" t="s">
        <v>598</v>
      </c>
      <c r="T3093" t="s">
        <v>164</v>
      </c>
      <c r="U3093">
        <v>1.7022417921102845E-2</v>
      </c>
      <c r="V3093" t="s">
        <v>157</v>
      </c>
    </row>
    <row r="3094" spans="19:22" x14ac:dyDescent="0.45">
      <c r="S3094" t="s">
        <v>598</v>
      </c>
      <c r="T3094" t="s">
        <v>165</v>
      </c>
      <c r="U3094">
        <v>1.7091543385115194E-2</v>
      </c>
      <c r="V3094" t="s">
        <v>157</v>
      </c>
    </row>
    <row r="3095" spans="19:22" x14ac:dyDescent="0.45">
      <c r="S3095" t="s">
        <v>598</v>
      </c>
      <c r="T3095" t="s">
        <v>166</v>
      </c>
      <c r="U3095">
        <v>8.8842222227572348E-2</v>
      </c>
      <c r="V3095" t="s">
        <v>157</v>
      </c>
    </row>
    <row r="3096" spans="19:22" x14ac:dyDescent="0.45">
      <c r="S3096" t="s">
        <v>598</v>
      </c>
      <c r="T3096" t="s">
        <v>167</v>
      </c>
      <c r="U3096">
        <v>3.7106603288400708E-2</v>
      </c>
      <c r="V3096" t="s">
        <v>157</v>
      </c>
    </row>
    <row r="3097" spans="19:22" x14ac:dyDescent="0.45">
      <c r="S3097" t="s">
        <v>598</v>
      </c>
      <c r="T3097" t="s">
        <v>168</v>
      </c>
      <c r="U3097">
        <v>5.1469466943260524E-2</v>
      </c>
      <c r="V3097" t="s">
        <v>157</v>
      </c>
    </row>
    <row r="3098" spans="19:22" x14ac:dyDescent="0.45">
      <c r="S3098" t="s">
        <v>598</v>
      </c>
      <c r="T3098" t="s">
        <v>169</v>
      </c>
      <c r="U3098">
        <v>5.6030335070479768E-3</v>
      </c>
      <c r="V3098" t="s">
        <v>157</v>
      </c>
    </row>
    <row r="3099" spans="19:22" x14ac:dyDescent="0.45">
      <c r="S3099" t="s">
        <v>598</v>
      </c>
      <c r="T3099" t="s">
        <v>170</v>
      </c>
      <c r="U3099">
        <v>5.437918960518367E-3</v>
      </c>
      <c r="V3099" t="s">
        <v>157</v>
      </c>
    </row>
    <row r="3100" spans="19:22" x14ac:dyDescent="0.45">
      <c r="S3100" t="s">
        <v>598</v>
      </c>
      <c r="T3100" t="s">
        <v>171</v>
      </c>
      <c r="U3100">
        <v>2.750288627400346E-2</v>
      </c>
      <c r="V3100" t="s">
        <v>157</v>
      </c>
    </row>
    <row r="3101" spans="19:22" x14ac:dyDescent="0.45">
      <c r="S3101" t="s">
        <v>599</v>
      </c>
      <c r="T3101" t="s">
        <v>156</v>
      </c>
      <c r="U3101">
        <v>0.13043339980419327</v>
      </c>
      <c r="V3101" t="s">
        <v>157</v>
      </c>
    </row>
    <row r="3102" spans="19:22" x14ac:dyDescent="0.45">
      <c r="S3102" t="s">
        <v>599</v>
      </c>
      <c r="T3102" t="s">
        <v>158</v>
      </c>
      <c r="U3102">
        <v>0.19320100384609809</v>
      </c>
      <c r="V3102" t="s">
        <v>157</v>
      </c>
    </row>
    <row r="3103" spans="19:22" x14ac:dyDescent="0.45">
      <c r="S3103" t="s">
        <v>599</v>
      </c>
      <c r="T3103" t="s">
        <v>159</v>
      </c>
      <c r="U3103">
        <v>1.9698238820949864E-2</v>
      </c>
      <c r="V3103" t="s">
        <v>157</v>
      </c>
    </row>
    <row r="3104" spans="19:22" x14ac:dyDescent="0.45">
      <c r="S3104" t="s">
        <v>599</v>
      </c>
      <c r="T3104" t="s">
        <v>160</v>
      </c>
      <c r="U3104">
        <v>1.9020717078190526E-2</v>
      </c>
      <c r="V3104" t="s">
        <v>157</v>
      </c>
    </row>
    <row r="3105" spans="19:22" x14ac:dyDescent="0.45">
      <c r="S3105" t="s">
        <v>599</v>
      </c>
      <c r="T3105" t="s">
        <v>161</v>
      </c>
      <c r="U3105">
        <v>8.9821225487787162E-2</v>
      </c>
      <c r="V3105" t="s">
        <v>157</v>
      </c>
    </row>
    <row r="3106" spans="19:22" x14ac:dyDescent="0.45">
      <c r="S3106" t="s">
        <v>599</v>
      </c>
      <c r="T3106" t="s">
        <v>162</v>
      </c>
      <c r="U3106">
        <v>0.13512533746798872</v>
      </c>
      <c r="V3106" t="s">
        <v>157</v>
      </c>
    </row>
    <row r="3107" spans="19:22" x14ac:dyDescent="0.45">
      <c r="S3107" t="s">
        <v>599</v>
      </c>
      <c r="T3107" t="s">
        <v>163</v>
      </c>
      <c r="U3107">
        <v>0.17721773489712897</v>
      </c>
      <c r="V3107" t="s">
        <v>157</v>
      </c>
    </row>
    <row r="3108" spans="19:22" x14ac:dyDescent="0.45">
      <c r="S3108" t="s">
        <v>599</v>
      </c>
      <c r="T3108" t="s">
        <v>164</v>
      </c>
      <c r="U3108">
        <v>1.7728939952180015E-2</v>
      </c>
      <c r="V3108" t="s">
        <v>157</v>
      </c>
    </row>
    <row r="3109" spans="19:22" x14ac:dyDescent="0.45">
      <c r="S3109" t="s">
        <v>599</v>
      </c>
      <c r="T3109" t="s">
        <v>165</v>
      </c>
      <c r="U3109">
        <v>1.7398416532473461E-2</v>
      </c>
      <c r="V3109" t="s">
        <v>157</v>
      </c>
    </row>
    <row r="3110" spans="19:22" x14ac:dyDescent="0.45">
      <c r="S3110" t="s">
        <v>599</v>
      </c>
      <c r="T3110" t="s">
        <v>166</v>
      </c>
      <c r="U3110">
        <v>9.0467525041786595E-2</v>
      </c>
      <c r="V3110" t="s">
        <v>157</v>
      </c>
    </row>
    <row r="3111" spans="19:22" x14ac:dyDescent="0.45">
      <c r="S3111" t="s">
        <v>599</v>
      </c>
      <c r="T3111" t="s">
        <v>167</v>
      </c>
      <c r="U3111">
        <v>3.0694409371183045E-2</v>
      </c>
      <c r="V3111" t="s">
        <v>157</v>
      </c>
    </row>
    <row r="3112" spans="19:22" x14ac:dyDescent="0.45">
      <c r="S3112" t="s">
        <v>599</v>
      </c>
      <c r="T3112" t="s">
        <v>168</v>
      </c>
      <c r="U3112">
        <v>4.9419244571401684E-2</v>
      </c>
      <c r="V3112" t="s">
        <v>157</v>
      </c>
    </row>
    <row r="3113" spans="19:22" x14ac:dyDescent="0.45">
      <c r="S3113" t="s">
        <v>599</v>
      </c>
      <c r="T3113" t="s">
        <v>169</v>
      </c>
      <c r="U3113">
        <v>4.513227112482132E-3</v>
      </c>
      <c r="V3113" t="s">
        <v>157</v>
      </c>
    </row>
    <row r="3114" spans="19:22" x14ac:dyDescent="0.45">
      <c r="S3114" t="s">
        <v>599</v>
      </c>
      <c r="T3114" t="s">
        <v>170</v>
      </c>
      <c r="U3114">
        <v>4.1358932033735531E-3</v>
      </c>
      <c r="V3114" t="s">
        <v>157</v>
      </c>
    </row>
    <row r="3115" spans="19:22" x14ac:dyDescent="0.45">
      <c r="S3115" t="s">
        <v>599</v>
      </c>
      <c r="T3115" t="s">
        <v>171</v>
      </c>
      <c r="U3115">
        <v>2.112468681278298E-2</v>
      </c>
      <c r="V3115" t="s">
        <v>157</v>
      </c>
    </row>
    <row r="3116" spans="19:22" x14ac:dyDescent="0.45">
      <c r="S3116" t="s">
        <v>600</v>
      </c>
      <c r="T3116" t="s">
        <v>156</v>
      </c>
      <c r="U3116">
        <v>0.1440940836705773</v>
      </c>
      <c r="V3116" t="s">
        <v>157</v>
      </c>
    </row>
    <row r="3117" spans="19:22" x14ac:dyDescent="0.45">
      <c r="S3117" t="s">
        <v>600</v>
      </c>
      <c r="T3117" t="s">
        <v>158</v>
      </c>
      <c r="U3117">
        <v>0.2065915662289157</v>
      </c>
      <c r="V3117" t="s">
        <v>157</v>
      </c>
    </row>
    <row r="3118" spans="19:22" x14ac:dyDescent="0.45">
      <c r="S3118" t="s">
        <v>600</v>
      </c>
      <c r="T3118" t="s">
        <v>159</v>
      </c>
      <c r="U3118">
        <v>2.0980327791107319E-2</v>
      </c>
      <c r="V3118" t="s">
        <v>157</v>
      </c>
    </row>
    <row r="3119" spans="19:22" x14ac:dyDescent="0.45">
      <c r="S3119" t="s">
        <v>600</v>
      </c>
      <c r="T3119" t="s">
        <v>160</v>
      </c>
      <c r="U3119">
        <v>2.0853696474916153E-2</v>
      </c>
      <c r="V3119" t="s">
        <v>157</v>
      </c>
    </row>
    <row r="3120" spans="19:22" x14ac:dyDescent="0.45">
      <c r="S3120" t="s">
        <v>600</v>
      </c>
      <c r="T3120" t="s">
        <v>161</v>
      </c>
      <c r="U3120">
        <v>0.10282619958177304</v>
      </c>
      <c r="V3120" t="s">
        <v>157</v>
      </c>
    </row>
    <row r="3121" spans="19:22" x14ac:dyDescent="0.45">
      <c r="S3121" t="s">
        <v>600</v>
      </c>
      <c r="T3121" t="s">
        <v>162</v>
      </c>
      <c r="U3121">
        <v>0.10318671282015962</v>
      </c>
      <c r="V3121" t="s">
        <v>157</v>
      </c>
    </row>
    <row r="3122" spans="19:22" x14ac:dyDescent="0.45">
      <c r="S3122" t="s">
        <v>600</v>
      </c>
      <c r="T3122" t="s">
        <v>163</v>
      </c>
      <c r="U3122">
        <v>0.14693713636642322</v>
      </c>
      <c r="V3122" t="s">
        <v>157</v>
      </c>
    </row>
    <row r="3123" spans="19:22" x14ac:dyDescent="0.45">
      <c r="S3123" t="s">
        <v>600</v>
      </c>
      <c r="T3123" t="s">
        <v>164</v>
      </c>
      <c r="U3123">
        <v>1.4618994697723632E-2</v>
      </c>
      <c r="V3123" t="s">
        <v>157</v>
      </c>
    </row>
    <row r="3124" spans="19:22" x14ac:dyDescent="0.45">
      <c r="S3124" t="s">
        <v>600</v>
      </c>
      <c r="T3124" t="s">
        <v>165</v>
      </c>
      <c r="U3124">
        <v>1.4422948568905592E-2</v>
      </c>
      <c r="V3124" t="s">
        <v>157</v>
      </c>
    </row>
    <row r="3125" spans="19:22" x14ac:dyDescent="0.45">
      <c r="S3125" t="s">
        <v>600</v>
      </c>
      <c r="T3125" t="s">
        <v>166</v>
      </c>
      <c r="U3125">
        <v>7.3317389092066754E-2</v>
      </c>
      <c r="V3125" t="s">
        <v>157</v>
      </c>
    </row>
    <row r="3126" spans="19:22" x14ac:dyDescent="0.45">
      <c r="S3126" t="s">
        <v>600</v>
      </c>
      <c r="T3126" t="s">
        <v>167</v>
      </c>
      <c r="U3126">
        <v>4.639628500115061E-2</v>
      </c>
      <c r="V3126" t="s">
        <v>157</v>
      </c>
    </row>
    <row r="3127" spans="19:22" x14ac:dyDescent="0.45">
      <c r="S3127" t="s">
        <v>600</v>
      </c>
      <c r="T3127" t="s">
        <v>168</v>
      </c>
      <c r="U3127">
        <v>6.2095155012789713E-2</v>
      </c>
      <c r="V3127" t="s">
        <v>157</v>
      </c>
    </row>
    <row r="3128" spans="19:22" x14ac:dyDescent="0.45">
      <c r="S3128" t="s">
        <v>600</v>
      </c>
      <c r="T3128" t="s">
        <v>169</v>
      </c>
      <c r="U3128">
        <v>6.1604352362227719E-3</v>
      </c>
      <c r="V3128" t="s">
        <v>157</v>
      </c>
    </row>
    <row r="3129" spans="19:22" x14ac:dyDescent="0.45">
      <c r="S3129" t="s">
        <v>600</v>
      </c>
      <c r="T3129" t="s">
        <v>170</v>
      </c>
      <c r="U3129">
        <v>6.1934253997994832E-3</v>
      </c>
      <c r="V3129" t="s">
        <v>157</v>
      </c>
    </row>
    <row r="3130" spans="19:22" x14ac:dyDescent="0.45">
      <c r="S3130" t="s">
        <v>600</v>
      </c>
      <c r="T3130" t="s">
        <v>171</v>
      </c>
      <c r="U3130">
        <v>3.1325644057469071E-2</v>
      </c>
      <c r="V3130" t="s">
        <v>157</v>
      </c>
    </row>
    <row r="3131" spans="19:22" x14ac:dyDescent="0.45">
      <c r="S3131" t="s">
        <v>601</v>
      </c>
      <c r="T3131" t="s">
        <v>156</v>
      </c>
      <c r="U3131">
        <v>9.5644889104369551E-2</v>
      </c>
      <c r="V3131" t="s">
        <v>157</v>
      </c>
    </row>
    <row r="3132" spans="19:22" x14ac:dyDescent="0.45">
      <c r="S3132" t="s">
        <v>601</v>
      </c>
      <c r="T3132" t="s">
        <v>158</v>
      </c>
      <c r="U3132">
        <v>0.1778694872950882</v>
      </c>
      <c r="V3132" t="s">
        <v>157</v>
      </c>
    </row>
    <row r="3133" spans="19:22" x14ac:dyDescent="0.45">
      <c r="S3133" t="s">
        <v>601</v>
      </c>
      <c r="T3133" t="s">
        <v>159</v>
      </c>
      <c r="U3133">
        <v>2.1439411405257094E-2</v>
      </c>
      <c r="V3133" t="s">
        <v>157</v>
      </c>
    </row>
    <row r="3134" spans="19:22" x14ac:dyDescent="0.45">
      <c r="S3134" t="s">
        <v>601</v>
      </c>
      <c r="T3134" t="s">
        <v>160</v>
      </c>
      <c r="U3134">
        <v>2.0219822300945475E-2</v>
      </c>
      <c r="V3134" t="s">
        <v>157</v>
      </c>
    </row>
    <row r="3135" spans="19:22" x14ac:dyDescent="0.45">
      <c r="S3135" t="s">
        <v>601</v>
      </c>
      <c r="T3135" t="s">
        <v>161</v>
      </c>
      <c r="U3135">
        <v>8.2722239482237156E-2</v>
      </c>
      <c r="V3135" t="s">
        <v>157</v>
      </c>
    </row>
    <row r="3136" spans="19:22" x14ac:dyDescent="0.45">
      <c r="S3136" t="s">
        <v>601</v>
      </c>
      <c r="T3136" t="s">
        <v>162</v>
      </c>
      <c r="U3136">
        <v>0.10819871173181091</v>
      </c>
      <c r="V3136" t="s">
        <v>157</v>
      </c>
    </row>
    <row r="3137" spans="19:22" x14ac:dyDescent="0.45">
      <c r="S3137" t="s">
        <v>601</v>
      </c>
      <c r="T3137" t="s">
        <v>163</v>
      </c>
      <c r="U3137">
        <v>0.19211756938013186</v>
      </c>
      <c r="V3137" t="s">
        <v>157</v>
      </c>
    </row>
    <row r="3138" spans="19:22" x14ac:dyDescent="0.45">
      <c r="S3138" t="s">
        <v>601</v>
      </c>
      <c r="T3138" t="s">
        <v>164</v>
      </c>
      <c r="U3138">
        <v>2.1807908017663458E-2</v>
      </c>
      <c r="V3138" t="s">
        <v>157</v>
      </c>
    </row>
    <row r="3139" spans="19:22" x14ac:dyDescent="0.45">
      <c r="S3139" t="s">
        <v>601</v>
      </c>
      <c r="T3139" t="s">
        <v>165</v>
      </c>
      <c r="U3139">
        <v>2.0802974539370279E-2</v>
      </c>
      <c r="V3139" t="s">
        <v>157</v>
      </c>
    </row>
    <row r="3140" spans="19:22" x14ac:dyDescent="0.45">
      <c r="S3140" t="s">
        <v>601</v>
      </c>
      <c r="T3140" t="s">
        <v>166</v>
      </c>
      <c r="U3140">
        <v>8.6526275224772714E-2</v>
      </c>
      <c r="V3140" t="s">
        <v>157</v>
      </c>
    </row>
    <row r="3141" spans="19:22" x14ac:dyDescent="0.45">
      <c r="S3141" t="s">
        <v>601</v>
      </c>
      <c r="T3141" t="s">
        <v>167</v>
      </c>
      <c r="U3141">
        <v>3.6919623714326014E-2</v>
      </c>
      <c r="V3141" t="s">
        <v>157</v>
      </c>
    </row>
    <row r="3142" spans="19:22" x14ac:dyDescent="0.45">
      <c r="S3142" t="s">
        <v>601</v>
      </c>
      <c r="T3142" t="s">
        <v>168</v>
      </c>
      <c r="U3142">
        <v>8.2895183483337645E-2</v>
      </c>
      <c r="V3142" t="s">
        <v>157</v>
      </c>
    </row>
    <row r="3143" spans="19:22" x14ac:dyDescent="0.45">
      <c r="S3143" t="s">
        <v>601</v>
      </c>
      <c r="T3143" t="s">
        <v>169</v>
      </c>
      <c r="U3143">
        <v>9.3799368511675758E-3</v>
      </c>
      <c r="V3143" t="s">
        <v>157</v>
      </c>
    </row>
    <row r="3144" spans="19:22" x14ac:dyDescent="0.45">
      <c r="S3144" t="s">
        <v>601</v>
      </c>
      <c r="T3144" t="s">
        <v>170</v>
      </c>
      <c r="U3144">
        <v>8.9790005714368397E-3</v>
      </c>
      <c r="V3144" t="s">
        <v>157</v>
      </c>
    </row>
    <row r="3145" spans="19:22" x14ac:dyDescent="0.45">
      <c r="S3145" t="s">
        <v>601</v>
      </c>
      <c r="T3145" t="s">
        <v>171</v>
      </c>
      <c r="U3145">
        <v>3.4476966898085215E-2</v>
      </c>
      <c r="V3145" t="s">
        <v>157</v>
      </c>
    </row>
    <row r="3146" spans="19:22" x14ac:dyDescent="0.45">
      <c r="S3146" t="s">
        <v>602</v>
      </c>
      <c r="T3146" t="s">
        <v>156</v>
      </c>
      <c r="U3146">
        <v>0.1151867719331028</v>
      </c>
      <c r="V3146" t="s">
        <v>157</v>
      </c>
    </row>
    <row r="3147" spans="19:22" x14ac:dyDescent="0.45">
      <c r="S3147" t="s">
        <v>602</v>
      </c>
      <c r="T3147" t="s">
        <v>158</v>
      </c>
      <c r="U3147">
        <v>0.17209169969721752</v>
      </c>
      <c r="V3147" t="s">
        <v>157</v>
      </c>
    </row>
    <row r="3148" spans="19:22" x14ac:dyDescent="0.45">
      <c r="S3148" t="s">
        <v>602</v>
      </c>
      <c r="T3148" t="s">
        <v>159</v>
      </c>
      <c r="U3148">
        <v>1.926631775510566E-2</v>
      </c>
      <c r="V3148" t="s">
        <v>157</v>
      </c>
    </row>
    <row r="3149" spans="19:22" x14ac:dyDescent="0.45">
      <c r="S3149" t="s">
        <v>602</v>
      </c>
      <c r="T3149" t="s">
        <v>160</v>
      </c>
      <c r="U3149">
        <v>1.8995170679678163E-2</v>
      </c>
      <c r="V3149" t="s">
        <v>157</v>
      </c>
    </row>
    <row r="3150" spans="19:22" x14ac:dyDescent="0.45">
      <c r="S3150" t="s">
        <v>602</v>
      </c>
      <c r="T3150" t="s">
        <v>161</v>
      </c>
      <c r="U3150">
        <v>8.9411538351202219E-2</v>
      </c>
      <c r="V3150" t="s">
        <v>157</v>
      </c>
    </row>
    <row r="3151" spans="19:22" x14ac:dyDescent="0.45">
      <c r="S3151" t="s">
        <v>602</v>
      </c>
      <c r="T3151" t="s">
        <v>162</v>
      </c>
      <c r="U3151">
        <v>0.11163453509421693</v>
      </c>
      <c r="V3151" t="s">
        <v>157</v>
      </c>
    </row>
    <row r="3152" spans="19:22" x14ac:dyDescent="0.45">
      <c r="S3152" t="s">
        <v>602</v>
      </c>
      <c r="T3152" t="s">
        <v>163</v>
      </c>
      <c r="U3152">
        <v>0.17305214431715746</v>
      </c>
      <c r="V3152" t="s">
        <v>157</v>
      </c>
    </row>
    <row r="3153" spans="19:22" x14ac:dyDescent="0.45">
      <c r="S3153" t="s">
        <v>602</v>
      </c>
      <c r="T3153" t="s">
        <v>164</v>
      </c>
      <c r="U3153">
        <v>1.9334378120203777E-2</v>
      </c>
      <c r="V3153" t="s">
        <v>157</v>
      </c>
    </row>
    <row r="3154" spans="19:22" x14ac:dyDescent="0.45">
      <c r="S3154" t="s">
        <v>602</v>
      </c>
      <c r="T3154" t="s">
        <v>165</v>
      </c>
      <c r="U3154">
        <v>1.904506315376393E-2</v>
      </c>
      <c r="V3154" t="s">
        <v>157</v>
      </c>
    </row>
    <row r="3155" spans="19:22" x14ac:dyDescent="0.45">
      <c r="S3155" t="s">
        <v>602</v>
      </c>
      <c r="T3155" t="s">
        <v>166</v>
      </c>
      <c r="U3155">
        <v>8.8105871088769952E-2</v>
      </c>
      <c r="V3155" t="s">
        <v>157</v>
      </c>
    </row>
    <row r="3156" spans="19:22" x14ac:dyDescent="0.45">
      <c r="S3156" t="s">
        <v>602</v>
      </c>
      <c r="T3156" t="s">
        <v>167</v>
      </c>
      <c r="U3156">
        <v>4.2827342399957918E-2</v>
      </c>
      <c r="V3156" t="s">
        <v>157</v>
      </c>
    </row>
    <row r="3157" spans="19:22" x14ac:dyDescent="0.45">
      <c r="S3157" t="s">
        <v>602</v>
      </c>
      <c r="T3157" t="s">
        <v>168</v>
      </c>
      <c r="U3157">
        <v>7.5434514426739305E-2</v>
      </c>
      <c r="V3157" t="s">
        <v>157</v>
      </c>
    </row>
    <row r="3158" spans="19:22" x14ac:dyDescent="0.45">
      <c r="S3158" t="s">
        <v>602</v>
      </c>
      <c r="T3158" t="s">
        <v>169</v>
      </c>
      <c r="U3158">
        <v>8.8114744900316625E-3</v>
      </c>
      <c r="V3158" t="s">
        <v>157</v>
      </c>
    </row>
    <row r="3159" spans="19:22" x14ac:dyDescent="0.45">
      <c r="S3159" t="s">
        <v>602</v>
      </c>
      <c r="T3159" t="s">
        <v>170</v>
      </c>
      <c r="U3159">
        <v>8.7017657087072632E-3</v>
      </c>
      <c r="V3159" t="s">
        <v>157</v>
      </c>
    </row>
    <row r="3160" spans="19:22" x14ac:dyDescent="0.45">
      <c r="S3160" t="s">
        <v>602</v>
      </c>
      <c r="T3160" t="s">
        <v>171</v>
      </c>
      <c r="U3160">
        <v>3.8101412784145472E-2</v>
      </c>
      <c r="V3160" t="s">
        <v>157</v>
      </c>
    </row>
    <row r="3161" spans="19:22" x14ac:dyDescent="0.45">
      <c r="S3161" t="s">
        <v>603</v>
      </c>
      <c r="T3161" t="s">
        <v>156</v>
      </c>
      <c r="U3161">
        <v>0.12637293671002406</v>
      </c>
      <c r="V3161" t="s">
        <v>157</v>
      </c>
    </row>
    <row r="3162" spans="19:22" x14ac:dyDescent="0.45">
      <c r="S3162" t="s">
        <v>603</v>
      </c>
      <c r="T3162" t="s">
        <v>158</v>
      </c>
      <c r="U3162">
        <v>0.17291867564164301</v>
      </c>
      <c r="V3162" t="s">
        <v>157</v>
      </c>
    </row>
    <row r="3163" spans="19:22" x14ac:dyDescent="0.45">
      <c r="S3163" t="s">
        <v>603</v>
      </c>
      <c r="T3163" t="s">
        <v>159</v>
      </c>
      <c r="U3163">
        <v>1.8121524987941978E-2</v>
      </c>
      <c r="V3163" t="s">
        <v>157</v>
      </c>
    </row>
    <row r="3164" spans="19:22" x14ac:dyDescent="0.45">
      <c r="S3164" t="s">
        <v>603</v>
      </c>
      <c r="T3164" t="s">
        <v>160</v>
      </c>
      <c r="U3164">
        <v>1.8110673866353115E-2</v>
      </c>
      <c r="V3164" t="s">
        <v>157</v>
      </c>
    </row>
    <row r="3165" spans="19:22" x14ac:dyDescent="0.45">
      <c r="S3165" t="s">
        <v>603</v>
      </c>
      <c r="T3165" t="s">
        <v>161</v>
      </c>
      <c r="U3165">
        <v>9.0277517411467001E-2</v>
      </c>
      <c r="V3165" t="s">
        <v>157</v>
      </c>
    </row>
    <row r="3166" spans="19:22" x14ac:dyDescent="0.45">
      <c r="S3166" t="s">
        <v>603</v>
      </c>
      <c r="T3166" t="s">
        <v>162</v>
      </c>
      <c r="U3166">
        <v>0.11349174703826378</v>
      </c>
      <c r="V3166" t="s">
        <v>157</v>
      </c>
    </row>
    <row r="3167" spans="19:22" x14ac:dyDescent="0.45">
      <c r="S3167" t="s">
        <v>603</v>
      </c>
      <c r="T3167" t="s">
        <v>163</v>
      </c>
      <c r="U3167">
        <v>0.16833221776168023</v>
      </c>
      <c r="V3167" t="s">
        <v>157</v>
      </c>
    </row>
    <row r="3168" spans="19:22" x14ac:dyDescent="0.45">
      <c r="S3168" t="s">
        <v>603</v>
      </c>
      <c r="T3168" t="s">
        <v>164</v>
      </c>
      <c r="U3168">
        <v>1.8304672075713489E-2</v>
      </c>
      <c r="V3168" t="s">
        <v>157</v>
      </c>
    </row>
    <row r="3169" spans="19:22" x14ac:dyDescent="0.45">
      <c r="S3169" t="s">
        <v>603</v>
      </c>
      <c r="T3169" t="s">
        <v>165</v>
      </c>
      <c r="U3169">
        <v>1.8238156431621782E-2</v>
      </c>
      <c r="V3169" t="s">
        <v>157</v>
      </c>
    </row>
    <row r="3170" spans="19:22" x14ac:dyDescent="0.45">
      <c r="S3170" t="s">
        <v>603</v>
      </c>
      <c r="T3170" t="s">
        <v>166</v>
      </c>
      <c r="U3170">
        <v>8.7676674282195055E-2</v>
      </c>
      <c r="V3170" t="s">
        <v>157</v>
      </c>
    </row>
    <row r="3171" spans="19:22" x14ac:dyDescent="0.45">
      <c r="S3171" t="s">
        <v>603</v>
      </c>
      <c r="T3171" t="s">
        <v>167</v>
      </c>
      <c r="U3171">
        <v>4.515281440233606E-2</v>
      </c>
      <c r="V3171" t="s">
        <v>157</v>
      </c>
    </row>
    <row r="3172" spans="19:22" x14ac:dyDescent="0.45">
      <c r="S3172" t="s">
        <v>603</v>
      </c>
      <c r="T3172" t="s">
        <v>168</v>
      </c>
      <c r="U3172">
        <v>7.0475048775243132E-2</v>
      </c>
      <c r="V3172" t="s">
        <v>157</v>
      </c>
    </row>
    <row r="3173" spans="19:22" x14ac:dyDescent="0.45">
      <c r="S3173" t="s">
        <v>603</v>
      </c>
      <c r="T3173" t="s">
        <v>169</v>
      </c>
      <c r="U3173">
        <v>7.8414693568992916E-3</v>
      </c>
      <c r="V3173" t="s">
        <v>157</v>
      </c>
    </row>
    <row r="3174" spans="19:22" x14ac:dyDescent="0.45">
      <c r="S3174" t="s">
        <v>603</v>
      </c>
      <c r="T3174" t="s">
        <v>170</v>
      </c>
      <c r="U3174">
        <v>7.8909109733285489E-3</v>
      </c>
      <c r="V3174" t="s">
        <v>157</v>
      </c>
    </row>
    <row r="3175" spans="19:22" x14ac:dyDescent="0.45">
      <c r="S3175" t="s">
        <v>603</v>
      </c>
      <c r="T3175" t="s">
        <v>171</v>
      </c>
      <c r="U3175">
        <v>3.6794960285289557E-2</v>
      </c>
      <c r="V3175" t="s">
        <v>157</v>
      </c>
    </row>
    <row r="3176" spans="19:22" x14ac:dyDescent="0.45">
      <c r="S3176" t="s">
        <v>604</v>
      </c>
      <c r="T3176" t="s">
        <v>156</v>
      </c>
      <c r="U3176">
        <v>0.13183189699301665</v>
      </c>
      <c r="V3176" t="s">
        <v>157</v>
      </c>
    </row>
    <row r="3177" spans="19:22" x14ac:dyDescent="0.45">
      <c r="S3177" t="s">
        <v>604</v>
      </c>
      <c r="T3177" t="s">
        <v>158</v>
      </c>
      <c r="U3177">
        <v>0.17806484829326788</v>
      </c>
      <c r="V3177" t="s">
        <v>157</v>
      </c>
    </row>
    <row r="3178" spans="19:22" x14ac:dyDescent="0.45">
      <c r="S3178" t="s">
        <v>604</v>
      </c>
      <c r="T3178" t="s">
        <v>159</v>
      </c>
      <c r="U3178">
        <v>1.7955570518770687E-2</v>
      </c>
      <c r="V3178" t="s">
        <v>157</v>
      </c>
    </row>
    <row r="3179" spans="19:22" x14ac:dyDescent="0.45">
      <c r="S3179" t="s">
        <v>604</v>
      </c>
      <c r="T3179" t="s">
        <v>160</v>
      </c>
      <c r="U3179">
        <v>1.7850226192737441E-2</v>
      </c>
      <c r="V3179" t="s">
        <v>157</v>
      </c>
    </row>
    <row r="3180" spans="19:22" x14ac:dyDescent="0.45">
      <c r="S3180" t="s">
        <v>604</v>
      </c>
      <c r="T3180" t="s">
        <v>161</v>
      </c>
      <c r="U3180">
        <v>9.0570719531395755E-2</v>
      </c>
      <c r="V3180" t="s">
        <v>157</v>
      </c>
    </row>
    <row r="3181" spans="19:22" x14ac:dyDescent="0.45">
      <c r="S3181" t="s">
        <v>604</v>
      </c>
      <c r="T3181" t="s">
        <v>162</v>
      </c>
      <c r="U3181">
        <v>0.11363285221696148</v>
      </c>
      <c r="V3181" t="s">
        <v>157</v>
      </c>
    </row>
    <row r="3182" spans="19:22" x14ac:dyDescent="0.45">
      <c r="S3182" t="s">
        <v>604</v>
      </c>
      <c r="T3182" t="s">
        <v>163</v>
      </c>
      <c r="U3182">
        <v>0.16781909343258869</v>
      </c>
      <c r="V3182" t="s">
        <v>157</v>
      </c>
    </row>
    <row r="3183" spans="19:22" x14ac:dyDescent="0.45">
      <c r="S3183" t="s">
        <v>604</v>
      </c>
      <c r="T3183" t="s">
        <v>164</v>
      </c>
      <c r="U3183">
        <v>1.7789513652754035E-2</v>
      </c>
      <c r="V3183" t="s">
        <v>157</v>
      </c>
    </row>
    <row r="3184" spans="19:22" x14ac:dyDescent="0.45">
      <c r="S3184" t="s">
        <v>604</v>
      </c>
      <c r="T3184" t="s">
        <v>165</v>
      </c>
      <c r="U3184">
        <v>1.7813285128640766E-2</v>
      </c>
      <c r="V3184" t="s">
        <v>157</v>
      </c>
    </row>
    <row r="3185" spans="19:22" x14ac:dyDescent="0.45">
      <c r="S3185" t="s">
        <v>604</v>
      </c>
      <c r="T3185" t="s">
        <v>166</v>
      </c>
      <c r="U3185">
        <v>8.7101726817806188E-2</v>
      </c>
      <c r="V3185" t="s">
        <v>157</v>
      </c>
    </row>
    <row r="3186" spans="19:22" x14ac:dyDescent="0.45">
      <c r="S3186" t="s">
        <v>604</v>
      </c>
      <c r="T3186" t="s">
        <v>167</v>
      </c>
      <c r="U3186">
        <v>4.5348217503398416E-2</v>
      </c>
      <c r="V3186" t="s">
        <v>157</v>
      </c>
    </row>
    <row r="3187" spans="19:22" x14ac:dyDescent="0.45">
      <c r="S3187" t="s">
        <v>604</v>
      </c>
      <c r="T3187" t="s">
        <v>168</v>
      </c>
      <c r="U3187">
        <v>6.6117055441187372E-2</v>
      </c>
      <c r="V3187" t="s">
        <v>157</v>
      </c>
    </row>
    <row r="3188" spans="19:22" x14ac:dyDescent="0.45">
      <c r="S3188" t="s">
        <v>604</v>
      </c>
      <c r="T3188" t="s">
        <v>169</v>
      </c>
      <c r="U3188">
        <v>6.9007243178213435E-3</v>
      </c>
      <c r="V3188" t="s">
        <v>157</v>
      </c>
    </row>
    <row r="3189" spans="19:22" x14ac:dyDescent="0.45">
      <c r="S3189" t="s">
        <v>604</v>
      </c>
      <c r="T3189" t="s">
        <v>170</v>
      </c>
      <c r="U3189">
        <v>6.9576895236677094E-3</v>
      </c>
      <c r="V3189" t="s">
        <v>157</v>
      </c>
    </row>
    <row r="3190" spans="19:22" x14ac:dyDescent="0.45">
      <c r="S3190" t="s">
        <v>604</v>
      </c>
      <c r="T3190" t="s">
        <v>171</v>
      </c>
      <c r="U3190">
        <v>3.4246580435985628E-2</v>
      </c>
      <c r="V3190" t="s">
        <v>157</v>
      </c>
    </row>
    <row r="3191" spans="19:22" x14ac:dyDescent="0.45">
      <c r="S3191" t="s">
        <v>605</v>
      </c>
      <c r="T3191" t="s">
        <v>156</v>
      </c>
      <c r="U3191">
        <v>0.13243333953924749</v>
      </c>
      <c r="V3191" t="s">
        <v>157</v>
      </c>
    </row>
    <row r="3192" spans="19:22" x14ac:dyDescent="0.45">
      <c r="S3192" t="s">
        <v>605</v>
      </c>
      <c r="T3192" t="s">
        <v>158</v>
      </c>
      <c r="U3192">
        <v>0.18438302119310845</v>
      </c>
      <c r="V3192" t="s">
        <v>157</v>
      </c>
    </row>
    <row r="3193" spans="19:22" x14ac:dyDescent="0.45">
      <c r="S3193" t="s">
        <v>605</v>
      </c>
      <c r="T3193" t="s">
        <v>159</v>
      </c>
      <c r="U3193">
        <v>1.8717836153078687E-2</v>
      </c>
      <c r="V3193" t="s">
        <v>157</v>
      </c>
    </row>
    <row r="3194" spans="19:22" x14ac:dyDescent="0.45">
      <c r="S3194" t="s">
        <v>605</v>
      </c>
      <c r="T3194" t="s">
        <v>160</v>
      </c>
      <c r="U3194">
        <v>1.8492676081788218E-2</v>
      </c>
      <c r="V3194" t="s">
        <v>157</v>
      </c>
    </row>
    <row r="3195" spans="19:22" x14ac:dyDescent="0.45">
      <c r="S3195" t="s">
        <v>605</v>
      </c>
      <c r="T3195" t="s">
        <v>161</v>
      </c>
      <c r="U3195">
        <v>9.2784034610547905E-2</v>
      </c>
      <c r="V3195" t="s">
        <v>157</v>
      </c>
    </row>
    <row r="3196" spans="19:22" x14ac:dyDescent="0.45">
      <c r="S3196" t="s">
        <v>605</v>
      </c>
      <c r="T3196" t="s">
        <v>162</v>
      </c>
      <c r="U3196">
        <v>0.11363652393134969</v>
      </c>
      <c r="V3196" t="s">
        <v>157</v>
      </c>
    </row>
    <row r="3197" spans="19:22" x14ac:dyDescent="0.45">
      <c r="S3197" t="s">
        <v>605</v>
      </c>
      <c r="T3197" t="s">
        <v>163</v>
      </c>
      <c r="U3197">
        <v>0.16746448923560789</v>
      </c>
      <c r="V3197" t="s">
        <v>157</v>
      </c>
    </row>
    <row r="3198" spans="19:22" x14ac:dyDescent="0.45">
      <c r="S3198" t="s">
        <v>605</v>
      </c>
      <c r="T3198" t="s">
        <v>164</v>
      </c>
      <c r="U3198">
        <v>1.7356677725816609E-2</v>
      </c>
      <c r="V3198" t="s">
        <v>157</v>
      </c>
    </row>
    <row r="3199" spans="19:22" x14ac:dyDescent="0.45">
      <c r="S3199" t="s">
        <v>605</v>
      </c>
      <c r="T3199" t="s">
        <v>165</v>
      </c>
      <c r="U3199">
        <v>1.7464194495748923E-2</v>
      </c>
      <c r="V3199" t="s">
        <v>157</v>
      </c>
    </row>
    <row r="3200" spans="19:22" x14ac:dyDescent="0.45">
      <c r="S3200" t="s">
        <v>605</v>
      </c>
      <c r="T3200" t="s">
        <v>166</v>
      </c>
      <c r="U3200">
        <v>8.6795897487197321E-2</v>
      </c>
      <c r="V3200" t="s">
        <v>157</v>
      </c>
    </row>
    <row r="3201" spans="19:22" x14ac:dyDescent="0.45">
      <c r="S3201" t="s">
        <v>605</v>
      </c>
      <c r="T3201" t="s">
        <v>167</v>
      </c>
      <c r="U3201">
        <v>4.3808773462331606E-2</v>
      </c>
      <c r="V3201" t="s">
        <v>157</v>
      </c>
    </row>
    <row r="3202" spans="19:22" x14ac:dyDescent="0.45">
      <c r="S3202" t="s">
        <v>605</v>
      </c>
      <c r="T3202" t="s">
        <v>168</v>
      </c>
      <c r="U3202">
        <v>6.1738852508244402E-2</v>
      </c>
      <c r="V3202" t="s">
        <v>157</v>
      </c>
    </row>
    <row r="3203" spans="19:22" x14ac:dyDescent="0.45">
      <c r="S3203" t="s">
        <v>605</v>
      </c>
      <c r="T3203" t="s">
        <v>169</v>
      </c>
      <c r="U3203">
        <v>6.3819211500677278E-3</v>
      </c>
      <c r="V3203" t="s">
        <v>157</v>
      </c>
    </row>
    <row r="3204" spans="19:22" x14ac:dyDescent="0.45">
      <c r="S3204" t="s">
        <v>605</v>
      </c>
      <c r="T3204" t="s">
        <v>170</v>
      </c>
      <c r="U3204">
        <v>6.3214790124222382E-3</v>
      </c>
      <c r="V3204" t="s">
        <v>157</v>
      </c>
    </row>
    <row r="3205" spans="19:22" x14ac:dyDescent="0.45">
      <c r="S3205" t="s">
        <v>605</v>
      </c>
      <c r="T3205" t="s">
        <v>171</v>
      </c>
      <c r="U3205">
        <v>3.2220283413442796E-2</v>
      </c>
      <c r="V3205" t="s">
        <v>157</v>
      </c>
    </row>
    <row r="3206" spans="19:22" x14ac:dyDescent="0.45">
      <c r="S3206" t="s">
        <v>606</v>
      </c>
      <c r="T3206" t="s">
        <v>156</v>
      </c>
      <c r="U3206">
        <v>0.13508392866800395</v>
      </c>
      <c r="V3206" t="s">
        <v>157</v>
      </c>
    </row>
    <row r="3207" spans="19:22" x14ac:dyDescent="0.45">
      <c r="S3207" t="s">
        <v>606</v>
      </c>
      <c r="T3207" t="s">
        <v>158</v>
      </c>
      <c r="U3207">
        <v>0.18712625536015484</v>
      </c>
      <c r="V3207" t="s">
        <v>157</v>
      </c>
    </row>
    <row r="3208" spans="19:22" x14ac:dyDescent="0.45">
      <c r="S3208" t="s">
        <v>606</v>
      </c>
      <c r="T3208" t="s">
        <v>159</v>
      </c>
      <c r="U3208">
        <v>1.9437490584080078E-2</v>
      </c>
      <c r="V3208" t="s">
        <v>157</v>
      </c>
    </row>
    <row r="3209" spans="19:22" x14ac:dyDescent="0.45">
      <c r="S3209" t="s">
        <v>606</v>
      </c>
      <c r="T3209" t="s">
        <v>160</v>
      </c>
      <c r="U3209">
        <v>1.947228899330871E-2</v>
      </c>
      <c r="V3209" t="s">
        <v>157</v>
      </c>
    </row>
    <row r="3210" spans="19:22" x14ac:dyDescent="0.45">
      <c r="S3210" t="s">
        <v>606</v>
      </c>
      <c r="T3210" t="s">
        <v>161</v>
      </c>
      <c r="U3210">
        <v>9.6664225059872405E-2</v>
      </c>
      <c r="V3210" t="s">
        <v>157</v>
      </c>
    </row>
    <row r="3211" spans="19:22" x14ac:dyDescent="0.45">
      <c r="S3211" t="s">
        <v>606</v>
      </c>
      <c r="T3211" t="s">
        <v>162</v>
      </c>
      <c r="U3211">
        <v>0.11587944731323911</v>
      </c>
      <c r="V3211" t="s">
        <v>157</v>
      </c>
    </row>
    <row r="3212" spans="19:22" x14ac:dyDescent="0.45">
      <c r="S3212" t="s">
        <v>606</v>
      </c>
      <c r="T3212" t="s">
        <v>163</v>
      </c>
      <c r="U3212">
        <v>0.16403880436496404</v>
      </c>
      <c r="V3212" t="s">
        <v>157</v>
      </c>
    </row>
    <row r="3213" spans="19:22" x14ac:dyDescent="0.45">
      <c r="S3213" t="s">
        <v>606</v>
      </c>
      <c r="T3213" t="s">
        <v>164</v>
      </c>
      <c r="U3213">
        <v>1.6760778922009553E-2</v>
      </c>
      <c r="V3213" t="s">
        <v>157</v>
      </c>
    </row>
    <row r="3214" spans="19:22" x14ac:dyDescent="0.45">
      <c r="S3214" t="s">
        <v>606</v>
      </c>
      <c r="T3214" t="s">
        <v>165</v>
      </c>
      <c r="U3214">
        <v>1.7021514392675588E-2</v>
      </c>
      <c r="V3214" t="s">
        <v>157</v>
      </c>
    </row>
    <row r="3215" spans="19:22" x14ac:dyDescent="0.45">
      <c r="S3215" t="s">
        <v>606</v>
      </c>
      <c r="T3215" t="s">
        <v>166</v>
      </c>
      <c r="U3215">
        <v>8.6282496911976495E-2</v>
      </c>
      <c r="V3215" t="s">
        <v>157</v>
      </c>
    </row>
    <row r="3216" spans="19:22" x14ac:dyDescent="0.45">
      <c r="S3216" t="s">
        <v>606</v>
      </c>
      <c r="T3216" t="s">
        <v>167</v>
      </c>
      <c r="U3216">
        <v>4.2486513300137502E-2</v>
      </c>
      <c r="V3216" t="s">
        <v>157</v>
      </c>
    </row>
    <row r="3217" spans="19:22" x14ac:dyDescent="0.45">
      <c r="S3217" t="s">
        <v>606</v>
      </c>
      <c r="T3217" t="s">
        <v>168</v>
      </c>
      <c r="U3217">
        <v>5.6065081837328404E-2</v>
      </c>
      <c r="V3217" t="s">
        <v>157</v>
      </c>
    </row>
    <row r="3218" spans="19:22" x14ac:dyDescent="0.45">
      <c r="S3218" t="s">
        <v>606</v>
      </c>
      <c r="T3218" t="s">
        <v>169</v>
      </c>
      <c r="U3218">
        <v>6.2120069967088578E-3</v>
      </c>
      <c r="V3218" t="s">
        <v>157</v>
      </c>
    </row>
    <row r="3219" spans="19:22" x14ac:dyDescent="0.45">
      <c r="S3219" t="s">
        <v>606</v>
      </c>
      <c r="T3219" t="s">
        <v>170</v>
      </c>
      <c r="U3219">
        <v>6.2121081788816673E-3</v>
      </c>
      <c r="V3219" t="s">
        <v>157</v>
      </c>
    </row>
    <row r="3220" spans="19:22" x14ac:dyDescent="0.45">
      <c r="S3220" t="s">
        <v>606</v>
      </c>
      <c r="T3220" t="s">
        <v>171</v>
      </c>
      <c r="U3220">
        <v>3.1257059116658777E-2</v>
      </c>
      <c r="V3220" t="s">
        <v>157</v>
      </c>
    </row>
    <row r="3221" spans="19:22" x14ac:dyDescent="0.45">
      <c r="S3221" t="s">
        <v>607</v>
      </c>
      <c r="T3221" t="s">
        <v>156</v>
      </c>
      <c r="U3221">
        <v>0.13903595783332903</v>
      </c>
      <c r="V3221" t="s">
        <v>157</v>
      </c>
    </row>
    <row r="3222" spans="19:22" x14ac:dyDescent="0.45">
      <c r="S3222" t="s">
        <v>607</v>
      </c>
      <c r="T3222" t="s">
        <v>158</v>
      </c>
      <c r="U3222">
        <v>0.18722618132464619</v>
      </c>
      <c r="V3222" t="s">
        <v>157</v>
      </c>
    </row>
    <row r="3223" spans="19:22" x14ac:dyDescent="0.45">
      <c r="S3223" t="s">
        <v>607</v>
      </c>
      <c r="T3223" t="s">
        <v>159</v>
      </c>
      <c r="U3223">
        <v>1.9259675990548938E-2</v>
      </c>
      <c r="V3223" t="s">
        <v>157</v>
      </c>
    </row>
    <row r="3224" spans="19:22" x14ac:dyDescent="0.45">
      <c r="S3224" t="s">
        <v>607</v>
      </c>
      <c r="T3224" t="s">
        <v>160</v>
      </c>
      <c r="U3224">
        <v>1.9456186086954416E-2</v>
      </c>
      <c r="V3224" t="s">
        <v>157</v>
      </c>
    </row>
    <row r="3225" spans="19:22" x14ac:dyDescent="0.45">
      <c r="S3225" t="s">
        <v>607</v>
      </c>
      <c r="T3225" t="s">
        <v>161</v>
      </c>
      <c r="U3225">
        <v>9.7278118994056681E-2</v>
      </c>
      <c r="V3225" t="s">
        <v>157</v>
      </c>
    </row>
    <row r="3226" spans="19:22" x14ac:dyDescent="0.45">
      <c r="S3226" t="s">
        <v>607</v>
      </c>
      <c r="T3226" t="s">
        <v>162</v>
      </c>
      <c r="U3226">
        <v>0.11818454915650813</v>
      </c>
      <c r="V3226" t="s">
        <v>157</v>
      </c>
    </row>
    <row r="3227" spans="19:22" x14ac:dyDescent="0.45">
      <c r="S3227" t="s">
        <v>607</v>
      </c>
      <c r="T3227" t="s">
        <v>163</v>
      </c>
      <c r="U3227">
        <v>0.16240674893123544</v>
      </c>
      <c r="V3227" t="s">
        <v>157</v>
      </c>
    </row>
    <row r="3228" spans="19:22" x14ac:dyDescent="0.45">
      <c r="S3228" t="s">
        <v>607</v>
      </c>
      <c r="T3228" t="s">
        <v>164</v>
      </c>
      <c r="U3228">
        <v>1.661149029884737E-2</v>
      </c>
      <c r="V3228" t="s">
        <v>157</v>
      </c>
    </row>
    <row r="3229" spans="19:22" x14ac:dyDescent="0.45">
      <c r="S3229" t="s">
        <v>607</v>
      </c>
      <c r="T3229" t="s">
        <v>165</v>
      </c>
      <c r="U3229">
        <v>1.6948902206979314E-2</v>
      </c>
      <c r="V3229" t="s">
        <v>157</v>
      </c>
    </row>
    <row r="3230" spans="19:22" x14ac:dyDescent="0.45">
      <c r="S3230" t="s">
        <v>607</v>
      </c>
      <c r="T3230" t="s">
        <v>166</v>
      </c>
      <c r="U3230">
        <v>8.6048835557607561E-2</v>
      </c>
      <c r="V3230" t="s">
        <v>157</v>
      </c>
    </row>
    <row r="3231" spans="19:22" x14ac:dyDescent="0.45">
      <c r="S3231" t="s">
        <v>607</v>
      </c>
      <c r="T3231" t="s">
        <v>167</v>
      </c>
      <c r="U3231">
        <v>4.1483002949851459E-2</v>
      </c>
      <c r="V3231" t="s">
        <v>157</v>
      </c>
    </row>
    <row r="3232" spans="19:22" x14ac:dyDescent="0.45">
      <c r="S3232" t="s">
        <v>607</v>
      </c>
      <c r="T3232" t="s">
        <v>168</v>
      </c>
      <c r="U3232">
        <v>5.2788808937944944E-2</v>
      </c>
      <c r="V3232" t="s">
        <v>157</v>
      </c>
    </row>
    <row r="3233" spans="19:22" x14ac:dyDescent="0.45">
      <c r="S3233" t="s">
        <v>607</v>
      </c>
      <c r="T3233" t="s">
        <v>169</v>
      </c>
      <c r="U3233">
        <v>5.9800118916699917E-3</v>
      </c>
      <c r="V3233" t="s">
        <v>157</v>
      </c>
    </row>
    <row r="3234" spans="19:22" x14ac:dyDescent="0.45">
      <c r="S3234" t="s">
        <v>607</v>
      </c>
      <c r="T3234" t="s">
        <v>170</v>
      </c>
      <c r="U3234">
        <v>6.2774945258022123E-3</v>
      </c>
      <c r="V3234" t="s">
        <v>157</v>
      </c>
    </row>
    <row r="3235" spans="19:22" x14ac:dyDescent="0.45">
      <c r="S3235" t="s">
        <v>607</v>
      </c>
      <c r="T3235" t="s">
        <v>171</v>
      </c>
      <c r="U3235">
        <v>3.1014035314018234E-2</v>
      </c>
      <c r="V3235" t="s">
        <v>157</v>
      </c>
    </row>
    <row r="3236" spans="19:22" x14ac:dyDescent="0.45">
      <c r="S3236" t="s">
        <v>608</v>
      </c>
      <c r="T3236" t="s">
        <v>156</v>
      </c>
      <c r="U3236">
        <v>0.14017702788147604</v>
      </c>
      <c r="V3236" t="s">
        <v>157</v>
      </c>
    </row>
    <row r="3237" spans="19:22" x14ac:dyDescent="0.45">
      <c r="S3237" t="s">
        <v>608</v>
      </c>
      <c r="T3237" t="s">
        <v>158</v>
      </c>
      <c r="U3237">
        <v>0.1878344527491797</v>
      </c>
      <c r="V3237" t="s">
        <v>157</v>
      </c>
    </row>
    <row r="3238" spans="19:22" x14ac:dyDescent="0.45">
      <c r="S3238" t="s">
        <v>608</v>
      </c>
      <c r="T3238" t="s">
        <v>159</v>
      </c>
      <c r="U3238">
        <v>1.9162211416510328E-2</v>
      </c>
      <c r="V3238" t="s">
        <v>157</v>
      </c>
    </row>
    <row r="3239" spans="19:22" x14ac:dyDescent="0.45">
      <c r="S3239" t="s">
        <v>608</v>
      </c>
      <c r="T3239" t="s">
        <v>160</v>
      </c>
      <c r="U3239">
        <v>1.9564205218214219E-2</v>
      </c>
      <c r="V3239" t="s">
        <v>157</v>
      </c>
    </row>
    <row r="3240" spans="19:22" x14ac:dyDescent="0.45">
      <c r="S3240" t="s">
        <v>608</v>
      </c>
      <c r="T3240" t="s">
        <v>161</v>
      </c>
      <c r="U3240">
        <v>9.8258100946396948E-2</v>
      </c>
      <c r="V3240" t="s">
        <v>157</v>
      </c>
    </row>
    <row r="3241" spans="19:22" x14ac:dyDescent="0.45">
      <c r="S3241" t="s">
        <v>608</v>
      </c>
      <c r="T3241" t="s">
        <v>162</v>
      </c>
      <c r="U3241">
        <v>0.11939666751051033</v>
      </c>
      <c r="V3241" t="s">
        <v>157</v>
      </c>
    </row>
    <row r="3242" spans="19:22" x14ac:dyDescent="0.45">
      <c r="S3242" t="s">
        <v>608</v>
      </c>
      <c r="T3242" t="s">
        <v>163</v>
      </c>
      <c r="U3242">
        <v>0.16294693852900521</v>
      </c>
      <c r="V3242" t="s">
        <v>157</v>
      </c>
    </row>
    <row r="3243" spans="19:22" x14ac:dyDescent="0.45">
      <c r="S3243" t="s">
        <v>608</v>
      </c>
      <c r="T3243" t="s">
        <v>164</v>
      </c>
      <c r="U3243">
        <v>1.6841813210345787E-2</v>
      </c>
      <c r="V3243" t="s">
        <v>157</v>
      </c>
    </row>
    <row r="3244" spans="19:22" x14ac:dyDescent="0.45">
      <c r="S3244" t="s">
        <v>608</v>
      </c>
      <c r="T3244" t="s">
        <v>165</v>
      </c>
      <c r="U3244">
        <v>1.7017989991361736E-2</v>
      </c>
      <c r="V3244" t="s">
        <v>157</v>
      </c>
    </row>
    <row r="3245" spans="19:22" x14ac:dyDescent="0.45">
      <c r="S3245" t="s">
        <v>608</v>
      </c>
      <c r="T3245" t="s">
        <v>166</v>
      </c>
      <c r="U3245">
        <v>8.5052660078562006E-2</v>
      </c>
      <c r="V3245" t="s">
        <v>157</v>
      </c>
    </row>
    <row r="3246" spans="19:22" x14ac:dyDescent="0.45">
      <c r="S3246" t="s">
        <v>608</v>
      </c>
      <c r="T3246" t="s">
        <v>167</v>
      </c>
      <c r="U3246">
        <v>4.0384198384882247E-2</v>
      </c>
      <c r="V3246" t="s">
        <v>157</v>
      </c>
    </row>
    <row r="3247" spans="19:22" x14ac:dyDescent="0.45">
      <c r="S3247" t="s">
        <v>608</v>
      </c>
      <c r="T3247" t="s">
        <v>168</v>
      </c>
      <c r="U3247">
        <v>5.0519346915094368E-2</v>
      </c>
      <c r="V3247" t="s">
        <v>157</v>
      </c>
    </row>
    <row r="3248" spans="19:22" x14ac:dyDescent="0.45">
      <c r="S3248" t="s">
        <v>608</v>
      </c>
      <c r="T3248" t="s">
        <v>169</v>
      </c>
      <c r="U3248">
        <v>5.7749376625580258E-3</v>
      </c>
      <c r="V3248" t="s">
        <v>157</v>
      </c>
    </row>
    <row r="3249" spans="19:22" x14ac:dyDescent="0.45">
      <c r="S3249" t="s">
        <v>608</v>
      </c>
      <c r="T3249" t="s">
        <v>170</v>
      </c>
      <c r="U3249">
        <v>6.0318368325375056E-3</v>
      </c>
      <c r="V3249" t="s">
        <v>157</v>
      </c>
    </row>
    <row r="3250" spans="19:22" x14ac:dyDescent="0.45">
      <c r="S3250" t="s">
        <v>608</v>
      </c>
      <c r="T3250" t="s">
        <v>171</v>
      </c>
      <c r="U3250">
        <v>3.1037612673365557E-2</v>
      </c>
      <c r="V3250" t="s">
        <v>157</v>
      </c>
    </row>
    <row r="3251" spans="19:22" x14ac:dyDescent="0.45">
      <c r="S3251" t="s">
        <v>609</v>
      </c>
      <c r="T3251" t="s">
        <v>156</v>
      </c>
      <c r="U3251">
        <v>0.14174761797106908</v>
      </c>
      <c r="V3251" t="s">
        <v>157</v>
      </c>
    </row>
    <row r="3252" spans="19:22" x14ac:dyDescent="0.45">
      <c r="S3252" t="s">
        <v>609</v>
      </c>
      <c r="T3252" t="s">
        <v>158</v>
      </c>
      <c r="U3252">
        <v>0.18666178217342652</v>
      </c>
      <c r="V3252" t="s">
        <v>157</v>
      </c>
    </row>
    <row r="3253" spans="19:22" x14ac:dyDescent="0.45">
      <c r="S3253" t="s">
        <v>609</v>
      </c>
      <c r="T3253" t="s">
        <v>159</v>
      </c>
      <c r="U3253">
        <v>1.9324656158023076E-2</v>
      </c>
      <c r="V3253" t="s">
        <v>157</v>
      </c>
    </row>
    <row r="3254" spans="19:22" x14ac:dyDescent="0.45">
      <c r="S3254" t="s">
        <v>609</v>
      </c>
      <c r="T3254" t="s">
        <v>160</v>
      </c>
      <c r="U3254">
        <v>1.9839948268025633E-2</v>
      </c>
      <c r="V3254" t="s">
        <v>157</v>
      </c>
    </row>
    <row r="3255" spans="19:22" x14ac:dyDescent="0.45">
      <c r="S3255" t="s">
        <v>609</v>
      </c>
      <c r="T3255" t="s">
        <v>161</v>
      </c>
      <c r="U3255">
        <v>9.9029417928921171E-2</v>
      </c>
      <c r="V3255" t="s">
        <v>157</v>
      </c>
    </row>
    <row r="3256" spans="19:22" x14ac:dyDescent="0.45">
      <c r="S3256" t="s">
        <v>609</v>
      </c>
      <c r="T3256" t="s">
        <v>162</v>
      </c>
      <c r="U3256">
        <v>0.1215409100193855</v>
      </c>
      <c r="V3256" t="s">
        <v>157</v>
      </c>
    </row>
    <row r="3257" spans="19:22" x14ac:dyDescent="0.45">
      <c r="S3257" t="s">
        <v>609</v>
      </c>
      <c r="T3257" t="s">
        <v>163</v>
      </c>
      <c r="U3257">
        <v>0.16300320684532887</v>
      </c>
      <c r="V3257" t="s">
        <v>157</v>
      </c>
    </row>
    <row r="3258" spans="19:22" x14ac:dyDescent="0.45">
      <c r="S3258" t="s">
        <v>609</v>
      </c>
      <c r="T3258" t="s">
        <v>164</v>
      </c>
      <c r="U3258">
        <v>1.7060944087067573E-2</v>
      </c>
      <c r="V3258" t="s">
        <v>157</v>
      </c>
    </row>
    <row r="3259" spans="19:22" x14ac:dyDescent="0.45">
      <c r="S3259" t="s">
        <v>609</v>
      </c>
      <c r="T3259" t="s">
        <v>165</v>
      </c>
      <c r="U3259">
        <v>1.7204376359560694E-2</v>
      </c>
      <c r="V3259" t="s">
        <v>157</v>
      </c>
    </row>
    <row r="3260" spans="19:22" x14ac:dyDescent="0.45">
      <c r="S3260" t="s">
        <v>609</v>
      </c>
      <c r="T3260" t="s">
        <v>166</v>
      </c>
      <c r="U3260">
        <v>8.5665867720081057E-2</v>
      </c>
      <c r="V3260" t="s">
        <v>157</v>
      </c>
    </row>
    <row r="3261" spans="19:22" x14ac:dyDescent="0.45">
      <c r="S3261" t="s">
        <v>609</v>
      </c>
      <c r="T3261" t="s">
        <v>167</v>
      </c>
      <c r="U3261">
        <v>3.8916229780719652E-2</v>
      </c>
      <c r="V3261" t="s">
        <v>157</v>
      </c>
    </row>
    <row r="3262" spans="19:22" x14ac:dyDescent="0.45">
      <c r="S3262" t="s">
        <v>609</v>
      </c>
      <c r="T3262" t="s">
        <v>168</v>
      </c>
      <c r="U3262">
        <v>4.8248578435519933E-2</v>
      </c>
      <c r="V3262" t="s">
        <v>157</v>
      </c>
    </row>
    <row r="3263" spans="19:22" x14ac:dyDescent="0.45">
      <c r="S3263" t="s">
        <v>609</v>
      </c>
      <c r="T3263" t="s">
        <v>169</v>
      </c>
      <c r="U3263">
        <v>5.6900140450509709E-3</v>
      </c>
      <c r="V3263" t="s">
        <v>157</v>
      </c>
    </row>
    <row r="3264" spans="19:22" x14ac:dyDescent="0.45">
      <c r="S3264" t="s">
        <v>609</v>
      </c>
      <c r="T3264" t="s">
        <v>170</v>
      </c>
      <c r="U3264">
        <v>5.7544851117252056E-3</v>
      </c>
      <c r="V3264" t="s">
        <v>157</v>
      </c>
    </row>
    <row r="3265" spans="19:22" x14ac:dyDescent="0.45">
      <c r="S3265" t="s">
        <v>609</v>
      </c>
      <c r="T3265" t="s">
        <v>171</v>
      </c>
      <c r="U3265">
        <v>3.0311965096095121E-2</v>
      </c>
      <c r="V3265" t="s">
        <v>157</v>
      </c>
    </row>
    <row r="3266" spans="19:22" x14ac:dyDescent="0.45">
      <c r="S3266" t="s">
        <v>610</v>
      </c>
      <c r="T3266" t="s">
        <v>156</v>
      </c>
      <c r="U3266">
        <v>0.14336621778178829</v>
      </c>
      <c r="V3266" t="s">
        <v>157</v>
      </c>
    </row>
    <row r="3267" spans="19:22" x14ac:dyDescent="0.45">
      <c r="S3267" t="s">
        <v>610</v>
      </c>
      <c r="T3267" t="s">
        <v>158</v>
      </c>
      <c r="U3267">
        <v>0.2059963808770616</v>
      </c>
      <c r="V3267" t="s">
        <v>157</v>
      </c>
    </row>
    <row r="3268" spans="19:22" x14ac:dyDescent="0.45">
      <c r="S3268" t="s">
        <v>610</v>
      </c>
      <c r="T3268" t="s">
        <v>159</v>
      </c>
      <c r="U3268">
        <v>2.1208484147439165E-2</v>
      </c>
      <c r="V3268" t="s">
        <v>157</v>
      </c>
    </row>
    <row r="3269" spans="19:22" x14ac:dyDescent="0.45">
      <c r="S3269" t="s">
        <v>610</v>
      </c>
      <c r="T3269" t="s">
        <v>160</v>
      </c>
      <c r="U3269">
        <v>2.1008023183798127E-2</v>
      </c>
      <c r="V3269" t="s">
        <v>157</v>
      </c>
    </row>
    <row r="3270" spans="19:22" x14ac:dyDescent="0.45">
      <c r="S3270" t="s">
        <v>610</v>
      </c>
      <c r="T3270" t="s">
        <v>161</v>
      </c>
      <c r="U3270">
        <v>0.1030515713437823</v>
      </c>
      <c r="V3270" t="s">
        <v>157</v>
      </c>
    </row>
    <row r="3271" spans="19:22" x14ac:dyDescent="0.45">
      <c r="S3271" t="s">
        <v>610</v>
      </c>
      <c r="T3271" t="s">
        <v>162</v>
      </c>
      <c r="U3271">
        <v>0.10451374353755641</v>
      </c>
      <c r="V3271" t="s">
        <v>157</v>
      </c>
    </row>
    <row r="3272" spans="19:22" x14ac:dyDescent="0.45">
      <c r="S3272" t="s">
        <v>610</v>
      </c>
      <c r="T3272" t="s">
        <v>163</v>
      </c>
      <c r="U3272">
        <v>0.14755945066032752</v>
      </c>
      <c r="V3272" t="s">
        <v>157</v>
      </c>
    </row>
    <row r="3273" spans="19:22" x14ac:dyDescent="0.45">
      <c r="S3273" t="s">
        <v>610</v>
      </c>
      <c r="T3273" t="s">
        <v>164</v>
      </c>
      <c r="U3273">
        <v>1.4645114047856019E-2</v>
      </c>
      <c r="V3273" t="s">
        <v>157</v>
      </c>
    </row>
    <row r="3274" spans="19:22" x14ac:dyDescent="0.45">
      <c r="S3274" t="s">
        <v>610</v>
      </c>
      <c r="T3274" t="s">
        <v>165</v>
      </c>
      <c r="U3274">
        <v>1.4301226324327603E-2</v>
      </c>
      <c r="V3274" t="s">
        <v>157</v>
      </c>
    </row>
    <row r="3275" spans="19:22" x14ac:dyDescent="0.45">
      <c r="S3275" t="s">
        <v>610</v>
      </c>
      <c r="T3275" t="s">
        <v>166</v>
      </c>
      <c r="U3275">
        <v>7.2346375013639302E-2</v>
      </c>
      <c r="V3275" t="s">
        <v>157</v>
      </c>
    </row>
    <row r="3276" spans="19:22" x14ac:dyDescent="0.45">
      <c r="S3276" t="s">
        <v>610</v>
      </c>
      <c r="T3276" t="s">
        <v>167</v>
      </c>
      <c r="U3276">
        <v>4.6522675121407751E-2</v>
      </c>
      <c r="V3276" t="s">
        <v>157</v>
      </c>
    </row>
    <row r="3277" spans="19:22" x14ac:dyDescent="0.45">
      <c r="S3277" t="s">
        <v>610</v>
      </c>
      <c r="T3277" t="s">
        <v>168</v>
      </c>
      <c r="U3277">
        <v>6.1497278008521096E-2</v>
      </c>
      <c r="V3277" t="s">
        <v>157</v>
      </c>
    </row>
    <row r="3278" spans="19:22" x14ac:dyDescent="0.45">
      <c r="S3278" t="s">
        <v>610</v>
      </c>
      <c r="T3278" t="s">
        <v>169</v>
      </c>
      <c r="U3278">
        <v>6.2431792701771564E-3</v>
      </c>
      <c r="V3278" t="s">
        <v>157</v>
      </c>
    </row>
    <row r="3279" spans="19:22" x14ac:dyDescent="0.45">
      <c r="S3279" t="s">
        <v>610</v>
      </c>
      <c r="T3279" t="s">
        <v>170</v>
      </c>
      <c r="U3279">
        <v>6.2304428262879054E-3</v>
      </c>
      <c r="V3279" t="s">
        <v>157</v>
      </c>
    </row>
    <row r="3280" spans="19:22" x14ac:dyDescent="0.45">
      <c r="S3280" t="s">
        <v>610</v>
      </c>
      <c r="T3280" t="s">
        <v>171</v>
      </c>
      <c r="U3280">
        <v>3.1509837856029697E-2</v>
      </c>
      <c r="V3280" t="s">
        <v>157</v>
      </c>
    </row>
    <row r="3281" spans="19:22" x14ac:dyDescent="0.45">
      <c r="S3281" t="s">
        <v>611</v>
      </c>
      <c r="T3281" t="s">
        <v>156</v>
      </c>
      <c r="U3281">
        <v>0.14406532340258851</v>
      </c>
      <c r="V3281" t="s">
        <v>157</v>
      </c>
    </row>
    <row r="3282" spans="19:22" x14ac:dyDescent="0.45">
      <c r="S3282" t="s">
        <v>611</v>
      </c>
      <c r="T3282" t="s">
        <v>158</v>
      </c>
      <c r="U3282">
        <v>0.18373642995294936</v>
      </c>
      <c r="V3282" t="s">
        <v>157</v>
      </c>
    </row>
    <row r="3283" spans="19:22" x14ac:dyDescent="0.45">
      <c r="S3283" t="s">
        <v>611</v>
      </c>
      <c r="T3283" t="s">
        <v>159</v>
      </c>
      <c r="U3283">
        <v>1.9804224438262748E-2</v>
      </c>
      <c r="V3283" t="s">
        <v>157</v>
      </c>
    </row>
    <row r="3284" spans="19:22" x14ac:dyDescent="0.45">
      <c r="S3284" t="s">
        <v>611</v>
      </c>
      <c r="T3284" t="s">
        <v>160</v>
      </c>
      <c r="U3284">
        <v>2.0367008158798536E-2</v>
      </c>
      <c r="V3284" t="s">
        <v>157</v>
      </c>
    </row>
    <row r="3285" spans="19:22" x14ac:dyDescent="0.45">
      <c r="S3285" t="s">
        <v>611</v>
      </c>
      <c r="T3285" t="s">
        <v>161</v>
      </c>
      <c r="U3285">
        <v>0.10254385529520958</v>
      </c>
      <c r="V3285" t="s">
        <v>157</v>
      </c>
    </row>
    <row r="3286" spans="19:22" x14ac:dyDescent="0.45">
      <c r="S3286" t="s">
        <v>611</v>
      </c>
      <c r="T3286" t="s">
        <v>162</v>
      </c>
      <c r="U3286">
        <v>0.12248249357850488</v>
      </c>
      <c r="V3286" t="s">
        <v>157</v>
      </c>
    </row>
    <row r="3287" spans="19:22" x14ac:dyDescent="0.45">
      <c r="S3287" t="s">
        <v>611</v>
      </c>
      <c r="T3287" t="s">
        <v>163</v>
      </c>
      <c r="U3287">
        <v>0.16228865770717185</v>
      </c>
      <c r="V3287" t="s">
        <v>157</v>
      </c>
    </row>
    <row r="3288" spans="19:22" x14ac:dyDescent="0.45">
      <c r="S3288" t="s">
        <v>611</v>
      </c>
      <c r="T3288" t="s">
        <v>164</v>
      </c>
      <c r="U3288">
        <v>1.6902459146405771E-2</v>
      </c>
      <c r="V3288" t="s">
        <v>157</v>
      </c>
    </row>
    <row r="3289" spans="19:22" x14ac:dyDescent="0.45">
      <c r="S3289" t="s">
        <v>611</v>
      </c>
      <c r="T3289" t="s">
        <v>165</v>
      </c>
      <c r="U3289">
        <v>1.7139070819936639E-2</v>
      </c>
      <c r="V3289" t="s">
        <v>157</v>
      </c>
    </row>
    <row r="3290" spans="19:22" x14ac:dyDescent="0.45">
      <c r="S3290" t="s">
        <v>611</v>
      </c>
      <c r="T3290" t="s">
        <v>166</v>
      </c>
      <c r="U3290">
        <v>8.6352437531897433E-2</v>
      </c>
      <c r="V3290" t="s">
        <v>157</v>
      </c>
    </row>
    <row r="3291" spans="19:22" x14ac:dyDescent="0.45">
      <c r="S3291" t="s">
        <v>611</v>
      </c>
      <c r="T3291" t="s">
        <v>167</v>
      </c>
      <c r="U3291">
        <v>3.7002959489211361E-2</v>
      </c>
      <c r="V3291" t="s">
        <v>157</v>
      </c>
    </row>
    <row r="3292" spans="19:22" x14ac:dyDescent="0.45">
      <c r="S3292" t="s">
        <v>611</v>
      </c>
      <c r="T3292" t="s">
        <v>168</v>
      </c>
      <c r="U3292">
        <v>4.6541181328230458E-2</v>
      </c>
      <c r="V3292" t="s">
        <v>157</v>
      </c>
    </row>
    <row r="3293" spans="19:22" x14ac:dyDescent="0.45">
      <c r="S3293" t="s">
        <v>611</v>
      </c>
      <c r="T3293" t="s">
        <v>169</v>
      </c>
      <c r="U3293">
        <v>5.7004010010174005E-3</v>
      </c>
      <c r="V3293" t="s">
        <v>157</v>
      </c>
    </row>
    <row r="3294" spans="19:22" x14ac:dyDescent="0.45">
      <c r="S3294" t="s">
        <v>611</v>
      </c>
      <c r="T3294" t="s">
        <v>170</v>
      </c>
      <c r="U3294">
        <v>5.8192069103979796E-3</v>
      </c>
      <c r="V3294" t="s">
        <v>157</v>
      </c>
    </row>
    <row r="3295" spans="19:22" x14ac:dyDescent="0.45">
      <c r="S3295" t="s">
        <v>611</v>
      </c>
      <c r="T3295" t="s">
        <v>171</v>
      </c>
      <c r="U3295">
        <v>2.9254291239417512E-2</v>
      </c>
      <c r="V3295" t="s">
        <v>157</v>
      </c>
    </row>
    <row r="3296" spans="19:22" x14ac:dyDescent="0.45">
      <c r="S3296" t="s">
        <v>612</v>
      </c>
      <c r="T3296" t="s">
        <v>156</v>
      </c>
      <c r="U3296">
        <v>0.14331824646819119</v>
      </c>
      <c r="V3296" t="s">
        <v>157</v>
      </c>
    </row>
    <row r="3297" spans="19:22" x14ac:dyDescent="0.45">
      <c r="S3297" t="s">
        <v>612</v>
      </c>
      <c r="T3297" t="s">
        <v>158</v>
      </c>
      <c r="U3297">
        <v>0.18532497546312274</v>
      </c>
      <c r="V3297" t="s">
        <v>157</v>
      </c>
    </row>
    <row r="3298" spans="19:22" x14ac:dyDescent="0.45">
      <c r="S3298" t="s">
        <v>612</v>
      </c>
      <c r="T3298" t="s">
        <v>159</v>
      </c>
      <c r="U3298">
        <v>2.0653111392226177E-2</v>
      </c>
      <c r="V3298" t="s">
        <v>157</v>
      </c>
    </row>
    <row r="3299" spans="19:22" x14ac:dyDescent="0.45">
      <c r="S3299" t="s">
        <v>612</v>
      </c>
      <c r="T3299" t="s">
        <v>160</v>
      </c>
      <c r="U3299">
        <v>2.117704630387127E-2</v>
      </c>
      <c r="V3299" t="s">
        <v>157</v>
      </c>
    </row>
    <row r="3300" spans="19:22" x14ac:dyDescent="0.45">
      <c r="S3300" t="s">
        <v>612</v>
      </c>
      <c r="T3300" t="s">
        <v>161</v>
      </c>
      <c r="U3300">
        <v>0.10461198928040757</v>
      </c>
      <c r="V3300" t="s">
        <v>157</v>
      </c>
    </row>
    <row r="3301" spans="19:22" x14ac:dyDescent="0.45">
      <c r="S3301" t="s">
        <v>612</v>
      </c>
      <c r="T3301" t="s">
        <v>162</v>
      </c>
      <c r="U3301">
        <v>0.12187045743053213</v>
      </c>
      <c r="V3301" t="s">
        <v>157</v>
      </c>
    </row>
    <row r="3302" spans="19:22" x14ac:dyDescent="0.45">
      <c r="S3302" t="s">
        <v>612</v>
      </c>
      <c r="T3302" t="s">
        <v>163</v>
      </c>
      <c r="U3302">
        <v>0.16300501587913302</v>
      </c>
      <c r="V3302" t="s">
        <v>157</v>
      </c>
    </row>
    <row r="3303" spans="19:22" x14ac:dyDescent="0.45">
      <c r="S3303" t="s">
        <v>612</v>
      </c>
      <c r="T3303" t="s">
        <v>164</v>
      </c>
      <c r="U3303">
        <v>1.675722796491259E-2</v>
      </c>
      <c r="V3303" t="s">
        <v>157</v>
      </c>
    </row>
    <row r="3304" spans="19:22" x14ac:dyDescent="0.45">
      <c r="S3304" t="s">
        <v>612</v>
      </c>
      <c r="T3304" t="s">
        <v>165</v>
      </c>
      <c r="U3304">
        <v>1.7086473307979147E-2</v>
      </c>
      <c r="V3304" t="s">
        <v>157</v>
      </c>
    </row>
    <row r="3305" spans="19:22" x14ac:dyDescent="0.45">
      <c r="S3305" t="s">
        <v>612</v>
      </c>
      <c r="T3305" t="s">
        <v>166</v>
      </c>
      <c r="U3305">
        <v>8.6206059265627091E-2</v>
      </c>
      <c r="V3305" t="s">
        <v>157</v>
      </c>
    </row>
    <row r="3306" spans="19:22" x14ac:dyDescent="0.45">
      <c r="S3306" t="s">
        <v>612</v>
      </c>
      <c r="T3306" t="s">
        <v>167</v>
      </c>
      <c r="U3306">
        <v>3.5252382358321559E-2</v>
      </c>
      <c r="V3306" t="s">
        <v>157</v>
      </c>
    </row>
    <row r="3307" spans="19:22" x14ac:dyDescent="0.45">
      <c r="S3307" t="s">
        <v>612</v>
      </c>
      <c r="T3307" t="s">
        <v>168</v>
      </c>
      <c r="U3307">
        <v>4.5501372990184294E-2</v>
      </c>
      <c r="V3307" t="s">
        <v>157</v>
      </c>
    </row>
    <row r="3308" spans="19:22" x14ac:dyDescent="0.45">
      <c r="S3308" t="s">
        <v>612</v>
      </c>
      <c r="T3308" t="s">
        <v>169</v>
      </c>
      <c r="U3308">
        <v>5.5285034850918484E-3</v>
      </c>
      <c r="V3308" t="s">
        <v>157</v>
      </c>
    </row>
    <row r="3309" spans="19:22" x14ac:dyDescent="0.45">
      <c r="S3309" t="s">
        <v>612</v>
      </c>
      <c r="T3309" t="s">
        <v>170</v>
      </c>
      <c r="U3309">
        <v>5.7893279895814267E-3</v>
      </c>
      <c r="V3309" t="s">
        <v>157</v>
      </c>
    </row>
    <row r="3310" spans="19:22" x14ac:dyDescent="0.45">
      <c r="S3310" t="s">
        <v>612</v>
      </c>
      <c r="T3310" t="s">
        <v>171</v>
      </c>
      <c r="U3310">
        <v>2.7917810420818003E-2</v>
      </c>
      <c r="V3310" t="s">
        <v>157</v>
      </c>
    </row>
    <row r="3311" spans="19:22" x14ac:dyDescent="0.45">
      <c r="S3311" t="s">
        <v>613</v>
      </c>
      <c r="T3311" t="s">
        <v>156</v>
      </c>
      <c r="U3311">
        <v>0.1389595058164069</v>
      </c>
      <c r="V3311" t="s">
        <v>157</v>
      </c>
    </row>
    <row r="3312" spans="19:22" x14ac:dyDescent="0.45">
      <c r="S3312" t="s">
        <v>613</v>
      </c>
      <c r="T3312" t="s">
        <v>158</v>
      </c>
      <c r="U3312">
        <v>0.19352712560018362</v>
      </c>
      <c r="V3312" t="s">
        <v>157</v>
      </c>
    </row>
    <row r="3313" spans="19:22" x14ac:dyDescent="0.45">
      <c r="S3313" t="s">
        <v>613</v>
      </c>
      <c r="T3313" t="s">
        <v>159</v>
      </c>
      <c r="U3313">
        <v>2.1583691925897135E-2</v>
      </c>
      <c r="V3313" t="s">
        <v>157</v>
      </c>
    </row>
    <row r="3314" spans="19:22" x14ac:dyDescent="0.45">
      <c r="S3314" t="s">
        <v>613</v>
      </c>
      <c r="T3314" t="s">
        <v>160</v>
      </c>
      <c r="U3314">
        <v>2.1635306764128368E-2</v>
      </c>
      <c r="V3314" t="s">
        <v>157</v>
      </c>
    </row>
    <row r="3315" spans="19:22" x14ac:dyDescent="0.45">
      <c r="S3315" t="s">
        <v>613</v>
      </c>
      <c r="T3315" t="s">
        <v>161</v>
      </c>
      <c r="U3315">
        <v>0.10200619884840294</v>
      </c>
      <c r="V3315" t="s">
        <v>157</v>
      </c>
    </row>
    <row r="3316" spans="19:22" x14ac:dyDescent="0.45">
      <c r="S3316" t="s">
        <v>613</v>
      </c>
      <c r="T3316" t="s">
        <v>162</v>
      </c>
      <c r="U3316">
        <v>0.12099156420293392</v>
      </c>
      <c r="V3316" t="s">
        <v>157</v>
      </c>
    </row>
    <row r="3317" spans="19:22" x14ac:dyDescent="0.45">
      <c r="S3317" t="s">
        <v>613</v>
      </c>
      <c r="T3317" t="s">
        <v>163</v>
      </c>
      <c r="U3317">
        <v>0.16546253091735869</v>
      </c>
      <c r="V3317" t="s">
        <v>157</v>
      </c>
    </row>
    <row r="3318" spans="19:22" x14ac:dyDescent="0.45">
      <c r="S3318" t="s">
        <v>613</v>
      </c>
      <c r="T3318" t="s">
        <v>164</v>
      </c>
      <c r="U3318">
        <v>1.6855074244674931E-2</v>
      </c>
      <c r="V3318" t="s">
        <v>157</v>
      </c>
    </row>
    <row r="3319" spans="19:22" x14ac:dyDescent="0.45">
      <c r="S3319" t="s">
        <v>613</v>
      </c>
      <c r="T3319" t="s">
        <v>165</v>
      </c>
      <c r="U3319">
        <v>1.7100611613277892E-2</v>
      </c>
      <c r="V3319" t="s">
        <v>157</v>
      </c>
    </row>
    <row r="3320" spans="19:22" x14ac:dyDescent="0.45">
      <c r="S3320" t="s">
        <v>613</v>
      </c>
      <c r="T3320" t="s">
        <v>166</v>
      </c>
      <c r="U3320">
        <v>8.6282758443779889E-2</v>
      </c>
      <c r="V3320" t="s">
        <v>157</v>
      </c>
    </row>
    <row r="3321" spans="19:22" x14ac:dyDescent="0.45">
      <c r="S3321" t="s">
        <v>613</v>
      </c>
      <c r="T3321" t="s">
        <v>167</v>
      </c>
      <c r="U3321">
        <v>3.2856849621420624E-2</v>
      </c>
      <c r="V3321" t="s">
        <v>157</v>
      </c>
    </row>
    <row r="3322" spans="19:22" x14ac:dyDescent="0.45">
      <c r="S3322" t="s">
        <v>613</v>
      </c>
      <c r="T3322" t="s">
        <v>168</v>
      </c>
      <c r="U3322">
        <v>4.6311776565343007E-2</v>
      </c>
      <c r="V3322" t="s">
        <v>157</v>
      </c>
    </row>
    <row r="3323" spans="19:22" x14ac:dyDescent="0.45">
      <c r="S3323" t="s">
        <v>613</v>
      </c>
      <c r="T3323" t="s">
        <v>169</v>
      </c>
      <c r="U3323">
        <v>5.4320284392391357E-3</v>
      </c>
      <c r="V3323" t="s">
        <v>157</v>
      </c>
    </row>
    <row r="3324" spans="19:22" x14ac:dyDescent="0.45">
      <c r="S3324" t="s">
        <v>613</v>
      </c>
      <c r="T3324" t="s">
        <v>170</v>
      </c>
      <c r="U3324">
        <v>5.5387769914834132E-3</v>
      </c>
      <c r="V3324" t="s">
        <v>157</v>
      </c>
    </row>
    <row r="3325" spans="19:22" x14ac:dyDescent="0.45">
      <c r="S3325" t="s">
        <v>613</v>
      </c>
      <c r="T3325" t="s">
        <v>171</v>
      </c>
      <c r="U3325">
        <v>2.5456200005469599E-2</v>
      </c>
      <c r="V3325" t="s">
        <v>157</v>
      </c>
    </row>
    <row r="3326" spans="19:22" x14ac:dyDescent="0.45">
      <c r="S3326" t="s">
        <v>614</v>
      </c>
      <c r="T3326" t="s">
        <v>156</v>
      </c>
      <c r="U3326">
        <v>0.13128814464127245</v>
      </c>
      <c r="V3326" t="s">
        <v>157</v>
      </c>
    </row>
    <row r="3327" spans="19:22" x14ac:dyDescent="0.45">
      <c r="S3327" t="s">
        <v>614</v>
      </c>
      <c r="T3327" t="s">
        <v>158</v>
      </c>
      <c r="U3327">
        <v>0.20501543419684384</v>
      </c>
      <c r="V3327" t="s">
        <v>157</v>
      </c>
    </row>
    <row r="3328" spans="19:22" x14ac:dyDescent="0.45">
      <c r="S3328" t="s">
        <v>614</v>
      </c>
      <c r="T3328" t="s">
        <v>159</v>
      </c>
      <c r="U3328">
        <v>2.1901538118980785E-2</v>
      </c>
      <c r="V3328" t="s">
        <v>157</v>
      </c>
    </row>
    <row r="3329" spans="19:22" x14ac:dyDescent="0.45">
      <c r="S3329" t="s">
        <v>614</v>
      </c>
      <c r="T3329" t="s">
        <v>160</v>
      </c>
      <c r="U3329">
        <v>2.1236364087581859E-2</v>
      </c>
      <c r="V3329" t="s">
        <v>157</v>
      </c>
    </row>
    <row r="3330" spans="19:22" x14ac:dyDescent="0.45">
      <c r="S3330" t="s">
        <v>614</v>
      </c>
      <c r="T3330" t="s">
        <v>161</v>
      </c>
      <c r="U3330">
        <v>9.5875338935319049E-2</v>
      </c>
      <c r="V3330" t="s">
        <v>157</v>
      </c>
    </row>
    <row r="3331" spans="19:22" x14ac:dyDescent="0.45">
      <c r="S3331" t="s">
        <v>614</v>
      </c>
      <c r="T3331" t="s">
        <v>162</v>
      </c>
      <c r="U3331">
        <v>0.11886892102218674</v>
      </c>
      <c r="V3331" t="s">
        <v>157</v>
      </c>
    </row>
    <row r="3332" spans="19:22" x14ac:dyDescent="0.45">
      <c r="S3332" t="s">
        <v>614</v>
      </c>
      <c r="T3332" t="s">
        <v>163</v>
      </c>
      <c r="U3332">
        <v>0.17470848147567164</v>
      </c>
      <c r="V3332" t="s">
        <v>157</v>
      </c>
    </row>
    <row r="3333" spans="19:22" x14ac:dyDescent="0.45">
      <c r="S3333" t="s">
        <v>614</v>
      </c>
      <c r="T3333" t="s">
        <v>164</v>
      </c>
      <c r="U3333">
        <v>1.6944591701519567E-2</v>
      </c>
      <c r="V3333" t="s">
        <v>157</v>
      </c>
    </row>
    <row r="3334" spans="19:22" x14ac:dyDescent="0.45">
      <c r="S3334" t="s">
        <v>614</v>
      </c>
      <c r="T3334" t="s">
        <v>165</v>
      </c>
      <c r="U3334">
        <v>1.6901549913592596E-2</v>
      </c>
      <c r="V3334" t="s">
        <v>157</v>
      </c>
    </row>
    <row r="3335" spans="19:22" x14ac:dyDescent="0.45">
      <c r="S3335" t="s">
        <v>614</v>
      </c>
      <c r="T3335" t="s">
        <v>166</v>
      </c>
      <c r="U3335">
        <v>8.507369143003278E-2</v>
      </c>
      <c r="V3335" t="s">
        <v>157</v>
      </c>
    </row>
    <row r="3336" spans="19:22" x14ac:dyDescent="0.45">
      <c r="S3336" t="s">
        <v>614</v>
      </c>
      <c r="T3336" t="s">
        <v>167</v>
      </c>
      <c r="U3336">
        <v>3.0008721244834179E-2</v>
      </c>
      <c r="V3336" t="s">
        <v>157</v>
      </c>
    </row>
    <row r="3337" spans="19:22" x14ac:dyDescent="0.45">
      <c r="S3337" t="s">
        <v>614</v>
      </c>
      <c r="T3337" t="s">
        <v>168</v>
      </c>
      <c r="U3337">
        <v>4.9672647633740782E-2</v>
      </c>
      <c r="V3337" t="s">
        <v>157</v>
      </c>
    </row>
    <row r="3338" spans="19:22" x14ac:dyDescent="0.45">
      <c r="S3338" t="s">
        <v>614</v>
      </c>
      <c r="T3338" t="s">
        <v>169</v>
      </c>
      <c r="U3338">
        <v>5.4617677110513282E-3</v>
      </c>
      <c r="V3338" t="s">
        <v>157</v>
      </c>
    </row>
    <row r="3339" spans="19:22" x14ac:dyDescent="0.45">
      <c r="S3339" t="s">
        <v>614</v>
      </c>
      <c r="T3339" t="s">
        <v>170</v>
      </c>
      <c r="U3339">
        <v>5.1574838666944949E-3</v>
      </c>
      <c r="V3339" t="s">
        <v>157</v>
      </c>
    </row>
    <row r="3340" spans="19:22" x14ac:dyDescent="0.45">
      <c r="S3340" t="s">
        <v>614</v>
      </c>
      <c r="T3340" t="s">
        <v>171</v>
      </c>
      <c r="U3340">
        <v>2.1885324020678006E-2</v>
      </c>
      <c r="V3340" t="s">
        <v>157</v>
      </c>
    </row>
    <row r="3341" spans="19:22" x14ac:dyDescent="0.45">
      <c r="S3341" t="s">
        <v>615</v>
      </c>
      <c r="T3341" t="s">
        <v>156</v>
      </c>
      <c r="U3341">
        <v>0.12789495754912056</v>
      </c>
      <c r="V3341" t="s">
        <v>157</v>
      </c>
    </row>
    <row r="3342" spans="19:22" x14ac:dyDescent="0.45">
      <c r="S3342" t="s">
        <v>615</v>
      </c>
      <c r="T3342" t="s">
        <v>158</v>
      </c>
      <c r="U3342">
        <v>0.21515540638444908</v>
      </c>
      <c r="V3342" t="s">
        <v>157</v>
      </c>
    </row>
    <row r="3343" spans="19:22" x14ac:dyDescent="0.45">
      <c r="S3343" t="s">
        <v>615</v>
      </c>
      <c r="T3343" t="s">
        <v>159</v>
      </c>
      <c r="U3343">
        <v>2.1793002654140928E-2</v>
      </c>
      <c r="V3343" t="s">
        <v>157</v>
      </c>
    </row>
    <row r="3344" spans="19:22" x14ac:dyDescent="0.45">
      <c r="S3344" t="s">
        <v>615</v>
      </c>
      <c r="T3344" t="s">
        <v>160</v>
      </c>
      <c r="U3344">
        <v>2.0718186621028849E-2</v>
      </c>
      <c r="V3344" t="s">
        <v>157</v>
      </c>
    </row>
    <row r="3345" spans="19:22" x14ac:dyDescent="0.45">
      <c r="S3345" t="s">
        <v>615</v>
      </c>
      <c r="T3345" t="s">
        <v>161</v>
      </c>
      <c r="U3345">
        <v>9.2909938044791807E-2</v>
      </c>
      <c r="V3345" t="s">
        <v>157</v>
      </c>
    </row>
    <row r="3346" spans="19:22" x14ac:dyDescent="0.45">
      <c r="S3346" t="s">
        <v>615</v>
      </c>
      <c r="T3346" t="s">
        <v>162</v>
      </c>
      <c r="U3346">
        <v>0.11355822326700038</v>
      </c>
      <c r="V3346" t="s">
        <v>157</v>
      </c>
    </row>
    <row r="3347" spans="19:22" x14ac:dyDescent="0.45">
      <c r="S3347" t="s">
        <v>615</v>
      </c>
      <c r="T3347" t="s">
        <v>163</v>
      </c>
      <c r="U3347">
        <v>0.17886196662778431</v>
      </c>
      <c r="V3347" t="s">
        <v>157</v>
      </c>
    </row>
    <row r="3348" spans="19:22" x14ac:dyDescent="0.45">
      <c r="S3348" t="s">
        <v>615</v>
      </c>
      <c r="T3348" t="s">
        <v>164</v>
      </c>
      <c r="U3348">
        <v>1.6842616112965374E-2</v>
      </c>
      <c r="V3348" t="s">
        <v>157</v>
      </c>
    </row>
    <row r="3349" spans="19:22" x14ac:dyDescent="0.45">
      <c r="S3349" t="s">
        <v>615</v>
      </c>
      <c r="T3349" t="s">
        <v>165</v>
      </c>
      <c r="U3349">
        <v>1.6520492906932589E-2</v>
      </c>
      <c r="V3349" t="s">
        <v>157</v>
      </c>
    </row>
    <row r="3350" spans="19:22" x14ac:dyDescent="0.45">
      <c r="S3350" t="s">
        <v>615</v>
      </c>
      <c r="T3350" t="s">
        <v>166</v>
      </c>
      <c r="U3350">
        <v>8.222466323798315E-2</v>
      </c>
      <c r="V3350" t="s">
        <v>157</v>
      </c>
    </row>
    <row r="3351" spans="19:22" x14ac:dyDescent="0.45">
      <c r="S3351" t="s">
        <v>615</v>
      </c>
      <c r="T3351" t="s">
        <v>167</v>
      </c>
      <c r="U3351">
        <v>2.9450346268420097E-2</v>
      </c>
      <c r="V3351" t="s">
        <v>157</v>
      </c>
    </row>
    <row r="3352" spans="19:22" x14ac:dyDescent="0.45">
      <c r="S3352" t="s">
        <v>615</v>
      </c>
      <c r="T3352" t="s">
        <v>168</v>
      </c>
      <c r="U3352">
        <v>5.3765125387062337E-2</v>
      </c>
      <c r="V3352" t="s">
        <v>157</v>
      </c>
    </row>
    <row r="3353" spans="19:22" x14ac:dyDescent="0.45">
      <c r="S3353" t="s">
        <v>615</v>
      </c>
      <c r="T3353" t="s">
        <v>169</v>
      </c>
      <c r="U3353">
        <v>5.6499437918991974E-3</v>
      </c>
      <c r="V3353" t="s">
        <v>157</v>
      </c>
    </row>
    <row r="3354" spans="19:22" x14ac:dyDescent="0.45">
      <c r="S3354" t="s">
        <v>615</v>
      </c>
      <c r="T3354" t="s">
        <v>170</v>
      </c>
      <c r="U3354">
        <v>5.056175287973406E-3</v>
      </c>
      <c r="V3354" t="s">
        <v>157</v>
      </c>
    </row>
    <row r="3355" spans="19:22" x14ac:dyDescent="0.45">
      <c r="S3355" t="s">
        <v>615</v>
      </c>
      <c r="T3355" t="s">
        <v>171</v>
      </c>
      <c r="U3355">
        <v>1.9598955858447918E-2</v>
      </c>
      <c r="V3355" t="s">
        <v>157</v>
      </c>
    </row>
    <row r="3356" spans="19:22" x14ac:dyDescent="0.45">
      <c r="S3356" t="s">
        <v>616</v>
      </c>
      <c r="T3356" t="s">
        <v>156</v>
      </c>
      <c r="U3356">
        <v>0.1364327897007713</v>
      </c>
      <c r="V3356" t="s">
        <v>157</v>
      </c>
    </row>
    <row r="3357" spans="19:22" x14ac:dyDescent="0.45">
      <c r="S3357" t="s">
        <v>616</v>
      </c>
      <c r="T3357" t="s">
        <v>158</v>
      </c>
      <c r="U3357">
        <v>0.21522100467947822</v>
      </c>
      <c r="V3357" t="s">
        <v>157</v>
      </c>
    </row>
    <row r="3358" spans="19:22" x14ac:dyDescent="0.45">
      <c r="S3358" t="s">
        <v>616</v>
      </c>
      <c r="T3358" t="s">
        <v>159</v>
      </c>
      <c r="U3358">
        <v>2.1705336606818202E-2</v>
      </c>
      <c r="V3358" t="s">
        <v>157</v>
      </c>
    </row>
    <row r="3359" spans="19:22" x14ac:dyDescent="0.45">
      <c r="S3359" t="s">
        <v>616</v>
      </c>
      <c r="T3359" t="s">
        <v>160</v>
      </c>
      <c r="U3359">
        <v>2.1000211163115817E-2</v>
      </c>
      <c r="V3359" t="s">
        <v>157</v>
      </c>
    </row>
    <row r="3360" spans="19:22" x14ac:dyDescent="0.45">
      <c r="S3360" t="s">
        <v>616</v>
      </c>
      <c r="T3360" t="s">
        <v>161</v>
      </c>
      <c r="U3360">
        <v>9.8194407664952632E-2</v>
      </c>
      <c r="V3360" t="s">
        <v>157</v>
      </c>
    </row>
    <row r="3361" spans="19:22" x14ac:dyDescent="0.45">
      <c r="S3361" t="s">
        <v>616</v>
      </c>
      <c r="T3361" t="s">
        <v>162</v>
      </c>
      <c r="U3361">
        <v>0.1088182324819668</v>
      </c>
      <c r="V3361" t="s">
        <v>157</v>
      </c>
    </row>
    <row r="3362" spans="19:22" x14ac:dyDescent="0.45">
      <c r="S3362" t="s">
        <v>616</v>
      </c>
      <c r="T3362" t="s">
        <v>163</v>
      </c>
      <c r="U3362">
        <v>0.16675962231412586</v>
      </c>
      <c r="V3362" t="s">
        <v>157</v>
      </c>
    </row>
    <row r="3363" spans="19:22" x14ac:dyDescent="0.45">
      <c r="S3363" t="s">
        <v>616</v>
      </c>
      <c r="T3363" t="s">
        <v>164</v>
      </c>
      <c r="U3363">
        <v>1.6695375581282767E-2</v>
      </c>
      <c r="V3363" t="s">
        <v>157</v>
      </c>
    </row>
    <row r="3364" spans="19:22" x14ac:dyDescent="0.45">
      <c r="S3364" t="s">
        <v>616</v>
      </c>
      <c r="T3364" t="s">
        <v>165</v>
      </c>
      <c r="U3364">
        <v>1.6392635762689234E-2</v>
      </c>
      <c r="V3364" t="s">
        <v>157</v>
      </c>
    </row>
    <row r="3365" spans="19:22" x14ac:dyDescent="0.45">
      <c r="S3365" t="s">
        <v>616</v>
      </c>
      <c r="T3365" t="s">
        <v>166</v>
      </c>
      <c r="U3365">
        <v>8.0447866324649037E-2</v>
      </c>
      <c r="V3365" t="s">
        <v>157</v>
      </c>
    </row>
    <row r="3366" spans="19:22" x14ac:dyDescent="0.45">
      <c r="S3366" t="s">
        <v>616</v>
      </c>
      <c r="T3366" t="s">
        <v>167</v>
      </c>
      <c r="U3366">
        <v>3.2648365122146181E-2</v>
      </c>
      <c r="V3366" t="s">
        <v>157</v>
      </c>
    </row>
    <row r="3367" spans="19:22" x14ac:dyDescent="0.45">
      <c r="S3367" t="s">
        <v>616</v>
      </c>
      <c r="T3367" t="s">
        <v>168</v>
      </c>
      <c r="U3367">
        <v>5.3691798675696553E-2</v>
      </c>
      <c r="V3367" t="s">
        <v>157</v>
      </c>
    </row>
    <row r="3368" spans="19:22" x14ac:dyDescent="0.45">
      <c r="S3368" t="s">
        <v>616</v>
      </c>
      <c r="T3368" t="s">
        <v>169</v>
      </c>
      <c r="U3368">
        <v>5.7842899972393802E-3</v>
      </c>
      <c r="V3368" t="s">
        <v>157</v>
      </c>
    </row>
    <row r="3369" spans="19:22" x14ac:dyDescent="0.45">
      <c r="S3369" t="s">
        <v>616</v>
      </c>
      <c r="T3369" t="s">
        <v>170</v>
      </c>
      <c r="U3369">
        <v>5.3062805688995204E-3</v>
      </c>
      <c r="V3369" t="s">
        <v>157</v>
      </c>
    </row>
    <row r="3370" spans="19:22" x14ac:dyDescent="0.45">
      <c r="S3370" t="s">
        <v>616</v>
      </c>
      <c r="T3370" t="s">
        <v>171</v>
      </c>
      <c r="U3370">
        <v>2.0901783356168577E-2</v>
      </c>
      <c r="V3370" t="s">
        <v>157</v>
      </c>
    </row>
    <row r="3371" spans="19:22" x14ac:dyDescent="0.45">
      <c r="S3371" t="s">
        <v>617</v>
      </c>
      <c r="T3371" t="s">
        <v>156</v>
      </c>
      <c r="U3371">
        <v>0.14656213509642299</v>
      </c>
      <c r="V3371" t="s">
        <v>157</v>
      </c>
    </row>
    <row r="3372" spans="19:22" x14ac:dyDescent="0.45">
      <c r="S3372" t="s">
        <v>617</v>
      </c>
      <c r="T3372" t="s">
        <v>158</v>
      </c>
      <c r="U3372">
        <v>0.21165565242271542</v>
      </c>
      <c r="V3372" t="s">
        <v>157</v>
      </c>
    </row>
    <row r="3373" spans="19:22" x14ac:dyDescent="0.45">
      <c r="S3373" t="s">
        <v>617</v>
      </c>
      <c r="T3373" t="s">
        <v>159</v>
      </c>
      <c r="U3373">
        <v>2.154687287689247E-2</v>
      </c>
      <c r="V3373" t="s">
        <v>157</v>
      </c>
    </row>
    <row r="3374" spans="19:22" x14ac:dyDescent="0.45">
      <c r="S3374" t="s">
        <v>617</v>
      </c>
      <c r="T3374" t="s">
        <v>160</v>
      </c>
      <c r="U3374">
        <v>2.1325675320542969E-2</v>
      </c>
      <c r="V3374" t="s">
        <v>157</v>
      </c>
    </row>
    <row r="3375" spans="19:22" x14ac:dyDescent="0.45">
      <c r="S3375" t="s">
        <v>617</v>
      </c>
      <c r="T3375" t="s">
        <v>161</v>
      </c>
      <c r="U3375">
        <v>0.10401645560243634</v>
      </c>
      <c r="V3375" t="s">
        <v>157</v>
      </c>
    </row>
    <row r="3376" spans="19:22" x14ac:dyDescent="0.45">
      <c r="S3376" t="s">
        <v>617</v>
      </c>
      <c r="T3376" t="s">
        <v>162</v>
      </c>
      <c r="U3376">
        <v>0.10701283524038223</v>
      </c>
      <c r="V3376" t="s">
        <v>157</v>
      </c>
    </row>
    <row r="3377" spans="19:22" x14ac:dyDescent="0.45">
      <c r="S3377" t="s">
        <v>617</v>
      </c>
      <c r="T3377" t="s">
        <v>163</v>
      </c>
      <c r="U3377">
        <v>0.15478713038729075</v>
      </c>
      <c r="V3377" t="s">
        <v>157</v>
      </c>
    </row>
    <row r="3378" spans="19:22" x14ac:dyDescent="0.45">
      <c r="S3378" t="s">
        <v>617</v>
      </c>
      <c r="T3378" t="s">
        <v>164</v>
      </c>
      <c r="U3378">
        <v>1.6519279979585206E-2</v>
      </c>
      <c r="V3378" t="s">
        <v>157</v>
      </c>
    </row>
    <row r="3379" spans="19:22" x14ac:dyDescent="0.45">
      <c r="S3379" t="s">
        <v>617</v>
      </c>
      <c r="T3379" t="s">
        <v>165</v>
      </c>
      <c r="U3379">
        <v>1.634037213929572E-2</v>
      </c>
      <c r="V3379" t="s">
        <v>157</v>
      </c>
    </row>
    <row r="3380" spans="19:22" x14ac:dyDescent="0.45">
      <c r="S3380" t="s">
        <v>617</v>
      </c>
      <c r="T3380" t="s">
        <v>166</v>
      </c>
      <c r="U3380">
        <v>7.9891138138750623E-2</v>
      </c>
      <c r="V3380" t="s">
        <v>157</v>
      </c>
    </row>
    <row r="3381" spans="19:22" x14ac:dyDescent="0.45">
      <c r="S3381" t="s">
        <v>617</v>
      </c>
      <c r="T3381" t="s">
        <v>167</v>
      </c>
      <c r="U3381">
        <v>3.5381226898177659E-2</v>
      </c>
      <c r="V3381" t="s">
        <v>157</v>
      </c>
    </row>
    <row r="3382" spans="19:22" x14ac:dyDescent="0.45">
      <c r="S3382" t="s">
        <v>617</v>
      </c>
      <c r="T3382" t="s">
        <v>168</v>
      </c>
      <c r="U3382">
        <v>5.1126692101834778E-2</v>
      </c>
      <c r="V3382" t="s">
        <v>157</v>
      </c>
    </row>
    <row r="3383" spans="19:22" x14ac:dyDescent="0.45">
      <c r="S3383" t="s">
        <v>617</v>
      </c>
      <c r="T3383" t="s">
        <v>169</v>
      </c>
      <c r="U3383">
        <v>5.6827085792619855E-3</v>
      </c>
      <c r="V3383" t="s">
        <v>157</v>
      </c>
    </row>
    <row r="3384" spans="19:22" x14ac:dyDescent="0.45">
      <c r="S3384" t="s">
        <v>617</v>
      </c>
      <c r="T3384" t="s">
        <v>170</v>
      </c>
      <c r="U3384">
        <v>5.3758197630991754E-3</v>
      </c>
      <c r="V3384" t="s">
        <v>157</v>
      </c>
    </row>
    <row r="3385" spans="19:22" x14ac:dyDescent="0.45">
      <c r="S3385" t="s">
        <v>617</v>
      </c>
      <c r="T3385" t="s">
        <v>171</v>
      </c>
      <c r="U3385">
        <v>2.2776005453311668E-2</v>
      </c>
      <c r="V3385" t="s">
        <v>157</v>
      </c>
    </row>
    <row r="3386" spans="19:22" x14ac:dyDescent="0.45">
      <c r="S3386" t="s">
        <v>618</v>
      </c>
      <c r="T3386" t="s">
        <v>156</v>
      </c>
      <c r="U3386">
        <v>0.14721461398098612</v>
      </c>
      <c r="V3386" t="s">
        <v>157</v>
      </c>
    </row>
    <row r="3387" spans="19:22" x14ac:dyDescent="0.45">
      <c r="S3387" t="s">
        <v>618</v>
      </c>
      <c r="T3387" t="s">
        <v>158</v>
      </c>
      <c r="U3387">
        <v>0.20417636516518936</v>
      </c>
      <c r="V3387" t="s">
        <v>157</v>
      </c>
    </row>
    <row r="3388" spans="19:22" x14ac:dyDescent="0.45">
      <c r="S3388" t="s">
        <v>618</v>
      </c>
      <c r="T3388" t="s">
        <v>159</v>
      </c>
      <c r="U3388">
        <v>2.0677572418817323E-2</v>
      </c>
      <c r="V3388" t="s">
        <v>157</v>
      </c>
    </row>
    <row r="3389" spans="19:22" x14ac:dyDescent="0.45">
      <c r="S3389" t="s">
        <v>618</v>
      </c>
      <c r="T3389" t="s">
        <v>160</v>
      </c>
      <c r="U3389">
        <v>2.0482791337314232E-2</v>
      </c>
      <c r="V3389" t="s">
        <v>157</v>
      </c>
    </row>
    <row r="3390" spans="19:22" x14ac:dyDescent="0.45">
      <c r="S3390" t="s">
        <v>618</v>
      </c>
      <c r="T3390" t="s">
        <v>161</v>
      </c>
      <c r="U3390">
        <v>0.10230504102127204</v>
      </c>
      <c r="V3390" t="s">
        <v>157</v>
      </c>
    </row>
    <row r="3391" spans="19:22" x14ac:dyDescent="0.45">
      <c r="S3391" t="s">
        <v>618</v>
      </c>
      <c r="T3391" t="s">
        <v>162</v>
      </c>
      <c r="U3391">
        <v>0.10583135533188701</v>
      </c>
      <c r="V3391" t="s">
        <v>157</v>
      </c>
    </row>
    <row r="3392" spans="19:22" x14ac:dyDescent="0.45">
      <c r="S3392" t="s">
        <v>618</v>
      </c>
      <c r="T3392" t="s">
        <v>163</v>
      </c>
      <c r="U3392">
        <v>0.14453686537829552</v>
      </c>
      <c r="V3392" t="s">
        <v>157</v>
      </c>
    </row>
    <row r="3393" spans="19:22" x14ac:dyDescent="0.45">
      <c r="S3393" t="s">
        <v>618</v>
      </c>
      <c r="T3393" t="s">
        <v>164</v>
      </c>
      <c r="U3393">
        <v>1.4843525529749864E-2</v>
      </c>
      <c r="V3393" t="s">
        <v>157</v>
      </c>
    </row>
    <row r="3394" spans="19:22" x14ac:dyDescent="0.45">
      <c r="S3394" t="s">
        <v>618</v>
      </c>
      <c r="T3394" t="s">
        <v>165</v>
      </c>
      <c r="U3394">
        <v>1.5350017239870221E-2</v>
      </c>
      <c r="V3394" t="s">
        <v>157</v>
      </c>
    </row>
    <row r="3395" spans="19:22" x14ac:dyDescent="0.45">
      <c r="S3395" t="s">
        <v>618</v>
      </c>
      <c r="T3395" t="s">
        <v>166</v>
      </c>
      <c r="U3395">
        <v>8.1282066803492731E-2</v>
      </c>
      <c r="V3395" t="s">
        <v>157</v>
      </c>
    </row>
    <row r="3396" spans="19:22" x14ac:dyDescent="0.45">
      <c r="S3396" t="s">
        <v>618</v>
      </c>
      <c r="T3396" t="s">
        <v>167</v>
      </c>
      <c r="U3396">
        <v>4.2417734323496055E-2</v>
      </c>
      <c r="V3396" t="s">
        <v>157</v>
      </c>
    </row>
    <row r="3397" spans="19:22" x14ac:dyDescent="0.45">
      <c r="S3397" t="s">
        <v>618</v>
      </c>
      <c r="T3397" t="s">
        <v>168</v>
      </c>
      <c r="U3397">
        <v>5.6334688749197233E-2</v>
      </c>
      <c r="V3397" t="s">
        <v>157</v>
      </c>
    </row>
    <row r="3398" spans="19:22" x14ac:dyDescent="0.45">
      <c r="S3398" t="s">
        <v>618</v>
      </c>
      <c r="T3398" t="s">
        <v>169</v>
      </c>
      <c r="U3398">
        <v>6.0131791821608303E-3</v>
      </c>
      <c r="V3398" t="s">
        <v>157</v>
      </c>
    </row>
    <row r="3399" spans="19:22" x14ac:dyDescent="0.45">
      <c r="S3399" t="s">
        <v>618</v>
      </c>
      <c r="T3399" t="s">
        <v>170</v>
      </c>
      <c r="U3399">
        <v>6.1815820413979291E-3</v>
      </c>
      <c r="V3399" t="s">
        <v>157</v>
      </c>
    </row>
    <row r="3400" spans="19:22" x14ac:dyDescent="0.45">
      <c r="S3400" t="s">
        <v>618</v>
      </c>
      <c r="T3400" t="s">
        <v>171</v>
      </c>
      <c r="U3400">
        <v>3.2352601496873662E-2</v>
      </c>
      <c r="V3400" t="s">
        <v>157</v>
      </c>
    </row>
    <row r="3401" spans="19:22" x14ac:dyDescent="0.45">
      <c r="S3401" t="s">
        <v>619</v>
      </c>
      <c r="T3401" t="s">
        <v>156</v>
      </c>
      <c r="U3401">
        <v>0.14639441753100002</v>
      </c>
      <c r="V3401" t="s">
        <v>157</v>
      </c>
    </row>
    <row r="3402" spans="19:22" x14ac:dyDescent="0.45">
      <c r="S3402" t="s">
        <v>619</v>
      </c>
      <c r="T3402" t="s">
        <v>158</v>
      </c>
      <c r="U3402">
        <v>0.20030239701626232</v>
      </c>
      <c r="V3402" t="s">
        <v>157</v>
      </c>
    </row>
    <row r="3403" spans="19:22" x14ac:dyDescent="0.45">
      <c r="S3403" t="s">
        <v>619</v>
      </c>
      <c r="T3403" t="s">
        <v>159</v>
      </c>
      <c r="U3403">
        <v>2.0447999293832734E-2</v>
      </c>
      <c r="V3403" t="s">
        <v>157</v>
      </c>
    </row>
    <row r="3404" spans="19:22" x14ac:dyDescent="0.45">
      <c r="S3404" t="s">
        <v>619</v>
      </c>
      <c r="T3404" t="s">
        <v>160</v>
      </c>
      <c r="U3404">
        <v>2.0710791768837677E-2</v>
      </c>
      <c r="V3404" t="s">
        <v>157</v>
      </c>
    </row>
    <row r="3405" spans="19:22" x14ac:dyDescent="0.45">
      <c r="S3405" t="s">
        <v>619</v>
      </c>
      <c r="T3405" t="s">
        <v>161</v>
      </c>
      <c r="U3405">
        <v>0.10553442970044852</v>
      </c>
      <c r="V3405" t="s">
        <v>157</v>
      </c>
    </row>
    <row r="3406" spans="19:22" x14ac:dyDescent="0.45">
      <c r="S3406" t="s">
        <v>619</v>
      </c>
      <c r="T3406" t="s">
        <v>162</v>
      </c>
      <c r="U3406">
        <v>0.10930662288260819</v>
      </c>
      <c r="V3406" t="s">
        <v>157</v>
      </c>
    </row>
    <row r="3407" spans="19:22" x14ac:dyDescent="0.45">
      <c r="S3407" t="s">
        <v>619</v>
      </c>
      <c r="T3407" t="s">
        <v>163</v>
      </c>
      <c r="U3407">
        <v>0.14308192790069535</v>
      </c>
      <c r="V3407" t="s">
        <v>157</v>
      </c>
    </row>
    <row r="3408" spans="19:22" x14ac:dyDescent="0.45">
      <c r="S3408" t="s">
        <v>619</v>
      </c>
      <c r="T3408" t="s">
        <v>164</v>
      </c>
      <c r="U3408">
        <v>1.5099035522245237E-2</v>
      </c>
      <c r="V3408" t="s">
        <v>157</v>
      </c>
    </row>
    <row r="3409" spans="19:22" x14ac:dyDescent="0.45">
      <c r="S3409" t="s">
        <v>619</v>
      </c>
      <c r="T3409" t="s">
        <v>165</v>
      </c>
      <c r="U3409">
        <v>1.5549312609893161E-2</v>
      </c>
      <c r="V3409" t="s">
        <v>157</v>
      </c>
    </row>
    <row r="3410" spans="19:22" x14ac:dyDescent="0.45">
      <c r="S3410" t="s">
        <v>619</v>
      </c>
      <c r="T3410" t="s">
        <v>166</v>
      </c>
      <c r="U3410">
        <v>8.2059138323923572E-2</v>
      </c>
      <c r="V3410" t="s">
        <v>157</v>
      </c>
    </row>
    <row r="3411" spans="19:22" x14ac:dyDescent="0.45">
      <c r="S3411" t="s">
        <v>619</v>
      </c>
      <c r="T3411" t="s">
        <v>167</v>
      </c>
      <c r="U3411">
        <v>4.2040389672869688E-2</v>
      </c>
      <c r="V3411" t="s">
        <v>157</v>
      </c>
    </row>
    <row r="3412" spans="19:22" x14ac:dyDescent="0.45">
      <c r="S3412" t="s">
        <v>619</v>
      </c>
      <c r="T3412" t="s">
        <v>168</v>
      </c>
      <c r="U3412">
        <v>5.5354297897333378E-2</v>
      </c>
      <c r="V3412" t="s">
        <v>157</v>
      </c>
    </row>
    <row r="3413" spans="19:22" x14ac:dyDescent="0.45">
      <c r="S3413" t="s">
        <v>619</v>
      </c>
      <c r="T3413" t="s">
        <v>169</v>
      </c>
      <c r="U3413">
        <v>5.9518573137791637E-3</v>
      </c>
      <c r="V3413" t="s">
        <v>157</v>
      </c>
    </row>
    <row r="3414" spans="19:22" x14ac:dyDescent="0.45">
      <c r="S3414" t="s">
        <v>619</v>
      </c>
      <c r="T3414" t="s">
        <v>170</v>
      </c>
      <c r="U3414">
        <v>6.1044346688325446E-3</v>
      </c>
      <c r="V3414" t="s">
        <v>157</v>
      </c>
    </row>
    <row r="3415" spans="19:22" x14ac:dyDescent="0.45">
      <c r="S3415" t="s">
        <v>619</v>
      </c>
      <c r="T3415" t="s">
        <v>171</v>
      </c>
      <c r="U3415">
        <v>3.2062947897438507E-2</v>
      </c>
      <c r="V3415" t="s">
        <v>157</v>
      </c>
    </row>
    <row r="3416" spans="19:22" x14ac:dyDescent="0.45">
      <c r="S3416" t="s">
        <v>620</v>
      </c>
      <c r="T3416" t="s">
        <v>156</v>
      </c>
      <c r="U3416">
        <v>0.14507178455388647</v>
      </c>
      <c r="V3416" t="s">
        <v>157</v>
      </c>
    </row>
    <row r="3417" spans="19:22" x14ac:dyDescent="0.45">
      <c r="S3417" t="s">
        <v>620</v>
      </c>
      <c r="T3417" t="s">
        <v>158</v>
      </c>
      <c r="U3417">
        <v>0.19728630344050663</v>
      </c>
      <c r="V3417" t="s">
        <v>157</v>
      </c>
    </row>
    <row r="3418" spans="19:22" x14ac:dyDescent="0.45">
      <c r="S3418" t="s">
        <v>620</v>
      </c>
      <c r="T3418" t="s">
        <v>159</v>
      </c>
      <c r="U3418">
        <v>2.0164343305363236E-2</v>
      </c>
      <c r="V3418" t="s">
        <v>157</v>
      </c>
    </row>
    <row r="3419" spans="19:22" x14ac:dyDescent="0.45">
      <c r="S3419" t="s">
        <v>620</v>
      </c>
      <c r="T3419" t="s">
        <v>160</v>
      </c>
      <c r="U3419">
        <v>2.087647729614053E-2</v>
      </c>
      <c r="V3419" t="s">
        <v>157</v>
      </c>
    </row>
    <row r="3420" spans="19:22" x14ac:dyDescent="0.45">
      <c r="S3420" t="s">
        <v>620</v>
      </c>
      <c r="T3420" t="s">
        <v>161</v>
      </c>
      <c r="U3420">
        <v>0.10762045347888163</v>
      </c>
      <c r="V3420" t="s">
        <v>157</v>
      </c>
    </row>
    <row r="3421" spans="19:22" x14ac:dyDescent="0.45">
      <c r="S3421" t="s">
        <v>620</v>
      </c>
      <c r="T3421" t="s">
        <v>162</v>
      </c>
      <c r="U3421">
        <v>0.11201959439386146</v>
      </c>
      <c r="V3421" t="s">
        <v>157</v>
      </c>
    </row>
    <row r="3422" spans="19:22" x14ac:dyDescent="0.45">
      <c r="S3422" t="s">
        <v>620</v>
      </c>
      <c r="T3422" t="s">
        <v>163</v>
      </c>
      <c r="U3422">
        <v>0.14183064942927165</v>
      </c>
      <c r="V3422" t="s">
        <v>157</v>
      </c>
    </row>
    <row r="3423" spans="19:22" x14ac:dyDescent="0.45">
      <c r="S3423" t="s">
        <v>620</v>
      </c>
      <c r="T3423" t="s">
        <v>164</v>
      </c>
      <c r="U3423">
        <v>1.5170682927017433E-2</v>
      </c>
      <c r="V3423" t="s">
        <v>157</v>
      </c>
    </row>
    <row r="3424" spans="19:22" x14ac:dyDescent="0.45">
      <c r="S3424" t="s">
        <v>620</v>
      </c>
      <c r="T3424" t="s">
        <v>165</v>
      </c>
      <c r="U3424">
        <v>1.5570269043324645E-2</v>
      </c>
      <c r="V3424" t="s">
        <v>157</v>
      </c>
    </row>
    <row r="3425" spans="19:22" x14ac:dyDescent="0.45">
      <c r="S3425" t="s">
        <v>620</v>
      </c>
      <c r="T3425" t="s">
        <v>166</v>
      </c>
      <c r="U3425">
        <v>8.2384331690367449E-2</v>
      </c>
      <c r="V3425" t="s">
        <v>157</v>
      </c>
    </row>
    <row r="3426" spans="19:22" x14ac:dyDescent="0.45">
      <c r="S3426" t="s">
        <v>620</v>
      </c>
      <c r="T3426" t="s">
        <v>167</v>
      </c>
      <c r="U3426">
        <v>4.2695539529392396E-2</v>
      </c>
      <c r="V3426" t="s">
        <v>157</v>
      </c>
    </row>
    <row r="3427" spans="19:22" x14ac:dyDescent="0.45">
      <c r="S3427" t="s">
        <v>620</v>
      </c>
      <c r="T3427" t="s">
        <v>168</v>
      </c>
      <c r="U3427">
        <v>5.5749539201312204E-2</v>
      </c>
      <c r="V3427" t="s">
        <v>157</v>
      </c>
    </row>
    <row r="3428" spans="19:22" x14ac:dyDescent="0.45">
      <c r="S3428" t="s">
        <v>620</v>
      </c>
      <c r="T3428" t="s">
        <v>169</v>
      </c>
      <c r="U3428">
        <v>5.8418332728089528E-3</v>
      </c>
      <c r="V3428" t="s">
        <v>157</v>
      </c>
    </row>
    <row r="3429" spans="19:22" x14ac:dyDescent="0.45">
      <c r="S3429" t="s">
        <v>620</v>
      </c>
      <c r="T3429" t="s">
        <v>170</v>
      </c>
      <c r="U3429">
        <v>6.0362200950578497E-3</v>
      </c>
      <c r="V3429" t="s">
        <v>157</v>
      </c>
    </row>
    <row r="3430" spans="19:22" x14ac:dyDescent="0.45">
      <c r="S3430" t="s">
        <v>620</v>
      </c>
      <c r="T3430" t="s">
        <v>171</v>
      </c>
      <c r="U3430">
        <v>3.1681978342807518E-2</v>
      </c>
      <c r="V3430" t="s">
        <v>157</v>
      </c>
    </row>
    <row r="3431" spans="19:22" x14ac:dyDescent="0.45">
      <c r="S3431" t="s">
        <v>621</v>
      </c>
      <c r="T3431" t="s">
        <v>156</v>
      </c>
      <c r="U3431">
        <v>0.14417911379102899</v>
      </c>
      <c r="V3431" t="s">
        <v>157</v>
      </c>
    </row>
    <row r="3432" spans="19:22" x14ac:dyDescent="0.45">
      <c r="S3432" t="s">
        <v>621</v>
      </c>
      <c r="T3432" t="s">
        <v>158</v>
      </c>
      <c r="U3432">
        <v>0.19507978113608929</v>
      </c>
      <c r="V3432" t="s">
        <v>157</v>
      </c>
    </row>
    <row r="3433" spans="19:22" x14ac:dyDescent="0.45">
      <c r="S3433" t="s">
        <v>621</v>
      </c>
      <c r="T3433" t="s">
        <v>159</v>
      </c>
      <c r="U3433">
        <v>2.0084172649285553E-2</v>
      </c>
      <c r="V3433" t="s">
        <v>157</v>
      </c>
    </row>
    <row r="3434" spans="19:22" x14ac:dyDescent="0.45">
      <c r="S3434" t="s">
        <v>621</v>
      </c>
      <c r="T3434" t="s">
        <v>160</v>
      </c>
      <c r="U3434">
        <v>2.0835958034343918E-2</v>
      </c>
      <c r="V3434" t="s">
        <v>157</v>
      </c>
    </row>
    <row r="3435" spans="19:22" x14ac:dyDescent="0.45">
      <c r="S3435" t="s">
        <v>621</v>
      </c>
      <c r="T3435" t="s">
        <v>161</v>
      </c>
      <c r="U3435">
        <v>0.10703012570769718</v>
      </c>
      <c r="V3435" t="s">
        <v>157</v>
      </c>
    </row>
    <row r="3436" spans="19:22" x14ac:dyDescent="0.45">
      <c r="S3436" t="s">
        <v>621</v>
      </c>
      <c r="T3436" t="s">
        <v>162</v>
      </c>
      <c r="U3436">
        <v>0.11301192911942261</v>
      </c>
      <c r="V3436" t="s">
        <v>157</v>
      </c>
    </row>
    <row r="3437" spans="19:22" x14ac:dyDescent="0.45">
      <c r="S3437" t="s">
        <v>621</v>
      </c>
      <c r="T3437" t="s">
        <v>163</v>
      </c>
      <c r="U3437">
        <v>0.14176108499859136</v>
      </c>
      <c r="V3437" t="s">
        <v>157</v>
      </c>
    </row>
    <row r="3438" spans="19:22" x14ac:dyDescent="0.45">
      <c r="S3438" t="s">
        <v>621</v>
      </c>
      <c r="T3438" t="s">
        <v>164</v>
      </c>
      <c r="U3438">
        <v>1.5209729257526132E-2</v>
      </c>
      <c r="V3438" t="s">
        <v>157</v>
      </c>
    </row>
    <row r="3439" spans="19:22" x14ac:dyDescent="0.45">
      <c r="S3439" t="s">
        <v>621</v>
      </c>
      <c r="T3439" t="s">
        <v>165</v>
      </c>
      <c r="U3439">
        <v>1.5749911537695671E-2</v>
      </c>
      <c r="V3439" t="s">
        <v>157</v>
      </c>
    </row>
    <row r="3440" spans="19:22" x14ac:dyDescent="0.45">
      <c r="S3440" t="s">
        <v>621</v>
      </c>
      <c r="T3440" t="s">
        <v>166</v>
      </c>
      <c r="U3440">
        <v>8.3053887506439938E-2</v>
      </c>
      <c r="V3440" t="s">
        <v>157</v>
      </c>
    </row>
    <row r="3441" spans="19:22" x14ac:dyDescent="0.45">
      <c r="S3441" t="s">
        <v>621</v>
      </c>
      <c r="T3441" t="s">
        <v>167</v>
      </c>
      <c r="U3441">
        <v>4.325349236009321E-2</v>
      </c>
      <c r="V3441" t="s">
        <v>157</v>
      </c>
    </row>
    <row r="3442" spans="19:22" x14ac:dyDescent="0.45">
      <c r="S3442" t="s">
        <v>621</v>
      </c>
      <c r="T3442" t="s">
        <v>168</v>
      </c>
      <c r="U3442">
        <v>5.7700976124524538E-2</v>
      </c>
      <c r="V3442" t="s">
        <v>157</v>
      </c>
    </row>
    <row r="3443" spans="19:22" x14ac:dyDescent="0.45">
      <c r="S3443" t="s">
        <v>621</v>
      </c>
      <c r="T3443" t="s">
        <v>169</v>
      </c>
      <c r="U3443">
        <v>5.7272215346786453E-3</v>
      </c>
      <c r="V3443" t="s">
        <v>157</v>
      </c>
    </row>
    <row r="3444" spans="19:22" x14ac:dyDescent="0.45">
      <c r="S3444" t="s">
        <v>621</v>
      </c>
      <c r="T3444" t="s">
        <v>170</v>
      </c>
      <c r="U3444">
        <v>5.9674072882735848E-3</v>
      </c>
      <c r="V3444" t="s">
        <v>157</v>
      </c>
    </row>
    <row r="3445" spans="19:22" x14ac:dyDescent="0.45">
      <c r="S3445" t="s">
        <v>621</v>
      </c>
      <c r="T3445" t="s">
        <v>171</v>
      </c>
      <c r="U3445">
        <v>3.1355208954309419E-2</v>
      </c>
      <c r="V3445" t="s">
        <v>157</v>
      </c>
    </row>
    <row r="3446" spans="19:22" x14ac:dyDescent="0.45">
      <c r="S3446" t="s">
        <v>622</v>
      </c>
      <c r="T3446" t="s">
        <v>156</v>
      </c>
      <c r="U3446">
        <v>0.1437480529249176</v>
      </c>
      <c r="V3446" t="s">
        <v>157</v>
      </c>
    </row>
    <row r="3447" spans="19:22" x14ac:dyDescent="0.45">
      <c r="S3447" t="s">
        <v>622</v>
      </c>
      <c r="T3447" t="s">
        <v>158</v>
      </c>
      <c r="U3447">
        <v>0.19256538424375105</v>
      </c>
      <c r="V3447" t="s">
        <v>157</v>
      </c>
    </row>
    <row r="3448" spans="19:22" x14ac:dyDescent="0.45">
      <c r="S3448" t="s">
        <v>622</v>
      </c>
      <c r="T3448" t="s">
        <v>159</v>
      </c>
      <c r="U3448">
        <v>2.034003217886781E-2</v>
      </c>
      <c r="V3448" t="s">
        <v>157</v>
      </c>
    </row>
    <row r="3449" spans="19:22" x14ac:dyDescent="0.45">
      <c r="S3449" t="s">
        <v>622</v>
      </c>
      <c r="T3449" t="s">
        <v>160</v>
      </c>
      <c r="U3449">
        <v>2.0755220343917045E-2</v>
      </c>
      <c r="V3449" t="s">
        <v>157</v>
      </c>
    </row>
    <row r="3450" spans="19:22" x14ac:dyDescent="0.45">
      <c r="S3450" t="s">
        <v>622</v>
      </c>
      <c r="T3450" t="s">
        <v>161</v>
      </c>
      <c r="U3450">
        <v>0.10528005687571973</v>
      </c>
      <c r="V3450" t="s">
        <v>157</v>
      </c>
    </row>
    <row r="3451" spans="19:22" x14ac:dyDescent="0.45">
      <c r="S3451" t="s">
        <v>622</v>
      </c>
      <c r="T3451" t="s">
        <v>162</v>
      </c>
      <c r="U3451">
        <v>0.11249840495368119</v>
      </c>
      <c r="V3451" t="s">
        <v>157</v>
      </c>
    </row>
    <row r="3452" spans="19:22" x14ac:dyDescent="0.45">
      <c r="S3452" t="s">
        <v>622</v>
      </c>
      <c r="T3452" t="s">
        <v>163</v>
      </c>
      <c r="U3452">
        <v>0.14391230096953012</v>
      </c>
      <c r="V3452" t="s">
        <v>157</v>
      </c>
    </row>
    <row r="3453" spans="19:22" x14ac:dyDescent="0.45">
      <c r="S3453" t="s">
        <v>622</v>
      </c>
      <c r="T3453" t="s">
        <v>164</v>
      </c>
      <c r="U3453">
        <v>1.5176618955876658E-2</v>
      </c>
      <c r="V3453" t="s">
        <v>157</v>
      </c>
    </row>
    <row r="3454" spans="19:22" x14ac:dyDescent="0.45">
      <c r="S3454" t="s">
        <v>622</v>
      </c>
      <c r="T3454" t="s">
        <v>165</v>
      </c>
      <c r="U3454">
        <v>1.5939889125490329E-2</v>
      </c>
      <c r="V3454" t="s">
        <v>157</v>
      </c>
    </row>
    <row r="3455" spans="19:22" x14ac:dyDescent="0.45">
      <c r="S3455" t="s">
        <v>622</v>
      </c>
      <c r="T3455" t="s">
        <v>166</v>
      </c>
      <c r="U3455">
        <v>8.3645811444766904E-2</v>
      </c>
      <c r="V3455" t="s">
        <v>157</v>
      </c>
    </row>
    <row r="3456" spans="19:22" x14ac:dyDescent="0.45">
      <c r="S3456" t="s">
        <v>622</v>
      </c>
      <c r="T3456" t="s">
        <v>167</v>
      </c>
      <c r="U3456">
        <v>4.2685675741105399E-2</v>
      </c>
      <c r="V3456" t="s">
        <v>157</v>
      </c>
    </row>
    <row r="3457" spans="19:22" x14ac:dyDescent="0.45">
      <c r="S3457" t="s">
        <v>622</v>
      </c>
      <c r="T3457" t="s">
        <v>168</v>
      </c>
      <c r="U3457">
        <v>6.0731156226772963E-2</v>
      </c>
      <c r="V3457" t="s">
        <v>157</v>
      </c>
    </row>
    <row r="3458" spans="19:22" x14ac:dyDescent="0.45">
      <c r="S3458" t="s">
        <v>622</v>
      </c>
      <c r="T3458" t="s">
        <v>169</v>
      </c>
      <c r="U3458">
        <v>5.8215424589912034E-3</v>
      </c>
      <c r="V3458" t="s">
        <v>157</v>
      </c>
    </row>
    <row r="3459" spans="19:22" x14ac:dyDescent="0.45">
      <c r="S3459" t="s">
        <v>622</v>
      </c>
      <c r="T3459" t="s">
        <v>170</v>
      </c>
      <c r="U3459">
        <v>5.9557993259351013E-3</v>
      </c>
      <c r="V3459" t="s">
        <v>157</v>
      </c>
    </row>
    <row r="3460" spans="19:22" x14ac:dyDescent="0.45">
      <c r="S3460" t="s">
        <v>622</v>
      </c>
      <c r="T3460" t="s">
        <v>171</v>
      </c>
      <c r="U3460">
        <v>3.0944054230676976E-2</v>
      </c>
      <c r="V3460" t="s">
        <v>157</v>
      </c>
    </row>
    <row r="3461" spans="19:22" x14ac:dyDescent="0.45">
      <c r="S3461" t="s">
        <v>623</v>
      </c>
      <c r="T3461" t="s">
        <v>156</v>
      </c>
      <c r="U3461">
        <v>0.14229805377842394</v>
      </c>
      <c r="V3461" t="s">
        <v>157</v>
      </c>
    </row>
    <row r="3462" spans="19:22" x14ac:dyDescent="0.45">
      <c r="S3462" t="s">
        <v>623</v>
      </c>
      <c r="T3462" t="s">
        <v>158</v>
      </c>
      <c r="U3462">
        <v>0.19421617947026446</v>
      </c>
      <c r="V3462" t="s">
        <v>157</v>
      </c>
    </row>
    <row r="3463" spans="19:22" x14ac:dyDescent="0.45">
      <c r="S3463" t="s">
        <v>623</v>
      </c>
      <c r="T3463" t="s">
        <v>159</v>
      </c>
      <c r="U3463">
        <v>2.0507847355040174E-2</v>
      </c>
      <c r="V3463" t="s">
        <v>157</v>
      </c>
    </row>
    <row r="3464" spans="19:22" x14ac:dyDescent="0.45">
      <c r="S3464" t="s">
        <v>623</v>
      </c>
      <c r="T3464" t="s">
        <v>160</v>
      </c>
      <c r="U3464">
        <v>2.0984647128349493E-2</v>
      </c>
      <c r="V3464" t="s">
        <v>157</v>
      </c>
    </row>
    <row r="3465" spans="19:22" x14ac:dyDescent="0.45">
      <c r="S3465" t="s">
        <v>623</v>
      </c>
      <c r="T3465" t="s">
        <v>161</v>
      </c>
      <c r="U3465">
        <v>0.10606572784178073</v>
      </c>
      <c r="V3465" t="s">
        <v>157</v>
      </c>
    </row>
    <row r="3466" spans="19:22" x14ac:dyDescent="0.45">
      <c r="S3466" t="s">
        <v>623</v>
      </c>
      <c r="T3466" t="s">
        <v>162</v>
      </c>
      <c r="U3466">
        <v>0.1054923879202969</v>
      </c>
      <c r="V3466" t="s">
        <v>157</v>
      </c>
    </row>
    <row r="3467" spans="19:22" x14ac:dyDescent="0.45">
      <c r="S3467" t="s">
        <v>623</v>
      </c>
      <c r="T3467" t="s">
        <v>163</v>
      </c>
      <c r="U3467">
        <v>0.14699064513531473</v>
      </c>
      <c r="V3467" t="s">
        <v>157</v>
      </c>
    </row>
    <row r="3468" spans="19:22" x14ac:dyDescent="0.45">
      <c r="S3468" t="s">
        <v>623</v>
      </c>
      <c r="T3468" t="s">
        <v>164</v>
      </c>
      <c r="U3468">
        <v>1.5197339169352677E-2</v>
      </c>
      <c r="V3468" t="s">
        <v>157</v>
      </c>
    </row>
    <row r="3469" spans="19:22" x14ac:dyDescent="0.45">
      <c r="S3469" t="s">
        <v>623</v>
      </c>
      <c r="T3469" t="s">
        <v>165</v>
      </c>
      <c r="U3469">
        <v>1.5672432879230456E-2</v>
      </c>
      <c r="V3469" t="s">
        <v>157</v>
      </c>
    </row>
    <row r="3470" spans="19:22" x14ac:dyDescent="0.45">
      <c r="S3470" t="s">
        <v>623</v>
      </c>
      <c r="T3470" t="s">
        <v>166</v>
      </c>
      <c r="U3470">
        <v>8.158575581546916E-2</v>
      </c>
      <c r="V3470" t="s">
        <v>157</v>
      </c>
    </row>
    <row r="3471" spans="19:22" x14ac:dyDescent="0.45">
      <c r="S3471" t="s">
        <v>623</v>
      </c>
      <c r="T3471" t="s">
        <v>167</v>
      </c>
      <c r="U3471">
        <v>4.283788312137763E-2</v>
      </c>
      <c r="V3471" t="s">
        <v>157</v>
      </c>
    </row>
    <row r="3472" spans="19:22" x14ac:dyDescent="0.45">
      <c r="S3472" t="s">
        <v>623</v>
      </c>
      <c r="T3472" t="s">
        <v>168</v>
      </c>
      <c r="U3472">
        <v>6.4504146482421212E-2</v>
      </c>
      <c r="V3472" t="s">
        <v>157</v>
      </c>
    </row>
    <row r="3473" spans="19:22" x14ac:dyDescent="0.45">
      <c r="S3473" t="s">
        <v>623</v>
      </c>
      <c r="T3473" t="s">
        <v>169</v>
      </c>
      <c r="U3473">
        <v>6.5662825360861196E-3</v>
      </c>
      <c r="V3473" t="s">
        <v>157</v>
      </c>
    </row>
    <row r="3474" spans="19:22" x14ac:dyDescent="0.45">
      <c r="S3474" t="s">
        <v>623</v>
      </c>
      <c r="T3474" t="s">
        <v>170</v>
      </c>
      <c r="U3474">
        <v>6.4033588236512388E-3</v>
      </c>
      <c r="V3474" t="s">
        <v>157</v>
      </c>
    </row>
    <row r="3475" spans="19:22" x14ac:dyDescent="0.45">
      <c r="S3475" t="s">
        <v>623</v>
      </c>
      <c r="T3475" t="s">
        <v>171</v>
      </c>
      <c r="U3475">
        <v>3.0677312542941048E-2</v>
      </c>
      <c r="V3475" t="s">
        <v>157</v>
      </c>
    </row>
    <row r="3476" spans="19:22" x14ac:dyDescent="0.45">
      <c r="S3476" t="s">
        <v>624</v>
      </c>
      <c r="T3476" t="s">
        <v>156</v>
      </c>
      <c r="U3476">
        <v>0.13856930259510528</v>
      </c>
      <c r="V3476" t="s">
        <v>157</v>
      </c>
    </row>
    <row r="3477" spans="19:22" x14ac:dyDescent="0.45">
      <c r="S3477" t="s">
        <v>624</v>
      </c>
      <c r="T3477" t="s">
        <v>158</v>
      </c>
      <c r="U3477">
        <v>0.20766537348504649</v>
      </c>
      <c r="V3477" t="s">
        <v>157</v>
      </c>
    </row>
    <row r="3478" spans="19:22" x14ac:dyDescent="0.45">
      <c r="S3478" t="s">
        <v>624</v>
      </c>
      <c r="T3478" t="s">
        <v>159</v>
      </c>
      <c r="U3478">
        <v>2.2289191741351772E-2</v>
      </c>
      <c r="V3478" t="s">
        <v>157</v>
      </c>
    </row>
    <row r="3479" spans="19:22" x14ac:dyDescent="0.45">
      <c r="S3479" t="s">
        <v>624</v>
      </c>
      <c r="T3479" t="s">
        <v>160</v>
      </c>
      <c r="U3479">
        <v>2.2057148764895559E-2</v>
      </c>
      <c r="V3479" t="s">
        <v>157</v>
      </c>
    </row>
    <row r="3480" spans="19:22" x14ac:dyDescent="0.45">
      <c r="S3480" t="s">
        <v>624</v>
      </c>
      <c r="T3480" t="s">
        <v>161</v>
      </c>
      <c r="U3480">
        <v>0.10846967609017587</v>
      </c>
      <c r="V3480" t="s">
        <v>157</v>
      </c>
    </row>
    <row r="3481" spans="19:22" x14ac:dyDescent="0.45">
      <c r="S3481" t="s">
        <v>624</v>
      </c>
      <c r="T3481" t="s">
        <v>162</v>
      </c>
      <c r="U3481">
        <v>9.4569659687924343E-2</v>
      </c>
      <c r="V3481" t="s">
        <v>157</v>
      </c>
    </row>
    <row r="3482" spans="19:22" x14ac:dyDescent="0.45">
      <c r="S3482" t="s">
        <v>624</v>
      </c>
      <c r="T3482" t="s">
        <v>163</v>
      </c>
      <c r="U3482">
        <v>0.14585409754798029</v>
      </c>
      <c r="V3482" t="s">
        <v>157</v>
      </c>
    </row>
    <row r="3483" spans="19:22" x14ac:dyDescent="0.45">
      <c r="S3483" t="s">
        <v>624</v>
      </c>
      <c r="T3483" t="s">
        <v>164</v>
      </c>
      <c r="U3483">
        <v>1.4771580571439806E-2</v>
      </c>
      <c r="V3483" t="s">
        <v>157</v>
      </c>
    </row>
    <row r="3484" spans="19:22" x14ac:dyDescent="0.45">
      <c r="S3484" t="s">
        <v>624</v>
      </c>
      <c r="T3484" t="s">
        <v>165</v>
      </c>
      <c r="U3484">
        <v>1.4834672869418917E-2</v>
      </c>
      <c r="V3484" t="s">
        <v>157</v>
      </c>
    </row>
    <row r="3485" spans="19:22" x14ac:dyDescent="0.45">
      <c r="S3485" t="s">
        <v>624</v>
      </c>
      <c r="T3485" t="s">
        <v>166</v>
      </c>
      <c r="U3485">
        <v>7.2662273292765756E-2</v>
      </c>
      <c r="V3485" t="s">
        <v>157</v>
      </c>
    </row>
    <row r="3486" spans="19:22" x14ac:dyDescent="0.45">
      <c r="S3486" t="s">
        <v>624</v>
      </c>
      <c r="T3486" t="s">
        <v>167</v>
      </c>
      <c r="U3486">
        <v>4.3945860118128906E-2</v>
      </c>
      <c r="V3486" t="s">
        <v>157</v>
      </c>
    </row>
    <row r="3487" spans="19:22" x14ac:dyDescent="0.45">
      <c r="S3487" t="s">
        <v>624</v>
      </c>
      <c r="T3487" t="s">
        <v>168</v>
      </c>
      <c r="U3487">
        <v>6.8691851025195677E-2</v>
      </c>
      <c r="V3487" t="s">
        <v>157</v>
      </c>
    </row>
    <row r="3488" spans="19:22" x14ac:dyDescent="0.45">
      <c r="S3488" t="s">
        <v>624</v>
      </c>
      <c r="T3488" t="s">
        <v>169</v>
      </c>
      <c r="U3488">
        <v>7.1920866855155448E-3</v>
      </c>
      <c r="V3488" t="s">
        <v>157</v>
      </c>
    </row>
    <row r="3489" spans="19:22" x14ac:dyDescent="0.45">
      <c r="S3489" t="s">
        <v>624</v>
      </c>
      <c r="T3489" t="s">
        <v>170</v>
      </c>
      <c r="U3489">
        <v>7.1323579370261231E-3</v>
      </c>
      <c r="V3489" t="s">
        <v>157</v>
      </c>
    </row>
    <row r="3490" spans="19:22" x14ac:dyDescent="0.45">
      <c r="S3490" t="s">
        <v>624</v>
      </c>
      <c r="T3490" t="s">
        <v>171</v>
      </c>
      <c r="U3490">
        <v>3.1294867588029698E-2</v>
      </c>
      <c r="V3490" t="s">
        <v>157</v>
      </c>
    </row>
    <row r="3491" spans="19:22" x14ac:dyDescent="0.45">
      <c r="S3491" t="s">
        <v>625</v>
      </c>
      <c r="T3491" t="s">
        <v>156</v>
      </c>
      <c r="U3491">
        <v>0.13225573394411286</v>
      </c>
      <c r="V3491" t="s">
        <v>157</v>
      </c>
    </row>
    <row r="3492" spans="19:22" x14ac:dyDescent="0.45">
      <c r="S3492" t="s">
        <v>625</v>
      </c>
      <c r="T3492" t="s">
        <v>158</v>
      </c>
      <c r="U3492">
        <v>0.20221494655871042</v>
      </c>
      <c r="V3492" t="s">
        <v>157</v>
      </c>
    </row>
    <row r="3493" spans="19:22" x14ac:dyDescent="0.45">
      <c r="S3493" t="s">
        <v>625</v>
      </c>
      <c r="T3493" t="s">
        <v>159</v>
      </c>
      <c r="U3493">
        <v>2.2279927089456884E-2</v>
      </c>
      <c r="V3493" t="s">
        <v>157</v>
      </c>
    </row>
    <row r="3494" spans="19:22" x14ac:dyDescent="0.45">
      <c r="S3494" t="s">
        <v>625</v>
      </c>
      <c r="T3494" t="s">
        <v>160</v>
      </c>
      <c r="U3494">
        <v>2.1985012769749908E-2</v>
      </c>
      <c r="V3494" t="s">
        <v>157</v>
      </c>
    </row>
    <row r="3495" spans="19:22" x14ac:dyDescent="0.45">
      <c r="S3495" t="s">
        <v>625</v>
      </c>
      <c r="T3495" t="s">
        <v>161</v>
      </c>
      <c r="U3495">
        <v>0.10294471787843705</v>
      </c>
      <c r="V3495" t="s">
        <v>157</v>
      </c>
    </row>
    <row r="3496" spans="19:22" x14ac:dyDescent="0.45">
      <c r="S3496" t="s">
        <v>625</v>
      </c>
      <c r="T3496" t="s">
        <v>162</v>
      </c>
      <c r="U3496">
        <v>9.9286924588480693E-2</v>
      </c>
      <c r="V3496" t="s">
        <v>157</v>
      </c>
    </row>
    <row r="3497" spans="19:22" x14ac:dyDescent="0.45">
      <c r="S3497" t="s">
        <v>625</v>
      </c>
      <c r="T3497" t="s">
        <v>163</v>
      </c>
      <c r="U3497">
        <v>0.15332825456328128</v>
      </c>
      <c r="V3497" t="s">
        <v>157</v>
      </c>
    </row>
    <row r="3498" spans="19:22" x14ac:dyDescent="0.45">
      <c r="S3498" t="s">
        <v>625</v>
      </c>
      <c r="T3498" t="s">
        <v>164</v>
      </c>
      <c r="U3498">
        <v>1.5229412797398409E-2</v>
      </c>
      <c r="V3498" t="s">
        <v>157</v>
      </c>
    </row>
    <row r="3499" spans="19:22" x14ac:dyDescent="0.45">
      <c r="S3499" t="s">
        <v>625</v>
      </c>
      <c r="T3499" t="s">
        <v>165</v>
      </c>
      <c r="U3499">
        <v>1.4881787734012008E-2</v>
      </c>
      <c r="V3499" t="s">
        <v>157</v>
      </c>
    </row>
    <row r="3500" spans="19:22" x14ac:dyDescent="0.45">
      <c r="S3500" t="s">
        <v>625</v>
      </c>
      <c r="T3500" t="s">
        <v>166</v>
      </c>
      <c r="U3500">
        <v>7.4274899356605764E-2</v>
      </c>
      <c r="V3500" t="s">
        <v>157</v>
      </c>
    </row>
    <row r="3501" spans="19:22" x14ac:dyDescent="0.45">
      <c r="S3501" t="s">
        <v>625</v>
      </c>
      <c r="T3501" t="s">
        <v>167</v>
      </c>
      <c r="U3501">
        <v>4.247148190623691E-2</v>
      </c>
      <c r="V3501" t="s">
        <v>157</v>
      </c>
    </row>
    <row r="3502" spans="19:22" x14ac:dyDescent="0.45">
      <c r="S3502" t="s">
        <v>625</v>
      </c>
      <c r="T3502" t="s">
        <v>168</v>
      </c>
      <c r="U3502">
        <v>7.3214743781844033E-2</v>
      </c>
      <c r="V3502" t="s">
        <v>157</v>
      </c>
    </row>
    <row r="3503" spans="19:22" x14ac:dyDescent="0.45">
      <c r="S3503" t="s">
        <v>625</v>
      </c>
      <c r="T3503" t="s">
        <v>169</v>
      </c>
      <c r="U3503">
        <v>7.0963335401793516E-3</v>
      </c>
      <c r="V3503" t="s">
        <v>157</v>
      </c>
    </row>
    <row r="3504" spans="19:22" x14ac:dyDescent="0.45">
      <c r="S3504" t="s">
        <v>625</v>
      </c>
      <c r="T3504" t="s">
        <v>170</v>
      </c>
      <c r="U3504">
        <v>6.9789024134564196E-3</v>
      </c>
      <c r="V3504" t="s">
        <v>157</v>
      </c>
    </row>
    <row r="3505" spans="19:22" x14ac:dyDescent="0.45">
      <c r="S3505" t="s">
        <v>625</v>
      </c>
      <c r="T3505" t="s">
        <v>171</v>
      </c>
      <c r="U3505">
        <v>3.1556921078037918E-2</v>
      </c>
      <c r="V3505" t="s">
        <v>157</v>
      </c>
    </row>
    <row r="3506" spans="19:22" x14ac:dyDescent="0.45">
      <c r="S3506" t="s">
        <v>626</v>
      </c>
      <c r="T3506" t="s">
        <v>156</v>
      </c>
      <c r="U3506">
        <v>0.12495698420449883</v>
      </c>
      <c r="V3506" t="s">
        <v>157</v>
      </c>
    </row>
    <row r="3507" spans="19:22" x14ac:dyDescent="0.45">
      <c r="S3507" t="s">
        <v>626</v>
      </c>
      <c r="T3507" t="s">
        <v>158</v>
      </c>
      <c r="U3507">
        <v>0.19099487508855709</v>
      </c>
      <c r="V3507" t="s">
        <v>157</v>
      </c>
    </row>
    <row r="3508" spans="19:22" x14ac:dyDescent="0.45">
      <c r="S3508" t="s">
        <v>626</v>
      </c>
      <c r="T3508" t="s">
        <v>159</v>
      </c>
      <c r="U3508">
        <v>2.0869881878324899E-2</v>
      </c>
      <c r="V3508" t="s">
        <v>157</v>
      </c>
    </row>
    <row r="3509" spans="19:22" x14ac:dyDescent="0.45">
      <c r="S3509" t="s">
        <v>626</v>
      </c>
      <c r="T3509" t="s">
        <v>160</v>
      </c>
      <c r="U3509">
        <v>2.0218692839612747E-2</v>
      </c>
      <c r="V3509" t="s">
        <v>157</v>
      </c>
    </row>
    <row r="3510" spans="19:22" x14ac:dyDescent="0.45">
      <c r="S3510" t="s">
        <v>626</v>
      </c>
      <c r="T3510" t="s">
        <v>161</v>
      </c>
      <c r="U3510">
        <v>9.1069479491642596E-2</v>
      </c>
      <c r="V3510" t="s">
        <v>157</v>
      </c>
    </row>
    <row r="3511" spans="19:22" x14ac:dyDescent="0.45">
      <c r="S3511" t="s">
        <v>626</v>
      </c>
      <c r="T3511" t="s">
        <v>162</v>
      </c>
      <c r="U3511">
        <v>0.10744372298475081</v>
      </c>
      <c r="V3511" t="s">
        <v>157</v>
      </c>
    </row>
    <row r="3512" spans="19:22" x14ac:dyDescent="0.45">
      <c r="S3512" t="s">
        <v>626</v>
      </c>
      <c r="T3512" t="s">
        <v>163</v>
      </c>
      <c r="U3512">
        <v>0.16281956497009717</v>
      </c>
      <c r="V3512" t="s">
        <v>157</v>
      </c>
    </row>
    <row r="3513" spans="19:22" x14ac:dyDescent="0.45">
      <c r="S3513" t="s">
        <v>626</v>
      </c>
      <c r="T3513" t="s">
        <v>164</v>
      </c>
      <c r="U3513">
        <v>1.6360710877746296E-2</v>
      </c>
      <c r="V3513" t="s">
        <v>157</v>
      </c>
    </row>
    <row r="3514" spans="19:22" x14ac:dyDescent="0.45">
      <c r="S3514" t="s">
        <v>626</v>
      </c>
      <c r="T3514" t="s">
        <v>165</v>
      </c>
      <c r="U3514">
        <v>1.6021030776882883E-2</v>
      </c>
      <c r="V3514" t="s">
        <v>157</v>
      </c>
    </row>
    <row r="3515" spans="19:22" x14ac:dyDescent="0.45">
      <c r="S3515" t="s">
        <v>626</v>
      </c>
      <c r="T3515" t="s">
        <v>166</v>
      </c>
      <c r="U3515">
        <v>7.8918674323553026E-2</v>
      </c>
      <c r="V3515" t="s">
        <v>157</v>
      </c>
    </row>
    <row r="3516" spans="19:22" x14ac:dyDescent="0.45">
      <c r="S3516" t="s">
        <v>626</v>
      </c>
      <c r="T3516" t="s">
        <v>167</v>
      </c>
      <c r="U3516">
        <v>4.3998473597061438E-2</v>
      </c>
      <c r="V3516" t="s">
        <v>157</v>
      </c>
    </row>
    <row r="3517" spans="19:22" x14ac:dyDescent="0.45">
      <c r="S3517" t="s">
        <v>626</v>
      </c>
      <c r="T3517" t="s">
        <v>168</v>
      </c>
      <c r="U3517">
        <v>7.803107828133056E-2</v>
      </c>
      <c r="V3517" t="s">
        <v>157</v>
      </c>
    </row>
    <row r="3518" spans="19:22" x14ac:dyDescent="0.45">
      <c r="S3518" t="s">
        <v>626</v>
      </c>
      <c r="T3518" t="s">
        <v>169</v>
      </c>
      <c r="U3518">
        <v>7.6104910739651626E-3</v>
      </c>
      <c r="V3518" t="s">
        <v>157</v>
      </c>
    </row>
    <row r="3519" spans="19:22" x14ac:dyDescent="0.45">
      <c r="S3519" t="s">
        <v>626</v>
      </c>
      <c r="T3519" t="s">
        <v>170</v>
      </c>
      <c r="U3519">
        <v>7.1465541596193163E-3</v>
      </c>
      <c r="V3519" t="s">
        <v>157</v>
      </c>
    </row>
    <row r="3520" spans="19:22" x14ac:dyDescent="0.45">
      <c r="S3520" t="s">
        <v>626</v>
      </c>
      <c r="T3520" t="s">
        <v>171</v>
      </c>
      <c r="U3520">
        <v>3.3539785452357168E-2</v>
      </c>
      <c r="V3520" t="s">
        <v>157</v>
      </c>
    </row>
    <row r="3521" spans="19:22" x14ac:dyDescent="0.45">
      <c r="S3521" t="s">
        <v>627</v>
      </c>
      <c r="T3521" t="s">
        <v>156</v>
      </c>
      <c r="U3521">
        <v>0.1243067590099621</v>
      </c>
      <c r="V3521" t="s">
        <v>157</v>
      </c>
    </row>
    <row r="3522" spans="19:22" x14ac:dyDescent="0.45">
      <c r="S3522" t="s">
        <v>627</v>
      </c>
      <c r="T3522" t="s">
        <v>158</v>
      </c>
      <c r="U3522">
        <v>0.18293126064661402</v>
      </c>
      <c r="V3522" t="s">
        <v>157</v>
      </c>
    </row>
    <row r="3523" spans="19:22" x14ac:dyDescent="0.45">
      <c r="S3523" t="s">
        <v>627</v>
      </c>
      <c r="T3523" t="s">
        <v>159</v>
      </c>
      <c r="U3523">
        <v>2.0415331010448946E-2</v>
      </c>
      <c r="V3523" t="s">
        <v>157</v>
      </c>
    </row>
    <row r="3524" spans="19:22" x14ac:dyDescent="0.45">
      <c r="S3524" t="s">
        <v>627</v>
      </c>
      <c r="T3524" t="s">
        <v>160</v>
      </c>
      <c r="U3524">
        <v>2.0225772692810024E-2</v>
      </c>
      <c r="V3524" t="s">
        <v>157</v>
      </c>
    </row>
    <row r="3525" spans="19:22" x14ac:dyDescent="0.45">
      <c r="S3525" t="s">
        <v>627</v>
      </c>
      <c r="T3525" t="s">
        <v>161</v>
      </c>
      <c r="U3525">
        <v>9.1372765783715504E-2</v>
      </c>
      <c r="V3525" t="s">
        <v>157</v>
      </c>
    </row>
    <row r="3526" spans="19:22" x14ac:dyDescent="0.45">
      <c r="S3526" t="s">
        <v>627</v>
      </c>
      <c r="T3526" t="s">
        <v>162</v>
      </c>
      <c r="U3526">
        <v>0.1073256966625437</v>
      </c>
      <c r="V3526" t="s">
        <v>157</v>
      </c>
    </row>
    <row r="3527" spans="19:22" x14ac:dyDescent="0.45">
      <c r="S3527" t="s">
        <v>627</v>
      </c>
      <c r="T3527" t="s">
        <v>163</v>
      </c>
      <c r="U3527">
        <v>0.16551236433203964</v>
      </c>
      <c r="V3527" t="s">
        <v>157</v>
      </c>
    </row>
    <row r="3528" spans="19:22" x14ac:dyDescent="0.45">
      <c r="S3528" t="s">
        <v>627</v>
      </c>
      <c r="T3528" t="s">
        <v>164</v>
      </c>
      <c r="U3528">
        <v>1.7719164751178035E-2</v>
      </c>
      <c r="V3528" t="s">
        <v>157</v>
      </c>
    </row>
    <row r="3529" spans="19:22" x14ac:dyDescent="0.45">
      <c r="S3529" t="s">
        <v>627</v>
      </c>
      <c r="T3529" t="s">
        <v>165</v>
      </c>
      <c r="U3529">
        <v>1.7603737403223806E-2</v>
      </c>
      <c r="V3529" t="s">
        <v>157</v>
      </c>
    </row>
    <row r="3530" spans="19:22" x14ac:dyDescent="0.45">
      <c r="S3530" t="s">
        <v>627</v>
      </c>
      <c r="T3530" t="s">
        <v>166</v>
      </c>
      <c r="U3530">
        <v>8.4368867344060988E-2</v>
      </c>
      <c r="V3530" t="s">
        <v>157</v>
      </c>
    </row>
    <row r="3531" spans="19:22" x14ac:dyDescent="0.45">
      <c r="S3531" t="s">
        <v>627</v>
      </c>
      <c r="T3531" t="s">
        <v>167</v>
      </c>
      <c r="U3531">
        <v>4.3223423136184824E-2</v>
      </c>
      <c r="V3531" t="s">
        <v>157</v>
      </c>
    </row>
    <row r="3532" spans="19:22" x14ac:dyDescent="0.45">
      <c r="S3532" t="s">
        <v>627</v>
      </c>
      <c r="T3532" t="s">
        <v>168</v>
      </c>
      <c r="U3532">
        <v>7.393610053693972E-2</v>
      </c>
      <c r="V3532" t="s">
        <v>157</v>
      </c>
    </row>
    <row r="3533" spans="19:22" x14ac:dyDescent="0.45">
      <c r="S3533" t="s">
        <v>627</v>
      </c>
      <c r="T3533" t="s">
        <v>169</v>
      </c>
      <c r="U3533">
        <v>7.8812973002456536E-3</v>
      </c>
      <c r="V3533" t="s">
        <v>157</v>
      </c>
    </row>
    <row r="3534" spans="19:22" x14ac:dyDescent="0.45">
      <c r="S3534" t="s">
        <v>627</v>
      </c>
      <c r="T3534" t="s">
        <v>170</v>
      </c>
      <c r="U3534">
        <v>7.7398231971214371E-3</v>
      </c>
      <c r="V3534" t="s">
        <v>157</v>
      </c>
    </row>
    <row r="3535" spans="19:22" x14ac:dyDescent="0.45">
      <c r="S3535" t="s">
        <v>627</v>
      </c>
      <c r="T3535" t="s">
        <v>171</v>
      </c>
      <c r="U3535">
        <v>3.5437636192911626E-2</v>
      </c>
      <c r="V3535" t="s">
        <v>157</v>
      </c>
    </row>
    <row r="3536" spans="19:22" x14ac:dyDescent="0.45">
      <c r="S3536" t="s">
        <v>628</v>
      </c>
      <c r="T3536" t="s">
        <v>156</v>
      </c>
      <c r="U3536">
        <v>0.12490545591824817</v>
      </c>
      <c r="V3536" t="s">
        <v>157</v>
      </c>
    </row>
    <row r="3537" spans="19:22" x14ac:dyDescent="0.45">
      <c r="S3537" t="s">
        <v>628</v>
      </c>
      <c r="T3537" t="s">
        <v>158</v>
      </c>
      <c r="U3537">
        <v>0.17696991789692157</v>
      </c>
      <c r="V3537" t="s">
        <v>157</v>
      </c>
    </row>
    <row r="3538" spans="19:22" x14ac:dyDescent="0.45">
      <c r="S3538" t="s">
        <v>628</v>
      </c>
      <c r="T3538" t="s">
        <v>159</v>
      </c>
      <c r="U3538">
        <v>1.9553179344285115E-2</v>
      </c>
      <c r="V3538" t="s">
        <v>157</v>
      </c>
    </row>
    <row r="3539" spans="19:22" x14ac:dyDescent="0.45">
      <c r="S3539" t="s">
        <v>628</v>
      </c>
      <c r="T3539" t="s">
        <v>160</v>
      </c>
      <c r="U3539">
        <v>1.963076621686153E-2</v>
      </c>
      <c r="V3539" t="s">
        <v>157</v>
      </c>
    </row>
    <row r="3540" spans="19:22" x14ac:dyDescent="0.45">
      <c r="S3540" t="s">
        <v>628</v>
      </c>
      <c r="T3540" t="s">
        <v>161</v>
      </c>
      <c r="U3540">
        <v>9.1895113213175311E-2</v>
      </c>
      <c r="V3540" t="s">
        <v>157</v>
      </c>
    </row>
    <row r="3541" spans="19:22" x14ac:dyDescent="0.45">
      <c r="S3541" t="s">
        <v>628</v>
      </c>
      <c r="T3541" t="s">
        <v>162</v>
      </c>
      <c r="U3541">
        <v>0.11156096533245757</v>
      </c>
      <c r="V3541" t="s">
        <v>157</v>
      </c>
    </row>
    <row r="3542" spans="19:22" x14ac:dyDescent="0.45">
      <c r="S3542" t="s">
        <v>628</v>
      </c>
      <c r="T3542" t="s">
        <v>163</v>
      </c>
      <c r="U3542">
        <v>0.16555929706426786</v>
      </c>
      <c r="V3542" t="s">
        <v>157</v>
      </c>
    </row>
    <row r="3543" spans="19:22" x14ac:dyDescent="0.45">
      <c r="S3543" t="s">
        <v>628</v>
      </c>
      <c r="T3543" t="s">
        <v>164</v>
      </c>
      <c r="U3543">
        <v>1.7883319901977907E-2</v>
      </c>
      <c r="V3543" t="s">
        <v>157</v>
      </c>
    </row>
    <row r="3544" spans="19:22" x14ac:dyDescent="0.45">
      <c r="S3544" t="s">
        <v>628</v>
      </c>
      <c r="T3544" t="s">
        <v>165</v>
      </c>
      <c r="U3544">
        <v>1.8015385170162459E-2</v>
      </c>
      <c r="V3544" t="s">
        <v>157</v>
      </c>
    </row>
    <row r="3545" spans="19:22" x14ac:dyDescent="0.45">
      <c r="S3545" t="s">
        <v>628</v>
      </c>
      <c r="T3545" t="s">
        <v>166</v>
      </c>
      <c r="U3545">
        <v>8.7521600799681326E-2</v>
      </c>
      <c r="V3545" t="s">
        <v>157</v>
      </c>
    </row>
    <row r="3546" spans="19:22" x14ac:dyDescent="0.45">
      <c r="S3546" t="s">
        <v>628</v>
      </c>
      <c r="T3546" t="s">
        <v>167</v>
      </c>
      <c r="U3546">
        <v>4.401377252140546E-2</v>
      </c>
      <c r="V3546" t="s">
        <v>157</v>
      </c>
    </row>
    <row r="3547" spans="19:22" x14ac:dyDescent="0.45">
      <c r="S3547" t="s">
        <v>628</v>
      </c>
      <c r="T3547" t="s">
        <v>168</v>
      </c>
      <c r="U3547">
        <v>6.9198033376607501E-2</v>
      </c>
      <c r="V3547" t="s">
        <v>157</v>
      </c>
    </row>
    <row r="3548" spans="19:22" x14ac:dyDescent="0.45">
      <c r="S3548" t="s">
        <v>628</v>
      </c>
      <c r="T3548" t="s">
        <v>169</v>
      </c>
      <c r="U3548">
        <v>7.9963165518281889E-3</v>
      </c>
      <c r="V3548" t="s">
        <v>157</v>
      </c>
    </row>
    <row r="3549" spans="19:22" x14ac:dyDescent="0.45">
      <c r="S3549" t="s">
        <v>628</v>
      </c>
      <c r="T3549" t="s">
        <v>170</v>
      </c>
      <c r="U3549">
        <v>8.0101853554117221E-3</v>
      </c>
      <c r="V3549" t="s">
        <v>157</v>
      </c>
    </row>
    <row r="3550" spans="19:22" x14ac:dyDescent="0.45">
      <c r="S3550" t="s">
        <v>628</v>
      </c>
      <c r="T3550" t="s">
        <v>171</v>
      </c>
      <c r="U3550">
        <v>3.7286691336708366E-2</v>
      </c>
      <c r="V3550" t="s">
        <v>157</v>
      </c>
    </row>
    <row r="3551" spans="19:22" x14ac:dyDescent="0.45">
      <c r="S3551" t="s">
        <v>629</v>
      </c>
      <c r="T3551" t="s">
        <v>156</v>
      </c>
      <c r="U3551">
        <v>0.12467413114561791</v>
      </c>
      <c r="V3551" t="s">
        <v>157</v>
      </c>
    </row>
    <row r="3552" spans="19:22" x14ac:dyDescent="0.45">
      <c r="S3552" t="s">
        <v>629</v>
      </c>
      <c r="T3552" t="s">
        <v>158</v>
      </c>
      <c r="U3552">
        <v>0.17643613190524521</v>
      </c>
      <c r="V3552" t="s">
        <v>157</v>
      </c>
    </row>
    <row r="3553" spans="19:22" x14ac:dyDescent="0.45">
      <c r="S3553" t="s">
        <v>629</v>
      </c>
      <c r="T3553" t="s">
        <v>159</v>
      </c>
      <c r="U3553">
        <v>1.9123401513539928E-2</v>
      </c>
      <c r="V3553" t="s">
        <v>157</v>
      </c>
    </row>
    <row r="3554" spans="19:22" x14ac:dyDescent="0.45">
      <c r="S3554" t="s">
        <v>629</v>
      </c>
      <c r="T3554" t="s">
        <v>160</v>
      </c>
      <c r="U3554">
        <v>1.911100015438209E-2</v>
      </c>
      <c r="V3554" t="s">
        <v>157</v>
      </c>
    </row>
    <row r="3555" spans="19:22" x14ac:dyDescent="0.45">
      <c r="S3555" t="s">
        <v>629</v>
      </c>
      <c r="T3555" t="s">
        <v>161</v>
      </c>
      <c r="U3555">
        <v>9.1804336448504095E-2</v>
      </c>
      <c r="V3555" t="s">
        <v>157</v>
      </c>
    </row>
    <row r="3556" spans="19:22" x14ac:dyDescent="0.45">
      <c r="S3556" t="s">
        <v>629</v>
      </c>
      <c r="T3556" t="s">
        <v>162</v>
      </c>
      <c r="U3556">
        <v>0.11370419740494984</v>
      </c>
      <c r="V3556" t="s">
        <v>157</v>
      </c>
    </row>
    <row r="3557" spans="19:22" x14ac:dyDescent="0.45">
      <c r="S3557" t="s">
        <v>629</v>
      </c>
      <c r="T3557" t="s">
        <v>163</v>
      </c>
      <c r="U3557">
        <v>0.16690924563740514</v>
      </c>
      <c r="V3557" t="s">
        <v>157</v>
      </c>
    </row>
    <row r="3558" spans="19:22" x14ac:dyDescent="0.45">
      <c r="S3558" t="s">
        <v>629</v>
      </c>
      <c r="T3558" t="s">
        <v>164</v>
      </c>
      <c r="U3558">
        <v>1.8188374716667323E-2</v>
      </c>
      <c r="V3558" t="s">
        <v>157</v>
      </c>
    </row>
    <row r="3559" spans="19:22" x14ac:dyDescent="0.45">
      <c r="S3559" t="s">
        <v>629</v>
      </c>
      <c r="T3559" t="s">
        <v>165</v>
      </c>
      <c r="U3559">
        <v>1.8217301218632697E-2</v>
      </c>
      <c r="V3559" t="s">
        <v>157</v>
      </c>
    </row>
    <row r="3560" spans="19:22" x14ac:dyDescent="0.45">
      <c r="S3560" t="s">
        <v>629</v>
      </c>
      <c r="T3560" t="s">
        <v>166</v>
      </c>
      <c r="U3560">
        <v>8.8652906068523218E-2</v>
      </c>
      <c r="V3560" t="s">
        <v>157</v>
      </c>
    </row>
    <row r="3561" spans="19:22" x14ac:dyDescent="0.45">
      <c r="S3561" t="s">
        <v>629</v>
      </c>
      <c r="T3561" t="s">
        <v>167</v>
      </c>
      <c r="U3561">
        <v>4.3798422835144089E-2</v>
      </c>
      <c r="V3561" t="s">
        <v>157</v>
      </c>
    </row>
    <row r="3562" spans="19:22" x14ac:dyDescent="0.45">
      <c r="S3562" t="s">
        <v>629</v>
      </c>
      <c r="T3562" t="s">
        <v>168</v>
      </c>
      <c r="U3562">
        <v>6.7286831586405152E-2</v>
      </c>
      <c r="V3562" t="s">
        <v>157</v>
      </c>
    </row>
    <row r="3563" spans="19:22" x14ac:dyDescent="0.45">
      <c r="S3563" t="s">
        <v>629</v>
      </c>
      <c r="T3563" t="s">
        <v>169</v>
      </c>
      <c r="U3563">
        <v>7.7274160707745806E-3</v>
      </c>
      <c r="V3563" t="s">
        <v>157</v>
      </c>
    </row>
    <row r="3564" spans="19:22" x14ac:dyDescent="0.45">
      <c r="S3564" t="s">
        <v>629</v>
      </c>
      <c r="T3564" t="s">
        <v>170</v>
      </c>
      <c r="U3564">
        <v>7.7763130187962649E-3</v>
      </c>
      <c r="V3564" t="s">
        <v>157</v>
      </c>
    </row>
    <row r="3565" spans="19:22" x14ac:dyDescent="0.45">
      <c r="S3565" t="s">
        <v>629</v>
      </c>
      <c r="T3565" t="s">
        <v>171</v>
      </c>
      <c r="U3565">
        <v>3.658999027541248E-2</v>
      </c>
      <c r="V3565" t="s">
        <v>157</v>
      </c>
    </row>
    <row r="3566" spans="19:22" x14ac:dyDescent="0.45">
      <c r="S3566" t="s">
        <v>630</v>
      </c>
      <c r="T3566" t="s">
        <v>156</v>
      </c>
      <c r="U3566">
        <v>0.12137695743913286</v>
      </c>
      <c r="V3566" t="s">
        <v>157</v>
      </c>
    </row>
    <row r="3567" spans="19:22" x14ac:dyDescent="0.45">
      <c r="S3567" t="s">
        <v>630</v>
      </c>
      <c r="T3567" t="s">
        <v>158</v>
      </c>
      <c r="U3567">
        <v>0.18241307567990941</v>
      </c>
      <c r="V3567" t="s">
        <v>157</v>
      </c>
    </row>
    <row r="3568" spans="19:22" x14ac:dyDescent="0.45">
      <c r="S3568" t="s">
        <v>630</v>
      </c>
      <c r="T3568" t="s">
        <v>159</v>
      </c>
      <c r="U3568">
        <v>1.9120169148477029E-2</v>
      </c>
      <c r="V3568" t="s">
        <v>157</v>
      </c>
    </row>
    <row r="3569" spans="19:22" x14ac:dyDescent="0.45">
      <c r="S3569" t="s">
        <v>630</v>
      </c>
      <c r="T3569" t="s">
        <v>160</v>
      </c>
      <c r="U3569">
        <v>1.8554477150225242E-2</v>
      </c>
      <c r="V3569" t="s">
        <v>157</v>
      </c>
    </row>
    <row r="3570" spans="19:22" x14ac:dyDescent="0.45">
      <c r="S3570" t="s">
        <v>630</v>
      </c>
      <c r="T3570" t="s">
        <v>161</v>
      </c>
      <c r="U3570">
        <v>8.8924469614750312E-2</v>
      </c>
      <c r="V3570" t="s">
        <v>157</v>
      </c>
    </row>
    <row r="3571" spans="19:22" x14ac:dyDescent="0.45">
      <c r="S3571" t="s">
        <v>630</v>
      </c>
      <c r="T3571" t="s">
        <v>162</v>
      </c>
      <c r="U3571">
        <v>0.11346047625419703</v>
      </c>
      <c r="V3571" t="s">
        <v>157</v>
      </c>
    </row>
    <row r="3572" spans="19:22" x14ac:dyDescent="0.45">
      <c r="S3572" t="s">
        <v>630</v>
      </c>
      <c r="T3572" t="s">
        <v>163</v>
      </c>
      <c r="U3572">
        <v>0.17310036053790362</v>
      </c>
      <c r="V3572" t="s">
        <v>157</v>
      </c>
    </row>
    <row r="3573" spans="19:22" x14ac:dyDescent="0.45">
      <c r="S3573" t="s">
        <v>630</v>
      </c>
      <c r="T3573" t="s">
        <v>164</v>
      </c>
      <c r="U3573">
        <v>1.8685861857105475E-2</v>
      </c>
      <c r="V3573" t="s">
        <v>157</v>
      </c>
    </row>
    <row r="3574" spans="19:22" x14ac:dyDescent="0.45">
      <c r="S3574" t="s">
        <v>630</v>
      </c>
      <c r="T3574" t="s">
        <v>165</v>
      </c>
      <c r="U3574">
        <v>1.857505736435603E-2</v>
      </c>
      <c r="V3574" t="s">
        <v>157</v>
      </c>
    </row>
    <row r="3575" spans="19:22" x14ac:dyDescent="0.45">
      <c r="S3575" t="s">
        <v>630</v>
      </c>
      <c r="T3575" t="s">
        <v>166</v>
      </c>
      <c r="U3575">
        <v>9.0098622365003392E-2</v>
      </c>
      <c r="V3575" t="s">
        <v>157</v>
      </c>
    </row>
    <row r="3576" spans="19:22" x14ac:dyDescent="0.45">
      <c r="S3576" t="s">
        <v>630</v>
      </c>
      <c r="T3576" t="s">
        <v>167</v>
      </c>
      <c r="U3576">
        <v>4.1102887282307494E-2</v>
      </c>
      <c r="V3576" t="s">
        <v>157</v>
      </c>
    </row>
    <row r="3577" spans="19:22" x14ac:dyDescent="0.45">
      <c r="S3577" t="s">
        <v>630</v>
      </c>
      <c r="T3577" t="s">
        <v>168</v>
      </c>
      <c r="U3577">
        <v>6.6498617605671079E-2</v>
      </c>
      <c r="V3577" t="s">
        <v>157</v>
      </c>
    </row>
    <row r="3578" spans="19:22" x14ac:dyDescent="0.45">
      <c r="S3578" t="s">
        <v>630</v>
      </c>
      <c r="T3578" t="s">
        <v>169</v>
      </c>
      <c r="U3578">
        <v>7.107220712729183E-3</v>
      </c>
      <c r="V3578" t="s">
        <v>157</v>
      </c>
    </row>
    <row r="3579" spans="19:22" x14ac:dyDescent="0.45">
      <c r="S3579" t="s">
        <v>630</v>
      </c>
      <c r="T3579" t="s">
        <v>170</v>
      </c>
      <c r="U3579">
        <v>7.1118156041930962E-3</v>
      </c>
      <c r="V3579" t="s">
        <v>157</v>
      </c>
    </row>
    <row r="3580" spans="19:22" x14ac:dyDescent="0.45">
      <c r="S3580" t="s">
        <v>630</v>
      </c>
      <c r="T3580" t="s">
        <v>171</v>
      </c>
      <c r="U3580">
        <v>3.3869931384038737E-2</v>
      </c>
      <c r="V3580" t="s">
        <v>157</v>
      </c>
    </row>
    <row r="3581" spans="19:22" x14ac:dyDescent="0.45">
      <c r="S3581" t="s">
        <v>631</v>
      </c>
      <c r="T3581" t="s">
        <v>156</v>
      </c>
      <c r="U3581">
        <v>0.11868220091813304</v>
      </c>
      <c r="V3581" t="s">
        <v>157</v>
      </c>
    </row>
    <row r="3582" spans="19:22" x14ac:dyDescent="0.45">
      <c r="S3582" t="s">
        <v>631</v>
      </c>
      <c r="T3582" t="s">
        <v>158</v>
      </c>
      <c r="U3582">
        <v>0.19044705206593751</v>
      </c>
      <c r="V3582" t="s">
        <v>157</v>
      </c>
    </row>
    <row r="3583" spans="19:22" x14ac:dyDescent="0.45">
      <c r="S3583" t="s">
        <v>631</v>
      </c>
      <c r="T3583" t="s">
        <v>159</v>
      </c>
      <c r="U3583">
        <v>1.9456398763242174E-2</v>
      </c>
      <c r="V3583" t="s">
        <v>157</v>
      </c>
    </row>
    <row r="3584" spans="19:22" x14ac:dyDescent="0.45">
      <c r="S3584" t="s">
        <v>631</v>
      </c>
      <c r="T3584" t="s">
        <v>160</v>
      </c>
      <c r="U3584">
        <v>1.8387452594908635E-2</v>
      </c>
      <c r="V3584" t="s">
        <v>157</v>
      </c>
    </row>
    <row r="3585" spans="19:22" x14ac:dyDescent="0.45">
      <c r="S3585" t="s">
        <v>631</v>
      </c>
      <c r="T3585" t="s">
        <v>161</v>
      </c>
      <c r="U3585">
        <v>8.6346531264263032E-2</v>
      </c>
      <c r="V3585" t="s">
        <v>157</v>
      </c>
    </row>
    <row r="3586" spans="19:22" x14ac:dyDescent="0.45">
      <c r="S3586" t="s">
        <v>631</v>
      </c>
      <c r="T3586" t="s">
        <v>162</v>
      </c>
      <c r="U3586">
        <v>0.11472711904388466</v>
      </c>
      <c r="V3586" t="s">
        <v>157</v>
      </c>
    </row>
    <row r="3587" spans="19:22" x14ac:dyDescent="0.45">
      <c r="S3587" t="s">
        <v>631</v>
      </c>
      <c r="T3587" t="s">
        <v>163</v>
      </c>
      <c r="U3587">
        <v>0.18076427985409238</v>
      </c>
      <c r="V3587" t="s">
        <v>157</v>
      </c>
    </row>
    <row r="3588" spans="19:22" x14ac:dyDescent="0.45">
      <c r="S3588" t="s">
        <v>631</v>
      </c>
      <c r="T3588" t="s">
        <v>164</v>
      </c>
      <c r="U3588">
        <v>1.870034503834609E-2</v>
      </c>
      <c r="V3588" t="s">
        <v>157</v>
      </c>
    </row>
    <row r="3589" spans="19:22" x14ac:dyDescent="0.45">
      <c r="S3589" t="s">
        <v>631</v>
      </c>
      <c r="T3589" t="s">
        <v>165</v>
      </c>
      <c r="U3589">
        <v>1.8749634226715689E-2</v>
      </c>
      <c r="V3589" t="s">
        <v>157</v>
      </c>
    </row>
    <row r="3590" spans="19:22" x14ac:dyDescent="0.45">
      <c r="S3590" t="s">
        <v>631</v>
      </c>
      <c r="T3590" t="s">
        <v>166</v>
      </c>
      <c r="U3590">
        <v>9.2762515548551375E-2</v>
      </c>
      <c r="V3590" t="s">
        <v>157</v>
      </c>
    </row>
    <row r="3591" spans="19:22" x14ac:dyDescent="0.45">
      <c r="S3591" t="s">
        <v>631</v>
      </c>
      <c r="T3591" t="s">
        <v>167</v>
      </c>
      <c r="U3591">
        <v>3.6959448008432962E-2</v>
      </c>
      <c r="V3591" t="s">
        <v>157</v>
      </c>
    </row>
    <row r="3592" spans="19:22" x14ac:dyDescent="0.45">
      <c r="S3592" t="s">
        <v>631</v>
      </c>
      <c r="T3592" t="s">
        <v>168</v>
      </c>
      <c r="U3592">
        <v>6.2307152449474323E-2</v>
      </c>
      <c r="V3592" t="s">
        <v>157</v>
      </c>
    </row>
    <row r="3593" spans="19:22" x14ac:dyDescent="0.45">
      <c r="S3593" t="s">
        <v>631</v>
      </c>
      <c r="T3593" t="s">
        <v>169</v>
      </c>
      <c r="U3593">
        <v>6.144500752728245E-3</v>
      </c>
      <c r="V3593" t="s">
        <v>157</v>
      </c>
    </row>
    <row r="3594" spans="19:22" x14ac:dyDescent="0.45">
      <c r="S3594" t="s">
        <v>631</v>
      </c>
      <c r="T3594" t="s">
        <v>170</v>
      </c>
      <c r="U3594">
        <v>6.0409689919931099E-3</v>
      </c>
      <c r="V3594" t="s">
        <v>157</v>
      </c>
    </row>
    <row r="3595" spans="19:22" x14ac:dyDescent="0.45">
      <c r="S3595" t="s">
        <v>631</v>
      </c>
      <c r="T3595" t="s">
        <v>171</v>
      </c>
      <c r="U3595">
        <v>2.952440047929673E-2</v>
      </c>
      <c r="V3595" t="s">
        <v>157</v>
      </c>
    </row>
    <row r="3596" spans="19:22" x14ac:dyDescent="0.45">
      <c r="S3596" t="s">
        <v>632</v>
      </c>
      <c r="T3596" t="s">
        <v>156</v>
      </c>
      <c r="U3596">
        <v>0.12753200340627541</v>
      </c>
      <c r="V3596" t="s">
        <v>157</v>
      </c>
    </row>
    <row r="3597" spans="19:22" x14ac:dyDescent="0.45">
      <c r="S3597" t="s">
        <v>632</v>
      </c>
      <c r="T3597" t="s">
        <v>158</v>
      </c>
      <c r="U3597">
        <v>0.18470028410451017</v>
      </c>
      <c r="V3597" t="s">
        <v>157</v>
      </c>
    </row>
    <row r="3598" spans="19:22" x14ac:dyDescent="0.45">
      <c r="S3598" t="s">
        <v>632</v>
      </c>
      <c r="T3598" t="s">
        <v>159</v>
      </c>
      <c r="U3598">
        <v>2.0050185264570516E-2</v>
      </c>
      <c r="V3598" t="s">
        <v>157</v>
      </c>
    </row>
    <row r="3599" spans="19:22" x14ac:dyDescent="0.45">
      <c r="S3599" t="s">
        <v>632</v>
      </c>
      <c r="T3599" t="s">
        <v>160</v>
      </c>
      <c r="U3599">
        <v>1.9922004403245357E-2</v>
      </c>
      <c r="V3599" t="s">
        <v>157</v>
      </c>
    </row>
    <row r="3600" spans="19:22" x14ac:dyDescent="0.45">
      <c r="S3600" t="s">
        <v>632</v>
      </c>
      <c r="T3600" t="s">
        <v>161</v>
      </c>
      <c r="U3600">
        <v>9.4257443540579147E-2</v>
      </c>
      <c r="V3600" t="s">
        <v>157</v>
      </c>
    </row>
    <row r="3601" spans="19:22" x14ac:dyDescent="0.45">
      <c r="S3601" t="s">
        <v>632</v>
      </c>
      <c r="T3601" t="s">
        <v>162</v>
      </c>
      <c r="U3601">
        <v>0.12039808827901416</v>
      </c>
      <c r="V3601" t="s">
        <v>157</v>
      </c>
    </row>
    <row r="3602" spans="19:22" x14ac:dyDescent="0.45">
      <c r="S3602" t="s">
        <v>632</v>
      </c>
      <c r="T3602" t="s">
        <v>163</v>
      </c>
      <c r="U3602">
        <v>0.17228068655076947</v>
      </c>
      <c r="V3602" t="s">
        <v>157</v>
      </c>
    </row>
    <row r="3603" spans="19:22" x14ac:dyDescent="0.45">
      <c r="S3603" t="s">
        <v>632</v>
      </c>
      <c r="T3603" t="s">
        <v>164</v>
      </c>
      <c r="U3603">
        <v>1.7547722400888956E-2</v>
      </c>
      <c r="V3603" t="s">
        <v>157</v>
      </c>
    </row>
    <row r="3604" spans="19:22" x14ac:dyDescent="0.45">
      <c r="S3604" t="s">
        <v>632</v>
      </c>
      <c r="T3604" t="s">
        <v>165</v>
      </c>
      <c r="U3604">
        <v>1.790204354538703E-2</v>
      </c>
      <c r="V3604" t="s">
        <v>157</v>
      </c>
    </row>
    <row r="3605" spans="19:22" x14ac:dyDescent="0.45">
      <c r="S3605" t="s">
        <v>632</v>
      </c>
      <c r="T3605" t="s">
        <v>166</v>
      </c>
      <c r="U3605">
        <v>9.2442741373414433E-2</v>
      </c>
      <c r="V3605" t="s">
        <v>157</v>
      </c>
    </row>
    <row r="3606" spans="19:22" x14ac:dyDescent="0.45">
      <c r="S3606" t="s">
        <v>632</v>
      </c>
      <c r="T3606" t="s">
        <v>167</v>
      </c>
      <c r="U3606">
        <v>3.8553653347444712E-2</v>
      </c>
      <c r="V3606" t="s">
        <v>157</v>
      </c>
    </row>
    <row r="3607" spans="19:22" x14ac:dyDescent="0.45">
      <c r="S3607" t="s">
        <v>632</v>
      </c>
      <c r="T3607" t="s">
        <v>168</v>
      </c>
      <c r="U3607">
        <v>5.5115250842022755E-2</v>
      </c>
      <c r="V3607" t="s">
        <v>157</v>
      </c>
    </row>
    <row r="3608" spans="19:22" x14ac:dyDescent="0.45">
      <c r="S3608" t="s">
        <v>632</v>
      </c>
      <c r="T3608" t="s">
        <v>169</v>
      </c>
      <c r="U3608">
        <v>5.8037561216432816E-3</v>
      </c>
      <c r="V3608" t="s">
        <v>157</v>
      </c>
    </row>
    <row r="3609" spans="19:22" x14ac:dyDescent="0.45">
      <c r="S3609" t="s">
        <v>632</v>
      </c>
      <c r="T3609" t="s">
        <v>170</v>
      </c>
      <c r="U3609">
        <v>5.73325628416435E-3</v>
      </c>
      <c r="V3609" t="s">
        <v>157</v>
      </c>
    </row>
    <row r="3610" spans="19:22" x14ac:dyDescent="0.45">
      <c r="S3610" t="s">
        <v>632</v>
      </c>
      <c r="T3610" t="s">
        <v>171</v>
      </c>
      <c r="U3610">
        <v>2.7760880536070221E-2</v>
      </c>
      <c r="V3610" t="s">
        <v>157</v>
      </c>
    </row>
    <row r="3611" spans="19:22" x14ac:dyDescent="0.45">
      <c r="S3611" t="s">
        <v>633</v>
      </c>
      <c r="T3611" t="s">
        <v>156</v>
      </c>
      <c r="U3611">
        <v>0.13161315335008819</v>
      </c>
      <c r="V3611" t="s">
        <v>157</v>
      </c>
    </row>
    <row r="3612" spans="19:22" x14ac:dyDescent="0.45">
      <c r="S3612" t="s">
        <v>633</v>
      </c>
      <c r="T3612" t="s">
        <v>158</v>
      </c>
      <c r="U3612">
        <v>0.18040897223858476</v>
      </c>
      <c r="V3612" t="s">
        <v>157</v>
      </c>
    </row>
    <row r="3613" spans="19:22" x14ac:dyDescent="0.45">
      <c r="S3613" t="s">
        <v>633</v>
      </c>
      <c r="T3613" t="s">
        <v>159</v>
      </c>
      <c r="U3613">
        <v>2.0333725118233309E-2</v>
      </c>
      <c r="V3613" t="s">
        <v>157</v>
      </c>
    </row>
    <row r="3614" spans="19:22" x14ac:dyDescent="0.45">
      <c r="S3614" t="s">
        <v>633</v>
      </c>
      <c r="T3614" t="s">
        <v>160</v>
      </c>
      <c r="U3614">
        <v>2.0464691060345493E-2</v>
      </c>
      <c r="V3614" t="s">
        <v>157</v>
      </c>
    </row>
    <row r="3615" spans="19:22" x14ac:dyDescent="0.45">
      <c r="S3615" t="s">
        <v>633</v>
      </c>
      <c r="T3615" t="s">
        <v>161</v>
      </c>
      <c r="U3615">
        <v>9.6464652096498543E-2</v>
      </c>
      <c r="V3615" t="s">
        <v>157</v>
      </c>
    </row>
    <row r="3616" spans="19:22" x14ac:dyDescent="0.45">
      <c r="S3616" t="s">
        <v>633</v>
      </c>
      <c r="T3616" t="s">
        <v>162</v>
      </c>
      <c r="U3616">
        <v>0.12275324209507414</v>
      </c>
      <c r="V3616" t="s">
        <v>157</v>
      </c>
    </row>
    <row r="3617" spans="19:22" x14ac:dyDescent="0.45">
      <c r="S3617" t="s">
        <v>633</v>
      </c>
      <c r="T3617" t="s">
        <v>163</v>
      </c>
      <c r="U3617">
        <v>0.16452296681630801</v>
      </c>
      <c r="V3617" t="s">
        <v>157</v>
      </c>
    </row>
    <row r="3618" spans="19:22" x14ac:dyDescent="0.45">
      <c r="S3618" t="s">
        <v>633</v>
      </c>
      <c r="T3618" t="s">
        <v>164</v>
      </c>
      <c r="U3618">
        <v>1.6886440593327837E-2</v>
      </c>
      <c r="V3618" t="s">
        <v>157</v>
      </c>
    </row>
    <row r="3619" spans="19:22" x14ac:dyDescent="0.45">
      <c r="S3619" t="s">
        <v>633</v>
      </c>
      <c r="T3619" t="s">
        <v>165</v>
      </c>
      <c r="U3619">
        <v>1.7277988941677362E-2</v>
      </c>
      <c r="V3619" t="s">
        <v>157</v>
      </c>
    </row>
    <row r="3620" spans="19:22" x14ac:dyDescent="0.45">
      <c r="S3620" t="s">
        <v>633</v>
      </c>
      <c r="T3620" t="s">
        <v>166</v>
      </c>
      <c r="U3620">
        <v>9.0665071060049285E-2</v>
      </c>
      <c r="V3620" t="s">
        <v>157</v>
      </c>
    </row>
    <row r="3621" spans="19:22" x14ac:dyDescent="0.45">
      <c r="S3621" t="s">
        <v>633</v>
      </c>
      <c r="T3621" t="s">
        <v>167</v>
      </c>
      <c r="U3621">
        <v>4.1355143406721945E-2</v>
      </c>
      <c r="V3621" t="s">
        <v>157</v>
      </c>
    </row>
    <row r="3622" spans="19:22" x14ac:dyDescent="0.45">
      <c r="S3622" t="s">
        <v>633</v>
      </c>
      <c r="T3622" t="s">
        <v>168</v>
      </c>
      <c r="U3622">
        <v>5.4826544295786296E-2</v>
      </c>
      <c r="V3622" t="s">
        <v>157</v>
      </c>
    </row>
    <row r="3623" spans="19:22" x14ac:dyDescent="0.45">
      <c r="S3623" t="s">
        <v>633</v>
      </c>
      <c r="T3623" t="s">
        <v>169</v>
      </c>
      <c r="U3623">
        <v>6.179481986597922E-3</v>
      </c>
      <c r="V3623" t="s">
        <v>157</v>
      </c>
    </row>
    <row r="3624" spans="19:22" x14ac:dyDescent="0.45">
      <c r="S3624" t="s">
        <v>633</v>
      </c>
      <c r="T3624" t="s">
        <v>170</v>
      </c>
      <c r="U3624">
        <v>6.2907346750731797E-3</v>
      </c>
      <c r="V3624" t="s">
        <v>157</v>
      </c>
    </row>
    <row r="3625" spans="19:22" x14ac:dyDescent="0.45">
      <c r="S3625" t="s">
        <v>633</v>
      </c>
      <c r="T3625" t="s">
        <v>171</v>
      </c>
      <c r="U3625">
        <v>2.9957192265633759E-2</v>
      </c>
      <c r="V3625" t="s">
        <v>157</v>
      </c>
    </row>
    <row r="3626" spans="19:22" x14ac:dyDescent="0.45">
      <c r="S3626" t="s">
        <v>634</v>
      </c>
      <c r="T3626" t="s">
        <v>156</v>
      </c>
      <c r="U3626">
        <v>0.13667300857872716</v>
      </c>
      <c r="V3626" t="s">
        <v>157</v>
      </c>
    </row>
    <row r="3627" spans="19:22" x14ac:dyDescent="0.45">
      <c r="S3627" t="s">
        <v>634</v>
      </c>
      <c r="T3627" t="s">
        <v>158</v>
      </c>
      <c r="U3627">
        <v>0.17983852199750938</v>
      </c>
      <c r="V3627" t="s">
        <v>157</v>
      </c>
    </row>
    <row r="3628" spans="19:22" x14ac:dyDescent="0.45">
      <c r="S3628" t="s">
        <v>634</v>
      </c>
      <c r="T3628" t="s">
        <v>159</v>
      </c>
      <c r="U3628">
        <v>2.0069216986280256E-2</v>
      </c>
      <c r="V3628" t="s">
        <v>157</v>
      </c>
    </row>
    <row r="3629" spans="19:22" x14ac:dyDescent="0.45">
      <c r="S3629" t="s">
        <v>634</v>
      </c>
      <c r="T3629" t="s">
        <v>160</v>
      </c>
      <c r="U3629">
        <v>2.0241557224154355E-2</v>
      </c>
      <c r="V3629" t="s">
        <v>157</v>
      </c>
    </row>
    <row r="3630" spans="19:22" x14ac:dyDescent="0.45">
      <c r="S3630" t="s">
        <v>634</v>
      </c>
      <c r="T3630" t="s">
        <v>161</v>
      </c>
      <c r="U3630">
        <v>9.7348838555524786E-2</v>
      </c>
      <c r="V3630" t="s">
        <v>157</v>
      </c>
    </row>
    <row r="3631" spans="19:22" x14ac:dyDescent="0.45">
      <c r="S3631" t="s">
        <v>634</v>
      </c>
      <c r="T3631" t="s">
        <v>162</v>
      </c>
      <c r="U3631">
        <v>0.12235035912348946</v>
      </c>
      <c r="V3631" t="s">
        <v>157</v>
      </c>
    </row>
    <row r="3632" spans="19:22" x14ac:dyDescent="0.45">
      <c r="S3632" t="s">
        <v>634</v>
      </c>
      <c r="T3632" t="s">
        <v>163</v>
      </c>
      <c r="U3632">
        <v>0.16330492972773072</v>
      </c>
      <c r="V3632" t="s">
        <v>157</v>
      </c>
    </row>
    <row r="3633" spans="19:22" x14ac:dyDescent="0.45">
      <c r="S3633" t="s">
        <v>634</v>
      </c>
      <c r="T3633" t="s">
        <v>164</v>
      </c>
      <c r="U3633">
        <v>1.6610786144343342E-2</v>
      </c>
      <c r="V3633" t="s">
        <v>157</v>
      </c>
    </row>
    <row r="3634" spans="19:22" x14ac:dyDescent="0.45">
      <c r="S3634" t="s">
        <v>634</v>
      </c>
      <c r="T3634" t="s">
        <v>165</v>
      </c>
      <c r="U3634">
        <v>1.6867196584749094E-2</v>
      </c>
      <c r="V3634" t="s">
        <v>157</v>
      </c>
    </row>
    <row r="3635" spans="19:22" x14ac:dyDescent="0.45">
      <c r="S3635" t="s">
        <v>634</v>
      </c>
      <c r="T3635" t="s">
        <v>166</v>
      </c>
      <c r="U3635">
        <v>8.88745228075523E-2</v>
      </c>
      <c r="V3635" t="s">
        <v>157</v>
      </c>
    </row>
    <row r="3636" spans="19:22" x14ac:dyDescent="0.45">
      <c r="S3636" t="s">
        <v>634</v>
      </c>
      <c r="T3636" t="s">
        <v>167</v>
      </c>
      <c r="U3636">
        <v>4.1339494122967384E-2</v>
      </c>
      <c r="V3636" t="s">
        <v>157</v>
      </c>
    </row>
    <row r="3637" spans="19:22" x14ac:dyDescent="0.45">
      <c r="S3637" t="s">
        <v>634</v>
      </c>
      <c r="T3637" t="s">
        <v>168</v>
      </c>
      <c r="U3637">
        <v>5.2834142172952188E-2</v>
      </c>
      <c r="V3637" t="s">
        <v>157</v>
      </c>
    </row>
    <row r="3638" spans="19:22" x14ac:dyDescent="0.45">
      <c r="S3638" t="s">
        <v>634</v>
      </c>
      <c r="T3638" t="s">
        <v>169</v>
      </c>
      <c r="U3638">
        <v>6.2877376541704182E-3</v>
      </c>
      <c r="V3638" t="s">
        <v>157</v>
      </c>
    </row>
    <row r="3639" spans="19:22" x14ac:dyDescent="0.45">
      <c r="S3639" t="s">
        <v>634</v>
      </c>
      <c r="T3639" t="s">
        <v>170</v>
      </c>
      <c r="U3639">
        <v>6.3796714953991982E-3</v>
      </c>
      <c r="V3639" t="s">
        <v>157</v>
      </c>
    </row>
    <row r="3640" spans="19:22" x14ac:dyDescent="0.45">
      <c r="S3640" t="s">
        <v>634</v>
      </c>
      <c r="T3640" t="s">
        <v>171</v>
      </c>
      <c r="U3640">
        <v>3.0980016824449969E-2</v>
      </c>
      <c r="V3640" t="s">
        <v>157</v>
      </c>
    </row>
    <row r="3641" spans="19:22" x14ac:dyDescent="0.45">
      <c r="S3641" t="s">
        <v>635</v>
      </c>
      <c r="T3641" t="s">
        <v>156</v>
      </c>
      <c r="U3641">
        <v>0.13592439427105835</v>
      </c>
      <c r="V3641" t="s">
        <v>157</v>
      </c>
    </row>
    <row r="3642" spans="19:22" x14ac:dyDescent="0.45">
      <c r="S3642" t="s">
        <v>635</v>
      </c>
      <c r="T3642" t="s">
        <v>158</v>
      </c>
      <c r="U3642">
        <v>0.1801998318970966</v>
      </c>
      <c r="V3642" t="s">
        <v>157</v>
      </c>
    </row>
    <row r="3643" spans="19:22" x14ac:dyDescent="0.45">
      <c r="S3643" t="s">
        <v>635</v>
      </c>
      <c r="T3643" t="s">
        <v>159</v>
      </c>
      <c r="U3643">
        <v>2.0290689678297329E-2</v>
      </c>
      <c r="V3643" t="s">
        <v>157</v>
      </c>
    </row>
    <row r="3644" spans="19:22" x14ac:dyDescent="0.45">
      <c r="S3644" t="s">
        <v>635</v>
      </c>
      <c r="T3644" t="s">
        <v>160</v>
      </c>
      <c r="U3644">
        <v>2.0500645047429589E-2</v>
      </c>
      <c r="V3644" t="s">
        <v>157</v>
      </c>
    </row>
    <row r="3645" spans="19:22" x14ac:dyDescent="0.45">
      <c r="S3645" t="s">
        <v>635</v>
      </c>
      <c r="T3645" t="s">
        <v>161</v>
      </c>
      <c r="U3645">
        <v>9.8399904741088409E-2</v>
      </c>
      <c r="V3645" t="s">
        <v>157</v>
      </c>
    </row>
    <row r="3646" spans="19:22" x14ac:dyDescent="0.45">
      <c r="S3646" t="s">
        <v>635</v>
      </c>
      <c r="T3646" t="s">
        <v>162</v>
      </c>
      <c r="U3646">
        <v>0.12515186017981991</v>
      </c>
      <c r="V3646" t="s">
        <v>157</v>
      </c>
    </row>
    <row r="3647" spans="19:22" x14ac:dyDescent="0.45">
      <c r="S3647" t="s">
        <v>635</v>
      </c>
      <c r="T3647" t="s">
        <v>163</v>
      </c>
      <c r="U3647">
        <v>0.16360981684886586</v>
      </c>
      <c r="V3647" t="s">
        <v>157</v>
      </c>
    </row>
    <row r="3648" spans="19:22" x14ac:dyDescent="0.45">
      <c r="S3648" t="s">
        <v>635</v>
      </c>
      <c r="T3648" t="s">
        <v>164</v>
      </c>
      <c r="U3648">
        <v>1.6638040066452076E-2</v>
      </c>
      <c r="V3648" t="s">
        <v>157</v>
      </c>
    </row>
    <row r="3649" spans="19:22" x14ac:dyDescent="0.45">
      <c r="S3649" t="s">
        <v>635</v>
      </c>
      <c r="T3649" t="s">
        <v>165</v>
      </c>
      <c r="U3649">
        <v>1.6882502006258241E-2</v>
      </c>
      <c r="V3649" t="s">
        <v>157</v>
      </c>
    </row>
    <row r="3650" spans="19:22" x14ac:dyDescent="0.45">
      <c r="S3650" t="s">
        <v>635</v>
      </c>
      <c r="T3650" t="s">
        <v>166</v>
      </c>
      <c r="U3650">
        <v>8.8552972182810427E-2</v>
      </c>
      <c r="V3650" t="s">
        <v>157</v>
      </c>
    </row>
    <row r="3651" spans="19:22" x14ac:dyDescent="0.45">
      <c r="S3651" t="s">
        <v>635</v>
      </c>
      <c r="T3651" t="s">
        <v>167</v>
      </c>
      <c r="U3651">
        <v>4.0171661770064496E-2</v>
      </c>
      <c r="V3651" t="s">
        <v>157</v>
      </c>
    </row>
    <row r="3652" spans="19:22" x14ac:dyDescent="0.45">
      <c r="S3652" t="s">
        <v>635</v>
      </c>
      <c r="T3652" t="s">
        <v>168</v>
      </c>
      <c r="U3652">
        <v>5.0793042562922379E-2</v>
      </c>
      <c r="V3652" t="s">
        <v>157</v>
      </c>
    </row>
    <row r="3653" spans="19:22" x14ac:dyDescent="0.45">
      <c r="S3653" t="s">
        <v>635</v>
      </c>
      <c r="T3653" t="s">
        <v>169</v>
      </c>
      <c r="U3653">
        <v>5.9562236028107849E-3</v>
      </c>
      <c r="V3653" t="s">
        <v>157</v>
      </c>
    </row>
    <row r="3654" spans="19:22" x14ac:dyDescent="0.45">
      <c r="S3654" t="s">
        <v>635</v>
      </c>
      <c r="T3654" t="s">
        <v>170</v>
      </c>
      <c r="U3654">
        <v>6.009530563926912E-3</v>
      </c>
      <c r="V3654" t="s">
        <v>157</v>
      </c>
    </row>
    <row r="3655" spans="19:22" x14ac:dyDescent="0.45">
      <c r="S3655" t="s">
        <v>635</v>
      </c>
      <c r="T3655" t="s">
        <v>171</v>
      </c>
      <c r="U3655">
        <v>3.0918884581098691E-2</v>
      </c>
      <c r="V3655" t="s">
        <v>157</v>
      </c>
    </row>
    <row r="3656" spans="19:22" x14ac:dyDescent="0.45">
      <c r="S3656" t="s">
        <v>636</v>
      </c>
      <c r="T3656" t="s">
        <v>156</v>
      </c>
      <c r="U3656">
        <v>0.13569275251959462</v>
      </c>
      <c r="V3656" t="s">
        <v>157</v>
      </c>
    </row>
    <row r="3657" spans="19:22" x14ac:dyDescent="0.45">
      <c r="S3657" t="s">
        <v>636</v>
      </c>
      <c r="T3657" t="s">
        <v>158</v>
      </c>
      <c r="U3657">
        <v>0.18142944601551547</v>
      </c>
      <c r="V3657" t="s">
        <v>157</v>
      </c>
    </row>
    <row r="3658" spans="19:22" x14ac:dyDescent="0.45">
      <c r="S3658" t="s">
        <v>636</v>
      </c>
      <c r="T3658" t="s">
        <v>159</v>
      </c>
      <c r="U3658">
        <v>2.0861605360763924E-2</v>
      </c>
      <c r="V3658" t="s">
        <v>157</v>
      </c>
    </row>
    <row r="3659" spans="19:22" x14ac:dyDescent="0.45">
      <c r="S3659" t="s">
        <v>636</v>
      </c>
      <c r="T3659" t="s">
        <v>160</v>
      </c>
      <c r="U3659">
        <v>2.1104830010352443E-2</v>
      </c>
      <c r="V3659" t="s">
        <v>157</v>
      </c>
    </row>
    <row r="3660" spans="19:22" x14ac:dyDescent="0.45">
      <c r="S3660" t="s">
        <v>636</v>
      </c>
      <c r="T3660" t="s">
        <v>161</v>
      </c>
      <c r="U3660">
        <v>0.10103782405548541</v>
      </c>
      <c r="V3660" t="s">
        <v>157</v>
      </c>
    </row>
    <row r="3661" spans="19:22" x14ac:dyDescent="0.45">
      <c r="S3661" t="s">
        <v>636</v>
      </c>
      <c r="T3661" t="s">
        <v>162</v>
      </c>
      <c r="U3661">
        <v>0.12488123085306189</v>
      </c>
      <c r="V3661" t="s">
        <v>157</v>
      </c>
    </row>
    <row r="3662" spans="19:22" x14ac:dyDescent="0.45">
      <c r="S3662" t="s">
        <v>636</v>
      </c>
      <c r="T3662" t="s">
        <v>163</v>
      </c>
      <c r="U3662">
        <v>0.1648596018537356</v>
      </c>
      <c r="V3662" t="s">
        <v>157</v>
      </c>
    </row>
    <row r="3663" spans="19:22" x14ac:dyDescent="0.45">
      <c r="S3663" t="s">
        <v>636</v>
      </c>
      <c r="T3663" t="s">
        <v>164</v>
      </c>
      <c r="U3663">
        <v>1.6738660266173148E-2</v>
      </c>
      <c r="V3663" t="s">
        <v>157</v>
      </c>
    </row>
    <row r="3664" spans="19:22" x14ac:dyDescent="0.45">
      <c r="S3664" t="s">
        <v>636</v>
      </c>
      <c r="T3664" t="s">
        <v>165</v>
      </c>
      <c r="U3664">
        <v>1.7015949568692672E-2</v>
      </c>
      <c r="V3664" t="s">
        <v>157</v>
      </c>
    </row>
    <row r="3665" spans="19:22" x14ac:dyDescent="0.45">
      <c r="S3665" t="s">
        <v>636</v>
      </c>
      <c r="T3665" t="s">
        <v>166</v>
      </c>
      <c r="U3665">
        <v>8.8791252864969347E-2</v>
      </c>
      <c r="V3665" t="s">
        <v>157</v>
      </c>
    </row>
    <row r="3666" spans="19:22" x14ac:dyDescent="0.45">
      <c r="S3666" t="s">
        <v>636</v>
      </c>
      <c r="T3666" t="s">
        <v>167</v>
      </c>
      <c r="U3666">
        <v>3.7762046500323235E-2</v>
      </c>
      <c r="V3666" t="s">
        <v>157</v>
      </c>
    </row>
    <row r="3667" spans="19:22" x14ac:dyDescent="0.45">
      <c r="S3667" t="s">
        <v>636</v>
      </c>
      <c r="T3667" t="s">
        <v>168</v>
      </c>
      <c r="U3667">
        <v>4.94980612844007E-2</v>
      </c>
      <c r="V3667" t="s">
        <v>157</v>
      </c>
    </row>
    <row r="3668" spans="19:22" x14ac:dyDescent="0.45">
      <c r="S3668" t="s">
        <v>636</v>
      </c>
      <c r="T3668" t="s">
        <v>169</v>
      </c>
      <c r="U3668">
        <v>5.7372673046981772E-3</v>
      </c>
      <c r="V3668" t="s">
        <v>157</v>
      </c>
    </row>
    <row r="3669" spans="19:22" x14ac:dyDescent="0.45">
      <c r="S3669" t="s">
        <v>636</v>
      </c>
      <c r="T3669" t="s">
        <v>170</v>
      </c>
      <c r="U3669">
        <v>5.8593459962191534E-3</v>
      </c>
      <c r="V3669" t="s">
        <v>157</v>
      </c>
    </row>
    <row r="3670" spans="19:22" x14ac:dyDescent="0.45">
      <c r="S3670" t="s">
        <v>636</v>
      </c>
      <c r="T3670" t="s">
        <v>171</v>
      </c>
      <c r="U3670">
        <v>2.8730125546014253E-2</v>
      </c>
      <c r="V3670" t="s">
        <v>157</v>
      </c>
    </row>
    <row r="3671" spans="19:22" x14ac:dyDescent="0.45">
      <c r="S3671" t="s">
        <v>637</v>
      </c>
      <c r="T3671" t="s">
        <v>156</v>
      </c>
      <c r="U3671">
        <v>0.13309893164996031</v>
      </c>
      <c r="V3671" t="s">
        <v>157</v>
      </c>
    </row>
    <row r="3672" spans="19:22" x14ac:dyDescent="0.45">
      <c r="S3672" t="s">
        <v>637</v>
      </c>
      <c r="T3672" t="s">
        <v>158</v>
      </c>
      <c r="U3672">
        <v>0.18863749364227453</v>
      </c>
      <c r="V3672" t="s">
        <v>157</v>
      </c>
    </row>
    <row r="3673" spans="19:22" x14ac:dyDescent="0.45">
      <c r="S3673" t="s">
        <v>637</v>
      </c>
      <c r="T3673" t="s">
        <v>159</v>
      </c>
      <c r="U3673">
        <v>2.1572666880728338E-2</v>
      </c>
      <c r="V3673" t="s">
        <v>157</v>
      </c>
    </row>
    <row r="3674" spans="19:22" x14ac:dyDescent="0.45">
      <c r="S3674" t="s">
        <v>637</v>
      </c>
      <c r="T3674" t="s">
        <v>160</v>
      </c>
      <c r="U3674">
        <v>2.162930089989034E-2</v>
      </c>
      <c r="V3674" t="s">
        <v>157</v>
      </c>
    </row>
    <row r="3675" spans="19:22" x14ac:dyDescent="0.45">
      <c r="S3675" t="s">
        <v>637</v>
      </c>
      <c r="T3675" t="s">
        <v>161</v>
      </c>
      <c r="U3675">
        <v>0.10082749232128227</v>
      </c>
      <c r="V3675" t="s">
        <v>157</v>
      </c>
    </row>
    <row r="3676" spans="19:22" x14ac:dyDescent="0.45">
      <c r="S3676" t="s">
        <v>637</v>
      </c>
      <c r="T3676" t="s">
        <v>162</v>
      </c>
      <c r="U3676">
        <v>0.12253252280436322</v>
      </c>
      <c r="V3676" t="s">
        <v>157</v>
      </c>
    </row>
    <row r="3677" spans="19:22" x14ac:dyDescent="0.45">
      <c r="S3677" t="s">
        <v>637</v>
      </c>
      <c r="T3677" t="s">
        <v>163</v>
      </c>
      <c r="U3677">
        <v>0.16904540221329029</v>
      </c>
      <c r="V3677" t="s">
        <v>157</v>
      </c>
    </row>
    <row r="3678" spans="19:22" x14ac:dyDescent="0.45">
      <c r="S3678" t="s">
        <v>637</v>
      </c>
      <c r="T3678" t="s">
        <v>164</v>
      </c>
      <c r="U3678">
        <v>1.6626688589169766E-2</v>
      </c>
      <c r="V3678" t="s">
        <v>157</v>
      </c>
    </row>
    <row r="3679" spans="19:22" x14ac:dyDescent="0.45">
      <c r="S3679" t="s">
        <v>637</v>
      </c>
      <c r="T3679" t="s">
        <v>165</v>
      </c>
      <c r="U3679">
        <v>1.6642751096422739E-2</v>
      </c>
      <c r="V3679" t="s">
        <v>157</v>
      </c>
    </row>
    <row r="3680" spans="19:22" x14ac:dyDescent="0.45">
      <c r="S3680" t="s">
        <v>637</v>
      </c>
      <c r="T3680" t="s">
        <v>166</v>
      </c>
      <c r="U3680">
        <v>8.6042326034091995E-2</v>
      </c>
      <c r="V3680" t="s">
        <v>157</v>
      </c>
    </row>
    <row r="3681" spans="19:22" x14ac:dyDescent="0.45">
      <c r="S3681" t="s">
        <v>637</v>
      </c>
      <c r="T3681" t="s">
        <v>167</v>
      </c>
      <c r="U3681">
        <v>3.4237420830688862E-2</v>
      </c>
      <c r="V3681" t="s">
        <v>157</v>
      </c>
    </row>
    <row r="3682" spans="19:22" x14ac:dyDescent="0.45">
      <c r="S3682" t="s">
        <v>637</v>
      </c>
      <c r="T3682" t="s">
        <v>168</v>
      </c>
      <c r="U3682">
        <v>5.1016589289115462E-2</v>
      </c>
      <c r="V3682" t="s">
        <v>157</v>
      </c>
    </row>
    <row r="3683" spans="19:22" x14ac:dyDescent="0.45">
      <c r="S3683" t="s">
        <v>637</v>
      </c>
      <c r="T3683" t="s">
        <v>169</v>
      </c>
      <c r="U3683">
        <v>5.7718235695453576E-3</v>
      </c>
      <c r="V3683" t="s">
        <v>157</v>
      </c>
    </row>
    <row r="3684" spans="19:22" x14ac:dyDescent="0.45">
      <c r="S3684" t="s">
        <v>637</v>
      </c>
      <c r="T3684" t="s">
        <v>170</v>
      </c>
      <c r="U3684">
        <v>5.7003896994665768E-3</v>
      </c>
      <c r="V3684" t="s">
        <v>157</v>
      </c>
    </row>
    <row r="3685" spans="19:22" x14ac:dyDescent="0.45">
      <c r="S3685" t="s">
        <v>637</v>
      </c>
      <c r="T3685" t="s">
        <v>171</v>
      </c>
      <c r="U3685">
        <v>2.6618200479709978E-2</v>
      </c>
      <c r="V3685" t="s">
        <v>157</v>
      </c>
    </row>
    <row r="3686" spans="19:22" x14ac:dyDescent="0.45">
      <c r="S3686" t="s">
        <v>638</v>
      </c>
      <c r="T3686" t="s">
        <v>156</v>
      </c>
      <c r="U3686">
        <v>0.12644616047905533</v>
      </c>
      <c r="V3686" t="s">
        <v>157</v>
      </c>
    </row>
    <row r="3687" spans="19:22" x14ac:dyDescent="0.45">
      <c r="S3687" t="s">
        <v>638</v>
      </c>
      <c r="T3687" t="s">
        <v>158</v>
      </c>
      <c r="U3687">
        <v>0.20177602332613609</v>
      </c>
      <c r="V3687" t="s">
        <v>157</v>
      </c>
    </row>
    <row r="3688" spans="19:22" x14ac:dyDescent="0.45">
      <c r="S3688" t="s">
        <v>638</v>
      </c>
      <c r="T3688" t="s">
        <v>159</v>
      </c>
      <c r="U3688">
        <v>2.1909425404374162E-2</v>
      </c>
      <c r="V3688" t="s">
        <v>157</v>
      </c>
    </row>
    <row r="3689" spans="19:22" x14ac:dyDescent="0.45">
      <c r="S3689" t="s">
        <v>638</v>
      </c>
      <c r="T3689" t="s">
        <v>160</v>
      </c>
      <c r="U3689">
        <v>2.1437684254681413E-2</v>
      </c>
      <c r="V3689" t="s">
        <v>157</v>
      </c>
    </row>
    <row r="3690" spans="19:22" x14ac:dyDescent="0.45">
      <c r="S3690" t="s">
        <v>638</v>
      </c>
      <c r="T3690" t="s">
        <v>161</v>
      </c>
      <c r="U3690">
        <v>9.6571740425968222E-2</v>
      </c>
      <c r="V3690" t="s">
        <v>157</v>
      </c>
    </row>
    <row r="3691" spans="19:22" x14ac:dyDescent="0.45">
      <c r="S3691" t="s">
        <v>638</v>
      </c>
      <c r="T3691" t="s">
        <v>162</v>
      </c>
      <c r="U3691">
        <v>0.11900425704123353</v>
      </c>
      <c r="V3691" t="s">
        <v>157</v>
      </c>
    </row>
    <row r="3692" spans="19:22" x14ac:dyDescent="0.45">
      <c r="S3692" t="s">
        <v>638</v>
      </c>
      <c r="T3692" t="s">
        <v>163</v>
      </c>
      <c r="U3692">
        <v>0.17822718556118078</v>
      </c>
      <c r="V3692" t="s">
        <v>157</v>
      </c>
    </row>
    <row r="3693" spans="19:22" x14ac:dyDescent="0.45">
      <c r="S3693" t="s">
        <v>638</v>
      </c>
      <c r="T3693" t="s">
        <v>164</v>
      </c>
      <c r="U3693">
        <v>1.6575696392476684E-2</v>
      </c>
      <c r="V3693" t="s">
        <v>157</v>
      </c>
    </row>
    <row r="3694" spans="19:22" x14ac:dyDescent="0.45">
      <c r="S3694" t="s">
        <v>638</v>
      </c>
      <c r="T3694" t="s">
        <v>165</v>
      </c>
      <c r="U3694">
        <v>1.6262078532035502E-2</v>
      </c>
      <c r="V3694" t="s">
        <v>157</v>
      </c>
    </row>
    <row r="3695" spans="19:22" x14ac:dyDescent="0.45">
      <c r="S3695" t="s">
        <v>638</v>
      </c>
      <c r="T3695" t="s">
        <v>166</v>
      </c>
      <c r="U3695">
        <v>8.2523741175339435E-2</v>
      </c>
      <c r="V3695" t="s">
        <v>157</v>
      </c>
    </row>
    <row r="3696" spans="19:22" x14ac:dyDescent="0.45">
      <c r="S3696" t="s">
        <v>638</v>
      </c>
      <c r="T3696" t="s">
        <v>167</v>
      </c>
      <c r="U3696">
        <v>3.0237710094579717E-2</v>
      </c>
      <c r="V3696" t="s">
        <v>157</v>
      </c>
    </row>
    <row r="3697" spans="19:22" x14ac:dyDescent="0.45">
      <c r="S3697" t="s">
        <v>638</v>
      </c>
      <c r="T3697" t="s">
        <v>168</v>
      </c>
      <c r="U3697">
        <v>5.356293093476467E-2</v>
      </c>
      <c r="V3697" t="s">
        <v>157</v>
      </c>
    </row>
    <row r="3698" spans="19:22" x14ac:dyDescent="0.45">
      <c r="S3698" t="s">
        <v>638</v>
      </c>
      <c r="T3698" t="s">
        <v>169</v>
      </c>
      <c r="U3698">
        <v>5.8975647659252365E-3</v>
      </c>
      <c r="V3698" t="s">
        <v>157</v>
      </c>
    </row>
    <row r="3699" spans="19:22" x14ac:dyDescent="0.45">
      <c r="S3699" t="s">
        <v>638</v>
      </c>
      <c r="T3699" t="s">
        <v>170</v>
      </c>
      <c r="U3699">
        <v>5.5349623342099185E-3</v>
      </c>
      <c r="V3699" t="s">
        <v>157</v>
      </c>
    </row>
    <row r="3700" spans="19:22" x14ac:dyDescent="0.45">
      <c r="S3700" t="s">
        <v>638</v>
      </c>
      <c r="T3700" t="s">
        <v>171</v>
      </c>
      <c r="U3700">
        <v>2.4032839278039342E-2</v>
      </c>
      <c r="V3700" t="s">
        <v>157</v>
      </c>
    </row>
    <row r="3701" spans="19:22" x14ac:dyDescent="0.45">
      <c r="S3701" t="s">
        <v>639</v>
      </c>
      <c r="T3701" t="s">
        <v>156</v>
      </c>
      <c r="U3701">
        <v>0.12320582339555756</v>
      </c>
      <c r="V3701" t="s">
        <v>157</v>
      </c>
    </row>
    <row r="3702" spans="19:22" x14ac:dyDescent="0.45">
      <c r="S3702" t="s">
        <v>639</v>
      </c>
      <c r="T3702" t="s">
        <v>158</v>
      </c>
      <c r="U3702">
        <v>0.21334365218591703</v>
      </c>
      <c r="V3702" t="s">
        <v>157</v>
      </c>
    </row>
    <row r="3703" spans="19:22" x14ac:dyDescent="0.45">
      <c r="S3703" t="s">
        <v>639</v>
      </c>
      <c r="T3703" t="s">
        <v>159</v>
      </c>
      <c r="U3703">
        <v>2.1769761331484741E-2</v>
      </c>
      <c r="V3703" t="s">
        <v>157</v>
      </c>
    </row>
    <row r="3704" spans="19:22" x14ac:dyDescent="0.45">
      <c r="S3704" t="s">
        <v>639</v>
      </c>
      <c r="T3704" t="s">
        <v>160</v>
      </c>
      <c r="U3704">
        <v>2.0754650165870209E-2</v>
      </c>
      <c r="V3704" t="s">
        <v>157</v>
      </c>
    </row>
    <row r="3705" spans="19:22" x14ac:dyDescent="0.45">
      <c r="S3705" t="s">
        <v>639</v>
      </c>
      <c r="T3705" t="s">
        <v>161</v>
      </c>
      <c r="U3705">
        <v>9.3153121538884137E-2</v>
      </c>
      <c r="V3705" t="s">
        <v>157</v>
      </c>
    </row>
    <row r="3706" spans="19:22" x14ac:dyDescent="0.45">
      <c r="S3706" t="s">
        <v>639</v>
      </c>
      <c r="T3706" t="s">
        <v>162</v>
      </c>
      <c r="U3706">
        <v>0.11433136880491784</v>
      </c>
      <c r="V3706" t="s">
        <v>157</v>
      </c>
    </row>
    <row r="3707" spans="19:22" x14ac:dyDescent="0.45">
      <c r="S3707" t="s">
        <v>639</v>
      </c>
      <c r="T3707" t="s">
        <v>163</v>
      </c>
      <c r="U3707">
        <v>0.18584585988977412</v>
      </c>
      <c r="V3707" t="s">
        <v>157</v>
      </c>
    </row>
    <row r="3708" spans="19:22" x14ac:dyDescent="0.45">
      <c r="S3708" t="s">
        <v>639</v>
      </c>
      <c r="T3708" t="s">
        <v>164</v>
      </c>
      <c r="U3708">
        <v>1.6746728974932429E-2</v>
      </c>
      <c r="V3708" t="s">
        <v>157</v>
      </c>
    </row>
    <row r="3709" spans="19:22" x14ac:dyDescent="0.45">
      <c r="S3709" t="s">
        <v>639</v>
      </c>
      <c r="T3709" t="s">
        <v>165</v>
      </c>
      <c r="U3709">
        <v>1.6140471476617971E-2</v>
      </c>
      <c r="V3709" t="s">
        <v>157</v>
      </c>
    </row>
    <row r="3710" spans="19:22" x14ac:dyDescent="0.45">
      <c r="S3710" t="s">
        <v>639</v>
      </c>
      <c r="T3710" t="s">
        <v>166</v>
      </c>
      <c r="U3710">
        <v>7.9930370112159976E-2</v>
      </c>
      <c r="V3710" t="s">
        <v>157</v>
      </c>
    </row>
    <row r="3711" spans="19:22" x14ac:dyDescent="0.45">
      <c r="S3711" t="s">
        <v>639</v>
      </c>
      <c r="T3711" t="s">
        <v>167</v>
      </c>
      <c r="U3711">
        <v>2.7906493463156743E-2</v>
      </c>
      <c r="V3711" t="s">
        <v>157</v>
      </c>
    </row>
    <row r="3712" spans="19:22" x14ac:dyDescent="0.45">
      <c r="S3712" t="s">
        <v>639</v>
      </c>
      <c r="T3712" t="s">
        <v>168</v>
      </c>
      <c r="U3712">
        <v>5.3560976836088035E-2</v>
      </c>
      <c r="V3712" t="s">
        <v>157</v>
      </c>
    </row>
    <row r="3713" spans="19:22" x14ac:dyDescent="0.45">
      <c r="S3713" t="s">
        <v>639</v>
      </c>
      <c r="T3713" t="s">
        <v>169</v>
      </c>
      <c r="U3713">
        <v>5.7407602803401852E-3</v>
      </c>
      <c r="V3713" t="s">
        <v>157</v>
      </c>
    </row>
    <row r="3714" spans="19:22" x14ac:dyDescent="0.45">
      <c r="S3714" t="s">
        <v>639</v>
      </c>
      <c r="T3714" t="s">
        <v>170</v>
      </c>
      <c r="U3714">
        <v>5.3533218483242714E-3</v>
      </c>
      <c r="V3714" t="s">
        <v>157</v>
      </c>
    </row>
    <row r="3715" spans="19:22" x14ac:dyDescent="0.45">
      <c r="S3715" t="s">
        <v>639</v>
      </c>
      <c r="T3715" t="s">
        <v>171</v>
      </c>
      <c r="U3715">
        <v>2.221663969597484E-2</v>
      </c>
      <c r="V3715" t="s">
        <v>157</v>
      </c>
    </row>
    <row r="3716" spans="19:22" x14ac:dyDescent="0.45">
      <c r="S3716" t="s">
        <v>640</v>
      </c>
      <c r="T3716" t="s">
        <v>156</v>
      </c>
      <c r="U3716">
        <v>0.1322158446123427</v>
      </c>
      <c r="V3716" t="s">
        <v>157</v>
      </c>
    </row>
    <row r="3717" spans="19:22" x14ac:dyDescent="0.45">
      <c r="S3717" t="s">
        <v>640</v>
      </c>
      <c r="T3717" t="s">
        <v>158</v>
      </c>
      <c r="U3717">
        <v>0.21474737645664857</v>
      </c>
      <c r="V3717" t="s">
        <v>157</v>
      </c>
    </row>
    <row r="3718" spans="19:22" x14ac:dyDescent="0.45">
      <c r="S3718" t="s">
        <v>640</v>
      </c>
      <c r="T3718" t="s">
        <v>159</v>
      </c>
      <c r="U3718">
        <v>2.1786793172034909E-2</v>
      </c>
      <c r="V3718" t="s">
        <v>157</v>
      </c>
    </row>
    <row r="3719" spans="19:22" x14ac:dyDescent="0.45">
      <c r="S3719" t="s">
        <v>640</v>
      </c>
      <c r="T3719" t="s">
        <v>160</v>
      </c>
      <c r="U3719">
        <v>2.1000639147259723E-2</v>
      </c>
      <c r="V3719" t="s">
        <v>157</v>
      </c>
    </row>
    <row r="3720" spans="19:22" x14ac:dyDescent="0.45">
      <c r="S3720" t="s">
        <v>640</v>
      </c>
      <c r="T3720" t="s">
        <v>161</v>
      </c>
      <c r="U3720">
        <v>9.7080339833565857E-2</v>
      </c>
      <c r="V3720" t="s">
        <v>157</v>
      </c>
    </row>
    <row r="3721" spans="19:22" x14ac:dyDescent="0.45">
      <c r="S3721" t="s">
        <v>640</v>
      </c>
      <c r="T3721" t="s">
        <v>162</v>
      </c>
      <c r="U3721">
        <v>0.10949385740530956</v>
      </c>
      <c r="V3721" t="s">
        <v>157</v>
      </c>
    </row>
    <row r="3722" spans="19:22" x14ac:dyDescent="0.45">
      <c r="S3722" t="s">
        <v>640</v>
      </c>
      <c r="T3722" t="s">
        <v>163</v>
      </c>
      <c r="U3722">
        <v>0.17637489988589486</v>
      </c>
      <c r="V3722" t="s">
        <v>157</v>
      </c>
    </row>
    <row r="3723" spans="19:22" x14ac:dyDescent="0.45">
      <c r="S3723" t="s">
        <v>640</v>
      </c>
      <c r="T3723" t="s">
        <v>164</v>
      </c>
      <c r="U3723">
        <v>1.7000425237138721E-2</v>
      </c>
      <c r="V3723" t="s">
        <v>157</v>
      </c>
    </row>
    <row r="3724" spans="19:22" x14ac:dyDescent="0.45">
      <c r="S3724" t="s">
        <v>640</v>
      </c>
      <c r="T3724" t="s">
        <v>165</v>
      </c>
      <c r="U3724">
        <v>1.6348489645737603E-2</v>
      </c>
      <c r="V3724" t="s">
        <v>157</v>
      </c>
    </row>
    <row r="3725" spans="19:22" x14ac:dyDescent="0.45">
      <c r="S3725" t="s">
        <v>640</v>
      </c>
      <c r="T3725" t="s">
        <v>166</v>
      </c>
      <c r="U3725">
        <v>7.9957097493346216E-2</v>
      </c>
      <c r="V3725" t="s">
        <v>157</v>
      </c>
    </row>
    <row r="3726" spans="19:22" x14ac:dyDescent="0.45">
      <c r="S3726" t="s">
        <v>640</v>
      </c>
      <c r="T3726" t="s">
        <v>167</v>
      </c>
      <c r="U3726">
        <v>3.0072614692879588E-2</v>
      </c>
      <c r="V3726" t="s">
        <v>157</v>
      </c>
    </row>
    <row r="3727" spans="19:22" x14ac:dyDescent="0.45">
      <c r="S3727" t="s">
        <v>640</v>
      </c>
      <c r="T3727" t="s">
        <v>168</v>
      </c>
      <c r="U3727">
        <v>4.9761966026476985E-2</v>
      </c>
      <c r="V3727" t="s">
        <v>157</v>
      </c>
    </row>
    <row r="3728" spans="19:22" x14ac:dyDescent="0.45">
      <c r="S3728" t="s">
        <v>640</v>
      </c>
      <c r="T3728" t="s">
        <v>169</v>
      </c>
      <c r="U3728">
        <v>5.717046371546926E-3</v>
      </c>
      <c r="V3728" t="s">
        <v>157</v>
      </c>
    </row>
    <row r="3729" spans="19:22" x14ac:dyDescent="0.45">
      <c r="S3729" t="s">
        <v>640</v>
      </c>
      <c r="T3729" t="s">
        <v>170</v>
      </c>
      <c r="U3729">
        <v>5.5611927613860692E-3</v>
      </c>
      <c r="V3729" t="s">
        <v>157</v>
      </c>
    </row>
    <row r="3730" spans="19:22" x14ac:dyDescent="0.45">
      <c r="S3730" t="s">
        <v>640</v>
      </c>
      <c r="T3730" t="s">
        <v>171</v>
      </c>
      <c r="U3730">
        <v>2.2881417258431781E-2</v>
      </c>
      <c r="V3730" t="s">
        <v>157</v>
      </c>
    </row>
    <row r="3731" spans="19:22" x14ac:dyDescent="0.45">
      <c r="S3731" t="s">
        <v>641</v>
      </c>
      <c r="T3731" t="s">
        <v>156</v>
      </c>
      <c r="U3731">
        <v>0.14246354282183576</v>
      </c>
      <c r="V3731" t="s">
        <v>157</v>
      </c>
    </row>
    <row r="3732" spans="19:22" x14ac:dyDescent="0.45">
      <c r="S3732" t="s">
        <v>641</v>
      </c>
      <c r="T3732" t="s">
        <v>158</v>
      </c>
      <c r="U3732">
        <v>0.2105368306365103</v>
      </c>
      <c r="V3732" t="s">
        <v>157</v>
      </c>
    </row>
    <row r="3733" spans="19:22" x14ac:dyDescent="0.45">
      <c r="S3733" t="s">
        <v>641</v>
      </c>
      <c r="T3733" t="s">
        <v>159</v>
      </c>
      <c r="U3733">
        <v>2.1813761087320263E-2</v>
      </c>
      <c r="V3733" t="s">
        <v>157</v>
      </c>
    </row>
    <row r="3734" spans="19:22" x14ac:dyDescent="0.45">
      <c r="S3734" t="s">
        <v>641</v>
      </c>
      <c r="T3734" t="s">
        <v>160</v>
      </c>
      <c r="U3734">
        <v>2.1542111420505126E-2</v>
      </c>
      <c r="V3734" t="s">
        <v>157</v>
      </c>
    </row>
    <row r="3735" spans="19:22" x14ac:dyDescent="0.45">
      <c r="S3735" t="s">
        <v>641</v>
      </c>
      <c r="T3735" t="s">
        <v>161</v>
      </c>
      <c r="U3735">
        <v>0.10250597483691248</v>
      </c>
      <c r="V3735" t="s">
        <v>157</v>
      </c>
    </row>
    <row r="3736" spans="19:22" x14ac:dyDescent="0.45">
      <c r="S3736" t="s">
        <v>641</v>
      </c>
      <c r="T3736" t="s">
        <v>162</v>
      </c>
      <c r="U3736">
        <v>0.10807454694704614</v>
      </c>
      <c r="V3736" t="s">
        <v>157</v>
      </c>
    </row>
    <row r="3737" spans="19:22" x14ac:dyDescent="0.45">
      <c r="S3737" t="s">
        <v>641</v>
      </c>
      <c r="T3737" t="s">
        <v>163</v>
      </c>
      <c r="U3737">
        <v>0.16240541796720073</v>
      </c>
      <c r="V3737" t="s">
        <v>157</v>
      </c>
    </row>
    <row r="3738" spans="19:22" x14ac:dyDescent="0.45">
      <c r="S3738" t="s">
        <v>641</v>
      </c>
      <c r="T3738" t="s">
        <v>164</v>
      </c>
      <c r="U3738">
        <v>1.6969687862189921E-2</v>
      </c>
      <c r="V3738" t="s">
        <v>157</v>
      </c>
    </row>
    <row r="3739" spans="19:22" x14ac:dyDescent="0.45">
      <c r="S3739" t="s">
        <v>641</v>
      </c>
      <c r="T3739" t="s">
        <v>165</v>
      </c>
      <c r="U3739">
        <v>1.6526682949664157E-2</v>
      </c>
      <c r="V3739" t="s">
        <v>157</v>
      </c>
    </row>
    <row r="3740" spans="19:22" x14ac:dyDescent="0.45">
      <c r="S3740" t="s">
        <v>641</v>
      </c>
      <c r="T3740" t="s">
        <v>166</v>
      </c>
      <c r="U3740">
        <v>8.1129662576470557E-2</v>
      </c>
      <c r="V3740" t="s">
        <v>157</v>
      </c>
    </row>
    <row r="3741" spans="19:22" x14ac:dyDescent="0.45">
      <c r="S3741" t="s">
        <v>641</v>
      </c>
      <c r="T3741" t="s">
        <v>167</v>
      </c>
      <c r="U3741">
        <v>3.3260323878723116E-2</v>
      </c>
      <c r="V3741" t="s">
        <v>157</v>
      </c>
    </row>
    <row r="3742" spans="19:22" x14ac:dyDescent="0.45">
      <c r="S3742" t="s">
        <v>641</v>
      </c>
      <c r="T3742" t="s">
        <v>168</v>
      </c>
      <c r="U3742">
        <v>4.7166401530254233E-2</v>
      </c>
      <c r="V3742" t="s">
        <v>157</v>
      </c>
    </row>
    <row r="3743" spans="19:22" x14ac:dyDescent="0.45">
      <c r="S3743" t="s">
        <v>641</v>
      </c>
      <c r="T3743" t="s">
        <v>169</v>
      </c>
      <c r="U3743">
        <v>5.7229697792038191E-3</v>
      </c>
      <c r="V3743" t="s">
        <v>157</v>
      </c>
    </row>
    <row r="3744" spans="19:22" x14ac:dyDescent="0.45">
      <c r="S3744" t="s">
        <v>641</v>
      </c>
      <c r="T3744" t="s">
        <v>170</v>
      </c>
      <c r="U3744">
        <v>5.7001690874494927E-3</v>
      </c>
      <c r="V3744" t="s">
        <v>157</v>
      </c>
    </row>
    <row r="3745" spans="19:22" x14ac:dyDescent="0.45">
      <c r="S3745" t="s">
        <v>641</v>
      </c>
      <c r="T3745" t="s">
        <v>171</v>
      </c>
      <c r="U3745">
        <v>2.4181916618713883E-2</v>
      </c>
      <c r="V3745" t="s">
        <v>157</v>
      </c>
    </row>
    <row r="3746" spans="19:22" x14ac:dyDescent="0.45">
      <c r="S3746" t="s">
        <v>642</v>
      </c>
      <c r="T3746" t="s">
        <v>156</v>
      </c>
      <c r="U3746">
        <v>0.14753925733182507</v>
      </c>
      <c r="V3746" t="s">
        <v>157</v>
      </c>
    </row>
    <row r="3747" spans="19:22" x14ac:dyDescent="0.45">
      <c r="S3747" t="s">
        <v>642</v>
      </c>
      <c r="T3747" t="s">
        <v>158</v>
      </c>
      <c r="U3747">
        <v>0.20867870708603353</v>
      </c>
      <c r="V3747" t="s">
        <v>157</v>
      </c>
    </row>
    <row r="3748" spans="19:22" x14ac:dyDescent="0.45">
      <c r="S3748" t="s">
        <v>642</v>
      </c>
      <c r="T3748" t="s">
        <v>159</v>
      </c>
      <c r="U3748">
        <v>2.1446657134020143E-2</v>
      </c>
      <c r="V3748" t="s">
        <v>157</v>
      </c>
    </row>
    <row r="3749" spans="19:22" x14ac:dyDescent="0.45">
      <c r="S3749" t="s">
        <v>642</v>
      </c>
      <c r="T3749" t="s">
        <v>160</v>
      </c>
      <c r="U3749">
        <v>2.139812628265151E-2</v>
      </c>
      <c r="V3749" t="s">
        <v>157</v>
      </c>
    </row>
    <row r="3750" spans="19:22" x14ac:dyDescent="0.45">
      <c r="S3750" t="s">
        <v>642</v>
      </c>
      <c r="T3750" t="s">
        <v>161</v>
      </c>
      <c r="U3750">
        <v>0.10514827907422009</v>
      </c>
      <c r="V3750" t="s">
        <v>157</v>
      </c>
    </row>
    <row r="3751" spans="19:22" x14ac:dyDescent="0.45">
      <c r="S3751" t="s">
        <v>642</v>
      </c>
      <c r="T3751" t="s">
        <v>162</v>
      </c>
      <c r="U3751">
        <v>0.10848216519137603</v>
      </c>
      <c r="V3751" t="s">
        <v>157</v>
      </c>
    </row>
    <row r="3752" spans="19:22" x14ac:dyDescent="0.45">
      <c r="S3752" t="s">
        <v>642</v>
      </c>
      <c r="T3752" t="s">
        <v>163</v>
      </c>
      <c r="U3752">
        <v>0.15565298813787184</v>
      </c>
      <c r="V3752" t="s">
        <v>157</v>
      </c>
    </row>
    <row r="3753" spans="19:22" x14ac:dyDescent="0.45">
      <c r="S3753" t="s">
        <v>642</v>
      </c>
      <c r="T3753" t="s">
        <v>164</v>
      </c>
      <c r="U3753">
        <v>1.6618842680788851E-2</v>
      </c>
      <c r="V3753" t="s">
        <v>157</v>
      </c>
    </row>
    <row r="3754" spans="19:22" x14ac:dyDescent="0.45">
      <c r="S3754" t="s">
        <v>642</v>
      </c>
      <c r="T3754" t="s">
        <v>165</v>
      </c>
      <c r="U3754">
        <v>1.6457153165145736E-2</v>
      </c>
      <c r="V3754" t="s">
        <v>157</v>
      </c>
    </row>
    <row r="3755" spans="19:22" x14ac:dyDescent="0.45">
      <c r="S3755" t="s">
        <v>642</v>
      </c>
      <c r="T3755" t="s">
        <v>166</v>
      </c>
      <c r="U3755">
        <v>8.1294926872314016E-2</v>
      </c>
      <c r="V3755" t="s">
        <v>157</v>
      </c>
    </row>
    <row r="3756" spans="19:22" x14ac:dyDescent="0.45">
      <c r="S3756" t="s">
        <v>642</v>
      </c>
      <c r="T3756" t="s">
        <v>167</v>
      </c>
      <c r="U3756">
        <v>3.4980127439437611E-2</v>
      </c>
      <c r="V3756" t="s">
        <v>157</v>
      </c>
    </row>
    <row r="3757" spans="19:22" x14ac:dyDescent="0.45">
      <c r="S3757" t="s">
        <v>642</v>
      </c>
      <c r="T3757" t="s">
        <v>168</v>
      </c>
      <c r="U3757">
        <v>4.6908281135457815E-2</v>
      </c>
      <c r="V3757" t="s">
        <v>157</v>
      </c>
    </row>
    <row r="3758" spans="19:22" x14ac:dyDescent="0.45">
      <c r="S3758" t="s">
        <v>642</v>
      </c>
      <c r="T3758" t="s">
        <v>169</v>
      </c>
      <c r="U3758">
        <v>5.3713640117550553E-3</v>
      </c>
      <c r="V3758" t="s">
        <v>157</v>
      </c>
    </row>
    <row r="3759" spans="19:22" x14ac:dyDescent="0.45">
      <c r="S3759" t="s">
        <v>642</v>
      </c>
      <c r="T3759" t="s">
        <v>170</v>
      </c>
      <c r="U3759">
        <v>5.3892041154044116E-3</v>
      </c>
      <c r="V3759" t="s">
        <v>157</v>
      </c>
    </row>
    <row r="3760" spans="19:22" x14ac:dyDescent="0.45">
      <c r="S3760" t="s">
        <v>642</v>
      </c>
      <c r="T3760" t="s">
        <v>171</v>
      </c>
      <c r="U3760">
        <v>2.4633920341698253E-2</v>
      </c>
      <c r="V3760" t="s">
        <v>157</v>
      </c>
    </row>
    <row r="3761" spans="19:22" x14ac:dyDescent="0.45">
      <c r="S3761" t="s">
        <v>643</v>
      </c>
      <c r="T3761" t="s">
        <v>156</v>
      </c>
      <c r="U3761">
        <v>0.15048370198546712</v>
      </c>
      <c r="V3761" t="s">
        <v>157</v>
      </c>
    </row>
    <row r="3762" spans="19:22" x14ac:dyDescent="0.45">
      <c r="S3762" t="s">
        <v>643</v>
      </c>
      <c r="T3762" t="s">
        <v>158</v>
      </c>
      <c r="U3762">
        <v>0.21277399678263081</v>
      </c>
      <c r="V3762" t="s">
        <v>157</v>
      </c>
    </row>
    <row r="3763" spans="19:22" x14ac:dyDescent="0.45">
      <c r="S3763" t="s">
        <v>643</v>
      </c>
      <c r="T3763" t="s">
        <v>159</v>
      </c>
      <c r="U3763">
        <v>2.1303280038825884E-2</v>
      </c>
      <c r="V3763" t="s">
        <v>157</v>
      </c>
    </row>
    <row r="3764" spans="19:22" x14ac:dyDescent="0.45">
      <c r="S3764" t="s">
        <v>643</v>
      </c>
      <c r="T3764" t="s">
        <v>160</v>
      </c>
      <c r="U3764">
        <v>2.1398828010434013E-2</v>
      </c>
      <c r="V3764" t="s">
        <v>157</v>
      </c>
    </row>
    <row r="3765" spans="19:22" x14ac:dyDescent="0.45">
      <c r="S3765" t="s">
        <v>643</v>
      </c>
      <c r="T3765" t="s">
        <v>161</v>
      </c>
      <c r="U3765">
        <v>0.10746621538108375</v>
      </c>
      <c r="V3765" t="s">
        <v>157</v>
      </c>
    </row>
    <row r="3766" spans="19:22" x14ac:dyDescent="0.45">
      <c r="S3766" t="s">
        <v>643</v>
      </c>
      <c r="T3766" t="s">
        <v>162</v>
      </c>
      <c r="U3766">
        <v>0.1059703238578832</v>
      </c>
      <c r="V3766" t="s">
        <v>157</v>
      </c>
    </row>
    <row r="3767" spans="19:22" x14ac:dyDescent="0.45">
      <c r="S3767" t="s">
        <v>643</v>
      </c>
      <c r="T3767" t="s">
        <v>163</v>
      </c>
      <c r="U3767">
        <v>0.15148729305729641</v>
      </c>
      <c r="V3767" t="s">
        <v>157</v>
      </c>
    </row>
    <row r="3768" spans="19:22" x14ac:dyDescent="0.45">
      <c r="S3768" t="s">
        <v>643</v>
      </c>
      <c r="T3768" t="s">
        <v>164</v>
      </c>
      <c r="U3768">
        <v>1.6057406253067962E-2</v>
      </c>
      <c r="V3768" t="s">
        <v>157</v>
      </c>
    </row>
    <row r="3769" spans="19:22" x14ac:dyDescent="0.45">
      <c r="S3769" t="s">
        <v>643</v>
      </c>
      <c r="T3769" t="s">
        <v>165</v>
      </c>
      <c r="U3769">
        <v>1.6029277312958282E-2</v>
      </c>
      <c r="V3769" t="s">
        <v>157</v>
      </c>
    </row>
    <row r="3770" spans="19:22" x14ac:dyDescent="0.45">
      <c r="S3770" t="s">
        <v>643</v>
      </c>
      <c r="T3770" t="s">
        <v>166</v>
      </c>
      <c r="U3770">
        <v>7.9261515342878744E-2</v>
      </c>
      <c r="V3770" t="s">
        <v>157</v>
      </c>
    </row>
    <row r="3771" spans="19:22" x14ac:dyDescent="0.45">
      <c r="S3771" t="s">
        <v>643</v>
      </c>
      <c r="T3771" t="s">
        <v>167</v>
      </c>
      <c r="U3771">
        <v>3.566283245707158E-2</v>
      </c>
      <c r="V3771" t="s">
        <v>157</v>
      </c>
    </row>
    <row r="3772" spans="19:22" x14ac:dyDescent="0.45">
      <c r="S3772" t="s">
        <v>643</v>
      </c>
      <c r="T3772" t="s">
        <v>168</v>
      </c>
      <c r="U3772">
        <v>4.7188980495959855E-2</v>
      </c>
      <c r="V3772" t="s">
        <v>157</v>
      </c>
    </row>
    <row r="3773" spans="19:22" x14ac:dyDescent="0.45">
      <c r="S3773" t="s">
        <v>643</v>
      </c>
      <c r="T3773" t="s">
        <v>169</v>
      </c>
      <c r="U3773">
        <v>5.1245484238568884E-3</v>
      </c>
      <c r="V3773" t="s">
        <v>157</v>
      </c>
    </row>
    <row r="3774" spans="19:22" x14ac:dyDescent="0.45">
      <c r="S3774" t="s">
        <v>643</v>
      </c>
      <c r="T3774" t="s">
        <v>170</v>
      </c>
      <c r="U3774">
        <v>5.1478381083029257E-3</v>
      </c>
      <c r="V3774" t="s">
        <v>157</v>
      </c>
    </row>
    <row r="3775" spans="19:22" x14ac:dyDescent="0.45">
      <c r="S3775" t="s">
        <v>643</v>
      </c>
      <c r="T3775" t="s">
        <v>171</v>
      </c>
      <c r="U3775">
        <v>2.4643962492282512E-2</v>
      </c>
      <c r="V3775" t="s">
        <v>157</v>
      </c>
    </row>
    <row r="3776" spans="19:22" x14ac:dyDescent="0.45">
      <c r="S3776" t="s">
        <v>644</v>
      </c>
      <c r="T3776" t="s">
        <v>156</v>
      </c>
      <c r="U3776">
        <v>0.15245183737975254</v>
      </c>
      <c r="V3776" t="s">
        <v>157</v>
      </c>
    </row>
    <row r="3777" spans="19:22" x14ac:dyDescent="0.45">
      <c r="S3777" t="s">
        <v>644</v>
      </c>
      <c r="T3777" t="s">
        <v>158</v>
      </c>
      <c r="U3777">
        <v>0.21660309798045224</v>
      </c>
      <c r="V3777" t="s">
        <v>157</v>
      </c>
    </row>
    <row r="3778" spans="19:22" x14ac:dyDescent="0.45">
      <c r="S3778" t="s">
        <v>644</v>
      </c>
      <c r="T3778" t="s">
        <v>159</v>
      </c>
      <c r="U3778">
        <v>2.1618082433831235E-2</v>
      </c>
      <c r="V3778" t="s">
        <v>157</v>
      </c>
    </row>
    <row r="3779" spans="19:22" x14ac:dyDescent="0.45">
      <c r="S3779" t="s">
        <v>644</v>
      </c>
      <c r="T3779" t="s">
        <v>160</v>
      </c>
      <c r="U3779">
        <v>2.1532873105405383E-2</v>
      </c>
      <c r="V3779" t="s">
        <v>157</v>
      </c>
    </row>
    <row r="3780" spans="19:22" x14ac:dyDescent="0.45">
      <c r="S3780" t="s">
        <v>644</v>
      </c>
      <c r="T3780" t="s">
        <v>161</v>
      </c>
      <c r="U3780">
        <v>0.10834616824771248</v>
      </c>
      <c r="V3780" t="s">
        <v>157</v>
      </c>
    </row>
    <row r="3781" spans="19:22" x14ac:dyDescent="0.45">
      <c r="S3781" t="s">
        <v>644</v>
      </c>
      <c r="T3781" t="s">
        <v>162</v>
      </c>
      <c r="U3781">
        <v>0.10394560332260307</v>
      </c>
      <c r="V3781" t="s">
        <v>157</v>
      </c>
    </row>
    <row r="3782" spans="19:22" x14ac:dyDescent="0.45">
      <c r="S3782" t="s">
        <v>644</v>
      </c>
      <c r="T3782" t="s">
        <v>163</v>
      </c>
      <c r="U3782">
        <v>0.14885207602020079</v>
      </c>
      <c r="V3782" t="s">
        <v>157</v>
      </c>
    </row>
    <row r="3783" spans="19:22" x14ac:dyDescent="0.45">
      <c r="S3783" t="s">
        <v>644</v>
      </c>
      <c r="T3783" t="s">
        <v>164</v>
      </c>
      <c r="U3783">
        <v>1.5785301244371493E-2</v>
      </c>
      <c r="V3783" t="s">
        <v>157</v>
      </c>
    </row>
    <row r="3784" spans="19:22" x14ac:dyDescent="0.45">
      <c r="S3784" t="s">
        <v>644</v>
      </c>
      <c r="T3784" t="s">
        <v>165</v>
      </c>
      <c r="U3784">
        <v>1.5762446502342257E-2</v>
      </c>
      <c r="V3784" t="s">
        <v>157</v>
      </c>
    </row>
    <row r="3785" spans="19:22" x14ac:dyDescent="0.45">
      <c r="S3785" t="s">
        <v>644</v>
      </c>
      <c r="T3785" t="s">
        <v>166</v>
      </c>
      <c r="U3785">
        <v>7.7711594262893313E-2</v>
      </c>
      <c r="V3785" t="s">
        <v>157</v>
      </c>
    </row>
    <row r="3786" spans="19:22" x14ac:dyDescent="0.45">
      <c r="S3786" t="s">
        <v>644</v>
      </c>
      <c r="T3786" t="s">
        <v>167</v>
      </c>
      <c r="U3786">
        <v>3.53742714571662E-2</v>
      </c>
      <c r="V3786" t="s">
        <v>157</v>
      </c>
    </row>
    <row r="3787" spans="19:22" x14ac:dyDescent="0.45">
      <c r="S3787" t="s">
        <v>644</v>
      </c>
      <c r="T3787" t="s">
        <v>168</v>
      </c>
      <c r="U3787">
        <v>4.7495713387435766E-2</v>
      </c>
      <c r="V3787" t="s">
        <v>157</v>
      </c>
    </row>
    <row r="3788" spans="19:22" x14ac:dyDescent="0.45">
      <c r="S3788" t="s">
        <v>644</v>
      </c>
      <c r="T3788" t="s">
        <v>169</v>
      </c>
      <c r="U3788">
        <v>5.1978044935363735E-3</v>
      </c>
      <c r="V3788" t="s">
        <v>157</v>
      </c>
    </row>
    <row r="3789" spans="19:22" x14ac:dyDescent="0.45">
      <c r="S3789" t="s">
        <v>644</v>
      </c>
      <c r="T3789" t="s">
        <v>170</v>
      </c>
      <c r="U3789">
        <v>5.0705737926479907E-3</v>
      </c>
      <c r="V3789" t="s">
        <v>157</v>
      </c>
    </row>
    <row r="3790" spans="19:22" x14ac:dyDescent="0.45">
      <c r="S3790" t="s">
        <v>644</v>
      </c>
      <c r="T3790" t="s">
        <v>171</v>
      </c>
      <c r="U3790">
        <v>2.4252556369648789E-2</v>
      </c>
      <c r="V3790" t="s">
        <v>157</v>
      </c>
    </row>
    <row r="3791" spans="19:22" x14ac:dyDescent="0.45">
      <c r="S3791" t="s">
        <v>645</v>
      </c>
      <c r="T3791" t="s">
        <v>156</v>
      </c>
      <c r="U3791">
        <v>0.14607324421231205</v>
      </c>
      <c r="V3791" t="s">
        <v>157</v>
      </c>
    </row>
    <row r="3792" spans="19:22" x14ac:dyDescent="0.45">
      <c r="S3792" t="s">
        <v>645</v>
      </c>
      <c r="T3792" t="s">
        <v>158</v>
      </c>
      <c r="U3792">
        <v>0.20724280847863435</v>
      </c>
      <c r="V3792" t="s">
        <v>157</v>
      </c>
    </row>
    <row r="3793" spans="19:22" x14ac:dyDescent="0.45">
      <c r="S3793" t="s">
        <v>645</v>
      </c>
      <c r="T3793" t="s">
        <v>159</v>
      </c>
      <c r="U3793">
        <v>2.0464853633935527E-2</v>
      </c>
      <c r="V3793" t="s">
        <v>157</v>
      </c>
    </row>
    <row r="3794" spans="19:22" x14ac:dyDescent="0.45">
      <c r="S3794" t="s">
        <v>645</v>
      </c>
      <c r="T3794" t="s">
        <v>160</v>
      </c>
      <c r="U3794">
        <v>2.0394941868562843E-2</v>
      </c>
      <c r="V3794" t="s">
        <v>157</v>
      </c>
    </row>
    <row r="3795" spans="19:22" x14ac:dyDescent="0.45">
      <c r="S3795" t="s">
        <v>645</v>
      </c>
      <c r="T3795" t="s">
        <v>161</v>
      </c>
      <c r="U3795">
        <v>0.1023924677597364</v>
      </c>
      <c r="V3795" t="s">
        <v>157</v>
      </c>
    </row>
    <row r="3796" spans="19:22" x14ac:dyDescent="0.45">
      <c r="S3796" t="s">
        <v>645</v>
      </c>
      <c r="T3796" t="s">
        <v>162</v>
      </c>
      <c r="U3796">
        <v>0.10652354504844103</v>
      </c>
      <c r="V3796" t="s">
        <v>157</v>
      </c>
    </row>
    <row r="3797" spans="19:22" x14ac:dyDescent="0.45">
      <c r="S3797" t="s">
        <v>645</v>
      </c>
      <c r="T3797" t="s">
        <v>163</v>
      </c>
      <c r="U3797">
        <v>0.14134895065051933</v>
      </c>
      <c r="V3797" t="s">
        <v>157</v>
      </c>
    </row>
    <row r="3798" spans="19:22" x14ac:dyDescent="0.45">
      <c r="S3798" t="s">
        <v>645</v>
      </c>
      <c r="T3798" t="s">
        <v>164</v>
      </c>
      <c r="U3798">
        <v>1.4288800986167055E-2</v>
      </c>
      <c r="V3798" t="s">
        <v>157</v>
      </c>
    </row>
    <row r="3799" spans="19:22" x14ac:dyDescent="0.45">
      <c r="S3799" t="s">
        <v>645</v>
      </c>
      <c r="T3799" t="s">
        <v>165</v>
      </c>
      <c r="U3799">
        <v>1.4725896985821411E-2</v>
      </c>
      <c r="V3799" t="s">
        <v>157</v>
      </c>
    </row>
    <row r="3800" spans="19:22" x14ac:dyDescent="0.45">
      <c r="S3800" t="s">
        <v>645</v>
      </c>
      <c r="T3800" t="s">
        <v>166</v>
      </c>
      <c r="U3800">
        <v>8.0110960290650374E-2</v>
      </c>
      <c r="V3800" t="s">
        <v>157</v>
      </c>
    </row>
    <row r="3801" spans="19:22" x14ac:dyDescent="0.45">
      <c r="S3801" t="s">
        <v>645</v>
      </c>
      <c r="T3801" t="s">
        <v>167</v>
      </c>
      <c r="U3801">
        <v>4.4212103263960759E-2</v>
      </c>
      <c r="V3801" t="s">
        <v>157</v>
      </c>
    </row>
    <row r="3802" spans="19:22" x14ac:dyDescent="0.45">
      <c r="S3802" t="s">
        <v>645</v>
      </c>
      <c r="T3802" t="s">
        <v>168</v>
      </c>
      <c r="U3802">
        <v>5.8540069864371561E-2</v>
      </c>
      <c r="V3802" t="s">
        <v>157</v>
      </c>
    </row>
    <row r="3803" spans="19:22" x14ac:dyDescent="0.45">
      <c r="S3803" t="s">
        <v>645</v>
      </c>
      <c r="T3803" t="s">
        <v>169</v>
      </c>
      <c r="U3803">
        <v>5.9593069282251601E-3</v>
      </c>
      <c r="V3803" t="s">
        <v>157</v>
      </c>
    </row>
    <row r="3804" spans="19:22" x14ac:dyDescent="0.45">
      <c r="S3804" t="s">
        <v>645</v>
      </c>
      <c r="T3804" t="s">
        <v>170</v>
      </c>
      <c r="U3804">
        <v>5.9820041106637281E-3</v>
      </c>
      <c r="V3804" t="s">
        <v>157</v>
      </c>
    </row>
    <row r="3805" spans="19:22" x14ac:dyDescent="0.45">
      <c r="S3805" t="s">
        <v>645</v>
      </c>
      <c r="T3805" t="s">
        <v>171</v>
      </c>
      <c r="U3805">
        <v>3.1740045917998283E-2</v>
      </c>
      <c r="V3805" t="s">
        <v>157</v>
      </c>
    </row>
    <row r="3806" spans="19:22" x14ac:dyDescent="0.45">
      <c r="S3806" t="s">
        <v>646</v>
      </c>
      <c r="T3806" t="s">
        <v>156</v>
      </c>
      <c r="U3806">
        <v>0.14535975530619219</v>
      </c>
      <c r="V3806" t="s">
        <v>157</v>
      </c>
    </row>
    <row r="3807" spans="19:22" x14ac:dyDescent="0.45">
      <c r="S3807" t="s">
        <v>646</v>
      </c>
      <c r="T3807" t="s">
        <v>158</v>
      </c>
      <c r="U3807">
        <v>0.20609551634930956</v>
      </c>
      <c r="V3807" t="s">
        <v>157</v>
      </c>
    </row>
    <row r="3808" spans="19:22" x14ac:dyDescent="0.45">
      <c r="S3808" t="s">
        <v>646</v>
      </c>
      <c r="T3808" t="s">
        <v>159</v>
      </c>
      <c r="U3808">
        <v>2.004880964874409E-2</v>
      </c>
      <c r="V3808" t="s">
        <v>157</v>
      </c>
    </row>
    <row r="3809" spans="19:22" x14ac:dyDescent="0.45">
      <c r="S3809" t="s">
        <v>646</v>
      </c>
      <c r="T3809" t="s">
        <v>160</v>
      </c>
      <c r="U3809">
        <v>2.0378027939277683E-2</v>
      </c>
      <c r="V3809" t="s">
        <v>157</v>
      </c>
    </row>
    <row r="3810" spans="19:22" x14ac:dyDescent="0.45">
      <c r="S3810" t="s">
        <v>646</v>
      </c>
      <c r="T3810" t="s">
        <v>161</v>
      </c>
      <c r="U3810">
        <v>0.10399993225194423</v>
      </c>
      <c r="V3810" t="s">
        <v>157</v>
      </c>
    </row>
    <row r="3811" spans="19:22" x14ac:dyDescent="0.45">
      <c r="S3811" t="s">
        <v>646</v>
      </c>
      <c r="T3811" t="s">
        <v>162</v>
      </c>
      <c r="U3811">
        <v>0.10854044825236299</v>
      </c>
      <c r="V3811" t="s">
        <v>157</v>
      </c>
    </row>
    <row r="3812" spans="19:22" x14ac:dyDescent="0.45">
      <c r="S3812" t="s">
        <v>646</v>
      </c>
      <c r="T3812" t="s">
        <v>163</v>
      </c>
      <c r="U3812">
        <v>0.14020867624024577</v>
      </c>
      <c r="V3812" t="s">
        <v>157</v>
      </c>
    </row>
    <row r="3813" spans="19:22" x14ac:dyDescent="0.45">
      <c r="S3813" t="s">
        <v>646</v>
      </c>
      <c r="T3813" t="s">
        <v>164</v>
      </c>
      <c r="U3813">
        <v>1.4739171542703468E-2</v>
      </c>
      <c r="V3813" t="s">
        <v>157</v>
      </c>
    </row>
    <row r="3814" spans="19:22" x14ac:dyDescent="0.45">
      <c r="S3814" t="s">
        <v>646</v>
      </c>
      <c r="T3814" t="s">
        <v>165</v>
      </c>
      <c r="U3814">
        <v>1.5092654437925736E-2</v>
      </c>
      <c r="V3814" t="s">
        <v>157</v>
      </c>
    </row>
    <row r="3815" spans="19:22" x14ac:dyDescent="0.45">
      <c r="S3815" t="s">
        <v>646</v>
      </c>
      <c r="T3815" t="s">
        <v>166</v>
      </c>
      <c r="U3815">
        <v>8.0798798499684937E-2</v>
      </c>
      <c r="V3815" t="s">
        <v>157</v>
      </c>
    </row>
    <row r="3816" spans="19:22" x14ac:dyDescent="0.45">
      <c r="S3816" t="s">
        <v>646</v>
      </c>
      <c r="T3816" t="s">
        <v>167</v>
      </c>
      <c r="U3816">
        <v>4.3871477917098355E-2</v>
      </c>
      <c r="V3816" t="s">
        <v>157</v>
      </c>
    </row>
    <row r="3817" spans="19:22" x14ac:dyDescent="0.45">
      <c r="S3817" t="s">
        <v>646</v>
      </c>
      <c r="T3817" t="s">
        <v>168</v>
      </c>
      <c r="U3817">
        <v>5.7850695763364129E-2</v>
      </c>
      <c r="V3817" t="s">
        <v>157</v>
      </c>
    </row>
    <row r="3818" spans="19:22" x14ac:dyDescent="0.45">
      <c r="S3818" t="s">
        <v>646</v>
      </c>
      <c r="T3818" t="s">
        <v>169</v>
      </c>
      <c r="U3818">
        <v>5.8947167235913192E-3</v>
      </c>
      <c r="V3818" t="s">
        <v>157</v>
      </c>
    </row>
    <row r="3819" spans="19:22" x14ac:dyDescent="0.45">
      <c r="S3819" t="s">
        <v>646</v>
      </c>
      <c r="T3819" t="s">
        <v>170</v>
      </c>
      <c r="U3819">
        <v>5.9593658330251362E-3</v>
      </c>
      <c r="V3819" t="s">
        <v>157</v>
      </c>
    </row>
    <row r="3820" spans="19:22" x14ac:dyDescent="0.45">
      <c r="S3820" t="s">
        <v>646</v>
      </c>
      <c r="T3820" t="s">
        <v>171</v>
      </c>
      <c r="U3820">
        <v>3.1161953294530521E-2</v>
      </c>
      <c r="V3820" t="s">
        <v>157</v>
      </c>
    </row>
    <row r="3821" spans="19:22" x14ac:dyDescent="0.45">
      <c r="S3821" t="s">
        <v>647</v>
      </c>
      <c r="T3821" t="s">
        <v>156</v>
      </c>
      <c r="U3821">
        <v>0.14520383058500236</v>
      </c>
      <c r="V3821" t="s">
        <v>157</v>
      </c>
    </row>
    <row r="3822" spans="19:22" x14ac:dyDescent="0.45">
      <c r="S3822" t="s">
        <v>647</v>
      </c>
      <c r="T3822" t="s">
        <v>158</v>
      </c>
      <c r="U3822">
        <v>0.20319042265517115</v>
      </c>
      <c r="V3822" t="s">
        <v>157</v>
      </c>
    </row>
    <row r="3823" spans="19:22" x14ac:dyDescent="0.45">
      <c r="S3823" t="s">
        <v>647</v>
      </c>
      <c r="T3823" t="s">
        <v>159</v>
      </c>
      <c r="U3823">
        <v>1.9781860327400529E-2</v>
      </c>
      <c r="V3823" t="s">
        <v>157</v>
      </c>
    </row>
    <row r="3824" spans="19:22" x14ac:dyDescent="0.45">
      <c r="S3824" t="s">
        <v>647</v>
      </c>
      <c r="T3824" t="s">
        <v>160</v>
      </c>
      <c r="U3824">
        <v>2.0281282870988005E-2</v>
      </c>
      <c r="V3824" t="s">
        <v>157</v>
      </c>
    </row>
    <row r="3825" spans="19:22" x14ac:dyDescent="0.45">
      <c r="S3825" t="s">
        <v>647</v>
      </c>
      <c r="T3825" t="s">
        <v>161</v>
      </c>
      <c r="U3825">
        <v>0.10439143685170023</v>
      </c>
      <c r="V3825" t="s">
        <v>157</v>
      </c>
    </row>
    <row r="3826" spans="19:22" x14ac:dyDescent="0.45">
      <c r="S3826" t="s">
        <v>647</v>
      </c>
      <c r="T3826" t="s">
        <v>162</v>
      </c>
      <c r="U3826">
        <v>0.1101176221349605</v>
      </c>
      <c r="V3826" t="s">
        <v>157</v>
      </c>
    </row>
    <row r="3827" spans="19:22" x14ac:dyDescent="0.45">
      <c r="S3827" t="s">
        <v>647</v>
      </c>
      <c r="T3827" t="s">
        <v>163</v>
      </c>
      <c r="U3827">
        <v>0.14031293931379751</v>
      </c>
      <c r="V3827" t="s">
        <v>157</v>
      </c>
    </row>
    <row r="3828" spans="19:22" x14ac:dyDescent="0.45">
      <c r="S3828" t="s">
        <v>647</v>
      </c>
      <c r="T3828" t="s">
        <v>164</v>
      </c>
      <c r="U3828">
        <v>1.4877891893299435E-2</v>
      </c>
      <c r="V3828" t="s">
        <v>157</v>
      </c>
    </row>
    <row r="3829" spans="19:22" x14ac:dyDescent="0.45">
      <c r="S3829" t="s">
        <v>647</v>
      </c>
      <c r="T3829" t="s">
        <v>165</v>
      </c>
      <c r="U3829">
        <v>1.5174338808047267E-2</v>
      </c>
      <c r="V3829" t="s">
        <v>157</v>
      </c>
    </row>
    <row r="3830" spans="19:22" x14ac:dyDescent="0.45">
      <c r="S3830" t="s">
        <v>647</v>
      </c>
      <c r="T3830" t="s">
        <v>166</v>
      </c>
      <c r="U3830">
        <v>8.1322842201093426E-2</v>
      </c>
      <c r="V3830" t="s">
        <v>157</v>
      </c>
    </row>
    <row r="3831" spans="19:22" x14ac:dyDescent="0.45">
      <c r="S3831" t="s">
        <v>647</v>
      </c>
      <c r="T3831" t="s">
        <v>167</v>
      </c>
      <c r="U3831">
        <v>4.4480078819257668E-2</v>
      </c>
      <c r="V3831" t="s">
        <v>157</v>
      </c>
    </row>
    <row r="3832" spans="19:22" x14ac:dyDescent="0.45">
      <c r="S3832" t="s">
        <v>647</v>
      </c>
      <c r="T3832" t="s">
        <v>168</v>
      </c>
      <c r="U3832">
        <v>5.8488312965401863E-2</v>
      </c>
      <c r="V3832" t="s">
        <v>157</v>
      </c>
    </row>
    <row r="3833" spans="19:22" x14ac:dyDescent="0.45">
      <c r="S3833" t="s">
        <v>647</v>
      </c>
      <c r="T3833" t="s">
        <v>169</v>
      </c>
      <c r="U3833">
        <v>5.8465660916308193E-3</v>
      </c>
      <c r="V3833" t="s">
        <v>157</v>
      </c>
    </row>
    <row r="3834" spans="19:22" x14ac:dyDescent="0.45">
      <c r="S3834" t="s">
        <v>647</v>
      </c>
      <c r="T3834" t="s">
        <v>170</v>
      </c>
      <c r="U3834">
        <v>5.971595716233462E-3</v>
      </c>
      <c r="V3834" t="s">
        <v>157</v>
      </c>
    </row>
    <row r="3835" spans="19:22" x14ac:dyDescent="0.45">
      <c r="S3835" t="s">
        <v>647</v>
      </c>
      <c r="T3835" t="s">
        <v>171</v>
      </c>
      <c r="U3835">
        <v>3.0558978766015717E-2</v>
      </c>
      <c r="V3835" t="s">
        <v>157</v>
      </c>
    </row>
    <row r="3836" spans="19:22" x14ac:dyDescent="0.45">
      <c r="S3836" t="s">
        <v>648</v>
      </c>
      <c r="T3836" t="s">
        <v>156</v>
      </c>
      <c r="U3836">
        <v>0.14576914762493012</v>
      </c>
      <c r="V3836" t="s">
        <v>157</v>
      </c>
    </row>
    <row r="3837" spans="19:22" x14ac:dyDescent="0.45">
      <c r="S3837" t="s">
        <v>648</v>
      </c>
      <c r="T3837" t="s">
        <v>158</v>
      </c>
      <c r="U3837">
        <v>0.19985499728527417</v>
      </c>
      <c r="V3837" t="s">
        <v>157</v>
      </c>
    </row>
    <row r="3838" spans="19:22" x14ac:dyDescent="0.45">
      <c r="S3838" t="s">
        <v>648</v>
      </c>
      <c r="T3838" t="s">
        <v>159</v>
      </c>
      <c r="U3838">
        <v>1.9624460584686945E-2</v>
      </c>
      <c r="V3838" t="s">
        <v>157</v>
      </c>
    </row>
    <row r="3839" spans="19:22" x14ac:dyDescent="0.45">
      <c r="S3839" t="s">
        <v>648</v>
      </c>
      <c r="T3839" t="s">
        <v>160</v>
      </c>
      <c r="U3839">
        <v>1.9886644081775994E-2</v>
      </c>
      <c r="V3839" t="s">
        <v>157</v>
      </c>
    </row>
    <row r="3840" spans="19:22" x14ac:dyDescent="0.45">
      <c r="S3840" t="s">
        <v>648</v>
      </c>
      <c r="T3840" t="s">
        <v>161</v>
      </c>
      <c r="U3840">
        <v>0.10258944192513188</v>
      </c>
      <c r="V3840" t="s">
        <v>157</v>
      </c>
    </row>
    <row r="3841" spans="19:22" x14ac:dyDescent="0.45">
      <c r="S3841" t="s">
        <v>648</v>
      </c>
      <c r="T3841" t="s">
        <v>162</v>
      </c>
      <c r="U3841">
        <v>0.11007643062007134</v>
      </c>
      <c r="V3841" t="s">
        <v>157</v>
      </c>
    </row>
    <row r="3842" spans="19:22" x14ac:dyDescent="0.45">
      <c r="S3842" t="s">
        <v>648</v>
      </c>
      <c r="T3842" t="s">
        <v>163</v>
      </c>
      <c r="U3842">
        <v>0.14134355998519677</v>
      </c>
      <c r="V3842" t="s">
        <v>157</v>
      </c>
    </row>
    <row r="3843" spans="19:22" x14ac:dyDescent="0.45">
      <c r="S3843" t="s">
        <v>648</v>
      </c>
      <c r="T3843" t="s">
        <v>164</v>
      </c>
      <c r="U3843">
        <v>1.4828082612881164E-2</v>
      </c>
      <c r="V3843" t="s">
        <v>157</v>
      </c>
    </row>
    <row r="3844" spans="19:22" x14ac:dyDescent="0.45">
      <c r="S3844" t="s">
        <v>648</v>
      </c>
      <c r="T3844" t="s">
        <v>165</v>
      </c>
      <c r="U3844">
        <v>1.5247515667711204E-2</v>
      </c>
      <c r="V3844" t="s">
        <v>157</v>
      </c>
    </row>
    <row r="3845" spans="19:22" x14ac:dyDescent="0.45">
      <c r="S3845" t="s">
        <v>648</v>
      </c>
      <c r="T3845" t="s">
        <v>166</v>
      </c>
      <c r="U3845">
        <v>8.2012276034581472E-2</v>
      </c>
      <c r="V3845" t="s">
        <v>157</v>
      </c>
    </row>
    <row r="3846" spans="19:22" x14ac:dyDescent="0.45">
      <c r="S3846" t="s">
        <v>648</v>
      </c>
      <c r="T3846" t="s">
        <v>167</v>
      </c>
      <c r="U3846">
        <v>4.5268792190309118E-2</v>
      </c>
      <c r="V3846" t="s">
        <v>157</v>
      </c>
    </row>
    <row r="3847" spans="19:22" x14ac:dyDescent="0.45">
      <c r="S3847" t="s">
        <v>648</v>
      </c>
      <c r="T3847" t="s">
        <v>168</v>
      </c>
      <c r="U3847">
        <v>6.0862464508610464E-2</v>
      </c>
      <c r="V3847" t="s">
        <v>157</v>
      </c>
    </row>
    <row r="3848" spans="19:22" x14ac:dyDescent="0.45">
      <c r="S3848" t="s">
        <v>648</v>
      </c>
      <c r="T3848" t="s">
        <v>169</v>
      </c>
      <c r="U3848">
        <v>5.8951382744001609E-3</v>
      </c>
      <c r="V3848" t="s">
        <v>157</v>
      </c>
    </row>
    <row r="3849" spans="19:22" x14ac:dyDescent="0.45">
      <c r="S3849" t="s">
        <v>648</v>
      </c>
      <c r="T3849" t="s">
        <v>170</v>
      </c>
      <c r="U3849">
        <v>6.0445517319094475E-3</v>
      </c>
      <c r="V3849" t="s">
        <v>157</v>
      </c>
    </row>
    <row r="3850" spans="19:22" x14ac:dyDescent="0.45">
      <c r="S3850" t="s">
        <v>648</v>
      </c>
      <c r="T3850" t="s">
        <v>171</v>
      </c>
      <c r="U3850">
        <v>3.0696496872529795E-2</v>
      </c>
      <c r="V3850" t="s">
        <v>157</v>
      </c>
    </row>
    <row r="3851" spans="19:22" x14ac:dyDescent="0.45">
      <c r="S3851" t="s">
        <v>649</v>
      </c>
      <c r="T3851" t="s">
        <v>156</v>
      </c>
      <c r="U3851">
        <v>0.14601657032469112</v>
      </c>
      <c r="V3851" t="s">
        <v>157</v>
      </c>
    </row>
    <row r="3852" spans="19:22" x14ac:dyDescent="0.45">
      <c r="S3852" t="s">
        <v>649</v>
      </c>
      <c r="T3852" t="s">
        <v>158</v>
      </c>
      <c r="U3852">
        <v>0.19709872019243571</v>
      </c>
      <c r="V3852" t="s">
        <v>157</v>
      </c>
    </row>
    <row r="3853" spans="19:22" x14ac:dyDescent="0.45">
      <c r="S3853" t="s">
        <v>649</v>
      </c>
      <c r="T3853" t="s">
        <v>159</v>
      </c>
      <c r="U3853">
        <v>1.932682786240306E-2</v>
      </c>
      <c r="V3853" t="s">
        <v>157</v>
      </c>
    </row>
    <row r="3854" spans="19:22" x14ac:dyDescent="0.45">
      <c r="S3854" t="s">
        <v>649</v>
      </c>
      <c r="T3854" t="s">
        <v>160</v>
      </c>
      <c r="U3854">
        <v>1.9345716723426953E-2</v>
      </c>
      <c r="V3854" t="s">
        <v>157</v>
      </c>
    </row>
    <row r="3855" spans="19:22" x14ac:dyDescent="0.45">
      <c r="S3855" t="s">
        <v>649</v>
      </c>
      <c r="T3855" t="s">
        <v>161</v>
      </c>
      <c r="U3855">
        <v>0.10073819127617857</v>
      </c>
      <c r="V3855" t="s">
        <v>157</v>
      </c>
    </row>
    <row r="3856" spans="19:22" x14ac:dyDescent="0.45">
      <c r="S3856" t="s">
        <v>649</v>
      </c>
      <c r="T3856" t="s">
        <v>162</v>
      </c>
      <c r="U3856">
        <v>0.10903454400986201</v>
      </c>
      <c r="V3856" t="s">
        <v>157</v>
      </c>
    </row>
    <row r="3857" spans="19:22" x14ac:dyDescent="0.45">
      <c r="S3857" t="s">
        <v>649</v>
      </c>
      <c r="T3857" t="s">
        <v>163</v>
      </c>
      <c r="U3857">
        <v>0.14310188274164434</v>
      </c>
      <c r="V3857" t="s">
        <v>157</v>
      </c>
    </row>
    <row r="3858" spans="19:22" x14ac:dyDescent="0.45">
      <c r="S3858" t="s">
        <v>649</v>
      </c>
      <c r="T3858" t="s">
        <v>164</v>
      </c>
      <c r="U3858">
        <v>1.4873120837427143E-2</v>
      </c>
      <c r="V3858" t="s">
        <v>157</v>
      </c>
    </row>
    <row r="3859" spans="19:22" x14ac:dyDescent="0.45">
      <c r="S3859" t="s">
        <v>649</v>
      </c>
      <c r="T3859" t="s">
        <v>165</v>
      </c>
      <c r="U3859">
        <v>1.5457614952929641E-2</v>
      </c>
      <c r="V3859" t="s">
        <v>157</v>
      </c>
    </row>
    <row r="3860" spans="19:22" x14ac:dyDescent="0.45">
      <c r="S3860" t="s">
        <v>649</v>
      </c>
      <c r="T3860" t="s">
        <v>166</v>
      </c>
      <c r="U3860">
        <v>8.2137842054004789E-2</v>
      </c>
      <c r="V3860" t="s">
        <v>157</v>
      </c>
    </row>
    <row r="3861" spans="19:22" x14ac:dyDescent="0.45">
      <c r="S3861" t="s">
        <v>649</v>
      </c>
      <c r="T3861" t="s">
        <v>167</v>
      </c>
      <c r="U3861">
        <v>4.5271218642136353E-2</v>
      </c>
      <c r="V3861" t="s">
        <v>157</v>
      </c>
    </row>
    <row r="3862" spans="19:22" x14ac:dyDescent="0.45">
      <c r="S3862" t="s">
        <v>649</v>
      </c>
      <c r="T3862" t="s">
        <v>168</v>
      </c>
      <c r="U3862">
        <v>6.3762550945515348E-2</v>
      </c>
      <c r="V3862" t="s">
        <v>157</v>
      </c>
    </row>
    <row r="3863" spans="19:22" x14ac:dyDescent="0.45">
      <c r="S3863" t="s">
        <v>649</v>
      </c>
      <c r="T3863" t="s">
        <v>169</v>
      </c>
      <c r="U3863">
        <v>6.1197195719860566E-3</v>
      </c>
      <c r="V3863" t="s">
        <v>157</v>
      </c>
    </row>
    <row r="3864" spans="19:22" x14ac:dyDescent="0.45">
      <c r="S3864" t="s">
        <v>649</v>
      </c>
      <c r="T3864" t="s">
        <v>170</v>
      </c>
      <c r="U3864">
        <v>6.2744272262751253E-3</v>
      </c>
      <c r="V3864" t="s">
        <v>157</v>
      </c>
    </row>
    <row r="3865" spans="19:22" x14ac:dyDescent="0.45">
      <c r="S3865" t="s">
        <v>649</v>
      </c>
      <c r="T3865" t="s">
        <v>171</v>
      </c>
      <c r="U3865">
        <v>3.1441052639083693E-2</v>
      </c>
      <c r="V3865" t="s">
        <v>157</v>
      </c>
    </row>
    <row r="3866" spans="19:22" x14ac:dyDescent="0.45">
      <c r="S3866" t="s">
        <v>650</v>
      </c>
      <c r="T3866" t="s">
        <v>156</v>
      </c>
      <c r="U3866">
        <v>0.14413013808503486</v>
      </c>
      <c r="V3866" t="s">
        <v>157</v>
      </c>
    </row>
    <row r="3867" spans="19:22" x14ac:dyDescent="0.45">
      <c r="S3867" t="s">
        <v>650</v>
      </c>
      <c r="T3867" t="s">
        <v>158</v>
      </c>
      <c r="U3867">
        <v>0.19455130791958369</v>
      </c>
      <c r="V3867" t="s">
        <v>157</v>
      </c>
    </row>
    <row r="3868" spans="19:22" x14ac:dyDescent="0.45">
      <c r="S3868" t="s">
        <v>650</v>
      </c>
      <c r="T3868" t="s">
        <v>159</v>
      </c>
      <c r="U3868">
        <v>1.9290709317546166E-2</v>
      </c>
      <c r="V3868" t="s">
        <v>157</v>
      </c>
    </row>
    <row r="3869" spans="19:22" x14ac:dyDescent="0.45">
      <c r="S3869" t="s">
        <v>650</v>
      </c>
      <c r="T3869" t="s">
        <v>160</v>
      </c>
      <c r="U3869">
        <v>1.9704631991866891E-2</v>
      </c>
      <c r="V3869" t="s">
        <v>157</v>
      </c>
    </row>
    <row r="3870" spans="19:22" x14ac:dyDescent="0.45">
      <c r="S3870" t="s">
        <v>650</v>
      </c>
      <c r="T3870" t="s">
        <v>161</v>
      </c>
      <c r="U3870">
        <v>0.10314794682596708</v>
      </c>
      <c r="V3870" t="s">
        <v>157</v>
      </c>
    </row>
    <row r="3871" spans="19:22" x14ac:dyDescent="0.45">
      <c r="S3871" t="s">
        <v>650</v>
      </c>
      <c r="T3871" t="s">
        <v>162</v>
      </c>
      <c r="U3871">
        <v>0.1067258852885164</v>
      </c>
      <c r="V3871" t="s">
        <v>157</v>
      </c>
    </row>
    <row r="3872" spans="19:22" x14ac:dyDescent="0.45">
      <c r="S3872" t="s">
        <v>650</v>
      </c>
      <c r="T3872" t="s">
        <v>163</v>
      </c>
      <c r="U3872">
        <v>0.14430597814503032</v>
      </c>
      <c r="V3872" t="s">
        <v>157</v>
      </c>
    </row>
    <row r="3873" spans="19:22" x14ac:dyDescent="0.45">
      <c r="S3873" t="s">
        <v>650</v>
      </c>
      <c r="T3873" t="s">
        <v>164</v>
      </c>
      <c r="U3873">
        <v>1.4901041574852282E-2</v>
      </c>
      <c r="V3873" t="s">
        <v>157</v>
      </c>
    </row>
    <row r="3874" spans="19:22" x14ac:dyDescent="0.45">
      <c r="S3874" t="s">
        <v>650</v>
      </c>
      <c r="T3874" t="s">
        <v>165</v>
      </c>
      <c r="U3874">
        <v>1.5417154975728691E-2</v>
      </c>
      <c r="V3874" t="s">
        <v>157</v>
      </c>
    </row>
    <row r="3875" spans="19:22" x14ac:dyDescent="0.45">
      <c r="S3875" t="s">
        <v>650</v>
      </c>
      <c r="T3875" t="s">
        <v>166</v>
      </c>
      <c r="U3875">
        <v>8.0457205414470587E-2</v>
      </c>
      <c r="V3875" t="s">
        <v>157</v>
      </c>
    </row>
    <row r="3876" spans="19:22" x14ac:dyDescent="0.45">
      <c r="S3876" t="s">
        <v>650</v>
      </c>
      <c r="T3876" t="s">
        <v>167</v>
      </c>
      <c r="U3876">
        <v>4.5691453762542897E-2</v>
      </c>
      <c r="V3876" t="s">
        <v>157</v>
      </c>
    </row>
    <row r="3877" spans="19:22" x14ac:dyDescent="0.45">
      <c r="S3877" t="s">
        <v>650</v>
      </c>
      <c r="T3877" t="s">
        <v>168</v>
      </c>
      <c r="U3877">
        <v>6.6253504129856547E-2</v>
      </c>
      <c r="V3877" t="s">
        <v>157</v>
      </c>
    </row>
    <row r="3878" spans="19:22" x14ac:dyDescent="0.45">
      <c r="S3878" t="s">
        <v>650</v>
      </c>
      <c r="T3878" t="s">
        <v>169</v>
      </c>
      <c r="U3878">
        <v>6.638141892098051E-3</v>
      </c>
      <c r="V3878" t="s">
        <v>157</v>
      </c>
    </row>
    <row r="3879" spans="19:22" x14ac:dyDescent="0.45">
      <c r="S3879" t="s">
        <v>650</v>
      </c>
      <c r="T3879" t="s">
        <v>170</v>
      </c>
      <c r="U3879">
        <v>6.6894265550744509E-3</v>
      </c>
      <c r="V3879" t="s">
        <v>157</v>
      </c>
    </row>
    <row r="3880" spans="19:22" x14ac:dyDescent="0.45">
      <c r="S3880" t="s">
        <v>650</v>
      </c>
      <c r="T3880" t="s">
        <v>171</v>
      </c>
      <c r="U3880">
        <v>3.2095474121831155E-2</v>
      </c>
      <c r="V3880" t="s">
        <v>157</v>
      </c>
    </row>
    <row r="3881" spans="19:22" x14ac:dyDescent="0.45">
      <c r="S3881" t="s">
        <v>651</v>
      </c>
      <c r="T3881" t="s">
        <v>156</v>
      </c>
      <c r="U3881">
        <v>0.13742863392026222</v>
      </c>
      <c r="V3881" t="s">
        <v>157</v>
      </c>
    </row>
    <row r="3882" spans="19:22" x14ac:dyDescent="0.45">
      <c r="S3882" t="s">
        <v>651</v>
      </c>
      <c r="T3882" t="s">
        <v>158</v>
      </c>
      <c r="U3882">
        <v>0.18385806112554864</v>
      </c>
      <c r="V3882" t="s">
        <v>157</v>
      </c>
    </row>
    <row r="3883" spans="19:22" x14ac:dyDescent="0.45">
      <c r="S3883" t="s">
        <v>651</v>
      </c>
      <c r="T3883" t="s">
        <v>159</v>
      </c>
      <c r="U3883">
        <v>2.0505510148888687E-2</v>
      </c>
      <c r="V3883" t="s">
        <v>157</v>
      </c>
    </row>
    <row r="3884" spans="19:22" x14ac:dyDescent="0.45">
      <c r="S3884" t="s">
        <v>651</v>
      </c>
      <c r="T3884" t="s">
        <v>160</v>
      </c>
      <c r="U3884">
        <v>2.1119712584655621E-2</v>
      </c>
      <c r="V3884" t="s">
        <v>157</v>
      </c>
    </row>
    <row r="3885" spans="19:22" x14ac:dyDescent="0.45">
      <c r="S3885" t="s">
        <v>651</v>
      </c>
      <c r="T3885" t="s">
        <v>161</v>
      </c>
      <c r="U3885">
        <v>0.10531974760303842</v>
      </c>
      <c r="V3885" t="s">
        <v>157</v>
      </c>
    </row>
    <row r="3886" spans="19:22" x14ac:dyDescent="0.45">
      <c r="S3886" t="s">
        <v>651</v>
      </c>
      <c r="T3886" t="s">
        <v>162</v>
      </c>
      <c r="U3886">
        <v>0.11106063614832633</v>
      </c>
      <c r="V3886" t="s">
        <v>157</v>
      </c>
    </row>
    <row r="3887" spans="19:22" x14ac:dyDescent="0.45">
      <c r="S3887" t="s">
        <v>651</v>
      </c>
      <c r="T3887" t="s">
        <v>163</v>
      </c>
      <c r="U3887">
        <v>0.14969976333076626</v>
      </c>
      <c r="V3887" t="s">
        <v>157</v>
      </c>
    </row>
    <row r="3888" spans="19:22" x14ac:dyDescent="0.45">
      <c r="S3888" t="s">
        <v>651</v>
      </c>
      <c r="T3888" t="s">
        <v>164</v>
      </c>
      <c r="U3888">
        <v>1.4752685584009079E-2</v>
      </c>
      <c r="V3888" t="s">
        <v>157</v>
      </c>
    </row>
    <row r="3889" spans="19:22" x14ac:dyDescent="0.45">
      <c r="S3889" t="s">
        <v>651</v>
      </c>
      <c r="T3889" t="s">
        <v>165</v>
      </c>
      <c r="U3889">
        <v>1.5110553265482593E-2</v>
      </c>
      <c r="V3889" t="s">
        <v>157</v>
      </c>
    </row>
    <row r="3890" spans="19:22" x14ac:dyDescent="0.45">
      <c r="S3890" t="s">
        <v>651</v>
      </c>
      <c r="T3890" t="s">
        <v>166</v>
      </c>
      <c r="U3890">
        <v>8.0045630716992333E-2</v>
      </c>
      <c r="V3890" t="s">
        <v>157</v>
      </c>
    </row>
    <row r="3891" spans="19:22" x14ac:dyDescent="0.45">
      <c r="S3891" t="s">
        <v>651</v>
      </c>
      <c r="T3891" t="s">
        <v>167</v>
      </c>
      <c r="U3891">
        <v>4.7027943310765229E-2</v>
      </c>
      <c r="V3891" t="s">
        <v>157</v>
      </c>
    </row>
    <row r="3892" spans="19:22" x14ac:dyDescent="0.45">
      <c r="S3892" t="s">
        <v>651</v>
      </c>
      <c r="T3892" t="s">
        <v>168</v>
      </c>
      <c r="U3892">
        <v>6.618124592461451E-2</v>
      </c>
      <c r="V3892" t="s">
        <v>157</v>
      </c>
    </row>
    <row r="3893" spans="19:22" x14ac:dyDescent="0.45">
      <c r="S3893" t="s">
        <v>651</v>
      </c>
      <c r="T3893" t="s">
        <v>169</v>
      </c>
      <c r="U3893">
        <v>6.7043448878409337E-3</v>
      </c>
      <c r="V3893" t="s">
        <v>157</v>
      </c>
    </row>
    <row r="3894" spans="19:22" x14ac:dyDescent="0.45">
      <c r="S3894" t="s">
        <v>651</v>
      </c>
      <c r="T3894" t="s">
        <v>170</v>
      </c>
      <c r="U3894">
        <v>6.7799078701480144E-3</v>
      </c>
      <c r="V3894" t="s">
        <v>157</v>
      </c>
    </row>
    <row r="3895" spans="19:22" x14ac:dyDescent="0.45">
      <c r="S3895" t="s">
        <v>651</v>
      </c>
      <c r="T3895" t="s">
        <v>171</v>
      </c>
      <c r="U3895">
        <v>3.4405623578661067E-2</v>
      </c>
      <c r="V3895" t="s">
        <v>157</v>
      </c>
    </row>
    <row r="3896" spans="19:22" x14ac:dyDescent="0.45">
      <c r="S3896" t="s">
        <v>652</v>
      </c>
      <c r="T3896" t="s">
        <v>156</v>
      </c>
      <c r="U3896">
        <v>0.13599676632553875</v>
      </c>
      <c r="V3896" t="s">
        <v>157</v>
      </c>
    </row>
    <row r="3897" spans="19:22" x14ac:dyDescent="0.45">
      <c r="S3897" t="s">
        <v>652</v>
      </c>
      <c r="T3897" t="s">
        <v>158</v>
      </c>
      <c r="U3897">
        <v>0.18536021286280613</v>
      </c>
      <c r="V3897" t="s">
        <v>157</v>
      </c>
    </row>
    <row r="3898" spans="19:22" x14ac:dyDescent="0.45">
      <c r="S3898" t="s">
        <v>652</v>
      </c>
      <c r="T3898" t="s">
        <v>159</v>
      </c>
      <c r="U3898">
        <v>1.924592357449367E-2</v>
      </c>
      <c r="V3898" t="s">
        <v>157</v>
      </c>
    </row>
    <row r="3899" spans="19:22" x14ac:dyDescent="0.45">
      <c r="S3899" t="s">
        <v>652</v>
      </c>
      <c r="T3899" t="s">
        <v>160</v>
      </c>
      <c r="U3899">
        <v>1.9407453821350371E-2</v>
      </c>
      <c r="V3899" t="s">
        <v>157</v>
      </c>
    </row>
    <row r="3900" spans="19:22" x14ac:dyDescent="0.45">
      <c r="S3900" t="s">
        <v>652</v>
      </c>
      <c r="T3900" t="s">
        <v>161</v>
      </c>
      <c r="U3900">
        <v>9.577315241476124E-2</v>
      </c>
      <c r="V3900" t="s">
        <v>157</v>
      </c>
    </row>
    <row r="3901" spans="19:22" x14ac:dyDescent="0.45">
      <c r="S3901" t="s">
        <v>652</v>
      </c>
      <c r="T3901" t="s">
        <v>162</v>
      </c>
      <c r="U3901">
        <v>0.11189942683418182</v>
      </c>
      <c r="V3901" t="s">
        <v>157</v>
      </c>
    </row>
    <row r="3902" spans="19:22" x14ac:dyDescent="0.45">
      <c r="S3902" t="s">
        <v>652</v>
      </c>
      <c r="T3902" t="s">
        <v>163</v>
      </c>
      <c r="U3902">
        <v>0.15736313594912668</v>
      </c>
      <c r="V3902" t="s">
        <v>157</v>
      </c>
    </row>
    <row r="3903" spans="19:22" x14ac:dyDescent="0.45">
      <c r="S3903" t="s">
        <v>652</v>
      </c>
      <c r="T3903" t="s">
        <v>164</v>
      </c>
      <c r="U3903">
        <v>1.5460485760115498E-2</v>
      </c>
      <c r="V3903" t="s">
        <v>157</v>
      </c>
    </row>
    <row r="3904" spans="19:22" x14ac:dyDescent="0.45">
      <c r="S3904" t="s">
        <v>652</v>
      </c>
      <c r="T3904" t="s">
        <v>165</v>
      </c>
      <c r="U3904">
        <v>1.5653920950578694E-2</v>
      </c>
      <c r="V3904" t="s">
        <v>157</v>
      </c>
    </row>
    <row r="3905" spans="19:22" x14ac:dyDescent="0.45">
      <c r="S3905" t="s">
        <v>652</v>
      </c>
      <c r="T3905" t="s">
        <v>166</v>
      </c>
      <c r="U3905">
        <v>8.1030356817229462E-2</v>
      </c>
      <c r="V3905" t="s">
        <v>157</v>
      </c>
    </row>
    <row r="3906" spans="19:22" x14ac:dyDescent="0.45">
      <c r="S3906" t="s">
        <v>652</v>
      </c>
      <c r="T3906" t="s">
        <v>167</v>
      </c>
      <c r="U3906">
        <v>4.6347312765160339E-2</v>
      </c>
      <c r="V3906" t="s">
        <v>157</v>
      </c>
    </row>
    <row r="3907" spans="19:22" x14ac:dyDescent="0.45">
      <c r="S3907" t="s">
        <v>652</v>
      </c>
      <c r="T3907" t="s">
        <v>168</v>
      </c>
      <c r="U3907">
        <v>6.7812980988385466E-2</v>
      </c>
      <c r="V3907" t="s">
        <v>157</v>
      </c>
    </row>
    <row r="3908" spans="19:22" x14ac:dyDescent="0.45">
      <c r="S3908" t="s">
        <v>652</v>
      </c>
      <c r="T3908" t="s">
        <v>169</v>
      </c>
      <c r="U3908">
        <v>6.9138896999189165E-3</v>
      </c>
      <c r="V3908" t="s">
        <v>157</v>
      </c>
    </row>
    <row r="3909" spans="19:22" x14ac:dyDescent="0.45">
      <c r="S3909" t="s">
        <v>652</v>
      </c>
      <c r="T3909" t="s">
        <v>170</v>
      </c>
      <c r="U3909">
        <v>6.8242794704807758E-3</v>
      </c>
      <c r="V3909" t="s">
        <v>157</v>
      </c>
    </row>
    <row r="3910" spans="19:22" x14ac:dyDescent="0.45">
      <c r="S3910" t="s">
        <v>652</v>
      </c>
      <c r="T3910" t="s">
        <v>171</v>
      </c>
      <c r="U3910">
        <v>3.491070176587209E-2</v>
      </c>
      <c r="V3910" t="s">
        <v>157</v>
      </c>
    </row>
    <row r="3911" spans="19:22" x14ac:dyDescent="0.45">
      <c r="S3911" t="s">
        <v>653</v>
      </c>
      <c r="T3911" t="s">
        <v>156</v>
      </c>
      <c r="U3911">
        <v>0.13204505761530932</v>
      </c>
      <c r="V3911" t="s">
        <v>157</v>
      </c>
    </row>
    <row r="3912" spans="19:22" x14ac:dyDescent="0.45">
      <c r="S3912" t="s">
        <v>653</v>
      </c>
      <c r="T3912" t="s">
        <v>158</v>
      </c>
      <c r="U3912">
        <v>0.18442659413383269</v>
      </c>
      <c r="V3912" t="s">
        <v>157</v>
      </c>
    </row>
    <row r="3913" spans="19:22" x14ac:dyDescent="0.45">
      <c r="S3913" t="s">
        <v>653</v>
      </c>
      <c r="T3913" t="s">
        <v>159</v>
      </c>
      <c r="U3913">
        <v>1.879911220676515E-2</v>
      </c>
      <c r="V3913" t="s">
        <v>157</v>
      </c>
    </row>
    <row r="3914" spans="19:22" x14ac:dyDescent="0.45">
      <c r="S3914" t="s">
        <v>653</v>
      </c>
      <c r="T3914" t="s">
        <v>160</v>
      </c>
      <c r="U3914">
        <v>1.8679585177455851E-2</v>
      </c>
      <c r="V3914" t="s">
        <v>157</v>
      </c>
    </row>
    <row r="3915" spans="19:22" x14ac:dyDescent="0.45">
      <c r="S3915" t="s">
        <v>653</v>
      </c>
      <c r="T3915" t="s">
        <v>161</v>
      </c>
      <c r="U3915">
        <v>8.9428554204905295E-2</v>
      </c>
      <c r="V3915" t="s">
        <v>157</v>
      </c>
    </row>
    <row r="3916" spans="19:22" x14ac:dyDescent="0.45">
      <c r="S3916" t="s">
        <v>653</v>
      </c>
      <c r="T3916" t="s">
        <v>162</v>
      </c>
      <c r="U3916">
        <v>0.11467555217340088</v>
      </c>
      <c r="V3916" t="s">
        <v>157</v>
      </c>
    </row>
    <row r="3917" spans="19:22" x14ac:dyDescent="0.45">
      <c r="S3917" t="s">
        <v>653</v>
      </c>
      <c r="T3917" t="s">
        <v>163</v>
      </c>
      <c r="U3917">
        <v>0.16761952231315613</v>
      </c>
      <c r="V3917" t="s">
        <v>157</v>
      </c>
    </row>
    <row r="3918" spans="19:22" x14ac:dyDescent="0.45">
      <c r="S3918" t="s">
        <v>653</v>
      </c>
      <c r="T3918" t="s">
        <v>164</v>
      </c>
      <c r="U3918">
        <v>1.6901920532740571E-2</v>
      </c>
      <c r="V3918" t="s">
        <v>157</v>
      </c>
    </row>
    <row r="3919" spans="19:22" x14ac:dyDescent="0.45">
      <c r="S3919" t="s">
        <v>653</v>
      </c>
      <c r="T3919" t="s">
        <v>165</v>
      </c>
      <c r="U3919">
        <v>1.7039068388256851E-2</v>
      </c>
      <c r="V3919" t="s">
        <v>157</v>
      </c>
    </row>
    <row r="3920" spans="19:22" x14ac:dyDescent="0.45">
      <c r="S3920" t="s">
        <v>653</v>
      </c>
      <c r="T3920" t="s">
        <v>166</v>
      </c>
      <c r="U3920">
        <v>8.5629755189287712E-2</v>
      </c>
      <c r="V3920" t="s">
        <v>157</v>
      </c>
    </row>
    <row r="3921" spans="19:22" x14ac:dyDescent="0.45">
      <c r="S3921" t="s">
        <v>653</v>
      </c>
      <c r="T3921" t="s">
        <v>167</v>
      </c>
      <c r="U3921">
        <v>4.2116702611396363E-2</v>
      </c>
      <c r="V3921" t="s">
        <v>157</v>
      </c>
    </row>
    <row r="3922" spans="19:22" x14ac:dyDescent="0.45">
      <c r="S3922" t="s">
        <v>653</v>
      </c>
      <c r="T3922" t="s">
        <v>168</v>
      </c>
      <c r="U3922">
        <v>6.5922769343510643E-2</v>
      </c>
      <c r="V3922" t="s">
        <v>157</v>
      </c>
    </row>
    <row r="3923" spans="19:22" x14ac:dyDescent="0.45">
      <c r="S3923" t="s">
        <v>653</v>
      </c>
      <c r="T3923" t="s">
        <v>169</v>
      </c>
      <c r="U3923">
        <v>6.7288243802373091E-3</v>
      </c>
      <c r="V3923" t="s">
        <v>157</v>
      </c>
    </row>
    <row r="3924" spans="19:22" x14ac:dyDescent="0.45">
      <c r="S3924" t="s">
        <v>653</v>
      </c>
      <c r="T3924" t="s">
        <v>170</v>
      </c>
      <c r="U3924">
        <v>6.6841337856851464E-3</v>
      </c>
      <c r="V3924" t="s">
        <v>157</v>
      </c>
    </row>
    <row r="3925" spans="19:22" x14ac:dyDescent="0.45">
      <c r="S3925" t="s">
        <v>653</v>
      </c>
      <c r="T3925" t="s">
        <v>171</v>
      </c>
      <c r="U3925">
        <v>3.3302847944060097E-2</v>
      </c>
      <c r="V3925" t="s">
        <v>157</v>
      </c>
    </row>
    <row r="3926" spans="19:22" x14ac:dyDescent="0.45">
      <c r="S3926" t="s">
        <v>654</v>
      </c>
      <c r="T3926" t="s">
        <v>156</v>
      </c>
      <c r="U3926">
        <v>0.12387775178133878</v>
      </c>
      <c r="V3926" t="s">
        <v>157</v>
      </c>
    </row>
    <row r="3927" spans="19:22" x14ac:dyDescent="0.45">
      <c r="S3927" t="s">
        <v>654</v>
      </c>
      <c r="T3927" t="s">
        <v>158</v>
      </c>
      <c r="U3927">
        <v>0.17579914494864027</v>
      </c>
      <c r="V3927" t="s">
        <v>157</v>
      </c>
    </row>
    <row r="3928" spans="19:22" x14ac:dyDescent="0.45">
      <c r="S3928" t="s">
        <v>654</v>
      </c>
      <c r="T3928" t="s">
        <v>159</v>
      </c>
      <c r="U3928">
        <v>1.8546641325905559E-2</v>
      </c>
      <c r="V3928" t="s">
        <v>157</v>
      </c>
    </row>
    <row r="3929" spans="19:22" x14ac:dyDescent="0.45">
      <c r="S3929" t="s">
        <v>654</v>
      </c>
      <c r="T3929" t="s">
        <v>160</v>
      </c>
      <c r="U3929">
        <v>1.8500898375790848E-2</v>
      </c>
      <c r="V3929" t="s">
        <v>157</v>
      </c>
    </row>
    <row r="3930" spans="19:22" x14ac:dyDescent="0.45">
      <c r="S3930" t="s">
        <v>654</v>
      </c>
      <c r="T3930" t="s">
        <v>161</v>
      </c>
      <c r="U3930">
        <v>8.7321614129796638E-2</v>
      </c>
      <c r="V3930" t="s">
        <v>157</v>
      </c>
    </row>
    <row r="3931" spans="19:22" x14ac:dyDescent="0.45">
      <c r="S3931" t="s">
        <v>654</v>
      </c>
      <c r="T3931" t="s">
        <v>162</v>
      </c>
      <c r="U3931">
        <v>0.12151215085004334</v>
      </c>
      <c r="V3931" t="s">
        <v>157</v>
      </c>
    </row>
    <row r="3932" spans="19:22" x14ac:dyDescent="0.45">
      <c r="S3932" t="s">
        <v>654</v>
      </c>
      <c r="T3932" t="s">
        <v>163</v>
      </c>
      <c r="U3932">
        <v>0.17661042168353114</v>
      </c>
      <c r="V3932" t="s">
        <v>157</v>
      </c>
    </row>
    <row r="3933" spans="19:22" x14ac:dyDescent="0.45">
      <c r="S3933" t="s">
        <v>654</v>
      </c>
      <c r="T3933" t="s">
        <v>164</v>
      </c>
      <c r="U3933">
        <v>1.8443503051362786E-2</v>
      </c>
      <c r="V3933" t="s">
        <v>157</v>
      </c>
    </row>
    <row r="3934" spans="19:22" x14ac:dyDescent="0.45">
      <c r="S3934" t="s">
        <v>654</v>
      </c>
      <c r="T3934" t="s">
        <v>165</v>
      </c>
      <c r="U3934">
        <v>1.8653156550615241E-2</v>
      </c>
      <c r="V3934" t="s">
        <v>157</v>
      </c>
    </row>
    <row r="3935" spans="19:22" x14ac:dyDescent="0.45">
      <c r="S3935" t="s">
        <v>654</v>
      </c>
      <c r="T3935" t="s">
        <v>166</v>
      </c>
      <c r="U3935">
        <v>9.2736039297818679E-2</v>
      </c>
      <c r="V3935" t="s">
        <v>157</v>
      </c>
    </row>
    <row r="3936" spans="19:22" x14ac:dyDescent="0.45">
      <c r="S3936" t="s">
        <v>654</v>
      </c>
      <c r="T3936" t="s">
        <v>167</v>
      </c>
      <c r="U3936">
        <v>4.0578262511910844E-2</v>
      </c>
      <c r="V3936" t="s">
        <v>157</v>
      </c>
    </row>
    <row r="3937" spans="19:22" x14ac:dyDescent="0.45">
      <c r="S3937" t="s">
        <v>654</v>
      </c>
      <c r="T3937" t="s">
        <v>168</v>
      </c>
      <c r="U3937">
        <v>6.1769942231333502E-2</v>
      </c>
      <c r="V3937" t="s">
        <v>157</v>
      </c>
    </row>
    <row r="3938" spans="19:22" x14ac:dyDescent="0.45">
      <c r="S3938" t="s">
        <v>654</v>
      </c>
      <c r="T3938" t="s">
        <v>169</v>
      </c>
      <c r="U3938">
        <v>6.774028586695304E-3</v>
      </c>
      <c r="V3938" t="s">
        <v>157</v>
      </c>
    </row>
    <row r="3939" spans="19:22" x14ac:dyDescent="0.45">
      <c r="S3939" t="s">
        <v>654</v>
      </c>
      <c r="T3939" t="s">
        <v>170</v>
      </c>
      <c r="U3939">
        <v>6.7817890471482973E-3</v>
      </c>
      <c r="V3939" t="s">
        <v>157</v>
      </c>
    </row>
    <row r="3940" spans="19:22" x14ac:dyDescent="0.45">
      <c r="S3940" t="s">
        <v>654</v>
      </c>
      <c r="T3940" t="s">
        <v>171</v>
      </c>
      <c r="U3940">
        <v>3.2094655628068805E-2</v>
      </c>
      <c r="V3940" t="s">
        <v>157</v>
      </c>
    </row>
    <row r="3941" spans="19:22" x14ac:dyDescent="0.45">
      <c r="S3941" t="s">
        <v>655</v>
      </c>
      <c r="T3941" t="s">
        <v>156</v>
      </c>
      <c r="U3941">
        <v>0.11943314692679546</v>
      </c>
      <c r="V3941" t="s">
        <v>157</v>
      </c>
    </row>
    <row r="3942" spans="19:22" x14ac:dyDescent="0.45">
      <c r="S3942" t="s">
        <v>655</v>
      </c>
      <c r="T3942" t="s">
        <v>158</v>
      </c>
      <c r="U3942">
        <v>0.1725918201163982</v>
      </c>
      <c r="V3942" t="s">
        <v>157</v>
      </c>
    </row>
    <row r="3943" spans="19:22" x14ac:dyDescent="0.45">
      <c r="S3943" t="s">
        <v>655</v>
      </c>
      <c r="T3943" t="s">
        <v>159</v>
      </c>
      <c r="U3943">
        <v>1.8557603564373824E-2</v>
      </c>
      <c r="V3943" t="s">
        <v>157</v>
      </c>
    </row>
    <row r="3944" spans="19:22" x14ac:dyDescent="0.45">
      <c r="S3944" t="s">
        <v>655</v>
      </c>
      <c r="T3944" t="s">
        <v>160</v>
      </c>
      <c r="U3944">
        <v>1.8512437540663663E-2</v>
      </c>
      <c r="V3944" t="s">
        <v>157</v>
      </c>
    </row>
    <row r="3945" spans="19:22" x14ac:dyDescent="0.45">
      <c r="S3945" t="s">
        <v>655</v>
      </c>
      <c r="T3945" t="s">
        <v>161</v>
      </c>
      <c r="U3945">
        <v>8.8522412943700224E-2</v>
      </c>
      <c r="V3945" t="s">
        <v>157</v>
      </c>
    </row>
    <row r="3946" spans="19:22" x14ac:dyDescent="0.45">
      <c r="S3946" t="s">
        <v>655</v>
      </c>
      <c r="T3946" t="s">
        <v>162</v>
      </c>
      <c r="U3946">
        <v>0.12378854976152456</v>
      </c>
      <c r="V3946" t="s">
        <v>157</v>
      </c>
    </row>
    <row r="3947" spans="19:22" x14ac:dyDescent="0.45">
      <c r="S3947" t="s">
        <v>655</v>
      </c>
      <c r="T3947" t="s">
        <v>163</v>
      </c>
      <c r="U3947">
        <v>0.18009438311919515</v>
      </c>
      <c r="V3947" t="s">
        <v>157</v>
      </c>
    </row>
    <row r="3948" spans="19:22" x14ac:dyDescent="0.45">
      <c r="S3948" t="s">
        <v>655</v>
      </c>
      <c r="T3948" t="s">
        <v>164</v>
      </c>
      <c r="U3948">
        <v>1.9165014686129037E-2</v>
      </c>
      <c r="V3948" t="s">
        <v>157</v>
      </c>
    </row>
    <row r="3949" spans="19:22" x14ac:dyDescent="0.45">
      <c r="S3949" t="s">
        <v>655</v>
      </c>
      <c r="T3949" t="s">
        <v>165</v>
      </c>
      <c r="U3949">
        <v>1.9250091639191398E-2</v>
      </c>
      <c r="V3949" t="s">
        <v>157</v>
      </c>
    </row>
    <row r="3950" spans="19:22" x14ac:dyDescent="0.45">
      <c r="S3950" t="s">
        <v>655</v>
      </c>
      <c r="T3950" t="s">
        <v>166</v>
      </c>
      <c r="U3950">
        <v>9.4678963447695164E-2</v>
      </c>
      <c r="V3950" t="s">
        <v>157</v>
      </c>
    </row>
    <row r="3951" spans="19:22" x14ac:dyDescent="0.45">
      <c r="S3951" t="s">
        <v>655</v>
      </c>
      <c r="T3951" t="s">
        <v>167</v>
      </c>
      <c r="U3951">
        <v>3.9398193135641454E-2</v>
      </c>
      <c r="V3951" t="s">
        <v>157</v>
      </c>
    </row>
    <row r="3952" spans="19:22" x14ac:dyDescent="0.45">
      <c r="S3952" t="s">
        <v>655</v>
      </c>
      <c r="T3952" t="s">
        <v>168</v>
      </c>
      <c r="U3952">
        <v>6.1109574003299812E-2</v>
      </c>
      <c r="V3952" t="s">
        <v>157</v>
      </c>
    </row>
    <row r="3953" spans="19:22" x14ac:dyDescent="0.45">
      <c r="S3953" t="s">
        <v>655</v>
      </c>
      <c r="T3953" t="s">
        <v>169</v>
      </c>
      <c r="U3953">
        <v>6.7551695797843205E-3</v>
      </c>
      <c r="V3953" t="s">
        <v>157</v>
      </c>
    </row>
    <row r="3954" spans="19:22" x14ac:dyDescent="0.45">
      <c r="S3954" t="s">
        <v>655</v>
      </c>
      <c r="T3954" t="s">
        <v>170</v>
      </c>
      <c r="U3954">
        <v>6.6927185523225838E-3</v>
      </c>
      <c r="V3954" t="s">
        <v>157</v>
      </c>
    </row>
    <row r="3955" spans="19:22" x14ac:dyDescent="0.45">
      <c r="S3955" t="s">
        <v>655</v>
      </c>
      <c r="T3955" t="s">
        <v>171</v>
      </c>
      <c r="U3955">
        <v>3.1449920983285147E-2</v>
      </c>
      <c r="V3955" t="s">
        <v>157</v>
      </c>
    </row>
    <row r="3956" spans="19:22" x14ac:dyDescent="0.45">
      <c r="S3956" t="s">
        <v>656</v>
      </c>
      <c r="T3956" t="s">
        <v>156</v>
      </c>
      <c r="U3956">
        <v>0.11202222124187101</v>
      </c>
      <c r="V3956" t="s">
        <v>157</v>
      </c>
    </row>
    <row r="3957" spans="19:22" x14ac:dyDescent="0.45">
      <c r="S3957" t="s">
        <v>656</v>
      </c>
      <c r="T3957" t="s">
        <v>158</v>
      </c>
      <c r="U3957">
        <v>0.18089382610102744</v>
      </c>
      <c r="V3957" t="s">
        <v>157</v>
      </c>
    </row>
    <row r="3958" spans="19:22" x14ac:dyDescent="0.45">
      <c r="S3958" t="s">
        <v>656</v>
      </c>
      <c r="T3958" t="s">
        <v>159</v>
      </c>
      <c r="U3958">
        <v>2.0768700080609773E-2</v>
      </c>
      <c r="V3958" t="s">
        <v>157</v>
      </c>
    </row>
    <row r="3959" spans="19:22" x14ac:dyDescent="0.45">
      <c r="S3959" t="s">
        <v>656</v>
      </c>
      <c r="T3959" t="s">
        <v>160</v>
      </c>
      <c r="U3959">
        <v>2.0118502293415736E-2</v>
      </c>
      <c r="V3959" t="s">
        <v>157</v>
      </c>
    </row>
    <row r="3960" spans="19:22" x14ac:dyDescent="0.45">
      <c r="S3960" t="s">
        <v>656</v>
      </c>
      <c r="T3960" t="s">
        <v>161</v>
      </c>
      <c r="U3960">
        <v>8.7379110606888646E-2</v>
      </c>
      <c r="V3960" t="s">
        <v>157</v>
      </c>
    </row>
    <row r="3961" spans="19:22" x14ac:dyDescent="0.45">
      <c r="S3961" t="s">
        <v>656</v>
      </c>
      <c r="T3961" t="s">
        <v>162</v>
      </c>
      <c r="U3961">
        <v>0.12179506325569557</v>
      </c>
      <c r="V3961" t="s">
        <v>157</v>
      </c>
    </row>
    <row r="3962" spans="19:22" x14ac:dyDescent="0.45">
      <c r="S3962" t="s">
        <v>656</v>
      </c>
      <c r="T3962" t="s">
        <v>163</v>
      </c>
      <c r="U3962">
        <v>0.19383445880315822</v>
      </c>
      <c r="V3962" t="s">
        <v>157</v>
      </c>
    </row>
    <row r="3963" spans="19:22" x14ac:dyDescent="0.45">
      <c r="S3963" t="s">
        <v>656</v>
      </c>
      <c r="T3963" t="s">
        <v>164</v>
      </c>
      <c r="U3963">
        <v>1.786090608503826E-2</v>
      </c>
      <c r="V3963" t="s">
        <v>157</v>
      </c>
    </row>
    <row r="3964" spans="19:22" x14ac:dyDescent="0.45">
      <c r="S3964" t="s">
        <v>656</v>
      </c>
      <c r="T3964" t="s">
        <v>165</v>
      </c>
      <c r="U3964">
        <v>1.7607820976098799E-2</v>
      </c>
      <c r="V3964" t="s">
        <v>157</v>
      </c>
    </row>
    <row r="3965" spans="19:22" x14ac:dyDescent="0.45">
      <c r="S3965" t="s">
        <v>656</v>
      </c>
      <c r="T3965" t="s">
        <v>166</v>
      </c>
      <c r="U3965">
        <v>8.9717794433688949E-2</v>
      </c>
      <c r="V3965" t="s">
        <v>157</v>
      </c>
    </row>
    <row r="3966" spans="19:22" x14ac:dyDescent="0.45">
      <c r="S3966" t="s">
        <v>656</v>
      </c>
      <c r="T3966" t="s">
        <v>167</v>
      </c>
      <c r="U3966">
        <v>3.4941781018917484E-2</v>
      </c>
      <c r="V3966" t="s">
        <v>157</v>
      </c>
    </row>
    <row r="3967" spans="19:22" x14ac:dyDescent="0.45">
      <c r="S3967" t="s">
        <v>656</v>
      </c>
      <c r="T3967" t="s">
        <v>168</v>
      </c>
      <c r="U3967">
        <v>6.3894696250441502E-2</v>
      </c>
      <c r="V3967" t="s">
        <v>157</v>
      </c>
    </row>
    <row r="3968" spans="19:22" x14ac:dyDescent="0.45">
      <c r="S3968" t="s">
        <v>656</v>
      </c>
      <c r="T3968" t="s">
        <v>169</v>
      </c>
      <c r="U3968">
        <v>6.6669586853256736E-3</v>
      </c>
      <c r="V3968" t="s">
        <v>157</v>
      </c>
    </row>
    <row r="3969" spans="19:22" x14ac:dyDescent="0.45">
      <c r="S3969" t="s">
        <v>656</v>
      </c>
      <c r="T3969" t="s">
        <v>170</v>
      </c>
      <c r="U3969">
        <v>6.2414696438968641E-3</v>
      </c>
      <c r="V3969" t="s">
        <v>157</v>
      </c>
    </row>
    <row r="3970" spans="19:22" x14ac:dyDescent="0.45">
      <c r="S3970" t="s">
        <v>656</v>
      </c>
      <c r="T3970" t="s">
        <v>171</v>
      </c>
      <c r="U3970">
        <v>2.6256690523926048E-2</v>
      </c>
      <c r="V3970" t="s">
        <v>157</v>
      </c>
    </row>
    <row r="3971" spans="19:22" x14ac:dyDescent="0.45">
      <c r="S3971" t="s">
        <v>657</v>
      </c>
      <c r="T3971" t="s">
        <v>156</v>
      </c>
      <c r="U3971">
        <v>0.11066364146050257</v>
      </c>
      <c r="V3971" t="s">
        <v>157</v>
      </c>
    </row>
    <row r="3972" spans="19:22" x14ac:dyDescent="0.45">
      <c r="S3972" t="s">
        <v>657</v>
      </c>
      <c r="T3972" t="s">
        <v>158</v>
      </c>
      <c r="U3972">
        <v>0.18002842668805244</v>
      </c>
      <c r="V3972" t="s">
        <v>157</v>
      </c>
    </row>
    <row r="3973" spans="19:22" x14ac:dyDescent="0.45">
      <c r="S3973" t="s">
        <v>657</v>
      </c>
      <c r="T3973" t="s">
        <v>159</v>
      </c>
      <c r="U3973">
        <v>2.0881980581943158E-2</v>
      </c>
      <c r="V3973" t="s">
        <v>157</v>
      </c>
    </row>
    <row r="3974" spans="19:22" x14ac:dyDescent="0.45">
      <c r="S3974" t="s">
        <v>657</v>
      </c>
      <c r="T3974" t="s">
        <v>160</v>
      </c>
      <c r="U3974">
        <v>1.9802612118651988E-2</v>
      </c>
      <c r="V3974" t="s">
        <v>157</v>
      </c>
    </row>
    <row r="3975" spans="19:22" x14ac:dyDescent="0.45">
      <c r="S3975" t="s">
        <v>657</v>
      </c>
      <c r="T3975" t="s">
        <v>161</v>
      </c>
      <c r="U3975">
        <v>8.4426279520839129E-2</v>
      </c>
      <c r="V3975" t="s">
        <v>157</v>
      </c>
    </row>
    <row r="3976" spans="19:22" x14ac:dyDescent="0.45">
      <c r="S3976" t="s">
        <v>657</v>
      </c>
      <c r="T3976" t="s">
        <v>162</v>
      </c>
      <c r="U3976">
        <v>0.12397100956910574</v>
      </c>
      <c r="V3976" t="s">
        <v>157</v>
      </c>
    </row>
    <row r="3977" spans="19:22" x14ac:dyDescent="0.45">
      <c r="S3977" t="s">
        <v>657</v>
      </c>
      <c r="T3977" t="s">
        <v>163</v>
      </c>
      <c r="U3977">
        <v>0.19345556604165995</v>
      </c>
      <c r="V3977" t="s">
        <v>157</v>
      </c>
    </row>
    <row r="3978" spans="19:22" x14ac:dyDescent="0.45">
      <c r="S3978" t="s">
        <v>657</v>
      </c>
      <c r="T3978" t="s">
        <v>164</v>
      </c>
      <c r="U3978">
        <v>1.8113354202768533E-2</v>
      </c>
      <c r="V3978" t="s">
        <v>157</v>
      </c>
    </row>
    <row r="3979" spans="19:22" x14ac:dyDescent="0.45">
      <c r="S3979" t="s">
        <v>657</v>
      </c>
      <c r="T3979" t="s">
        <v>165</v>
      </c>
      <c r="U3979">
        <v>1.7880853909712294E-2</v>
      </c>
      <c r="V3979" t="s">
        <v>157</v>
      </c>
    </row>
    <row r="3980" spans="19:22" x14ac:dyDescent="0.45">
      <c r="S3980" t="s">
        <v>657</v>
      </c>
      <c r="T3980" t="s">
        <v>166</v>
      </c>
      <c r="U3980">
        <v>8.9368156126816381E-2</v>
      </c>
      <c r="V3980" t="s">
        <v>157</v>
      </c>
    </row>
    <row r="3981" spans="19:22" x14ac:dyDescent="0.45">
      <c r="S3981" t="s">
        <v>657</v>
      </c>
      <c r="T3981" t="s">
        <v>167</v>
      </c>
      <c r="U3981">
        <v>3.5642236231373393E-2</v>
      </c>
      <c r="V3981" t="s">
        <v>157</v>
      </c>
    </row>
    <row r="3982" spans="19:22" x14ac:dyDescent="0.45">
      <c r="S3982" t="s">
        <v>657</v>
      </c>
      <c r="T3982" t="s">
        <v>168</v>
      </c>
      <c r="U3982">
        <v>6.3935347534791034E-2</v>
      </c>
      <c r="V3982" t="s">
        <v>157</v>
      </c>
    </row>
    <row r="3983" spans="19:22" x14ac:dyDescent="0.45">
      <c r="S3983" t="s">
        <v>657</v>
      </c>
      <c r="T3983" t="s">
        <v>169</v>
      </c>
      <c r="U3983">
        <v>7.0125636812201943E-3</v>
      </c>
      <c r="V3983" t="s">
        <v>157</v>
      </c>
    </row>
    <row r="3984" spans="19:22" x14ac:dyDescent="0.45">
      <c r="S3984" t="s">
        <v>657</v>
      </c>
      <c r="T3984" t="s">
        <v>170</v>
      </c>
      <c r="U3984">
        <v>6.7040222443269853E-3</v>
      </c>
      <c r="V3984" t="s">
        <v>157</v>
      </c>
    </row>
    <row r="3985" spans="19:22" x14ac:dyDescent="0.45">
      <c r="S3985" t="s">
        <v>657</v>
      </c>
      <c r="T3985" t="s">
        <v>171</v>
      </c>
      <c r="U3985">
        <v>2.8113950088236236E-2</v>
      </c>
      <c r="V3985" t="s">
        <v>157</v>
      </c>
    </row>
    <row r="3986" spans="19:22" x14ac:dyDescent="0.45">
      <c r="S3986" t="s">
        <v>658</v>
      </c>
      <c r="T3986" t="s">
        <v>156</v>
      </c>
      <c r="U3986">
        <v>0.11547489430562448</v>
      </c>
      <c r="V3986" t="s">
        <v>157</v>
      </c>
    </row>
    <row r="3987" spans="19:22" x14ac:dyDescent="0.45">
      <c r="S3987" t="s">
        <v>658</v>
      </c>
      <c r="T3987" t="s">
        <v>158</v>
      </c>
      <c r="U3987">
        <v>0.18275239299599866</v>
      </c>
      <c r="V3987" t="s">
        <v>157</v>
      </c>
    </row>
    <row r="3988" spans="19:22" x14ac:dyDescent="0.45">
      <c r="S3988" t="s">
        <v>658</v>
      </c>
      <c r="T3988" t="s">
        <v>159</v>
      </c>
      <c r="U3988">
        <v>2.1223291294464083E-2</v>
      </c>
      <c r="V3988" t="s">
        <v>157</v>
      </c>
    </row>
    <row r="3989" spans="19:22" x14ac:dyDescent="0.45">
      <c r="S3989" t="s">
        <v>658</v>
      </c>
      <c r="T3989" t="s">
        <v>160</v>
      </c>
      <c r="U3989">
        <v>2.0896837620522198E-2</v>
      </c>
      <c r="V3989" t="s">
        <v>157</v>
      </c>
    </row>
    <row r="3990" spans="19:22" x14ac:dyDescent="0.45">
      <c r="S3990" t="s">
        <v>658</v>
      </c>
      <c r="T3990" t="s">
        <v>161</v>
      </c>
      <c r="U3990">
        <v>8.9731125902504524E-2</v>
      </c>
      <c r="V3990" t="s">
        <v>157</v>
      </c>
    </row>
    <row r="3991" spans="19:22" x14ac:dyDescent="0.45">
      <c r="S3991" t="s">
        <v>658</v>
      </c>
      <c r="T3991" t="s">
        <v>162</v>
      </c>
      <c r="U3991">
        <v>0.12382477839528908</v>
      </c>
      <c r="V3991" t="s">
        <v>157</v>
      </c>
    </row>
    <row r="3992" spans="19:22" x14ac:dyDescent="0.45">
      <c r="S3992" t="s">
        <v>658</v>
      </c>
      <c r="T3992" t="s">
        <v>163</v>
      </c>
      <c r="U3992">
        <v>0.18276758638145113</v>
      </c>
      <c r="V3992" t="s">
        <v>157</v>
      </c>
    </row>
    <row r="3993" spans="19:22" x14ac:dyDescent="0.45">
      <c r="S3993" t="s">
        <v>658</v>
      </c>
      <c r="T3993" t="s">
        <v>164</v>
      </c>
      <c r="U3993">
        <v>1.7131071456743585E-2</v>
      </c>
      <c r="V3993" t="s">
        <v>157</v>
      </c>
    </row>
    <row r="3994" spans="19:22" x14ac:dyDescent="0.45">
      <c r="S3994" t="s">
        <v>658</v>
      </c>
      <c r="T3994" t="s">
        <v>165</v>
      </c>
      <c r="U3994">
        <v>1.7341331591362551E-2</v>
      </c>
      <c r="V3994" t="s">
        <v>157</v>
      </c>
    </row>
    <row r="3995" spans="19:22" x14ac:dyDescent="0.45">
      <c r="S3995" t="s">
        <v>658</v>
      </c>
      <c r="T3995" t="s">
        <v>166</v>
      </c>
      <c r="U3995">
        <v>8.8983062296952076E-2</v>
      </c>
      <c r="V3995" t="s">
        <v>157</v>
      </c>
    </row>
    <row r="3996" spans="19:22" x14ac:dyDescent="0.45">
      <c r="S3996" t="s">
        <v>658</v>
      </c>
      <c r="T3996" t="s">
        <v>167</v>
      </c>
      <c r="U3996">
        <v>3.5690167659693711E-2</v>
      </c>
      <c r="V3996" t="s">
        <v>157</v>
      </c>
    </row>
    <row r="3997" spans="19:22" x14ac:dyDescent="0.45">
      <c r="S3997" t="s">
        <v>658</v>
      </c>
      <c r="T3997" t="s">
        <v>168</v>
      </c>
      <c r="U3997">
        <v>6.2335684917895866E-2</v>
      </c>
      <c r="V3997" t="s">
        <v>157</v>
      </c>
    </row>
    <row r="3998" spans="19:22" x14ac:dyDescent="0.45">
      <c r="S3998" t="s">
        <v>658</v>
      </c>
      <c r="T3998" t="s">
        <v>169</v>
      </c>
      <c r="U3998">
        <v>6.8456807375865342E-3</v>
      </c>
      <c r="V3998" t="s">
        <v>157</v>
      </c>
    </row>
    <row r="3999" spans="19:22" x14ac:dyDescent="0.45">
      <c r="S3999" t="s">
        <v>658</v>
      </c>
      <c r="T3999" t="s">
        <v>170</v>
      </c>
      <c r="U3999">
        <v>6.5912483651689082E-3</v>
      </c>
      <c r="V3999" t="s">
        <v>157</v>
      </c>
    </row>
    <row r="4000" spans="19:22" x14ac:dyDescent="0.45">
      <c r="S4000" t="s">
        <v>658</v>
      </c>
      <c r="T4000" t="s">
        <v>171</v>
      </c>
      <c r="U4000">
        <v>2.8410846078742655E-2</v>
      </c>
      <c r="V4000" t="s">
        <v>157</v>
      </c>
    </row>
    <row r="4001" spans="19:22" x14ac:dyDescent="0.45">
      <c r="S4001" t="s">
        <v>659</v>
      </c>
      <c r="T4001" t="s">
        <v>156</v>
      </c>
      <c r="U4001">
        <v>0.13042754015733016</v>
      </c>
      <c r="V4001" t="s">
        <v>157</v>
      </c>
    </row>
    <row r="4002" spans="19:22" x14ac:dyDescent="0.45">
      <c r="S4002" t="s">
        <v>659</v>
      </c>
      <c r="T4002" t="s">
        <v>158</v>
      </c>
      <c r="U4002">
        <v>0.1891009654248057</v>
      </c>
      <c r="V4002" t="s">
        <v>157</v>
      </c>
    </row>
    <row r="4003" spans="19:22" x14ac:dyDescent="0.45">
      <c r="S4003" t="s">
        <v>659</v>
      </c>
      <c r="T4003" t="s">
        <v>159</v>
      </c>
      <c r="U4003">
        <v>2.1276998637465388E-2</v>
      </c>
      <c r="V4003" t="s">
        <v>157</v>
      </c>
    </row>
    <row r="4004" spans="19:22" x14ac:dyDescent="0.45">
      <c r="S4004" t="s">
        <v>659</v>
      </c>
      <c r="T4004" t="s">
        <v>160</v>
      </c>
      <c r="U4004">
        <v>2.1421657515102457E-2</v>
      </c>
      <c r="V4004" t="s">
        <v>157</v>
      </c>
    </row>
    <row r="4005" spans="19:22" x14ac:dyDescent="0.45">
      <c r="S4005" t="s">
        <v>659</v>
      </c>
      <c r="T4005" t="s">
        <v>161</v>
      </c>
      <c r="U4005">
        <v>0.10206570115285556</v>
      </c>
      <c r="V4005" t="s">
        <v>157</v>
      </c>
    </row>
    <row r="4006" spans="19:22" x14ac:dyDescent="0.45">
      <c r="S4006" t="s">
        <v>659</v>
      </c>
      <c r="T4006" t="s">
        <v>162</v>
      </c>
      <c r="U4006">
        <v>0.1187008039378623</v>
      </c>
      <c r="V4006" t="s">
        <v>157</v>
      </c>
    </row>
    <row r="4007" spans="19:22" x14ac:dyDescent="0.45">
      <c r="S4007" t="s">
        <v>659</v>
      </c>
      <c r="T4007" t="s">
        <v>163</v>
      </c>
      <c r="U4007">
        <v>0.17455041647547359</v>
      </c>
      <c r="V4007" t="s">
        <v>157</v>
      </c>
    </row>
    <row r="4008" spans="19:22" x14ac:dyDescent="0.45">
      <c r="S4008" t="s">
        <v>659</v>
      </c>
      <c r="T4008" t="s">
        <v>164</v>
      </c>
      <c r="U4008">
        <v>1.6999606512189649E-2</v>
      </c>
      <c r="V4008" t="s">
        <v>157</v>
      </c>
    </row>
    <row r="4009" spans="19:22" x14ac:dyDescent="0.45">
      <c r="S4009" t="s">
        <v>659</v>
      </c>
      <c r="T4009" t="s">
        <v>165</v>
      </c>
      <c r="U4009">
        <v>1.638460810560308E-2</v>
      </c>
      <c r="V4009" t="s">
        <v>157</v>
      </c>
    </row>
    <row r="4010" spans="19:22" x14ac:dyDescent="0.45">
      <c r="S4010" t="s">
        <v>659</v>
      </c>
      <c r="T4010" t="s">
        <v>166</v>
      </c>
      <c r="U4010">
        <v>8.3228060238177803E-2</v>
      </c>
      <c r="V4010" t="s">
        <v>157</v>
      </c>
    </row>
    <row r="4011" spans="19:22" x14ac:dyDescent="0.45">
      <c r="S4011" t="s">
        <v>659</v>
      </c>
      <c r="T4011" t="s">
        <v>167</v>
      </c>
      <c r="U4011">
        <v>3.4103187008432741E-2</v>
      </c>
      <c r="V4011" t="s">
        <v>157</v>
      </c>
    </row>
    <row r="4012" spans="19:22" x14ac:dyDescent="0.45">
      <c r="S4012" t="s">
        <v>659</v>
      </c>
      <c r="T4012" t="s">
        <v>168</v>
      </c>
      <c r="U4012">
        <v>5.2496306652975541E-2</v>
      </c>
      <c r="V4012" t="s">
        <v>157</v>
      </c>
    </row>
    <row r="4013" spans="19:22" x14ac:dyDescent="0.45">
      <c r="S4013" t="s">
        <v>659</v>
      </c>
      <c r="T4013" t="s">
        <v>169</v>
      </c>
      <c r="U4013">
        <v>5.920968834792509E-3</v>
      </c>
      <c r="V4013" t="s">
        <v>157</v>
      </c>
    </row>
    <row r="4014" spans="19:22" x14ac:dyDescent="0.45">
      <c r="S4014" t="s">
        <v>659</v>
      </c>
      <c r="T4014" t="s">
        <v>170</v>
      </c>
      <c r="U4014">
        <v>5.7255094468321296E-3</v>
      </c>
      <c r="V4014" t="s">
        <v>157</v>
      </c>
    </row>
    <row r="4015" spans="19:22" x14ac:dyDescent="0.45">
      <c r="S4015" t="s">
        <v>659</v>
      </c>
      <c r="T4015" t="s">
        <v>171</v>
      </c>
      <c r="U4015">
        <v>2.7597669900101381E-2</v>
      </c>
      <c r="V4015" t="s">
        <v>157</v>
      </c>
    </row>
    <row r="4016" spans="19:22" x14ac:dyDescent="0.45">
      <c r="S4016" t="s">
        <v>660</v>
      </c>
      <c r="T4016" t="s">
        <v>156</v>
      </c>
      <c r="U4016">
        <v>0.13777902780949933</v>
      </c>
      <c r="V4016" t="s">
        <v>157</v>
      </c>
    </row>
    <row r="4017" spans="19:22" x14ac:dyDescent="0.45">
      <c r="S4017" t="s">
        <v>660</v>
      </c>
      <c r="T4017" t="s">
        <v>158</v>
      </c>
      <c r="U4017">
        <v>0.19180982057668391</v>
      </c>
      <c r="V4017" t="s">
        <v>157</v>
      </c>
    </row>
    <row r="4018" spans="19:22" x14ac:dyDescent="0.45">
      <c r="S4018" t="s">
        <v>660</v>
      </c>
      <c r="T4018" t="s">
        <v>159</v>
      </c>
      <c r="U4018">
        <v>2.118352927678176E-2</v>
      </c>
      <c r="V4018" t="s">
        <v>157</v>
      </c>
    </row>
    <row r="4019" spans="19:22" x14ac:dyDescent="0.45">
      <c r="S4019" t="s">
        <v>660</v>
      </c>
      <c r="T4019" t="s">
        <v>160</v>
      </c>
      <c r="U4019">
        <v>2.1483608356750582E-2</v>
      </c>
      <c r="V4019" t="s">
        <v>157</v>
      </c>
    </row>
    <row r="4020" spans="19:22" x14ac:dyDescent="0.45">
      <c r="S4020" t="s">
        <v>660</v>
      </c>
      <c r="T4020" t="s">
        <v>161</v>
      </c>
      <c r="U4020">
        <v>0.10492792835723032</v>
      </c>
      <c r="V4020" t="s">
        <v>157</v>
      </c>
    </row>
    <row r="4021" spans="19:22" x14ac:dyDescent="0.45">
      <c r="S4021" t="s">
        <v>660</v>
      </c>
      <c r="T4021" t="s">
        <v>162</v>
      </c>
      <c r="U4021">
        <v>0.11708710323067033</v>
      </c>
      <c r="V4021" t="s">
        <v>157</v>
      </c>
    </row>
    <row r="4022" spans="19:22" x14ac:dyDescent="0.45">
      <c r="S4022" t="s">
        <v>660</v>
      </c>
      <c r="T4022" t="s">
        <v>163</v>
      </c>
      <c r="U4022">
        <v>0.16881050939588982</v>
      </c>
      <c r="V4022" t="s">
        <v>157</v>
      </c>
    </row>
    <row r="4023" spans="19:22" x14ac:dyDescent="0.45">
      <c r="S4023" t="s">
        <v>660</v>
      </c>
      <c r="T4023" t="s">
        <v>164</v>
      </c>
      <c r="U4023">
        <v>1.7164067367192944E-2</v>
      </c>
      <c r="V4023" t="s">
        <v>157</v>
      </c>
    </row>
    <row r="4024" spans="19:22" x14ac:dyDescent="0.45">
      <c r="S4024" t="s">
        <v>660</v>
      </c>
      <c r="T4024" t="s">
        <v>165</v>
      </c>
      <c r="U4024">
        <v>1.6606839238939533E-2</v>
      </c>
      <c r="V4024" t="s">
        <v>157</v>
      </c>
    </row>
    <row r="4025" spans="19:22" x14ac:dyDescent="0.45">
      <c r="S4025" t="s">
        <v>660</v>
      </c>
      <c r="T4025" t="s">
        <v>166</v>
      </c>
      <c r="U4025">
        <v>8.199873468342031E-2</v>
      </c>
      <c r="V4025" t="s">
        <v>157</v>
      </c>
    </row>
    <row r="4026" spans="19:22" x14ac:dyDescent="0.45">
      <c r="S4026" t="s">
        <v>660</v>
      </c>
      <c r="T4026" t="s">
        <v>167</v>
      </c>
      <c r="U4026">
        <v>3.4095632884628004E-2</v>
      </c>
      <c r="V4026" t="s">
        <v>157</v>
      </c>
    </row>
    <row r="4027" spans="19:22" x14ac:dyDescent="0.45">
      <c r="S4027" t="s">
        <v>660</v>
      </c>
      <c r="T4027" t="s">
        <v>168</v>
      </c>
      <c r="U4027">
        <v>4.7546003593237622E-2</v>
      </c>
      <c r="V4027" t="s">
        <v>157</v>
      </c>
    </row>
    <row r="4028" spans="19:22" x14ac:dyDescent="0.45">
      <c r="S4028" t="s">
        <v>660</v>
      </c>
      <c r="T4028" t="s">
        <v>169</v>
      </c>
      <c r="U4028">
        <v>5.8065219712791797E-3</v>
      </c>
      <c r="V4028" t="s">
        <v>157</v>
      </c>
    </row>
    <row r="4029" spans="19:22" x14ac:dyDescent="0.45">
      <c r="S4029" t="s">
        <v>660</v>
      </c>
      <c r="T4029" t="s">
        <v>170</v>
      </c>
      <c r="U4029">
        <v>5.8609960841491107E-3</v>
      </c>
      <c r="V4029" t="s">
        <v>157</v>
      </c>
    </row>
    <row r="4030" spans="19:22" x14ac:dyDescent="0.45">
      <c r="S4030" t="s">
        <v>660</v>
      </c>
      <c r="T4030" t="s">
        <v>171</v>
      </c>
      <c r="U4030">
        <v>2.7839677173647267E-2</v>
      </c>
      <c r="V4030" t="s">
        <v>157</v>
      </c>
    </row>
    <row r="4031" spans="19:22" x14ac:dyDescent="0.45">
      <c r="S4031" t="s">
        <v>661</v>
      </c>
      <c r="T4031" t="s">
        <v>156</v>
      </c>
      <c r="U4031">
        <v>0.14166904421013851</v>
      </c>
      <c r="V4031" t="s">
        <v>157</v>
      </c>
    </row>
    <row r="4032" spans="19:22" x14ac:dyDescent="0.45">
      <c r="S4032" t="s">
        <v>661</v>
      </c>
      <c r="T4032" t="s">
        <v>158</v>
      </c>
      <c r="U4032">
        <v>0.1972846340297057</v>
      </c>
      <c r="V4032" t="s">
        <v>157</v>
      </c>
    </row>
    <row r="4033" spans="19:22" x14ac:dyDescent="0.45">
      <c r="S4033" t="s">
        <v>661</v>
      </c>
      <c r="T4033" t="s">
        <v>159</v>
      </c>
      <c r="U4033">
        <v>2.116760272770498E-2</v>
      </c>
      <c r="V4033" t="s">
        <v>157</v>
      </c>
    </row>
    <row r="4034" spans="19:22" x14ac:dyDescent="0.45">
      <c r="S4034" t="s">
        <v>661</v>
      </c>
      <c r="T4034" t="s">
        <v>160</v>
      </c>
      <c r="U4034">
        <v>2.137178827477371E-2</v>
      </c>
      <c r="V4034" t="s">
        <v>157</v>
      </c>
    </row>
    <row r="4035" spans="19:22" x14ac:dyDescent="0.45">
      <c r="S4035" t="s">
        <v>661</v>
      </c>
      <c r="T4035" t="s">
        <v>161</v>
      </c>
      <c r="U4035">
        <v>0.10524023659151874</v>
      </c>
      <c r="V4035" t="s">
        <v>157</v>
      </c>
    </row>
    <row r="4036" spans="19:22" x14ac:dyDescent="0.45">
      <c r="S4036" t="s">
        <v>661</v>
      </c>
      <c r="T4036" t="s">
        <v>162</v>
      </c>
      <c r="U4036">
        <v>0.1147755676841568</v>
      </c>
      <c r="V4036" t="s">
        <v>157</v>
      </c>
    </row>
    <row r="4037" spans="19:22" x14ac:dyDescent="0.45">
      <c r="S4037" t="s">
        <v>661</v>
      </c>
      <c r="T4037" t="s">
        <v>163</v>
      </c>
      <c r="U4037">
        <v>0.16351243088022432</v>
      </c>
      <c r="V4037" t="s">
        <v>157</v>
      </c>
    </row>
    <row r="4038" spans="19:22" x14ac:dyDescent="0.45">
      <c r="S4038" t="s">
        <v>661</v>
      </c>
      <c r="T4038" t="s">
        <v>164</v>
      </c>
      <c r="U4038">
        <v>1.6883127280773017E-2</v>
      </c>
      <c r="V4038" t="s">
        <v>157</v>
      </c>
    </row>
    <row r="4039" spans="19:22" x14ac:dyDescent="0.45">
      <c r="S4039" t="s">
        <v>661</v>
      </c>
      <c r="T4039" t="s">
        <v>165</v>
      </c>
      <c r="U4039">
        <v>1.6523101785812479E-2</v>
      </c>
      <c r="V4039" t="s">
        <v>157</v>
      </c>
    </row>
    <row r="4040" spans="19:22" x14ac:dyDescent="0.45">
      <c r="S4040" t="s">
        <v>661</v>
      </c>
      <c r="T4040" t="s">
        <v>166</v>
      </c>
      <c r="U4040">
        <v>8.1965458160604229E-2</v>
      </c>
      <c r="V4040" t="s">
        <v>157</v>
      </c>
    </row>
    <row r="4041" spans="19:22" x14ac:dyDescent="0.45">
      <c r="S4041" t="s">
        <v>661</v>
      </c>
      <c r="T4041" t="s">
        <v>167</v>
      </c>
      <c r="U4041">
        <v>3.465696681174979E-2</v>
      </c>
      <c r="V4041" t="s">
        <v>157</v>
      </c>
    </row>
    <row r="4042" spans="19:22" x14ac:dyDescent="0.45">
      <c r="S4042" t="s">
        <v>661</v>
      </c>
      <c r="T4042" t="s">
        <v>168</v>
      </c>
      <c r="U4042">
        <v>4.5637911421366729E-2</v>
      </c>
      <c r="V4042" t="s">
        <v>157</v>
      </c>
    </row>
    <row r="4043" spans="19:22" x14ac:dyDescent="0.45">
      <c r="S4043" t="s">
        <v>661</v>
      </c>
      <c r="T4043" t="s">
        <v>169</v>
      </c>
      <c r="U4043">
        <v>5.6696686393874146E-3</v>
      </c>
      <c r="V4043" t="s">
        <v>157</v>
      </c>
    </row>
    <row r="4044" spans="19:22" x14ac:dyDescent="0.45">
      <c r="S4044" t="s">
        <v>661</v>
      </c>
      <c r="T4044" t="s">
        <v>170</v>
      </c>
      <c r="U4044">
        <v>5.926753769646991E-3</v>
      </c>
      <c r="V4044" t="s">
        <v>157</v>
      </c>
    </row>
    <row r="4045" spans="19:22" x14ac:dyDescent="0.45">
      <c r="S4045" t="s">
        <v>661</v>
      </c>
      <c r="T4045" t="s">
        <v>171</v>
      </c>
      <c r="U4045">
        <v>2.7715707732436617E-2</v>
      </c>
      <c r="V4045" t="s">
        <v>157</v>
      </c>
    </row>
    <row r="4046" spans="19:22" x14ac:dyDescent="0.45">
      <c r="S4046" t="s">
        <v>662</v>
      </c>
      <c r="T4046" t="s">
        <v>156</v>
      </c>
      <c r="U4046">
        <v>0.14507284235048659</v>
      </c>
      <c r="V4046" t="s">
        <v>157</v>
      </c>
    </row>
    <row r="4047" spans="19:22" x14ac:dyDescent="0.45">
      <c r="S4047" t="s">
        <v>662</v>
      </c>
      <c r="T4047" t="s">
        <v>158</v>
      </c>
      <c r="U4047">
        <v>0.20252891019598215</v>
      </c>
      <c r="V4047" t="s">
        <v>157</v>
      </c>
    </row>
    <row r="4048" spans="19:22" x14ac:dyDescent="0.45">
      <c r="S4048" t="s">
        <v>662</v>
      </c>
      <c r="T4048" t="s">
        <v>159</v>
      </c>
      <c r="U4048">
        <v>2.1142619597081844E-2</v>
      </c>
      <c r="V4048" t="s">
        <v>157</v>
      </c>
    </row>
    <row r="4049" spans="19:22" x14ac:dyDescent="0.45">
      <c r="S4049" t="s">
        <v>662</v>
      </c>
      <c r="T4049" t="s">
        <v>160</v>
      </c>
      <c r="U4049">
        <v>2.1291650379296357E-2</v>
      </c>
      <c r="V4049" t="s">
        <v>157</v>
      </c>
    </row>
    <row r="4050" spans="19:22" x14ac:dyDescent="0.45">
      <c r="S4050" t="s">
        <v>662</v>
      </c>
      <c r="T4050" t="s">
        <v>161</v>
      </c>
      <c r="U4050">
        <v>0.10509318233691618</v>
      </c>
      <c r="V4050" t="s">
        <v>157</v>
      </c>
    </row>
    <row r="4051" spans="19:22" x14ac:dyDescent="0.45">
      <c r="S4051" t="s">
        <v>662</v>
      </c>
      <c r="T4051" t="s">
        <v>162</v>
      </c>
      <c r="U4051">
        <v>0.11264842050307128</v>
      </c>
      <c r="V4051" t="s">
        <v>157</v>
      </c>
    </row>
    <row r="4052" spans="19:22" x14ac:dyDescent="0.45">
      <c r="S4052" t="s">
        <v>662</v>
      </c>
      <c r="T4052" t="s">
        <v>163</v>
      </c>
      <c r="U4052">
        <v>0.1583529581708229</v>
      </c>
      <c r="V4052" t="s">
        <v>157</v>
      </c>
    </row>
    <row r="4053" spans="19:22" x14ac:dyDescent="0.45">
      <c r="S4053" t="s">
        <v>662</v>
      </c>
      <c r="T4053" t="s">
        <v>164</v>
      </c>
      <c r="U4053">
        <v>1.6398875863164887E-2</v>
      </c>
      <c r="V4053" t="s">
        <v>157</v>
      </c>
    </row>
    <row r="4054" spans="19:22" x14ac:dyDescent="0.45">
      <c r="S4054" t="s">
        <v>662</v>
      </c>
      <c r="T4054" t="s">
        <v>165</v>
      </c>
      <c r="U4054">
        <v>1.6268942060604891E-2</v>
      </c>
      <c r="V4054" t="s">
        <v>157</v>
      </c>
    </row>
    <row r="4055" spans="19:22" x14ac:dyDescent="0.45">
      <c r="S4055" t="s">
        <v>662</v>
      </c>
      <c r="T4055" t="s">
        <v>166</v>
      </c>
      <c r="U4055">
        <v>8.2121911071154685E-2</v>
      </c>
      <c r="V4055" t="s">
        <v>157</v>
      </c>
    </row>
    <row r="4056" spans="19:22" x14ac:dyDescent="0.45">
      <c r="S4056" t="s">
        <v>662</v>
      </c>
      <c r="T4056" t="s">
        <v>167</v>
      </c>
      <c r="U4056">
        <v>3.5690889923663191E-2</v>
      </c>
      <c r="V4056" t="s">
        <v>157</v>
      </c>
    </row>
    <row r="4057" spans="19:22" x14ac:dyDescent="0.45">
      <c r="S4057" t="s">
        <v>662</v>
      </c>
      <c r="T4057" t="s">
        <v>168</v>
      </c>
      <c r="U4057">
        <v>4.5112013068113133E-2</v>
      </c>
      <c r="V4057" t="s">
        <v>157</v>
      </c>
    </row>
    <row r="4058" spans="19:22" x14ac:dyDescent="0.45">
      <c r="S4058" t="s">
        <v>662</v>
      </c>
      <c r="T4058" t="s">
        <v>169</v>
      </c>
      <c r="U4058">
        <v>5.3579202665992465E-3</v>
      </c>
      <c r="V4058" t="s">
        <v>157</v>
      </c>
    </row>
    <row r="4059" spans="19:22" x14ac:dyDescent="0.45">
      <c r="S4059" t="s">
        <v>662</v>
      </c>
      <c r="T4059" t="s">
        <v>170</v>
      </c>
      <c r="U4059">
        <v>5.6617539392855099E-3</v>
      </c>
      <c r="V4059" t="s">
        <v>157</v>
      </c>
    </row>
    <row r="4060" spans="19:22" x14ac:dyDescent="0.45">
      <c r="S4060" t="s">
        <v>662</v>
      </c>
      <c r="T4060" t="s">
        <v>171</v>
      </c>
      <c r="U4060">
        <v>2.7257110273757098E-2</v>
      </c>
      <c r="V4060" t="s">
        <v>157</v>
      </c>
    </row>
    <row r="4061" spans="19:22" x14ac:dyDescent="0.45">
      <c r="S4061" t="s">
        <v>663</v>
      </c>
      <c r="T4061" t="s">
        <v>156</v>
      </c>
      <c r="U4061">
        <v>0.14784501434315064</v>
      </c>
      <c r="V4061" t="s">
        <v>157</v>
      </c>
    </row>
    <row r="4062" spans="19:22" x14ac:dyDescent="0.45">
      <c r="S4062" t="s">
        <v>663</v>
      </c>
      <c r="T4062" t="s">
        <v>158</v>
      </c>
      <c r="U4062">
        <v>0.20613110323502029</v>
      </c>
      <c r="V4062" t="s">
        <v>157</v>
      </c>
    </row>
    <row r="4063" spans="19:22" x14ac:dyDescent="0.45">
      <c r="S4063" t="s">
        <v>663</v>
      </c>
      <c r="T4063" t="s">
        <v>159</v>
      </c>
      <c r="U4063">
        <v>2.1011614757900192E-2</v>
      </c>
      <c r="V4063" t="s">
        <v>157</v>
      </c>
    </row>
    <row r="4064" spans="19:22" x14ac:dyDescent="0.45">
      <c r="S4064" t="s">
        <v>663</v>
      </c>
      <c r="T4064" t="s">
        <v>160</v>
      </c>
      <c r="U4064">
        <v>2.1226520463782289E-2</v>
      </c>
      <c r="V4064" t="s">
        <v>157</v>
      </c>
    </row>
    <row r="4065" spans="19:22" x14ac:dyDescent="0.45">
      <c r="S4065" t="s">
        <v>663</v>
      </c>
      <c r="T4065" t="s">
        <v>161</v>
      </c>
      <c r="U4065">
        <v>0.10537406515403112</v>
      </c>
      <c r="V4065" t="s">
        <v>157</v>
      </c>
    </row>
    <row r="4066" spans="19:22" x14ac:dyDescent="0.45">
      <c r="S4066" t="s">
        <v>663</v>
      </c>
      <c r="T4066" t="s">
        <v>162</v>
      </c>
      <c r="U4066">
        <v>0.11132738895323771</v>
      </c>
      <c r="V4066" t="s">
        <v>157</v>
      </c>
    </row>
    <row r="4067" spans="19:22" x14ac:dyDescent="0.45">
      <c r="S4067" t="s">
        <v>663</v>
      </c>
      <c r="T4067" t="s">
        <v>163</v>
      </c>
      <c r="U4067">
        <v>0.15463582138378643</v>
      </c>
      <c r="V4067" t="s">
        <v>157</v>
      </c>
    </row>
    <row r="4068" spans="19:22" x14ac:dyDescent="0.45">
      <c r="S4068" t="s">
        <v>663</v>
      </c>
      <c r="T4068" t="s">
        <v>164</v>
      </c>
      <c r="U4068">
        <v>1.6120299080135864E-2</v>
      </c>
      <c r="V4068" t="s">
        <v>157</v>
      </c>
    </row>
    <row r="4069" spans="19:22" x14ac:dyDescent="0.45">
      <c r="S4069" t="s">
        <v>663</v>
      </c>
      <c r="T4069" t="s">
        <v>165</v>
      </c>
      <c r="U4069">
        <v>1.6087392240338304E-2</v>
      </c>
      <c r="V4069" t="s">
        <v>157</v>
      </c>
    </row>
    <row r="4070" spans="19:22" x14ac:dyDescent="0.45">
      <c r="S4070" t="s">
        <v>663</v>
      </c>
      <c r="T4070" t="s">
        <v>166</v>
      </c>
      <c r="U4070">
        <v>8.1615632703515933E-2</v>
      </c>
      <c r="V4070" t="s">
        <v>157</v>
      </c>
    </row>
    <row r="4071" spans="19:22" x14ac:dyDescent="0.45">
      <c r="S4071" t="s">
        <v>663</v>
      </c>
      <c r="T4071" t="s">
        <v>167</v>
      </c>
      <c r="U4071">
        <v>3.651203759491127E-2</v>
      </c>
      <c r="V4071" t="s">
        <v>157</v>
      </c>
    </row>
    <row r="4072" spans="19:22" x14ac:dyDescent="0.45">
      <c r="S4072" t="s">
        <v>663</v>
      </c>
      <c r="T4072" t="s">
        <v>168</v>
      </c>
      <c r="U4072">
        <v>4.5399300802926978E-2</v>
      </c>
      <c r="V4072" t="s">
        <v>157</v>
      </c>
    </row>
    <row r="4073" spans="19:22" x14ac:dyDescent="0.45">
      <c r="S4073" t="s">
        <v>663</v>
      </c>
      <c r="T4073" t="s">
        <v>169</v>
      </c>
      <c r="U4073">
        <v>5.058548258058162E-3</v>
      </c>
      <c r="V4073" t="s">
        <v>157</v>
      </c>
    </row>
    <row r="4074" spans="19:22" x14ac:dyDescent="0.45">
      <c r="S4074" t="s">
        <v>663</v>
      </c>
      <c r="T4074" t="s">
        <v>170</v>
      </c>
      <c r="U4074">
        <v>5.2614682154957125E-3</v>
      </c>
      <c r="V4074" t="s">
        <v>157</v>
      </c>
    </row>
    <row r="4075" spans="19:22" x14ac:dyDescent="0.45">
      <c r="S4075" t="s">
        <v>663</v>
      </c>
      <c r="T4075" t="s">
        <v>171</v>
      </c>
      <c r="U4075">
        <v>2.6393792813709138E-2</v>
      </c>
      <c r="V4075" t="s">
        <v>157</v>
      </c>
    </row>
    <row r="4076" spans="19:22" x14ac:dyDescent="0.45">
      <c r="S4076" t="s">
        <v>664</v>
      </c>
      <c r="T4076" t="s">
        <v>156</v>
      </c>
      <c r="U4076">
        <v>0.14965422355898389</v>
      </c>
      <c r="V4076" t="s">
        <v>157</v>
      </c>
    </row>
    <row r="4077" spans="19:22" x14ac:dyDescent="0.45">
      <c r="S4077" t="s">
        <v>664</v>
      </c>
      <c r="T4077" t="s">
        <v>158</v>
      </c>
      <c r="U4077">
        <v>0.20918509509541311</v>
      </c>
      <c r="V4077" t="s">
        <v>157</v>
      </c>
    </row>
    <row r="4078" spans="19:22" x14ac:dyDescent="0.45">
      <c r="S4078" t="s">
        <v>664</v>
      </c>
      <c r="T4078" t="s">
        <v>159</v>
      </c>
      <c r="U4078">
        <v>2.0875929551659806E-2</v>
      </c>
      <c r="V4078" t="s">
        <v>157</v>
      </c>
    </row>
    <row r="4079" spans="19:22" x14ac:dyDescent="0.45">
      <c r="S4079" t="s">
        <v>664</v>
      </c>
      <c r="T4079" t="s">
        <v>160</v>
      </c>
      <c r="U4079">
        <v>2.1130160457899803E-2</v>
      </c>
      <c r="V4079" t="s">
        <v>157</v>
      </c>
    </row>
    <row r="4080" spans="19:22" x14ac:dyDescent="0.45">
      <c r="S4080" t="s">
        <v>664</v>
      </c>
      <c r="T4080" t="s">
        <v>161</v>
      </c>
      <c r="U4080">
        <v>0.10658997183345859</v>
      </c>
      <c r="V4080" t="s">
        <v>157</v>
      </c>
    </row>
    <row r="4081" spans="19:22" x14ac:dyDescent="0.45">
      <c r="S4081" t="s">
        <v>664</v>
      </c>
      <c r="T4081" t="s">
        <v>162</v>
      </c>
      <c r="U4081">
        <v>0.10989588989698286</v>
      </c>
      <c r="V4081" t="s">
        <v>157</v>
      </c>
    </row>
    <row r="4082" spans="19:22" x14ac:dyDescent="0.45">
      <c r="S4082" t="s">
        <v>664</v>
      </c>
      <c r="T4082" t="s">
        <v>163</v>
      </c>
      <c r="U4082">
        <v>0.15199728481803984</v>
      </c>
      <c r="V4082" t="s">
        <v>157</v>
      </c>
    </row>
    <row r="4083" spans="19:22" x14ac:dyDescent="0.45">
      <c r="S4083" t="s">
        <v>664</v>
      </c>
      <c r="T4083" t="s">
        <v>164</v>
      </c>
      <c r="U4083">
        <v>1.5912417941686401E-2</v>
      </c>
      <c r="V4083" t="s">
        <v>157</v>
      </c>
    </row>
    <row r="4084" spans="19:22" x14ac:dyDescent="0.45">
      <c r="S4084" t="s">
        <v>664</v>
      </c>
      <c r="T4084" t="s">
        <v>165</v>
      </c>
      <c r="U4084">
        <v>1.5863276143712416E-2</v>
      </c>
      <c r="V4084" t="s">
        <v>157</v>
      </c>
    </row>
    <row r="4085" spans="19:22" x14ac:dyDescent="0.45">
      <c r="S4085" t="s">
        <v>664</v>
      </c>
      <c r="T4085" t="s">
        <v>166</v>
      </c>
      <c r="U4085">
        <v>8.0199596519184846E-2</v>
      </c>
      <c r="V4085" t="s">
        <v>157</v>
      </c>
    </row>
    <row r="4086" spans="19:22" x14ac:dyDescent="0.45">
      <c r="S4086" t="s">
        <v>664</v>
      </c>
      <c r="T4086" t="s">
        <v>167</v>
      </c>
      <c r="U4086">
        <v>3.6790291719695924E-2</v>
      </c>
      <c r="V4086" t="s">
        <v>157</v>
      </c>
    </row>
    <row r="4087" spans="19:22" x14ac:dyDescent="0.45">
      <c r="S4087" t="s">
        <v>664</v>
      </c>
      <c r="T4087" t="s">
        <v>168</v>
      </c>
      <c r="U4087">
        <v>4.6607457417492372E-2</v>
      </c>
      <c r="V4087" t="s">
        <v>157</v>
      </c>
    </row>
    <row r="4088" spans="19:22" x14ac:dyDescent="0.45">
      <c r="S4088" t="s">
        <v>664</v>
      </c>
      <c r="T4088" t="s">
        <v>169</v>
      </c>
      <c r="U4088">
        <v>4.928901393496307E-3</v>
      </c>
      <c r="V4088" t="s">
        <v>157</v>
      </c>
    </row>
    <row r="4089" spans="19:22" x14ac:dyDescent="0.45">
      <c r="S4089" t="s">
        <v>664</v>
      </c>
      <c r="T4089" t="s">
        <v>170</v>
      </c>
      <c r="U4089">
        <v>5.0209418173889899E-3</v>
      </c>
      <c r="V4089" t="s">
        <v>157</v>
      </c>
    </row>
    <row r="4090" spans="19:22" x14ac:dyDescent="0.45">
      <c r="S4090" t="s">
        <v>664</v>
      </c>
      <c r="T4090" t="s">
        <v>171</v>
      </c>
      <c r="U4090">
        <v>2.5348561834904776E-2</v>
      </c>
      <c r="V4090" t="s">
        <v>157</v>
      </c>
    </row>
    <row r="4091" spans="19:22" x14ac:dyDescent="0.45">
      <c r="S4091" t="s">
        <v>665</v>
      </c>
      <c r="T4091" t="s">
        <v>156</v>
      </c>
      <c r="U4091">
        <v>0.15150129405459878</v>
      </c>
      <c r="V4091" t="s">
        <v>157</v>
      </c>
    </row>
    <row r="4092" spans="19:22" x14ac:dyDescent="0.45">
      <c r="S4092" t="s">
        <v>665</v>
      </c>
      <c r="T4092" t="s">
        <v>158</v>
      </c>
      <c r="U4092">
        <v>0.21339839848230849</v>
      </c>
      <c r="V4092" t="s">
        <v>157</v>
      </c>
    </row>
    <row r="4093" spans="19:22" x14ac:dyDescent="0.45">
      <c r="S4093" t="s">
        <v>665</v>
      </c>
      <c r="T4093" t="s">
        <v>159</v>
      </c>
      <c r="U4093">
        <v>2.122013332821102E-2</v>
      </c>
      <c r="V4093" t="s">
        <v>157</v>
      </c>
    </row>
    <row r="4094" spans="19:22" x14ac:dyDescent="0.45">
      <c r="S4094" t="s">
        <v>665</v>
      </c>
      <c r="T4094" t="s">
        <v>160</v>
      </c>
      <c r="U4094">
        <v>2.1436815701911176E-2</v>
      </c>
      <c r="V4094" t="s">
        <v>157</v>
      </c>
    </row>
    <row r="4095" spans="19:22" x14ac:dyDescent="0.45">
      <c r="S4095" t="s">
        <v>665</v>
      </c>
      <c r="T4095" t="s">
        <v>161</v>
      </c>
      <c r="U4095">
        <v>0.10757121694804608</v>
      </c>
      <c r="V4095" t="s">
        <v>157</v>
      </c>
    </row>
    <row r="4096" spans="19:22" x14ac:dyDescent="0.45">
      <c r="S4096" t="s">
        <v>665</v>
      </c>
      <c r="T4096" t="s">
        <v>162</v>
      </c>
      <c r="U4096">
        <v>0.10776160519318739</v>
      </c>
      <c r="V4096" t="s">
        <v>157</v>
      </c>
    </row>
    <row r="4097" spans="19:22" x14ac:dyDescent="0.45">
      <c r="S4097" t="s">
        <v>665</v>
      </c>
      <c r="T4097" t="s">
        <v>163</v>
      </c>
      <c r="U4097">
        <v>0.14953784500740369</v>
      </c>
      <c r="V4097" t="s">
        <v>157</v>
      </c>
    </row>
    <row r="4098" spans="19:22" x14ac:dyDescent="0.45">
      <c r="S4098" t="s">
        <v>665</v>
      </c>
      <c r="T4098" t="s">
        <v>164</v>
      </c>
      <c r="U4098">
        <v>1.5541381428916017E-2</v>
      </c>
      <c r="V4098" t="s">
        <v>157</v>
      </c>
    </row>
    <row r="4099" spans="19:22" x14ac:dyDescent="0.45">
      <c r="S4099" t="s">
        <v>665</v>
      </c>
      <c r="T4099" t="s">
        <v>165</v>
      </c>
      <c r="U4099">
        <v>1.5609841717021355E-2</v>
      </c>
      <c r="V4099" t="s">
        <v>157</v>
      </c>
    </row>
    <row r="4100" spans="19:22" x14ac:dyDescent="0.45">
      <c r="S4100" t="s">
        <v>665</v>
      </c>
      <c r="T4100" t="s">
        <v>166</v>
      </c>
      <c r="U4100">
        <v>7.8802636971743972E-2</v>
      </c>
      <c r="V4100" t="s">
        <v>157</v>
      </c>
    </row>
    <row r="4101" spans="19:22" x14ac:dyDescent="0.45">
      <c r="S4101" t="s">
        <v>665</v>
      </c>
      <c r="T4101" t="s">
        <v>167</v>
      </c>
      <c r="U4101">
        <v>3.6432336977404153E-2</v>
      </c>
      <c r="V4101" t="s">
        <v>157</v>
      </c>
    </row>
    <row r="4102" spans="19:22" x14ac:dyDescent="0.45">
      <c r="S4102" t="s">
        <v>665</v>
      </c>
      <c r="T4102" t="s">
        <v>168</v>
      </c>
      <c r="U4102">
        <v>4.7226779714218257E-2</v>
      </c>
      <c r="V4102" t="s">
        <v>157</v>
      </c>
    </row>
    <row r="4103" spans="19:22" x14ac:dyDescent="0.45">
      <c r="S4103" t="s">
        <v>665</v>
      </c>
      <c r="T4103" t="s">
        <v>169</v>
      </c>
      <c r="U4103">
        <v>4.8105151276165731E-3</v>
      </c>
      <c r="V4103" t="s">
        <v>157</v>
      </c>
    </row>
    <row r="4104" spans="19:22" x14ac:dyDescent="0.45">
      <c r="S4104" t="s">
        <v>665</v>
      </c>
      <c r="T4104" t="s">
        <v>170</v>
      </c>
      <c r="U4104">
        <v>4.820435526356321E-3</v>
      </c>
      <c r="V4104" t="s">
        <v>157</v>
      </c>
    </row>
    <row r="4105" spans="19:22" x14ac:dyDescent="0.45">
      <c r="S4105" t="s">
        <v>665</v>
      </c>
      <c r="T4105" t="s">
        <v>171</v>
      </c>
      <c r="U4105">
        <v>2.4328763821056674E-2</v>
      </c>
      <c r="V4105" t="s">
        <v>157</v>
      </c>
    </row>
    <row r="4106" spans="19:22" x14ac:dyDescent="0.45">
      <c r="S4106" t="s">
        <v>666</v>
      </c>
      <c r="T4106" t="s">
        <v>156</v>
      </c>
      <c r="U4106">
        <v>0.14239055629935898</v>
      </c>
      <c r="V4106" t="s">
        <v>157</v>
      </c>
    </row>
    <row r="4107" spans="19:22" x14ac:dyDescent="0.45">
      <c r="S4107" t="s">
        <v>666</v>
      </c>
      <c r="T4107" t="s">
        <v>158</v>
      </c>
      <c r="U4107">
        <v>0.21045133553972273</v>
      </c>
      <c r="V4107" t="s">
        <v>157</v>
      </c>
    </row>
    <row r="4108" spans="19:22" x14ac:dyDescent="0.45">
      <c r="S4108" t="s">
        <v>666</v>
      </c>
      <c r="T4108" t="s">
        <v>159</v>
      </c>
      <c r="U4108">
        <v>2.0404489601170955E-2</v>
      </c>
      <c r="V4108" t="s">
        <v>157</v>
      </c>
    </row>
    <row r="4109" spans="19:22" x14ac:dyDescent="0.45">
      <c r="S4109" t="s">
        <v>666</v>
      </c>
      <c r="T4109" t="s">
        <v>160</v>
      </c>
      <c r="U4109">
        <v>2.0114424675484955E-2</v>
      </c>
      <c r="V4109" t="s">
        <v>157</v>
      </c>
    </row>
    <row r="4110" spans="19:22" x14ac:dyDescent="0.45">
      <c r="S4110" t="s">
        <v>666</v>
      </c>
      <c r="T4110" t="s">
        <v>161</v>
      </c>
      <c r="U4110">
        <v>0.10119940291314836</v>
      </c>
      <c r="V4110" t="s">
        <v>157</v>
      </c>
    </row>
    <row r="4111" spans="19:22" x14ac:dyDescent="0.45">
      <c r="S4111" t="s">
        <v>666</v>
      </c>
      <c r="T4111" t="s">
        <v>162</v>
      </c>
      <c r="U4111">
        <v>0.10862463367620079</v>
      </c>
      <c r="V4111" t="s">
        <v>157</v>
      </c>
    </row>
    <row r="4112" spans="19:22" x14ac:dyDescent="0.45">
      <c r="S4112" t="s">
        <v>666</v>
      </c>
      <c r="T4112" t="s">
        <v>163</v>
      </c>
      <c r="U4112">
        <v>0.13968222596810778</v>
      </c>
      <c r="V4112" t="s">
        <v>157</v>
      </c>
    </row>
    <row r="4113" spans="19:22" x14ac:dyDescent="0.45">
      <c r="S4113" t="s">
        <v>666</v>
      </c>
      <c r="T4113" t="s">
        <v>164</v>
      </c>
      <c r="U4113">
        <v>1.4242239632047448E-2</v>
      </c>
      <c r="V4113" t="s">
        <v>157</v>
      </c>
    </row>
    <row r="4114" spans="19:22" x14ac:dyDescent="0.45">
      <c r="S4114" t="s">
        <v>666</v>
      </c>
      <c r="T4114" t="s">
        <v>165</v>
      </c>
      <c r="U4114">
        <v>1.4535056692025603E-2</v>
      </c>
      <c r="V4114" t="s">
        <v>157</v>
      </c>
    </row>
    <row r="4115" spans="19:22" x14ac:dyDescent="0.45">
      <c r="S4115" t="s">
        <v>666</v>
      </c>
      <c r="T4115" t="s">
        <v>166</v>
      </c>
      <c r="U4115">
        <v>7.8913055288065595E-2</v>
      </c>
      <c r="V4115" t="s">
        <v>157</v>
      </c>
    </row>
    <row r="4116" spans="19:22" x14ac:dyDescent="0.45">
      <c r="S4116" t="s">
        <v>666</v>
      </c>
      <c r="T4116" t="s">
        <v>167</v>
      </c>
      <c r="U4116">
        <v>4.5134954953396492E-2</v>
      </c>
      <c r="V4116" t="s">
        <v>157</v>
      </c>
    </row>
    <row r="4117" spans="19:22" x14ac:dyDescent="0.45">
      <c r="S4117" t="s">
        <v>666</v>
      </c>
      <c r="T4117" t="s">
        <v>168</v>
      </c>
      <c r="U4117">
        <v>6.1479634875820775E-2</v>
      </c>
      <c r="V4117" t="s">
        <v>157</v>
      </c>
    </row>
    <row r="4118" spans="19:22" x14ac:dyDescent="0.45">
      <c r="S4118" t="s">
        <v>666</v>
      </c>
      <c r="T4118" t="s">
        <v>169</v>
      </c>
      <c r="U4118">
        <v>5.9983857086456866E-3</v>
      </c>
      <c r="V4118" t="s">
        <v>157</v>
      </c>
    </row>
    <row r="4119" spans="19:22" x14ac:dyDescent="0.45">
      <c r="S4119" t="s">
        <v>666</v>
      </c>
      <c r="T4119" t="s">
        <v>170</v>
      </c>
      <c r="U4119">
        <v>6.0957476107578379E-3</v>
      </c>
      <c r="V4119" t="s">
        <v>157</v>
      </c>
    </row>
    <row r="4120" spans="19:22" x14ac:dyDescent="0.45">
      <c r="S4120" t="s">
        <v>666</v>
      </c>
      <c r="T4120" t="s">
        <v>171</v>
      </c>
      <c r="U4120">
        <v>3.0733856566045926E-2</v>
      </c>
      <c r="V4120" t="s">
        <v>157</v>
      </c>
    </row>
    <row r="4121" spans="19:22" x14ac:dyDescent="0.45">
      <c r="S4121" t="s">
        <v>667</v>
      </c>
      <c r="T4121" t="s">
        <v>156</v>
      </c>
      <c r="U4121">
        <v>0.14252463862290687</v>
      </c>
      <c r="V4121" t="s">
        <v>157</v>
      </c>
    </row>
    <row r="4122" spans="19:22" x14ac:dyDescent="0.45">
      <c r="S4122" t="s">
        <v>667</v>
      </c>
      <c r="T4122" t="s">
        <v>158</v>
      </c>
      <c r="U4122">
        <v>0.20760221601810996</v>
      </c>
      <c r="V4122" t="s">
        <v>157</v>
      </c>
    </row>
    <row r="4123" spans="19:22" x14ac:dyDescent="0.45">
      <c r="S4123" t="s">
        <v>667</v>
      </c>
      <c r="T4123" t="s">
        <v>159</v>
      </c>
      <c r="U4123">
        <v>2.0280899856588871E-2</v>
      </c>
      <c r="V4123" t="s">
        <v>157</v>
      </c>
    </row>
    <row r="4124" spans="19:22" x14ac:dyDescent="0.45">
      <c r="S4124" t="s">
        <v>667</v>
      </c>
      <c r="T4124" t="s">
        <v>160</v>
      </c>
      <c r="U4124">
        <v>2.001424751194231E-2</v>
      </c>
      <c r="V4124" t="s">
        <v>157</v>
      </c>
    </row>
    <row r="4125" spans="19:22" x14ac:dyDescent="0.45">
      <c r="S4125" t="s">
        <v>667</v>
      </c>
      <c r="T4125" t="s">
        <v>161</v>
      </c>
      <c r="U4125">
        <v>0.10106776634746226</v>
      </c>
      <c r="V4125" t="s">
        <v>157</v>
      </c>
    </row>
    <row r="4126" spans="19:22" x14ac:dyDescent="0.45">
      <c r="S4126" t="s">
        <v>667</v>
      </c>
      <c r="T4126" t="s">
        <v>162</v>
      </c>
      <c r="U4126">
        <v>0.10850639738561117</v>
      </c>
      <c r="V4126" t="s">
        <v>157</v>
      </c>
    </row>
    <row r="4127" spans="19:22" x14ac:dyDescent="0.45">
      <c r="S4127" t="s">
        <v>667</v>
      </c>
      <c r="T4127" t="s">
        <v>163</v>
      </c>
      <c r="U4127">
        <v>0.14007688041672156</v>
      </c>
      <c r="V4127" t="s">
        <v>157</v>
      </c>
    </row>
    <row r="4128" spans="19:22" x14ac:dyDescent="0.45">
      <c r="S4128" t="s">
        <v>667</v>
      </c>
      <c r="T4128" t="s">
        <v>164</v>
      </c>
      <c r="U4128">
        <v>1.4469303646877298E-2</v>
      </c>
      <c r="V4128" t="s">
        <v>157</v>
      </c>
    </row>
    <row r="4129" spans="19:22" x14ac:dyDescent="0.45">
      <c r="S4129" t="s">
        <v>667</v>
      </c>
      <c r="T4129" t="s">
        <v>165</v>
      </c>
      <c r="U4129">
        <v>1.4820002856444279E-2</v>
      </c>
      <c r="V4129" t="s">
        <v>157</v>
      </c>
    </row>
    <row r="4130" spans="19:22" x14ac:dyDescent="0.45">
      <c r="S4130" t="s">
        <v>667</v>
      </c>
      <c r="T4130" t="s">
        <v>166</v>
      </c>
      <c r="U4130">
        <v>7.9647732193191156E-2</v>
      </c>
      <c r="V4130" t="s">
        <v>157</v>
      </c>
    </row>
    <row r="4131" spans="19:22" x14ac:dyDescent="0.45">
      <c r="S4131" t="s">
        <v>667</v>
      </c>
      <c r="T4131" t="s">
        <v>167</v>
      </c>
      <c r="U4131">
        <v>4.5639956673793523E-2</v>
      </c>
      <c r="V4131" t="s">
        <v>157</v>
      </c>
    </row>
    <row r="4132" spans="19:22" x14ac:dyDescent="0.45">
      <c r="S4132" t="s">
        <v>667</v>
      </c>
      <c r="T4132" t="s">
        <v>168</v>
      </c>
      <c r="U4132">
        <v>6.2464391022040398E-2</v>
      </c>
      <c r="V4132" t="s">
        <v>157</v>
      </c>
    </row>
    <row r="4133" spans="19:22" x14ac:dyDescent="0.45">
      <c r="S4133" t="s">
        <v>667</v>
      </c>
      <c r="T4133" t="s">
        <v>169</v>
      </c>
      <c r="U4133">
        <v>6.001712377798501E-3</v>
      </c>
      <c r="V4133" t="s">
        <v>157</v>
      </c>
    </row>
    <row r="4134" spans="19:22" x14ac:dyDescent="0.45">
      <c r="S4134" t="s">
        <v>667</v>
      </c>
      <c r="T4134" t="s">
        <v>170</v>
      </c>
      <c r="U4134">
        <v>6.1311822325754413E-3</v>
      </c>
      <c r="V4134" t="s">
        <v>157</v>
      </c>
    </row>
    <row r="4135" spans="19:22" x14ac:dyDescent="0.45">
      <c r="S4135" t="s">
        <v>667</v>
      </c>
      <c r="T4135" t="s">
        <v>171</v>
      </c>
      <c r="U4135">
        <v>3.0752672837936403E-2</v>
      </c>
      <c r="V4135" t="s">
        <v>157</v>
      </c>
    </row>
    <row r="4136" spans="19:22" x14ac:dyDescent="0.45">
      <c r="S4136" t="s">
        <v>668</v>
      </c>
      <c r="T4136" t="s">
        <v>156</v>
      </c>
      <c r="U4136">
        <v>0.14309885528188385</v>
      </c>
      <c r="V4136" t="s">
        <v>157</v>
      </c>
    </row>
    <row r="4137" spans="19:22" x14ac:dyDescent="0.45">
      <c r="S4137" t="s">
        <v>668</v>
      </c>
      <c r="T4137" t="s">
        <v>158</v>
      </c>
      <c r="U4137">
        <v>0.20382327579316428</v>
      </c>
      <c r="V4137" t="s">
        <v>157</v>
      </c>
    </row>
    <row r="4138" spans="19:22" x14ac:dyDescent="0.45">
      <c r="S4138" t="s">
        <v>668</v>
      </c>
      <c r="T4138" t="s">
        <v>159</v>
      </c>
      <c r="U4138">
        <v>1.983741016963006E-2</v>
      </c>
      <c r="V4138" t="s">
        <v>157</v>
      </c>
    </row>
    <row r="4139" spans="19:22" x14ac:dyDescent="0.45">
      <c r="S4139" t="s">
        <v>668</v>
      </c>
      <c r="T4139" t="s">
        <v>160</v>
      </c>
      <c r="U4139">
        <v>1.9543077992606631E-2</v>
      </c>
      <c r="V4139" t="s">
        <v>157</v>
      </c>
    </row>
    <row r="4140" spans="19:22" x14ac:dyDescent="0.45">
      <c r="S4140" t="s">
        <v>668</v>
      </c>
      <c r="T4140" t="s">
        <v>161</v>
      </c>
      <c r="U4140">
        <v>9.9853745187126641E-2</v>
      </c>
      <c r="V4140" t="s">
        <v>157</v>
      </c>
    </row>
    <row r="4141" spans="19:22" x14ac:dyDescent="0.45">
      <c r="S4141" t="s">
        <v>668</v>
      </c>
      <c r="T4141" t="s">
        <v>162</v>
      </c>
      <c r="U4141">
        <v>0.10798705303454836</v>
      </c>
      <c r="V4141" t="s">
        <v>157</v>
      </c>
    </row>
    <row r="4142" spans="19:22" x14ac:dyDescent="0.45">
      <c r="S4142" t="s">
        <v>668</v>
      </c>
      <c r="T4142" t="s">
        <v>163</v>
      </c>
      <c r="U4142">
        <v>0.14220481616968558</v>
      </c>
      <c r="V4142" t="s">
        <v>157</v>
      </c>
    </row>
    <row r="4143" spans="19:22" x14ac:dyDescent="0.45">
      <c r="S4143" t="s">
        <v>668</v>
      </c>
      <c r="T4143" t="s">
        <v>164</v>
      </c>
      <c r="U4143">
        <v>1.4732311384367223E-2</v>
      </c>
      <c r="V4143" t="s">
        <v>157</v>
      </c>
    </row>
    <row r="4144" spans="19:22" x14ac:dyDescent="0.45">
      <c r="S4144" t="s">
        <v>668</v>
      </c>
      <c r="T4144" t="s">
        <v>165</v>
      </c>
      <c r="U4144">
        <v>1.5066648732465255E-2</v>
      </c>
      <c r="V4144" t="s">
        <v>157</v>
      </c>
    </row>
    <row r="4145" spans="19:22" x14ac:dyDescent="0.45">
      <c r="S4145" t="s">
        <v>668</v>
      </c>
      <c r="T4145" t="s">
        <v>166</v>
      </c>
      <c r="U4145">
        <v>8.0637589132341772E-2</v>
      </c>
      <c r="V4145" t="s">
        <v>157</v>
      </c>
    </row>
    <row r="4146" spans="19:22" x14ac:dyDescent="0.45">
      <c r="S4146" t="s">
        <v>668</v>
      </c>
      <c r="T4146" t="s">
        <v>167</v>
      </c>
      <c r="U4146">
        <v>4.5752382395227921E-2</v>
      </c>
      <c r="V4146" t="s">
        <v>157</v>
      </c>
    </row>
    <row r="4147" spans="19:22" x14ac:dyDescent="0.45">
      <c r="S4147" t="s">
        <v>668</v>
      </c>
      <c r="T4147" t="s">
        <v>168</v>
      </c>
      <c r="U4147">
        <v>6.434542477493585E-2</v>
      </c>
      <c r="V4147" t="s">
        <v>157</v>
      </c>
    </row>
    <row r="4148" spans="19:22" x14ac:dyDescent="0.45">
      <c r="S4148" t="s">
        <v>668</v>
      </c>
      <c r="T4148" t="s">
        <v>169</v>
      </c>
      <c r="U4148">
        <v>6.1165752177040266E-3</v>
      </c>
      <c r="V4148" t="s">
        <v>157</v>
      </c>
    </row>
    <row r="4149" spans="19:22" x14ac:dyDescent="0.45">
      <c r="S4149" t="s">
        <v>668</v>
      </c>
      <c r="T4149" t="s">
        <v>170</v>
      </c>
      <c r="U4149">
        <v>6.1787616944900961E-3</v>
      </c>
      <c r="V4149" t="s">
        <v>157</v>
      </c>
    </row>
    <row r="4150" spans="19:22" x14ac:dyDescent="0.45">
      <c r="S4150" t="s">
        <v>668</v>
      </c>
      <c r="T4150" t="s">
        <v>171</v>
      </c>
      <c r="U4150">
        <v>3.0822073039822456E-2</v>
      </c>
      <c r="V4150" t="s">
        <v>157</v>
      </c>
    </row>
    <row r="4151" spans="19:22" x14ac:dyDescent="0.45">
      <c r="S4151" t="s">
        <v>669</v>
      </c>
      <c r="T4151" t="s">
        <v>156</v>
      </c>
      <c r="U4151">
        <v>0.14286165619899813</v>
      </c>
      <c r="V4151" t="s">
        <v>157</v>
      </c>
    </row>
    <row r="4152" spans="19:22" x14ac:dyDescent="0.45">
      <c r="S4152" t="s">
        <v>669</v>
      </c>
      <c r="T4152" t="s">
        <v>158</v>
      </c>
      <c r="U4152">
        <v>0.20014308716298462</v>
      </c>
      <c r="V4152" t="s">
        <v>157</v>
      </c>
    </row>
    <row r="4153" spans="19:22" x14ac:dyDescent="0.45">
      <c r="S4153" t="s">
        <v>669</v>
      </c>
      <c r="T4153" t="s">
        <v>159</v>
      </c>
      <c r="U4153">
        <v>1.9287033903827785E-2</v>
      </c>
      <c r="V4153" t="s">
        <v>157</v>
      </c>
    </row>
    <row r="4154" spans="19:22" x14ac:dyDescent="0.45">
      <c r="S4154" t="s">
        <v>669</v>
      </c>
      <c r="T4154" t="s">
        <v>160</v>
      </c>
      <c r="U4154">
        <v>1.9173305135773425E-2</v>
      </c>
      <c r="V4154" t="s">
        <v>157</v>
      </c>
    </row>
    <row r="4155" spans="19:22" x14ac:dyDescent="0.45">
      <c r="S4155" t="s">
        <v>669</v>
      </c>
      <c r="T4155" t="s">
        <v>161</v>
      </c>
      <c r="U4155">
        <v>9.8993059917286352E-2</v>
      </c>
      <c r="V4155" t="s">
        <v>157</v>
      </c>
    </row>
    <row r="4156" spans="19:22" x14ac:dyDescent="0.45">
      <c r="S4156" t="s">
        <v>669</v>
      </c>
      <c r="T4156" t="s">
        <v>162</v>
      </c>
      <c r="U4156">
        <v>0.10810468225735236</v>
      </c>
      <c r="V4156" t="s">
        <v>157</v>
      </c>
    </row>
    <row r="4157" spans="19:22" x14ac:dyDescent="0.45">
      <c r="S4157" t="s">
        <v>669</v>
      </c>
      <c r="T4157" t="s">
        <v>163</v>
      </c>
      <c r="U4157">
        <v>0.14570135859416247</v>
      </c>
      <c r="V4157" t="s">
        <v>157</v>
      </c>
    </row>
    <row r="4158" spans="19:22" x14ac:dyDescent="0.45">
      <c r="S4158" t="s">
        <v>669</v>
      </c>
      <c r="T4158" t="s">
        <v>164</v>
      </c>
      <c r="U4158">
        <v>1.5043549776023749E-2</v>
      </c>
      <c r="V4158" t="s">
        <v>157</v>
      </c>
    </row>
    <row r="4159" spans="19:22" x14ac:dyDescent="0.45">
      <c r="S4159" t="s">
        <v>669</v>
      </c>
      <c r="T4159" t="s">
        <v>165</v>
      </c>
      <c r="U4159">
        <v>1.5286783822626866E-2</v>
      </c>
      <c r="V4159" t="s">
        <v>157</v>
      </c>
    </row>
    <row r="4160" spans="19:22" x14ac:dyDescent="0.45">
      <c r="S4160" t="s">
        <v>669</v>
      </c>
      <c r="T4160" t="s">
        <v>166</v>
      </c>
      <c r="U4160">
        <v>8.1034604364390375E-2</v>
      </c>
      <c r="V4160" t="s">
        <v>157</v>
      </c>
    </row>
    <row r="4161" spans="19:22" x14ac:dyDescent="0.45">
      <c r="S4161" t="s">
        <v>669</v>
      </c>
      <c r="T4161" t="s">
        <v>167</v>
      </c>
      <c r="U4161">
        <v>4.5264789439381281E-2</v>
      </c>
      <c r="V4161" t="s">
        <v>157</v>
      </c>
    </row>
    <row r="4162" spans="19:22" x14ac:dyDescent="0.45">
      <c r="S4162" t="s">
        <v>669</v>
      </c>
      <c r="T4162" t="s">
        <v>168</v>
      </c>
      <c r="U4162">
        <v>6.5309774607382964E-2</v>
      </c>
      <c r="V4162" t="s">
        <v>157</v>
      </c>
    </row>
    <row r="4163" spans="19:22" x14ac:dyDescent="0.45">
      <c r="S4163" t="s">
        <v>669</v>
      </c>
      <c r="T4163" t="s">
        <v>169</v>
      </c>
      <c r="U4163">
        <v>6.2004384111318403E-3</v>
      </c>
      <c r="V4163" t="s">
        <v>157</v>
      </c>
    </row>
    <row r="4164" spans="19:22" x14ac:dyDescent="0.45">
      <c r="S4164" t="s">
        <v>669</v>
      </c>
      <c r="T4164" t="s">
        <v>170</v>
      </c>
      <c r="U4164">
        <v>6.2892934151401979E-3</v>
      </c>
      <c r="V4164" t="s">
        <v>157</v>
      </c>
    </row>
    <row r="4165" spans="19:22" x14ac:dyDescent="0.45">
      <c r="S4165" t="s">
        <v>669</v>
      </c>
      <c r="T4165" t="s">
        <v>171</v>
      </c>
      <c r="U4165">
        <v>3.1306582993537543E-2</v>
      </c>
      <c r="V4165" t="s">
        <v>157</v>
      </c>
    </row>
    <row r="4166" spans="19:22" x14ac:dyDescent="0.45">
      <c r="S4166" t="s">
        <v>670</v>
      </c>
      <c r="T4166" t="s">
        <v>156</v>
      </c>
      <c r="U4166">
        <v>0.1427509194355279</v>
      </c>
      <c r="V4166" t="s">
        <v>157</v>
      </c>
    </row>
    <row r="4167" spans="19:22" x14ac:dyDescent="0.45">
      <c r="S4167" t="s">
        <v>670</v>
      </c>
      <c r="T4167" t="s">
        <v>158</v>
      </c>
      <c r="U4167">
        <v>0.19571555556999584</v>
      </c>
      <c r="V4167" t="s">
        <v>157</v>
      </c>
    </row>
    <row r="4168" spans="19:22" x14ac:dyDescent="0.45">
      <c r="S4168" t="s">
        <v>670</v>
      </c>
      <c r="T4168" t="s">
        <v>159</v>
      </c>
      <c r="U4168">
        <v>1.9266270165388063E-2</v>
      </c>
      <c r="V4168" t="s">
        <v>157</v>
      </c>
    </row>
    <row r="4169" spans="19:22" x14ac:dyDescent="0.45">
      <c r="S4169" t="s">
        <v>670</v>
      </c>
      <c r="T4169" t="s">
        <v>160</v>
      </c>
      <c r="U4169">
        <v>1.9737340190024759E-2</v>
      </c>
      <c r="V4169" t="s">
        <v>157</v>
      </c>
    </row>
    <row r="4170" spans="19:22" x14ac:dyDescent="0.45">
      <c r="S4170" t="s">
        <v>670</v>
      </c>
      <c r="T4170" t="s">
        <v>161</v>
      </c>
      <c r="U4170">
        <v>0.1011731169365042</v>
      </c>
      <c r="V4170" t="s">
        <v>157</v>
      </c>
    </row>
    <row r="4171" spans="19:22" x14ac:dyDescent="0.45">
      <c r="S4171" t="s">
        <v>670</v>
      </c>
      <c r="T4171" t="s">
        <v>162</v>
      </c>
      <c r="U4171">
        <v>0.10921035901145303</v>
      </c>
      <c r="V4171" t="s">
        <v>157</v>
      </c>
    </row>
    <row r="4172" spans="19:22" x14ac:dyDescent="0.45">
      <c r="S4172" t="s">
        <v>670</v>
      </c>
      <c r="T4172" t="s">
        <v>163</v>
      </c>
      <c r="U4172">
        <v>0.1478260397779449</v>
      </c>
      <c r="V4172" t="s">
        <v>157</v>
      </c>
    </row>
    <row r="4173" spans="19:22" x14ac:dyDescent="0.45">
      <c r="S4173" t="s">
        <v>670</v>
      </c>
      <c r="T4173" t="s">
        <v>164</v>
      </c>
      <c r="U4173">
        <v>1.4976041167696791E-2</v>
      </c>
      <c r="V4173" t="s">
        <v>157</v>
      </c>
    </row>
    <row r="4174" spans="19:22" x14ac:dyDescent="0.45">
      <c r="S4174" t="s">
        <v>670</v>
      </c>
      <c r="T4174" t="s">
        <v>165</v>
      </c>
      <c r="U4174">
        <v>1.5091276643771289E-2</v>
      </c>
      <c r="V4174" t="s">
        <v>157</v>
      </c>
    </row>
    <row r="4175" spans="19:22" x14ac:dyDescent="0.45">
      <c r="S4175" t="s">
        <v>670</v>
      </c>
      <c r="T4175" t="s">
        <v>166</v>
      </c>
      <c r="U4175">
        <v>7.9877529376996673E-2</v>
      </c>
      <c r="V4175" t="s">
        <v>157</v>
      </c>
    </row>
    <row r="4176" spans="19:22" x14ac:dyDescent="0.45">
      <c r="S4176" t="s">
        <v>670</v>
      </c>
      <c r="T4176" t="s">
        <v>167</v>
      </c>
      <c r="U4176">
        <v>4.4687923985675615E-2</v>
      </c>
      <c r="V4176" t="s">
        <v>157</v>
      </c>
    </row>
    <row r="4177" spans="19:22" x14ac:dyDescent="0.45">
      <c r="S4177" t="s">
        <v>670</v>
      </c>
      <c r="T4177" t="s">
        <v>168</v>
      </c>
      <c r="U4177">
        <v>6.5259843300641177E-2</v>
      </c>
      <c r="V4177" t="s">
        <v>157</v>
      </c>
    </row>
    <row r="4178" spans="19:22" x14ac:dyDescent="0.45">
      <c r="S4178" t="s">
        <v>670</v>
      </c>
      <c r="T4178" t="s">
        <v>169</v>
      </c>
      <c r="U4178">
        <v>6.3934300302016661E-3</v>
      </c>
      <c r="V4178" t="s">
        <v>157</v>
      </c>
    </row>
    <row r="4179" spans="19:22" x14ac:dyDescent="0.45">
      <c r="S4179" t="s">
        <v>670</v>
      </c>
      <c r="T4179" t="s">
        <v>170</v>
      </c>
      <c r="U4179">
        <v>6.4317719450671757E-3</v>
      </c>
      <c r="V4179" t="s">
        <v>157</v>
      </c>
    </row>
    <row r="4180" spans="19:22" x14ac:dyDescent="0.45">
      <c r="S4180" t="s">
        <v>670</v>
      </c>
      <c r="T4180" t="s">
        <v>171</v>
      </c>
      <c r="U4180">
        <v>3.1602582463110936E-2</v>
      </c>
      <c r="V4180" t="s">
        <v>157</v>
      </c>
    </row>
    <row r="4181" spans="19:22" x14ac:dyDescent="0.45">
      <c r="S4181" t="s">
        <v>671</v>
      </c>
      <c r="T4181" t="s">
        <v>156</v>
      </c>
      <c r="U4181">
        <v>0.14298304343359647</v>
      </c>
      <c r="V4181" t="s">
        <v>157</v>
      </c>
    </row>
    <row r="4182" spans="19:22" x14ac:dyDescent="0.45">
      <c r="S4182" t="s">
        <v>671</v>
      </c>
      <c r="T4182" t="s">
        <v>158</v>
      </c>
      <c r="U4182">
        <v>0.19207814918897279</v>
      </c>
      <c r="V4182" t="s">
        <v>157</v>
      </c>
    </row>
    <row r="4183" spans="19:22" x14ac:dyDescent="0.45">
      <c r="S4183" t="s">
        <v>671</v>
      </c>
      <c r="T4183" t="s">
        <v>159</v>
      </c>
      <c r="U4183">
        <v>1.9652589221359911E-2</v>
      </c>
      <c r="V4183" t="s">
        <v>157</v>
      </c>
    </row>
    <row r="4184" spans="19:22" x14ac:dyDescent="0.45">
      <c r="S4184" t="s">
        <v>671</v>
      </c>
      <c r="T4184" t="s">
        <v>160</v>
      </c>
      <c r="U4184">
        <v>2.0199203451102824E-2</v>
      </c>
      <c r="V4184" t="s">
        <v>157</v>
      </c>
    </row>
    <row r="4185" spans="19:22" x14ac:dyDescent="0.45">
      <c r="S4185" t="s">
        <v>671</v>
      </c>
      <c r="T4185" t="s">
        <v>161</v>
      </c>
      <c r="U4185">
        <v>0.10510651444503974</v>
      </c>
      <c r="V4185" t="s">
        <v>157</v>
      </c>
    </row>
    <row r="4186" spans="19:22" x14ac:dyDescent="0.45">
      <c r="S4186" t="s">
        <v>671</v>
      </c>
      <c r="T4186" t="s">
        <v>162</v>
      </c>
      <c r="U4186">
        <v>0.1109950890183469</v>
      </c>
      <c r="V4186" t="s">
        <v>157</v>
      </c>
    </row>
    <row r="4187" spans="19:22" x14ac:dyDescent="0.45">
      <c r="S4187" t="s">
        <v>671</v>
      </c>
      <c r="T4187" t="s">
        <v>163</v>
      </c>
      <c r="U4187">
        <v>0.14865038291698845</v>
      </c>
      <c r="V4187" t="s">
        <v>157</v>
      </c>
    </row>
    <row r="4188" spans="19:22" x14ac:dyDescent="0.45">
      <c r="S4188" t="s">
        <v>671</v>
      </c>
      <c r="T4188" t="s">
        <v>164</v>
      </c>
      <c r="U4188">
        <v>1.4651252372346485E-2</v>
      </c>
      <c r="V4188" t="s">
        <v>157</v>
      </c>
    </row>
    <row r="4189" spans="19:22" x14ac:dyDescent="0.45">
      <c r="S4189" t="s">
        <v>671</v>
      </c>
      <c r="T4189" t="s">
        <v>165</v>
      </c>
      <c r="U4189">
        <v>1.4931696622926849E-2</v>
      </c>
      <c r="V4189" t="s">
        <v>157</v>
      </c>
    </row>
    <row r="4190" spans="19:22" x14ac:dyDescent="0.45">
      <c r="S4190" t="s">
        <v>671</v>
      </c>
      <c r="T4190" t="s">
        <v>166</v>
      </c>
      <c r="U4190">
        <v>7.8837090529884676E-2</v>
      </c>
      <c r="V4190" t="s">
        <v>157</v>
      </c>
    </row>
    <row r="4191" spans="19:22" x14ac:dyDescent="0.45">
      <c r="S4191" t="s">
        <v>671</v>
      </c>
      <c r="T4191" t="s">
        <v>167</v>
      </c>
      <c r="U4191">
        <v>4.381859420983554E-2</v>
      </c>
      <c r="V4191" t="s">
        <v>157</v>
      </c>
    </row>
    <row r="4192" spans="19:22" x14ac:dyDescent="0.45">
      <c r="S4192" t="s">
        <v>671</v>
      </c>
      <c r="T4192" t="s">
        <v>168</v>
      </c>
      <c r="U4192">
        <v>6.338780867247025E-2</v>
      </c>
      <c r="V4192" t="s">
        <v>157</v>
      </c>
    </row>
    <row r="4193" spans="19:22" x14ac:dyDescent="0.45">
      <c r="S4193" t="s">
        <v>671</v>
      </c>
      <c r="T4193" t="s">
        <v>169</v>
      </c>
      <c r="U4193">
        <v>6.4011483930265269E-3</v>
      </c>
      <c r="V4193" t="s">
        <v>157</v>
      </c>
    </row>
    <row r="4194" spans="19:22" x14ac:dyDescent="0.45">
      <c r="S4194" t="s">
        <v>671</v>
      </c>
      <c r="T4194" t="s">
        <v>170</v>
      </c>
      <c r="U4194">
        <v>6.4167576510802647E-3</v>
      </c>
      <c r="V4194" t="s">
        <v>157</v>
      </c>
    </row>
    <row r="4195" spans="19:22" x14ac:dyDescent="0.45">
      <c r="S4195" t="s">
        <v>671</v>
      </c>
      <c r="T4195" t="s">
        <v>171</v>
      </c>
      <c r="U4195">
        <v>3.1890679873022423E-2</v>
      </c>
      <c r="V4195" t="s">
        <v>157</v>
      </c>
    </row>
    <row r="4196" spans="19:22" x14ac:dyDescent="0.45">
      <c r="S4196" t="s">
        <v>672</v>
      </c>
      <c r="T4196" t="s">
        <v>156</v>
      </c>
      <c r="U4196">
        <v>0.13354717682162365</v>
      </c>
      <c r="V4196" t="s">
        <v>157</v>
      </c>
    </row>
    <row r="4197" spans="19:22" x14ac:dyDescent="0.45">
      <c r="S4197" t="s">
        <v>672</v>
      </c>
      <c r="T4197" t="s">
        <v>158</v>
      </c>
      <c r="U4197">
        <v>0.18589024860230682</v>
      </c>
      <c r="V4197" t="s">
        <v>157</v>
      </c>
    </row>
    <row r="4198" spans="19:22" x14ac:dyDescent="0.45">
      <c r="S4198" t="s">
        <v>672</v>
      </c>
      <c r="T4198" t="s">
        <v>159</v>
      </c>
      <c r="U4198">
        <v>1.9442157637853487E-2</v>
      </c>
      <c r="V4198" t="s">
        <v>157</v>
      </c>
    </row>
    <row r="4199" spans="19:22" x14ac:dyDescent="0.45">
      <c r="S4199" t="s">
        <v>672</v>
      </c>
      <c r="T4199" t="s">
        <v>160</v>
      </c>
      <c r="U4199">
        <v>1.9998118891824179E-2</v>
      </c>
      <c r="V4199" t="s">
        <v>157</v>
      </c>
    </row>
    <row r="4200" spans="19:22" x14ac:dyDescent="0.45">
      <c r="S4200" t="s">
        <v>672</v>
      </c>
      <c r="T4200" t="s">
        <v>161</v>
      </c>
      <c r="U4200">
        <v>0.10177437008649513</v>
      </c>
      <c r="V4200" t="s">
        <v>157</v>
      </c>
    </row>
    <row r="4201" spans="19:22" x14ac:dyDescent="0.45">
      <c r="S4201" t="s">
        <v>672</v>
      </c>
      <c r="T4201" t="s">
        <v>162</v>
      </c>
      <c r="U4201">
        <v>0.11728251700587647</v>
      </c>
      <c r="V4201" t="s">
        <v>157</v>
      </c>
    </row>
    <row r="4202" spans="19:22" x14ac:dyDescent="0.45">
      <c r="S4202" t="s">
        <v>672</v>
      </c>
      <c r="T4202" t="s">
        <v>163</v>
      </c>
      <c r="U4202">
        <v>0.16225253268489995</v>
      </c>
      <c r="V4202" t="s">
        <v>157</v>
      </c>
    </row>
    <row r="4203" spans="19:22" x14ac:dyDescent="0.45">
      <c r="S4203" t="s">
        <v>672</v>
      </c>
      <c r="T4203" t="s">
        <v>164</v>
      </c>
      <c r="U4203">
        <v>1.6135004707030651E-2</v>
      </c>
      <c r="V4203" t="s">
        <v>157</v>
      </c>
    </row>
    <row r="4204" spans="19:22" x14ac:dyDescent="0.45">
      <c r="S4204" t="s">
        <v>672</v>
      </c>
      <c r="T4204" t="s">
        <v>165</v>
      </c>
      <c r="U4204">
        <v>1.6243127311666199E-2</v>
      </c>
      <c r="V4204" t="s">
        <v>157</v>
      </c>
    </row>
    <row r="4205" spans="19:22" x14ac:dyDescent="0.45">
      <c r="S4205" t="s">
        <v>672</v>
      </c>
      <c r="T4205" t="s">
        <v>166</v>
      </c>
      <c r="U4205">
        <v>8.3589533065222085E-2</v>
      </c>
      <c r="V4205" t="s">
        <v>157</v>
      </c>
    </row>
    <row r="4206" spans="19:22" x14ac:dyDescent="0.45">
      <c r="S4206" t="s">
        <v>672</v>
      </c>
      <c r="T4206" t="s">
        <v>167</v>
      </c>
      <c r="U4206">
        <v>4.1066741966903873E-2</v>
      </c>
      <c r="V4206" t="s">
        <v>157</v>
      </c>
    </row>
    <row r="4207" spans="19:22" x14ac:dyDescent="0.45">
      <c r="S4207" t="s">
        <v>672</v>
      </c>
      <c r="T4207" t="s">
        <v>168</v>
      </c>
      <c r="U4207">
        <v>5.9144688240182354E-2</v>
      </c>
      <c r="V4207" t="s">
        <v>157</v>
      </c>
    </row>
    <row r="4208" spans="19:22" x14ac:dyDescent="0.45">
      <c r="S4208" t="s">
        <v>672</v>
      </c>
      <c r="T4208" t="s">
        <v>169</v>
      </c>
      <c r="U4208">
        <v>6.2122976852842507E-3</v>
      </c>
      <c r="V4208" t="s">
        <v>157</v>
      </c>
    </row>
    <row r="4209" spans="19:22" x14ac:dyDescent="0.45">
      <c r="S4209" t="s">
        <v>672</v>
      </c>
      <c r="T4209" t="s">
        <v>170</v>
      </c>
      <c r="U4209">
        <v>6.1702389792089628E-3</v>
      </c>
      <c r="V4209" t="s">
        <v>157</v>
      </c>
    </row>
    <row r="4210" spans="19:22" x14ac:dyDescent="0.45">
      <c r="S4210" t="s">
        <v>672</v>
      </c>
      <c r="T4210" t="s">
        <v>171</v>
      </c>
      <c r="U4210">
        <v>3.125124631362193E-2</v>
      </c>
      <c r="V4210" t="s">
        <v>157</v>
      </c>
    </row>
    <row r="4211" spans="19:22" x14ac:dyDescent="0.45">
      <c r="S4211" t="s">
        <v>673</v>
      </c>
      <c r="T4211" t="s">
        <v>156</v>
      </c>
      <c r="U4211">
        <v>0.12304754411745929</v>
      </c>
      <c r="V4211" t="s">
        <v>157</v>
      </c>
    </row>
    <row r="4212" spans="19:22" x14ac:dyDescent="0.45">
      <c r="S4212" t="s">
        <v>673</v>
      </c>
      <c r="T4212" t="s">
        <v>158</v>
      </c>
      <c r="U4212">
        <v>0.18355827237030703</v>
      </c>
      <c r="V4212" t="s">
        <v>157</v>
      </c>
    </row>
    <row r="4213" spans="19:22" x14ac:dyDescent="0.45">
      <c r="S4213" t="s">
        <v>673</v>
      </c>
      <c r="T4213" t="s">
        <v>159</v>
      </c>
      <c r="U4213">
        <v>1.8383463199206265E-2</v>
      </c>
      <c r="V4213" t="s">
        <v>157</v>
      </c>
    </row>
    <row r="4214" spans="19:22" x14ac:dyDescent="0.45">
      <c r="S4214" t="s">
        <v>673</v>
      </c>
      <c r="T4214" t="s">
        <v>160</v>
      </c>
      <c r="U4214">
        <v>1.8462603056132097E-2</v>
      </c>
      <c r="V4214" t="s">
        <v>157</v>
      </c>
    </row>
    <row r="4215" spans="19:22" x14ac:dyDescent="0.45">
      <c r="S4215" t="s">
        <v>673</v>
      </c>
      <c r="T4215" t="s">
        <v>161</v>
      </c>
      <c r="U4215">
        <v>9.0666392563131318E-2</v>
      </c>
      <c r="V4215" t="s">
        <v>157</v>
      </c>
    </row>
    <row r="4216" spans="19:22" x14ac:dyDescent="0.45">
      <c r="S4216" t="s">
        <v>673</v>
      </c>
      <c r="T4216" t="s">
        <v>162</v>
      </c>
      <c r="U4216">
        <v>0.12134854074860456</v>
      </c>
      <c r="V4216" t="s">
        <v>157</v>
      </c>
    </row>
    <row r="4217" spans="19:22" x14ac:dyDescent="0.45">
      <c r="S4217" t="s">
        <v>673</v>
      </c>
      <c r="T4217" t="s">
        <v>163</v>
      </c>
      <c r="U4217">
        <v>0.18525391832772536</v>
      </c>
      <c r="V4217" t="s">
        <v>157</v>
      </c>
    </row>
    <row r="4218" spans="19:22" x14ac:dyDescent="0.45">
      <c r="S4218" t="s">
        <v>673</v>
      </c>
      <c r="T4218" t="s">
        <v>164</v>
      </c>
      <c r="U4218">
        <v>1.7489091939763786E-2</v>
      </c>
      <c r="V4218" t="s">
        <v>157</v>
      </c>
    </row>
    <row r="4219" spans="19:22" x14ac:dyDescent="0.45">
      <c r="S4219" t="s">
        <v>673</v>
      </c>
      <c r="T4219" t="s">
        <v>165</v>
      </c>
      <c r="U4219">
        <v>1.7009227490305361E-2</v>
      </c>
      <c r="V4219" t="s">
        <v>157</v>
      </c>
    </row>
    <row r="4220" spans="19:22" x14ac:dyDescent="0.45">
      <c r="S4220" t="s">
        <v>673</v>
      </c>
      <c r="T4220" t="s">
        <v>166</v>
      </c>
      <c r="U4220">
        <v>8.6564304075897699E-2</v>
      </c>
      <c r="V4220" t="s">
        <v>157</v>
      </c>
    </row>
    <row r="4221" spans="19:22" x14ac:dyDescent="0.45">
      <c r="S4221" t="s">
        <v>673</v>
      </c>
      <c r="T4221" t="s">
        <v>167</v>
      </c>
      <c r="U4221">
        <v>3.7366816475257941E-2</v>
      </c>
      <c r="V4221" t="s">
        <v>157</v>
      </c>
    </row>
    <row r="4222" spans="19:22" x14ac:dyDescent="0.45">
      <c r="S4222" t="s">
        <v>673</v>
      </c>
      <c r="T4222" t="s">
        <v>168</v>
      </c>
      <c r="U4222">
        <v>6.0335158676607013E-2</v>
      </c>
      <c r="V4222" t="s">
        <v>157</v>
      </c>
    </row>
    <row r="4223" spans="19:22" x14ac:dyDescent="0.45">
      <c r="S4223" t="s">
        <v>673</v>
      </c>
      <c r="T4223" t="s">
        <v>169</v>
      </c>
      <c r="U4223">
        <v>5.9913898077910074E-3</v>
      </c>
      <c r="V4223" t="s">
        <v>157</v>
      </c>
    </row>
    <row r="4224" spans="19:22" x14ac:dyDescent="0.45">
      <c r="S4224" t="s">
        <v>673</v>
      </c>
      <c r="T4224" t="s">
        <v>170</v>
      </c>
      <c r="U4224">
        <v>5.9534276692193222E-3</v>
      </c>
      <c r="V4224" t="s">
        <v>157</v>
      </c>
    </row>
    <row r="4225" spans="19:22" x14ac:dyDescent="0.45">
      <c r="S4225" t="s">
        <v>673</v>
      </c>
      <c r="T4225" t="s">
        <v>171</v>
      </c>
      <c r="U4225">
        <v>2.8569849482591957E-2</v>
      </c>
      <c r="V4225" t="s">
        <v>157</v>
      </c>
    </row>
    <row r="4226" spans="19:22" x14ac:dyDescent="0.45">
      <c r="S4226" t="s">
        <v>674</v>
      </c>
      <c r="T4226" t="s">
        <v>156</v>
      </c>
      <c r="U4226">
        <v>0.10481378252798106</v>
      </c>
      <c r="V4226" t="s">
        <v>157</v>
      </c>
    </row>
    <row r="4227" spans="19:22" x14ac:dyDescent="0.45">
      <c r="S4227" t="s">
        <v>674</v>
      </c>
      <c r="T4227" t="s">
        <v>158</v>
      </c>
      <c r="U4227">
        <v>0.1852945890831928</v>
      </c>
      <c r="V4227" t="s">
        <v>157</v>
      </c>
    </row>
    <row r="4228" spans="19:22" x14ac:dyDescent="0.45">
      <c r="S4228" t="s">
        <v>674</v>
      </c>
      <c r="T4228" t="s">
        <v>159</v>
      </c>
      <c r="U4228">
        <v>2.0546995169401831E-2</v>
      </c>
      <c r="V4228" t="s">
        <v>157</v>
      </c>
    </row>
    <row r="4229" spans="19:22" x14ac:dyDescent="0.45">
      <c r="S4229" t="s">
        <v>674</v>
      </c>
      <c r="T4229" t="s">
        <v>160</v>
      </c>
      <c r="U4229">
        <v>2.0121282189337258E-2</v>
      </c>
      <c r="V4229" t="s">
        <v>157</v>
      </c>
    </row>
    <row r="4230" spans="19:22" x14ac:dyDescent="0.45">
      <c r="S4230" t="s">
        <v>674</v>
      </c>
      <c r="T4230" t="s">
        <v>161</v>
      </c>
      <c r="U4230">
        <v>8.8059013558257113E-2</v>
      </c>
      <c r="V4230" t="s">
        <v>157</v>
      </c>
    </row>
    <row r="4231" spans="19:22" x14ac:dyDescent="0.45">
      <c r="S4231" t="s">
        <v>674</v>
      </c>
      <c r="T4231" t="s">
        <v>162</v>
      </c>
      <c r="U4231">
        <v>0.11708508035885182</v>
      </c>
      <c r="V4231" t="s">
        <v>157</v>
      </c>
    </row>
    <row r="4232" spans="19:22" x14ac:dyDescent="0.45">
      <c r="S4232" t="s">
        <v>674</v>
      </c>
      <c r="T4232" t="s">
        <v>163</v>
      </c>
      <c r="U4232">
        <v>0.20669568790289874</v>
      </c>
      <c r="V4232" t="s">
        <v>157</v>
      </c>
    </row>
    <row r="4233" spans="19:22" x14ac:dyDescent="0.45">
      <c r="S4233" t="s">
        <v>674</v>
      </c>
      <c r="T4233" t="s">
        <v>164</v>
      </c>
      <c r="U4233">
        <v>1.8859811670971342E-2</v>
      </c>
      <c r="V4233" t="s">
        <v>157</v>
      </c>
    </row>
    <row r="4234" spans="19:22" x14ac:dyDescent="0.45">
      <c r="S4234" t="s">
        <v>674</v>
      </c>
      <c r="T4234" t="s">
        <v>165</v>
      </c>
      <c r="U4234">
        <v>1.7502908729249301E-2</v>
      </c>
      <c r="V4234" t="s">
        <v>157</v>
      </c>
    </row>
    <row r="4235" spans="19:22" x14ac:dyDescent="0.45">
      <c r="S4235" t="s">
        <v>674</v>
      </c>
      <c r="T4235" t="s">
        <v>166</v>
      </c>
      <c r="U4235">
        <v>8.3146757230858903E-2</v>
      </c>
      <c r="V4235" t="s">
        <v>157</v>
      </c>
    </row>
    <row r="4236" spans="19:22" x14ac:dyDescent="0.45">
      <c r="S4236" t="s">
        <v>674</v>
      </c>
      <c r="T4236" t="s">
        <v>167</v>
      </c>
      <c r="U4236">
        <v>3.2248195664219062E-2</v>
      </c>
      <c r="V4236" t="s">
        <v>157</v>
      </c>
    </row>
    <row r="4237" spans="19:22" x14ac:dyDescent="0.45">
      <c r="S4237" t="s">
        <v>674</v>
      </c>
      <c r="T4237" t="s">
        <v>168</v>
      </c>
      <c r="U4237">
        <v>6.4621059547615808E-2</v>
      </c>
      <c r="V4237" t="s">
        <v>157</v>
      </c>
    </row>
    <row r="4238" spans="19:22" x14ac:dyDescent="0.45">
      <c r="S4238" t="s">
        <v>674</v>
      </c>
      <c r="T4238" t="s">
        <v>169</v>
      </c>
      <c r="U4238">
        <v>7.1241291507914235E-3</v>
      </c>
      <c r="V4238" t="s">
        <v>157</v>
      </c>
    </row>
    <row r="4239" spans="19:22" x14ac:dyDescent="0.45">
      <c r="S4239" t="s">
        <v>674</v>
      </c>
      <c r="T4239" t="s">
        <v>170</v>
      </c>
      <c r="U4239">
        <v>6.7687605206347996E-3</v>
      </c>
      <c r="V4239" t="s">
        <v>157</v>
      </c>
    </row>
    <row r="4240" spans="19:22" x14ac:dyDescent="0.45">
      <c r="S4240" t="s">
        <v>674</v>
      </c>
      <c r="T4240" t="s">
        <v>171</v>
      </c>
      <c r="U4240">
        <v>2.7111946695738819E-2</v>
      </c>
      <c r="V4240" t="s">
        <v>157</v>
      </c>
    </row>
    <row r="4241" spans="19:22" x14ac:dyDescent="0.45">
      <c r="S4241" t="s">
        <v>675</v>
      </c>
      <c r="T4241" t="s">
        <v>156</v>
      </c>
      <c r="U4241">
        <v>0.1188437680202023</v>
      </c>
      <c r="V4241" t="s">
        <v>157</v>
      </c>
    </row>
    <row r="4242" spans="19:22" x14ac:dyDescent="0.45">
      <c r="S4242" t="s">
        <v>675</v>
      </c>
      <c r="T4242" t="s">
        <v>158</v>
      </c>
      <c r="U4242">
        <v>0.18747889435183493</v>
      </c>
      <c r="V4242" t="s">
        <v>157</v>
      </c>
    </row>
    <row r="4243" spans="19:22" x14ac:dyDescent="0.45">
      <c r="S4243" t="s">
        <v>675</v>
      </c>
      <c r="T4243" t="s">
        <v>159</v>
      </c>
      <c r="U4243">
        <v>2.0195706343113344E-2</v>
      </c>
      <c r="V4243" t="s">
        <v>157</v>
      </c>
    </row>
    <row r="4244" spans="19:22" x14ac:dyDescent="0.45">
      <c r="S4244" t="s">
        <v>675</v>
      </c>
      <c r="T4244" t="s">
        <v>160</v>
      </c>
      <c r="U4244">
        <v>2.0330709876365864E-2</v>
      </c>
      <c r="V4244" t="s">
        <v>157</v>
      </c>
    </row>
    <row r="4245" spans="19:22" x14ac:dyDescent="0.45">
      <c r="S4245" t="s">
        <v>675</v>
      </c>
      <c r="T4245" t="s">
        <v>161</v>
      </c>
      <c r="U4245">
        <v>9.5293281171030905E-2</v>
      </c>
      <c r="V4245" t="s">
        <v>157</v>
      </c>
    </row>
    <row r="4246" spans="19:22" x14ac:dyDescent="0.45">
      <c r="S4246" t="s">
        <v>675</v>
      </c>
      <c r="T4246" t="s">
        <v>162</v>
      </c>
      <c r="U4246">
        <v>0.11695087038950479</v>
      </c>
      <c r="V4246" t="s">
        <v>157</v>
      </c>
    </row>
    <row r="4247" spans="19:22" x14ac:dyDescent="0.45">
      <c r="S4247" t="s">
        <v>675</v>
      </c>
      <c r="T4247" t="s">
        <v>163</v>
      </c>
      <c r="U4247">
        <v>0.19423836708809192</v>
      </c>
      <c r="V4247" t="s">
        <v>157</v>
      </c>
    </row>
    <row r="4248" spans="19:22" x14ac:dyDescent="0.45">
      <c r="S4248" t="s">
        <v>675</v>
      </c>
      <c r="T4248" t="s">
        <v>164</v>
      </c>
      <c r="U4248">
        <v>1.8424721089788869E-2</v>
      </c>
      <c r="V4248" t="s">
        <v>157</v>
      </c>
    </row>
    <row r="4249" spans="19:22" x14ac:dyDescent="0.45">
      <c r="S4249" t="s">
        <v>675</v>
      </c>
      <c r="T4249" t="s">
        <v>165</v>
      </c>
      <c r="U4249">
        <v>1.754061718114034E-2</v>
      </c>
      <c r="V4249" t="s">
        <v>157</v>
      </c>
    </row>
    <row r="4250" spans="19:22" x14ac:dyDescent="0.45">
      <c r="S4250" t="s">
        <v>675</v>
      </c>
      <c r="T4250" t="s">
        <v>166</v>
      </c>
      <c r="U4250">
        <v>8.4674821639856179E-2</v>
      </c>
      <c r="V4250" t="s">
        <v>157</v>
      </c>
    </row>
    <row r="4251" spans="19:22" x14ac:dyDescent="0.45">
      <c r="S4251" t="s">
        <v>675</v>
      </c>
      <c r="T4251" t="s">
        <v>167</v>
      </c>
      <c r="U4251">
        <v>3.2823488101187986E-2</v>
      </c>
      <c r="V4251" t="s">
        <v>157</v>
      </c>
    </row>
    <row r="4252" spans="19:22" x14ac:dyDescent="0.45">
      <c r="S4252" t="s">
        <v>675</v>
      </c>
      <c r="T4252" t="s">
        <v>168</v>
      </c>
      <c r="U4252">
        <v>5.4534322097449468E-2</v>
      </c>
      <c r="V4252" t="s">
        <v>157</v>
      </c>
    </row>
    <row r="4253" spans="19:22" x14ac:dyDescent="0.45">
      <c r="S4253" t="s">
        <v>675</v>
      </c>
      <c r="T4253" t="s">
        <v>169</v>
      </c>
      <c r="U4253">
        <v>6.0932060469503181E-3</v>
      </c>
      <c r="V4253" t="s">
        <v>157</v>
      </c>
    </row>
    <row r="4254" spans="19:22" x14ac:dyDescent="0.45">
      <c r="S4254" t="s">
        <v>675</v>
      </c>
      <c r="T4254" t="s">
        <v>170</v>
      </c>
      <c r="U4254">
        <v>5.9361222580967613E-3</v>
      </c>
      <c r="V4254" t="s">
        <v>157</v>
      </c>
    </row>
    <row r="4255" spans="19:22" x14ac:dyDescent="0.45">
      <c r="S4255" t="s">
        <v>675</v>
      </c>
      <c r="T4255" t="s">
        <v>171</v>
      </c>
      <c r="U4255">
        <v>2.6641104345386E-2</v>
      </c>
      <c r="V4255" t="s">
        <v>157</v>
      </c>
    </row>
    <row r="4256" spans="19:22" x14ac:dyDescent="0.45">
      <c r="S4256" t="s">
        <v>676</v>
      </c>
      <c r="T4256" t="s">
        <v>156</v>
      </c>
      <c r="U4256">
        <v>0.13824827820718688</v>
      </c>
      <c r="V4256" t="s">
        <v>157</v>
      </c>
    </row>
    <row r="4257" spans="19:22" x14ac:dyDescent="0.45">
      <c r="S4257" t="s">
        <v>676</v>
      </c>
      <c r="T4257" t="s">
        <v>158</v>
      </c>
      <c r="U4257">
        <v>0.18367351311965202</v>
      </c>
      <c r="V4257" t="s">
        <v>157</v>
      </c>
    </row>
    <row r="4258" spans="19:22" x14ac:dyDescent="0.45">
      <c r="S4258" t="s">
        <v>676</v>
      </c>
      <c r="T4258" t="s">
        <v>159</v>
      </c>
      <c r="U4258">
        <v>2.0279078369903156E-2</v>
      </c>
      <c r="V4258" t="s">
        <v>157</v>
      </c>
    </row>
    <row r="4259" spans="19:22" x14ac:dyDescent="0.45">
      <c r="S4259" t="s">
        <v>676</v>
      </c>
      <c r="T4259" t="s">
        <v>160</v>
      </c>
      <c r="U4259">
        <v>2.0817447384216259E-2</v>
      </c>
      <c r="V4259" t="s">
        <v>157</v>
      </c>
    </row>
    <row r="4260" spans="19:22" x14ac:dyDescent="0.45">
      <c r="S4260" t="s">
        <v>676</v>
      </c>
      <c r="T4260" t="s">
        <v>161</v>
      </c>
      <c r="U4260">
        <v>0.10546563472002819</v>
      </c>
      <c r="V4260" t="s">
        <v>157</v>
      </c>
    </row>
    <row r="4261" spans="19:22" x14ac:dyDescent="0.45">
      <c r="S4261" t="s">
        <v>676</v>
      </c>
      <c r="T4261" t="s">
        <v>162</v>
      </c>
      <c r="U4261">
        <v>0.11691854515409007</v>
      </c>
      <c r="V4261" t="s">
        <v>157</v>
      </c>
    </row>
    <row r="4262" spans="19:22" x14ac:dyDescent="0.45">
      <c r="S4262" t="s">
        <v>676</v>
      </c>
      <c r="T4262" t="s">
        <v>163</v>
      </c>
      <c r="U4262">
        <v>0.16831936386271742</v>
      </c>
      <c r="V4262" t="s">
        <v>157</v>
      </c>
    </row>
    <row r="4263" spans="19:22" x14ac:dyDescent="0.45">
      <c r="S4263" t="s">
        <v>676</v>
      </c>
      <c r="T4263" t="s">
        <v>164</v>
      </c>
      <c r="U4263">
        <v>1.7422638097171296E-2</v>
      </c>
      <c r="V4263" t="s">
        <v>157</v>
      </c>
    </row>
    <row r="4264" spans="19:22" x14ac:dyDescent="0.45">
      <c r="S4264" t="s">
        <v>676</v>
      </c>
      <c r="T4264" t="s">
        <v>165</v>
      </c>
      <c r="U4264">
        <v>1.7352097171907468E-2</v>
      </c>
      <c r="V4264" t="s">
        <v>157</v>
      </c>
    </row>
    <row r="4265" spans="19:22" x14ac:dyDescent="0.45">
      <c r="S4265" t="s">
        <v>676</v>
      </c>
      <c r="T4265" t="s">
        <v>166</v>
      </c>
      <c r="U4265">
        <v>8.3919317427069526E-2</v>
      </c>
      <c r="V4265" t="s">
        <v>157</v>
      </c>
    </row>
    <row r="4266" spans="19:22" x14ac:dyDescent="0.45">
      <c r="S4266" t="s">
        <v>676</v>
      </c>
      <c r="T4266" t="s">
        <v>167</v>
      </c>
      <c r="U4266">
        <v>3.6176645999168248E-2</v>
      </c>
      <c r="V4266" t="s">
        <v>157</v>
      </c>
    </row>
    <row r="4267" spans="19:22" x14ac:dyDescent="0.45">
      <c r="S4267" t="s">
        <v>676</v>
      </c>
      <c r="T4267" t="s">
        <v>168</v>
      </c>
      <c r="U4267">
        <v>4.9050081654519205E-2</v>
      </c>
      <c r="V4267" t="s">
        <v>157</v>
      </c>
    </row>
    <row r="4268" spans="19:22" x14ac:dyDescent="0.45">
      <c r="S4268" t="s">
        <v>676</v>
      </c>
      <c r="T4268" t="s">
        <v>169</v>
      </c>
      <c r="U4268">
        <v>6.059993749958254E-3</v>
      </c>
      <c r="V4268" t="s">
        <v>157</v>
      </c>
    </row>
    <row r="4269" spans="19:22" x14ac:dyDescent="0.45">
      <c r="S4269" t="s">
        <v>676</v>
      </c>
      <c r="T4269" t="s">
        <v>170</v>
      </c>
      <c r="U4269">
        <v>6.2572021734934105E-3</v>
      </c>
      <c r="V4269" t="s">
        <v>157</v>
      </c>
    </row>
    <row r="4270" spans="19:22" x14ac:dyDescent="0.45">
      <c r="S4270" t="s">
        <v>676</v>
      </c>
      <c r="T4270" t="s">
        <v>171</v>
      </c>
      <c r="U4270">
        <v>3.0040162908918595E-2</v>
      </c>
      <c r="V4270" t="s">
        <v>157</v>
      </c>
    </row>
    <row r="4271" spans="19:22" x14ac:dyDescent="0.45">
      <c r="S4271" t="s">
        <v>677</v>
      </c>
      <c r="T4271" t="s">
        <v>156</v>
      </c>
      <c r="U4271">
        <v>0.14367916708593798</v>
      </c>
      <c r="V4271" t="s">
        <v>157</v>
      </c>
    </row>
    <row r="4272" spans="19:22" x14ac:dyDescent="0.45">
      <c r="S4272" t="s">
        <v>677</v>
      </c>
      <c r="T4272" t="s">
        <v>158</v>
      </c>
      <c r="U4272">
        <v>0.18963490340846589</v>
      </c>
      <c r="V4272" t="s">
        <v>157</v>
      </c>
    </row>
    <row r="4273" spans="19:22" x14ac:dyDescent="0.45">
      <c r="S4273" t="s">
        <v>677</v>
      </c>
      <c r="T4273" t="s">
        <v>159</v>
      </c>
      <c r="U4273">
        <v>2.0414829658065597E-2</v>
      </c>
      <c r="V4273" t="s">
        <v>157</v>
      </c>
    </row>
    <row r="4274" spans="19:22" x14ac:dyDescent="0.45">
      <c r="S4274" t="s">
        <v>677</v>
      </c>
      <c r="T4274" t="s">
        <v>160</v>
      </c>
      <c r="U4274">
        <v>2.0865566885492948E-2</v>
      </c>
      <c r="V4274" t="s">
        <v>157</v>
      </c>
    </row>
    <row r="4275" spans="19:22" x14ac:dyDescent="0.45">
      <c r="S4275" t="s">
        <v>677</v>
      </c>
      <c r="T4275" t="s">
        <v>161</v>
      </c>
      <c r="U4275">
        <v>0.10721356666239383</v>
      </c>
      <c r="V4275" t="s">
        <v>157</v>
      </c>
    </row>
    <row r="4276" spans="19:22" x14ac:dyDescent="0.45">
      <c r="S4276" t="s">
        <v>677</v>
      </c>
      <c r="T4276" t="s">
        <v>162</v>
      </c>
      <c r="U4276">
        <v>0.11682109764697951</v>
      </c>
      <c r="V4276" t="s">
        <v>157</v>
      </c>
    </row>
    <row r="4277" spans="19:22" x14ac:dyDescent="0.45">
      <c r="S4277" t="s">
        <v>677</v>
      </c>
      <c r="T4277" t="s">
        <v>163</v>
      </c>
      <c r="U4277">
        <v>0.15899128657317302</v>
      </c>
      <c r="V4277" t="s">
        <v>157</v>
      </c>
    </row>
    <row r="4278" spans="19:22" x14ac:dyDescent="0.45">
      <c r="S4278" t="s">
        <v>677</v>
      </c>
      <c r="T4278" t="s">
        <v>164</v>
      </c>
      <c r="U4278">
        <v>1.6743934488649505E-2</v>
      </c>
      <c r="V4278" t="s">
        <v>157</v>
      </c>
    </row>
    <row r="4279" spans="19:22" x14ac:dyDescent="0.45">
      <c r="S4279" t="s">
        <v>677</v>
      </c>
      <c r="T4279" t="s">
        <v>165</v>
      </c>
      <c r="U4279">
        <v>1.6695301297066957E-2</v>
      </c>
      <c r="V4279" t="s">
        <v>157</v>
      </c>
    </row>
    <row r="4280" spans="19:22" x14ac:dyDescent="0.45">
      <c r="S4280" t="s">
        <v>677</v>
      </c>
      <c r="T4280" t="s">
        <v>166</v>
      </c>
      <c r="U4280">
        <v>8.2756636512305776E-2</v>
      </c>
      <c r="V4280" t="s">
        <v>157</v>
      </c>
    </row>
    <row r="4281" spans="19:22" x14ac:dyDescent="0.45">
      <c r="S4281" t="s">
        <v>677</v>
      </c>
      <c r="T4281" t="s">
        <v>167</v>
      </c>
      <c r="U4281">
        <v>3.6959607918863775E-2</v>
      </c>
      <c r="V4281" t="s">
        <v>157</v>
      </c>
    </row>
    <row r="4282" spans="19:22" x14ac:dyDescent="0.45">
      <c r="S4282" t="s">
        <v>677</v>
      </c>
      <c r="T4282" t="s">
        <v>168</v>
      </c>
      <c r="U4282">
        <v>4.7414600916917737E-2</v>
      </c>
      <c r="V4282" t="s">
        <v>157</v>
      </c>
    </row>
    <row r="4283" spans="19:22" x14ac:dyDescent="0.45">
      <c r="S4283" t="s">
        <v>677</v>
      </c>
      <c r="T4283" t="s">
        <v>169</v>
      </c>
      <c r="U4283">
        <v>5.7545019698284532E-3</v>
      </c>
      <c r="V4283" t="s">
        <v>157</v>
      </c>
    </row>
    <row r="4284" spans="19:22" x14ac:dyDescent="0.45">
      <c r="S4284" t="s">
        <v>677</v>
      </c>
      <c r="T4284" t="s">
        <v>170</v>
      </c>
      <c r="U4284">
        <v>6.1303880954096104E-3</v>
      </c>
      <c r="V4284" t="s">
        <v>157</v>
      </c>
    </row>
    <row r="4285" spans="19:22" x14ac:dyDescent="0.45">
      <c r="S4285" t="s">
        <v>677</v>
      </c>
      <c r="T4285" t="s">
        <v>171</v>
      </c>
      <c r="U4285">
        <v>2.9924610880449325E-2</v>
      </c>
      <c r="V4285" t="s">
        <v>157</v>
      </c>
    </row>
    <row r="4286" spans="19:22" x14ac:dyDescent="0.45">
      <c r="S4286" t="s">
        <v>678</v>
      </c>
      <c r="T4286" t="s">
        <v>156</v>
      </c>
      <c r="U4286">
        <v>0.14557359794147456</v>
      </c>
      <c r="V4286" t="s">
        <v>157</v>
      </c>
    </row>
    <row r="4287" spans="19:22" x14ac:dyDescent="0.45">
      <c r="S4287" t="s">
        <v>678</v>
      </c>
      <c r="T4287" t="s">
        <v>158</v>
      </c>
      <c r="U4287">
        <v>0.19810520224653741</v>
      </c>
      <c r="V4287" t="s">
        <v>157</v>
      </c>
    </row>
    <row r="4288" spans="19:22" x14ac:dyDescent="0.45">
      <c r="S4288" t="s">
        <v>678</v>
      </c>
      <c r="T4288" t="s">
        <v>159</v>
      </c>
      <c r="U4288">
        <v>2.0704023173553469E-2</v>
      </c>
      <c r="V4288" t="s">
        <v>157</v>
      </c>
    </row>
    <row r="4289" spans="19:22" x14ac:dyDescent="0.45">
      <c r="S4289" t="s">
        <v>678</v>
      </c>
      <c r="T4289" t="s">
        <v>160</v>
      </c>
      <c r="U4289">
        <v>2.0956557656464685E-2</v>
      </c>
      <c r="V4289" t="s">
        <v>157</v>
      </c>
    </row>
    <row r="4290" spans="19:22" x14ac:dyDescent="0.45">
      <c r="S4290" t="s">
        <v>678</v>
      </c>
      <c r="T4290" t="s">
        <v>161</v>
      </c>
      <c r="U4290">
        <v>0.10718352871662076</v>
      </c>
      <c r="V4290" t="s">
        <v>157</v>
      </c>
    </row>
    <row r="4291" spans="19:22" x14ac:dyDescent="0.45">
      <c r="S4291" t="s">
        <v>678</v>
      </c>
      <c r="T4291" t="s">
        <v>162</v>
      </c>
      <c r="U4291">
        <v>0.11561714018872862</v>
      </c>
      <c r="V4291" t="s">
        <v>157</v>
      </c>
    </row>
    <row r="4292" spans="19:22" x14ac:dyDescent="0.45">
      <c r="S4292" t="s">
        <v>678</v>
      </c>
      <c r="T4292" t="s">
        <v>163</v>
      </c>
      <c r="U4292">
        <v>0.15510002065939715</v>
      </c>
      <c r="V4292" t="s">
        <v>157</v>
      </c>
    </row>
    <row r="4293" spans="19:22" x14ac:dyDescent="0.45">
      <c r="S4293" t="s">
        <v>678</v>
      </c>
      <c r="T4293" t="s">
        <v>164</v>
      </c>
      <c r="U4293">
        <v>1.6011536619724383E-2</v>
      </c>
      <c r="V4293" t="s">
        <v>157</v>
      </c>
    </row>
    <row r="4294" spans="19:22" x14ac:dyDescent="0.45">
      <c r="S4294" t="s">
        <v>678</v>
      </c>
      <c r="T4294" t="s">
        <v>165</v>
      </c>
      <c r="U4294">
        <v>1.5946976192283774E-2</v>
      </c>
      <c r="V4294" t="s">
        <v>157</v>
      </c>
    </row>
    <row r="4295" spans="19:22" x14ac:dyDescent="0.45">
      <c r="S4295" t="s">
        <v>678</v>
      </c>
      <c r="T4295" t="s">
        <v>166</v>
      </c>
      <c r="U4295">
        <v>8.1123861016209942E-2</v>
      </c>
      <c r="V4295" t="s">
        <v>157</v>
      </c>
    </row>
    <row r="4296" spans="19:22" x14ac:dyDescent="0.45">
      <c r="S4296" t="s">
        <v>678</v>
      </c>
      <c r="T4296" t="s">
        <v>167</v>
      </c>
      <c r="U4296">
        <v>3.7209367732642856E-2</v>
      </c>
      <c r="V4296" t="s">
        <v>157</v>
      </c>
    </row>
    <row r="4297" spans="19:22" x14ac:dyDescent="0.45">
      <c r="S4297" t="s">
        <v>678</v>
      </c>
      <c r="T4297" t="s">
        <v>168</v>
      </c>
      <c r="U4297">
        <v>4.6969508707515956E-2</v>
      </c>
      <c r="V4297" t="s">
        <v>157</v>
      </c>
    </row>
    <row r="4298" spans="19:22" x14ac:dyDescent="0.45">
      <c r="S4298" t="s">
        <v>678</v>
      </c>
      <c r="T4298" t="s">
        <v>169</v>
      </c>
      <c r="U4298">
        <v>5.2415732830935957E-3</v>
      </c>
      <c r="V4298" t="s">
        <v>157</v>
      </c>
    </row>
    <row r="4299" spans="19:22" x14ac:dyDescent="0.45">
      <c r="S4299" t="s">
        <v>678</v>
      </c>
      <c r="T4299" t="s">
        <v>170</v>
      </c>
      <c r="U4299">
        <v>5.661762881315046E-3</v>
      </c>
      <c r="V4299" t="s">
        <v>157</v>
      </c>
    </row>
    <row r="4300" spans="19:22" x14ac:dyDescent="0.45">
      <c r="S4300" t="s">
        <v>678</v>
      </c>
      <c r="T4300" t="s">
        <v>171</v>
      </c>
      <c r="U4300">
        <v>2.8595342984437777E-2</v>
      </c>
      <c r="V4300" t="s">
        <v>157</v>
      </c>
    </row>
    <row r="4301" spans="19:22" x14ac:dyDescent="0.45">
      <c r="S4301" t="s">
        <v>679</v>
      </c>
      <c r="T4301" t="s">
        <v>156</v>
      </c>
      <c r="U4301">
        <v>0.14693229327748167</v>
      </c>
      <c r="V4301" t="s">
        <v>157</v>
      </c>
    </row>
    <row r="4302" spans="19:22" x14ac:dyDescent="0.45">
      <c r="S4302" t="s">
        <v>679</v>
      </c>
      <c r="T4302" t="s">
        <v>158</v>
      </c>
      <c r="U4302">
        <v>0.20526236879277698</v>
      </c>
      <c r="V4302" t="s">
        <v>157</v>
      </c>
    </row>
    <row r="4303" spans="19:22" x14ac:dyDescent="0.45">
      <c r="S4303" t="s">
        <v>679</v>
      </c>
      <c r="T4303" t="s">
        <v>159</v>
      </c>
      <c r="U4303">
        <v>2.0954328503116428E-2</v>
      </c>
      <c r="V4303" t="s">
        <v>157</v>
      </c>
    </row>
    <row r="4304" spans="19:22" x14ac:dyDescent="0.45">
      <c r="S4304" t="s">
        <v>679</v>
      </c>
      <c r="T4304" t="s">
        <v>160</v>
      </c>
      <c r="U4304">
        <v>2.1080321508706302E-2</v>
      </c>
      <c r="V4304" t="s">
        <v>157</v>
      </c>
    </row>
    <row r="4305" spans="19:22" x14ac:dyDescent="0.45">
      <c r="S4305" t="s">
        <v>679</v>
      </c>
      <c r="T4305" t="s">
        <v>161</v>
      </c>
      <c r="U4305">
        <v>0.10722757471592957</v>
      </c>
      <c r="V4305" t="s">
        <v>157</v>
      </c>
    </row>
    <row r="4306" spans="19:22" x14ac:dyDescent="0.45">
      <c r="S4306" t="s">
        <v>679</v>
      </c>
      <c r="T4306" t="s">
        <v>162</v>
      </c>
      <c r="U4306">
        <v>0.1133988940794603</v>
      </c>
      <c r="V4306" t="s">
        <v>157</v>
      </c>
    </row>
    <row r="4307" spans="19:22" x14ac:dyDescent="0.45">
      <c r="S4307" t="s">
        <v>679</v>
      </c>
      <c r="T4307" t="s">
        <v>163</v>
      </c>
      <c r="U4307">
        <v>0.15240420445208805</v>
      </c>
      <c r="V4307" t="s">
        <v>157</v>
      </c>
    </row>
    <row r="4308" spans="19:22" x14ac:dyDescent="0.45">
      <c r="S4308" t="s">
        <v>679</v>
      </c>
      <c r="T4308" t="s">
        <v>164</v>
      </c>
      <c r="U4308">
        <v>1.5338899448868359E-2</v>
      </c>
      <c r="V4308" t="s">
        <v>157</v>
      </c>
    </row>
    <row r="4309" spans="19:22" x14ac:dyDescent="0.45">
      <c r="S4309" t="s">
        <v>679</v>
      </c>
      <c r="T4309" t="s">
        <v>165</v>
      </c>
      <c r="U4309">
        <v>1.536381418306506E-2</v>
      </c>
      <c r="V4309" t="s">
        <v>157</v>
      </c>
    </row>
    <row r="4310" spans="19:22" x14ac:dyDescent="0.45">
      <c r="S4310" t="s">
        <v>679</v>
      </c>
      <c r="T4310" t="s">
        <v>166</v>
      </c>
      <c r="U4310">
        <v>7.9559873572841278E-2</v>
      </c>
      <c r="V4310" t="s">
        <v>157</v>
      </c>
    </row>
    <row r="4311" spans="19:22" x14ac:dyDescent="0.45">
      <c r="S4311" t="s">
        <v>679</v>
      </c>
      <c r="T4311" t="s">
        <v>167</v>
      </c>
      <c r="U4311">
        <v>3.7604807862564815E-2</v>
      </c>
      <c r="V4311" t="s">
        <v>157</v>
      </c>
    </row>
    <row r="4312" spans="19:22" x14ac:dyDescent="0.45">
      <c r="S4312" t="s">
        <v>679</v>
      </c>
      <c r="T4312" t="s">
        <v>168</v>
      </c>
      <c r="U4312">
        <v>4.7526662877025436E-2</v>
      </c>
      <c r="V4312" t="s">
        <v>157</v>
      </c>
    </row>
    <row r="4313" spans="19:22" x14ac:dyDescent="0.45">
      <c r="S4313" t="s">
        <v>679</v>
      </c>
      <c r="T4313" t="s">
        <v>169</v>
      </c>
      <c r="U4313">
        <v>4.8840974937124186E-3</v>
      </c>
      <c r="V4313" t="s">
        <v>157</v>
      </c>
    </row>
    <row r="4314" spans="19:22" x14ac:dyDescent="0.45">
      <c r="S4314" t="s">
        <v>679</v>
      </c>
      <c r="T4314" t="s">
        <v>170</v>
      </c>
      <c r="U4314">
        <v>5.2209490303822418E-3</v>
      </c>
      <c r="V4314" t="s">
        <v>157</v>
      </c>
    </row>
    <row r="4315" spans="19:22" x14ac:dyDescent="0.45">
      <c r="S4315" t="s">
        <v>679</v>
      </c>
      <c r="T4315" t="s">
        <v>171</v>
      </c>
      <c r="U4315">
        <v>2.7240910201981078E-2</v>
      </c>
      <c r="V4315" t="s">
        <v>157</v>
      </c>
    </row>
    <row r="4316" spans="19:22" x14ac:dyDescent="0.45">
      <c r="S4316" t="s">
        <v>680</v>
      </c>
      <c r="T4316" t="s">
        <v>156</v>
      </c>
      <c r="U4316">
        <v>0.15012109325595491</v>
      </c>
      <c r="V4316" t="s">
        <v>157</v>
      </c>
    </row>
    <row r="4317" spans="19:22" x14ac:dyDescent="0.45">
      <c r="S4317" t="s">
        <v>680</v>
      </c>
      <c r="T4317" t="s">
        <v>158</v>
      </c>
      <c r="U4317">
        <v>0.21252529041102788</v>
      </c>
      <c r="V4317" t="s">
        <v>157</v>
      </c>
    </row>
    <row r="4318" spans="19:22" x14ac:dyDescent="0.45">
      <c r="S4318" t="s">
        <v>680</v>
      </c>
      <c r="T4318" t="s">
        <v>159</v>
      </c>
      <c r="U4318">
        <v>2.1316980203544986E-2</v>
      </c>
      <c r="V4318" t="s">
        <v>157</v>
      </c>
    </row>
    <row r="4319" spans="19:22" x14ac:dyDescent="0.45">
      <c r="S4319" t="s">
        <v>680</v>
      </c>
      <c r="T4319" t="s">
        <v>160</v>
      </c>
      <c r="U4319">
        <v>2.1378261651448075E-2</v>
      </c>
      <c r="V4319" t="s">
        <v>157</v>
      </c>
    </row>
    <row r="4320" spans="19:22" x14ac:dyDescent="0.45">
      <c r="S4320" t="s">
        <v>680</v>
      </c>
      <c r="T4320" t="s">
        <v>161</v>
      </c>
      <c r="U4320">
        <v>0.10758518687079853</v>
      </c>
      <c r="V4320" t="s">
        <v>157</v>
      </c>
    </row>
    <row r="4321" spans="19:22" x14ac:dyDescent="0.45">
      <c r="S4321" t="s">
        <v>680</v>
      </c>
      <c r="T4321" t="s">
        <v>162</v>
      </c>
      <c r="U4321">
        <v>0.10923700540393938</v>
      </c>
      <c r="V4321" t="s">
        <v>157</v>
      </c>
    </row>
    <row r="4322" spans="19:22" x14ac:dyDescent="0.45">
      <c r="S4322" t="s">
        <v>680</v>
      </c>
      <c r="T4322" t="s">
        <v>163</v>
      </c>
      <c r="U4322">
        <v>0.14769349913418173</v>
      </c>
      <c r="V4322" t="s">
        <v>157</v>
      </c>
    </row>
    <row r="4323" spans="19:22" x14ac:dyDescent="0.45">
      <c r="S4323" t="s">
        <v>680</v>
      </c>
      <c r="T4323" t="s">
        <v>164</v>
      </c>
      <c r="U4323">
        <v>1.5069210196505433E-2</v>
      </c>
      <c r="V4323" t="s">
        <v>157</v>
      </c>
    </row>
    <row r="4324" spans="19:22" x14ac:dyDescent="0.45">
      <c r="S4324" t="s">
        <v>680</v>
      </c>
      <c r="T4324" t="s">
        <v>165</v>
      </c>
      <c r="U4324">
        <v>1.5000592914633869E-2</v>
      </c>
      <c r="V4324" t="s">
        <v>157</v>
      </c>
    </row>
    <row r="4325" spans="19:22" x14ac:dyDescent="0.45">
      <c r="S4325" t="s">
        <v>680</v>
      </c>
      <c r="T4325" t="s">
        <v>166</v>
      </c>
      <c r="U4325">
        <v>7.7725547061733152E-2</v>
      </c>
      <c r="V4325" t="s">
        <v>157</v>
      </c>
    </row>
    <row r="4326" spans="19:22" x14ac:dyDescent="0.45">
      <c r="S4326" t="s">
        <v>680</v>
      </c>
      <c r="T4326" t="s">
        <v>167</v>
      </c>
      <c r="U4326">
        <v>3.7389336912752896E-2</v>
      </c>
      <c r="V4326" t="s">
        <v>157</v>
      </c>
    </row>
    <row r="4327" spans="19:22" x14ac:dyDescent="0.45">
      <c r="S4327" t="s">
        <v>680</v>
      </c>
      <c r="T4327" t="s">
        <v>168</v>
      </c>
      <c r="U4327">
        <v>4.9756704733880601E-2</v>
      </c>
      <c r="V4327" t="s">
        <v>157</v>
      </c>
    </row>
    <row r="4328" spans="19:22" x14ac:dyDescent="0.45">
      <c r="S4328" t="s">
        <v>680</v>
      </c>
      <c r="T4328" t="s">
        <v>169</v>
      </c>
      <c r="U4328">
        <v>5.068937437107339E-3</v>
      </c>
      <c r="V4328" t="s">
        <v>157</v>
      </c>
    </row>
    <row r="4329" spans="19:22" x14ac:dyDescent="0.45">
      <c r="S4329" t="s">
        <v>680</v>
      </c>
      <c r="T4329" t="s">
        <v>170</v>
      </c>
      <c r="U4329">
        <v>5.1084430856188417E-3</v>
      </c>
      <c r="V4329" t="s">
        <v>157</v>
      </c>
    </row>
    <row r="4330" spans="19:22" x14ac:dyDescent="0.45">
      <c r="S4330" t="s">
        <v>680</v>
      </c>
      <c r="T4330" t="s">
        <v>171</v>
      </c>
      <c r="U4330">
        <v>2.5023910726872451E-2</v>
      </c>
      <c r="V4330" t="s">
        <v>157</v>
      </c>
    </row>
    <row r="4331" spans="19:22" x14ac:dyDescent="0.45">
      <c r="S4331" t="s">
        <v>681</v>
      </c>
      <c r="T4331" t="s">
        <v>156</v>
      </c>
      <c r="U4331">
        <v>0.14867940563936896</v>
      </c>
      <c r="V4331" t="s">
        <v>157</v>
      </c>
    </row>
    <row r="4332" spans="19:22" x14ac:dyDescent="0.45">
      <c r="S4332" t="s">
        <v>681</v>
      </c>
      <c r="T4332" t="s">
        <v>158</v>
      </c>
      <c r="U4332">
        <v>0.20720769288518684</v>
      </c>
      <c r="V4332" t="s">
        <v>157</v>
      </c>
    </row>
    <row r="4333" spans="19:22" x14ac:dyDescent="0.45">
      <c r="S4333" t="s">
        <v>681</v>
      </c>
      <c r="T4333" t="s">
        <v>159</v>
      </c>
      <c r="U4333">
        <v>2.0320923911677707E-2</v>
      </c>
      <c r="V4333" t="s">
        <v>157</v>
      </c>
    </row>
    <row r="4334" spans="19:22" x14ac:dyDescent="0.45">
      <c r="S4334" t="s">
        <v>681</v>
      </c>
      <c r="T4334" t="s">
        <v>160</v>
      </c>
      <c r="U4334">
        <v>2.0298997107856386E-2</v>
      </c>
      <c r="V4334" t="s">
        <v>157</v>
      </c>
    </row>
    <row r="4335" spans="19:22" x14ac:dyDescent="0.45">
      <c r="S4335" t="s">
        <v>681</v>
      </c>
      <c r="T4335" t="s">
        <v>161</v>
      </c>
      <c r="U4335">
        <v>0.10262253990287924</v>
      </c>
      <c r="V4335" t="s">
        <v>157</v>
      </c>
    </row>
    <row r="4336" spans="19:22" x14ac:dyDescent="0.45">
      <c r="S4336" t="s">
        <v>681</v>
      </c>
      <c r="T4336" t="s">
        <v>162</v>
      </c>
      <c r="U4336">
        <v>9.8749601127437747E-2</v>
      </c>
      <c r="V4336" t="s">
        <v>157</v>
      </c>
    </row>
    <row r="4337" spans="19:22" x14ac:dyDescent="0.45">
      <c r="S4337" t="s">
        <v>681</v>
      </c>
      <c r="T4337" t="s">
        <v>163</v>
      </c>
      <c r="U4337">
        <v>0.14642833057002588</v>
      </c>
      <c r="V4337" t="s">
        <v>157</v>
      </c>
    </row>
    <row r="4338" spans="19:22" x14ac:dyDescent="0.45">
      <c r="S4338" t="s">
        <v>681</v>
      </c>
      <c r="T4338" t="s">
        <v>164</v>
      </c>
      <c r="U4338">
        <v>1.4251773539756903E-2</v>
      </c>
      <c r="V4338" t="s">
        <v>157</v>
      </c>
    </row>
    <row r="4339" spans="19:22" x14ac:dyDescent="0.45">
      <c r="S4339" t="s">
        <v>681</v>
      </c>
      <c r="T4339" t="s">
        <v>165</v>
      </c>
      <c r="U4339">
        <v>1.4110185966822333E-2</v>
      </c>
      <c r="V4339" t="s">
        <v>157</v>
      </c>
    </row>
    <row r="4340" spans="19:22" x14ac:dyDescent="0.45">
      <c r="S4340" t="s">
        <v>681</v>
      </c>
      <c r="T4340" t="s">
        <v>166</v>
      </c>
      <c r="U4340">
        <v>7.0341633213001839E-2</v>
      </c>
      <c r="V4340" t="s">
        <v>157</v>
      </c>
    </row>
    <row r="4341" spans="19:22" x14ac:dyDescent="0.45">
      <c r="S4341" t="s">
        <v>681</v>
      </c>
      <c r="T4341" t="s">
        <v>167</v>
      </c>
      <c r="U4341">
        <v>4.6370837092545636E-2</v>
      </c>
      <c r="V4341" t="s">
        <v>157</v>
      </c>
    </row>
    <row r="4342" spans="19:22" x14ac:dyDescent="0.45">
      <c r="S4342" t="s">
        <v>681</v>
      </c>
      <c r="T4342" t="s">
        <v>168</v>
      </c>
      <c r="U4342">
        <v>6.3879032762564972E-2</v>
      </c>
      <c r="V4342" t="s">
        <v>157</v>
      </c>
    </row>
    <row r="4343" spans="19:22" x14ac:dyDescent="0.45">
      <c r="S4343" t="s">
        <v>681</v>
      </c>
      <c r="T4343" t="s">
        <v>169</v>
      </c>
      <c r="U4343">
        <v>6.6919600379195974E-3</v>
      </c>
      <c r="V4343" t="s">
        <v>157</v>
      </c>
    </row>
    <row r="4344" spans="19:22" x14ac:dyDescent="0.45">
      <c r="S4344" t="s">
        <v>681</v>
      </c>
      <c r="T4344" t="s">
        <v>170</v>
      </c>
      <c r="U4344">
        <v>6.6945413561223461E-3</v>
      </c>
      <c r="V4344" t="s">
        <v>157</v>
      </c>
    </row>
    <row r="4345" spans="19:22" x14ac:dyDescent="0.45">
      <c r="S4345" t="s">
        <v>681</v>
      </c>
      <c r="T4345" t="s">
        <v>171</v>
      </c>
      <c r="U4345">
        <v>3.3352544886833563E-2</v>
      </c>
      <c r="V4345" t="s">
        <v>157</v>
      </c>
    </row>
    <row r="4346" spans="19:22" x14ac:dyDescent="0.45">
      <c r="S4346" t="s">
        <v>682</v>
      </c>
      <c r="T4346" t="s">
        <v>156</v>
      </c>
      <c r="U4346">
        <v>0.14638487660695876</v>
      </c>
      <c r="V4346" t="s">
        <v>157</v>
      </c>
    </row>
    <row r="4347" spans="19:22" x14ac:dyDescent="0.45">
      <c r="S4347" t="s">
        <v>682</v>
      </c>
      <c r="T4347" t="s">
        <v>158</v>
      </c>
      <c r="U4347">
        <v>0.20772331883482537</v>
      </c>
      <c r="V4347" t="s">
        <v>157</v>
      </c>
    </row>
    <row r="4348" spans="19:22" x14ac:dyDescent="0.45">
      <c r="S4348" t="s">
        <v>682</v>
      </c>
      <c r="T4348" t="s">
        <v>159</v>
      </c>
      <c r="U4348">
        <v>2.019985089441995E-2</v>
      </c>
      <c r="V4348" t="s">
        <v>157</v>
      </c>
    </row>
    <row r="4349" spans="19:22" x14ac:dyDescent="0.45">
      <c r="S4349" t="s">
        <v>682</v>
      </c>
      <c r="T4349" t="s">
        <v>160</v>
      </c>
      <c r="U4349">
        <v>1.9863636136964208E-2</v>
      </c>
      <c r="V4349" t="s">
        <v>157</v>
      </c>
    </row>
    <row r="4350" spans="19:22" x14ac:dyDescent="0.45">
      <c r="S4350" t="s">
        <v>682</v>
      </c>
      <c r="T4350" t="s">
        <v>161</v>
      </c>
      <c r="U4350">
        <v>9.9485778182252807E-2</v>
      </c>
      <c r="V4350" t="s">
        <v>157</v>
      </c>
    </row>
    <row r="4351" spans="19:22" x14ac:dyDescent="0.45">
      <c r="S4351" t="s">
        <v>682</v>
      </c>
      <c r="T4351" t="s">
        <v>162</v>
      </c>
      <c r="U4351">
        <v>0.10362822343968374</v>
      </c>
      <c r="V4351" t="s">
        <v>157</v>
      </c>
    </row>
    <row r="4352" spans="19:22" x14ac:dyDescent="0.45">
      <c r="S4352" t="s">
        <v>682</v>
      </c>
      <c r="T4352" t="s">
        <v>163</v>
      </c>
      <c r="U4352">
        <v>0.1522836697617026</v>
      </c>
      <c r="V4352" t="s">
        <v>157</v>
      </c>
    </row>
    <row r="4353" spans="19:22" x14ac:dyDescent="0.45">
      <c r="S4353" t="s">
        <v>682</v>
      </c>
      <c r="T4353" t="s">
        <v>164</v>
      </c>
      <c r="U4353">
        <v>1.4703802101076859E-2</v>
      </c>
      <c r="V4353" t="s">
        <v>157</v>
      </c>
    </row>
    <row r="4354" spans="19:22" x14ac:dyDescent="0.45">
      <c r="S4354" t="s">
        <v>682</v>
      </c>
      <c r="T4354" t="s">
        <v>165</v>
      </c>
      <c r="U4354">
        <v>1.447903213632565E-2</v>
      </c>
      <c r="V4354" t="s">
        <v>157</v>
      </c>
    </row>
    <row r="4355" spans="19:22" x14ac:dyDescent="0.45">
      <c r="S4355" t="s">
        <v>682</v>
      </c>
      <c r="T4355" t="s">
        <v>166</v>
      </c>
      <c r="U4355">
        <v>7.1077595949731093E-2</v>
      </c>
      <c r="V4355" t="s">
        <v>157</v>
      </c>
    </row>
    <row r="4356" spans="19:22" x14ac:dyDescent="0.45">
      <c r="S4356" t="s">
        <v>682</v>
      </c>
      <c r="T4356" t="s">
        <v>167</v>
      </c>
      <c r="U4356">
        <v>4.5515033328774664E-2</v>
      </c>
      <c r="V4356" t="s">
        <v>157</v>
      </c>
    </row>
    <row r="4357" spans="19:22" x14ac:dyDescent="0.45">
      <c r="S4357" t="s">
        <v>682</v>
      </c>
      <c r="T4357" t="s">
        <v>168</v>
      </c>
      <c r="U4357">
        <v>6.098825970052827E-2</v>
      </c>
      <c r="V4357" t="s">
        <v>157</v>
      </c>
    </row>
    <row r="4358" spans="19:22" x14ac:dyDescent="0.45">
      <c r="S4358" t="s">
        <v>682</v>
      </c>
      <c r="T4358" t="s">
        <v>169</v>
      </c>
      <c r="U4358">
        <v>6.1623775731483657E-3</v>
      </c>
      <c r="V4358" t="s">
        <v>157</v>
      </c>
    </row>
    <row r="4359" spans="19:22" x14ac:dyDescent="0.45">
      <c r="S4359" t="s">
        <v>682</v>
      </c>
      <c r="T4359" t="s">
        <v>170</v>
      </c>
      <c r="U4359">
        <v>6.1458715093547032E-3</v>
      </c>
      <c r="V4359" t="s">
        <v>157</v>
      </c>
    </row>
    <row r="4360" spans="19:22" x14ac:dyDescent="0.45">
      <c r="S4360" t="s">
        <v>682</v>
      </c>
      <c r="T4360" t="s">
        <v>171</v>
      </c>
      <c r="U4360">
        <v>3.1358673844253053E-2</v>
      </c>
      <c r="V4360" t="s">
        <v>157</v>
      </c>
    </row>
    <row r="4361" spans="19:22" x14ac:dyDescent="0.45">
      <c r="S4361" t="s">
        <v>683</v>
      </c>
      <c r="T4361" t="s">
        <v>156</v>
      </c>
      <c r="U4361">
        <v>0.14489024897952815</v>
      </c>
      <c r="V4361" t="s">
        <v>157</v>
      </c>
    </row>
    <row r="4362" spans="19:22" x14ac:dyDescent="0.45">
      <c r="S4362" t="s">
        <v>683</v>
      </c>
      <c r="T4362" t="s">
        <v>158</v>
      </c>
      <c r="U4362">
        <v>0.20760306454323063</v>
      </c>
      <c r="V4362" t="s">
        <v>157</v>
      </c>
    </row>
    <row r="4363" spans="19:22" x14ac:dyDescent="0.45">
      <c r="S4363" t="s">
        <v>683</v>
      </c>
      <c r="T4363" t="s">
        <v>159</v>
      </c>
      <c r="U4363">
        <v>2.018584311889152E-2</v>
      </c>
      <c r="V4363" t="s">
        <v>157</v>
      </c>
    </row>
    <row r="4364" spans="19:22" x14ac:dyDescent="0.45">
      <c r="S4364" t="s">
        <v>683</v>
      </c>
      <c r="T4364" t="s">
        <v>160</v>
      </c>
      <c r="U4364">
        <v>1.9836044030480504E-2</v>
      </c>
      <c r="V4364" t="s">
        <v>157</v>
      </c>
    </row>
    <row r="4365" spans="19:22" x14ac:dyDescent="0.45">
      <c r="S4365" t="s">
        <v>683</v>
      </c>
      <c r="T4365" t="s">
        <v>161</v>
      </c>
      <c r="U4365">
        <v>9.8878575616924466E-2</v>
      </c>
      <c r="V4365" t="s">
        <v>157</v>
      </c>
    </row>
    <row r="4366" spans="19:22" x14ac:dyDescent="0.45">
      <c r="S4366" t="s">
        <v>683</v>
      </c>
      <c r="T4366" t="s">
        <v>162</v>
      </c>
      <c r="U4366">
        <v>0.10480265329031216</v>
      </c>
      <c r="V4366" t="s">
        <v>157</v>
      </c>
    </row>
    <row r="4367" spans="19:22" x14ac:dyDescent="0.45">
      <c r="S4367" t="s">
        <v>683</v>
      </c>
      <c r="T4367" t="s">
        <v>163</v>
      </c>
      <c r="U4367">
        <v>0.15342370438096495</v>
      </c>
      <c r="V4367" t="s">
        <v>157</v>
      </c>
    </row>
    <row r="4368" spans="19:22" x14ac:dyDescent="0.45">
      <c r="S4368" t="s">
        <v>683</v>
      </c>
      <c r="T4368" t="s">
        <v>164</v>
      </c>
      <c r="U4368">
        <v>1.4880361700976411E-2</v>
      </c>
      <c r="V4368" t="s">
        <v>157</v>
      </c>
    </row>
    <row r="4369" spans="19:22" x14ac:dyDescent="0.45">
      <c r="S4369" t="s">
        <v>683</v>
      </c>
      <c r="T4369" t="s">
        <v>165</v>
      </c>
      <c r="U4369">
        <v>1.457850924089993E-2</v>
      </c>
      <c r="V4369" t="s">
        <v>157</v>
      </c>
    </row>
    <row r="4370" spans="19:22" x14ac:dyDescent="0.45">
      <c r="S4370" t="s">
        <v>683</v>
      </c>
      <c r="T4370" t="s">
        <v>166</v>
      </c>
      <c r="U4370">
        <v>7.1330282169055098E-2</v>
      </c>
      <c r="V4370" t="s">
        <v>157</v>
      </c>
    </row>
    <row r="4371" spans="19:22" x14ac:dyDescent="0.45">
      <c r="S4371" t="s">
        <v>683</v>
      </c>
      <c r="T4371" t="s">
        <v>167</v>
      </c>
      <c r="U4371">
        <v>4.5768984542577384E-2</v>
      </c>
      <c r="V4371" t="s">
        <v>157</v>
      </c>
    </row>
    <row r="4372" spans="19:22" x14ac:dyDescent="0.45">
      <c r="S4372" t="s">
        <v>683</v>
      </c>
      <c r="T4372" t="s">
        <v>168</v>
      </c>
      <c r="U4372">
        <v>6.0883841095841447E-2</v>
      </c>
      <c r="V4372" t="s">
        <v>157</v>
      </c>
    </row>
    <row r="4373" spans="19:22" x14ac:dyDescent="0.45">
      <c r="S4373" t="s">
        <v>683</v>
      </c>
      <c r="T4373" t="s">
        <v>169</v>
      </c>
      <c r="U4373">
        <v>6.1261656964488129E-3</v>
      </c>
      <c r="V4373" t="s">
        <v>157</v>
      </c>
    </row>
    <row r="4374" spans="19:22" x14ac:dyDescent="0.45">
      <c r="S4374" t="s">
        <v>683</v>
      </c>
      <c r="T4374" t="s">
        <v>170</v>
      </c>
      <c r="U4374">
        <v>6.0634898969145973E-3</v>
      </c>
      <c r="V4374" t="s">
        <v>157</v>
      </c>
    </row>
    <row r="4375" spans="19:22" x14ac:dyDescent="0.45">
      <c r="S4375" t="s">
        <v>683</v>
      </c>
      <c r="T4375" t="s">
        <v>171</v>
      </c>
      <c r="U4375">
        <v>3.0748231696953982E-2</v>
      </c>
      <c r="V4375" t="s">
        <v>157</v>
      </c>
    </row>
    <row r="4376" spans="19:22" x14ac:dyDescent="0.45">
      <c r="S4376" t="s">
        <v>684</v>
      </c>
      <c r="T4376" t="s">
        <v>156</v>
      </c>
      <c r="U4376">
        <v>0.1410218187124074</v>
      </c>
      <c r="V4376" t="s">
        <v>157</v>
      </c>
    </row>
    <row r="4377" spans="19:22" x14ac:dyDescent="0.45">
      <c r="S4377" t="s">
        <v>684</v>
      </c>
      <c r="T4377" t="s">
        <v>158</v>
      </c>
      <c r="U4377">
        <v>0.20111912038102689</v>
      </c>
      <c r="V4377" t="s">
        <v>157</v>
      </c>
    </row>
    <row r="4378" spans="19:22" x14ac:dyDescent="0.45">
      <c r="S4378" t="s">
        <v>684</v>
      </c>
      <c r="T4378" t="s">
        <v>159</v>
      </c>
      <c r="U4378">
        <v>1.9541910031254297E-2</v>
      </c>
      <c r="V4378" t="s">
        <v>157</v>
      </c>
    </row>
    <row r="4379" spans="19:22" x14ac:dyDescent="0.45">
      <c r="S4379" t="s">
        <v>684</v>
      </c>
      <c r="T4379" t="s">
        <v>160</v>
      </c>
      <c r="U4379">
        <v>1.9462329123230739E-2</v>
      </c>
      <c r="V4379" t="s">
        <v>157</v>
      </c>
    </row>
    <row r="4380" spans="19:22" x14ac:dyDescent="0.45">
      <c r="S4380" t="s">
        <v>684</v>
      </c>
      <c r="T4380" t="s">
        <v>161</v>
      </c>
      <c r="U4380">
        <v>9.8304955402581981E-2</v>
      </c>
      <c r="V4380" t="s">
        <v>157</v>
      </c>
    </row>
    <row r="4381" spans="19:22" x14ac:dyDescent="0.45">
      <c r="S4381" t="s">
        <v>684</v>
      </c>
      <c r="T4381" t="s">
        <v>162</v>
      </c>
      <c r="U4381">
        <v>0.10986728437190406</v>
      </c>
      <c r="V4381" t="s">
        <v>157</v>
      </c>
    </row>
    <row r="4382" spans="19:22" x14ac:dyDescent="0.45">
      <c r="S4382" t="s">
        <v>684</v>
      </c>
      <c r="T4382" t="s">
        <v>163</v>
      </c>
      <c r="U4382">
        <v>0.14776077931764989</v>
      </c>
      <c r="V4382" t="s">
        <v>157</v>
      </c>
    </row>
    <row r="4383" spans="19:22" x14ac:dyDescent="0.45">
      <c r="S4383" t="s">
        <v>684</v>
      </c>
      <c r="T4383" t="s">
        <v>164</v>
      </c>
      <c r="U4383">
        <v>1.4498556430779182E-2</v>
      </c>
      <c r="V4383" t="s">
        <v>157</v>
      </c>
    </row>
    <row r="4384" spans="19:22" x14ac:dyDescent="0.45">
      <c r="S4384" t="s">
        <v>684</v>
      </c>
      <c r="T4384" t="s">
        <v>165</v>
      </c>
      <c r="U4384">
        <v>1.4694952995933191E-2</v>
      </c>
      <c r="V4384" t="s">
        <v>157</v>
      </c>
    </row>
    <row r="4385" spans="19:22" x14ac:dyDescent="0.45">
      <c r="S4385" t="s">
        <v>684</v>
      </c>
      <c r="T4385" t="s">
        <v>166</v>
      </c>
      <c r="U4385">
        <v>7.8659147216691844E-2</v>
      </c>
      <c r="V4385" t="s">
        <v>157</v>
      </c>
    </row>
    <row r="4386" spans="19:22" x14ac:dyDescent="0.45">
      <c r="S4386" t="s">
        <v>684</v>
      </c>
      <c r="T4386" t="s">
        <v>167</v>
      </c>
      <c r="U4386">
        <v>4.4596789539138385E-2</v>
      </c>
      <c r="V4386" t="s">
        <v>157</v>
      </c>
    </row>
    <row r="4387" spans="19:22" x14ac:dyDescent="0.45">
      <c r="S4387" t="s">
        <v>684</v>
      </c>
      <c r="T4387" t="s">
        <v>168</v>
      </c>
      <c r="U4387">
        <v>6.713350096098103E-2</v>
      </c>
      <c r="V4387" t="s">
        <v>157</v>
      </c>
    </row>
    <row r="4388" spans="19:22" x14ac:dyDescent="0.45">
      <c r="S4388" t="s">
        <v>684</v>
      </c>
      <c r="T4388" t="s">
        <v>169</v>
      </c>
      <c r="U4388">
        <v>6.0638681991992691E-3</v>
      </c>
      <c r="V4388" t="s">
        <v>157</v>
      </c>
    </row>
    <row r="4389" spans="19:22" x14ac:dyDescent="0.45">
      <c r="S4389" t="s">
        <v>684</v>
      </c>
      <c r="T4389" t="s">
        <v>170</v>
      </c>
      <c r="U4389">
        <v>6.0906367264834289E-3</v>
      </c>
      <c r="V4389" t="s">
        <v>157</v>
      </c>
    </row>
    <row r="4390" spans="19:22" x14ac:dyDescent="0.45">
      <c r="S4390" t="s">
        <v>684</v>
      </c>
      <c r="T4390" t="s">
        <v>171</v>
      </c>
      <c r="U4390">
        <v>3.1184350590738499E-2</v>
      </c>
      <c r="V4390" t="s">
        <v>157</v>
      </c>
    </row>
    <row r="4391" spans="19:22" x14ac:dyDescent="0.45">
      <c r="S4391" t="s">
        <v>685</v>
      </c>
      <c r="T4391" t="s">
        <v>156</v>
      </c>
      <c r="U4391">
        <v>0.14243251257353173</v>
      </c>
      <c r="V4391" t="s">
        <v>157</v>
      </c>
    </row>
    <row r="4392" spans="19:22" x14ac:dyDescent="0.45">
      <c r="S4392" t="s">
        <v>685</v>
      </c>
      <c r="T4392" t="s">
        <v>158</v>
      </c>
      <c r="U4392">
        <v>0.19708649275953177</v>
      </c>
      <c r="V4392" t="s">
        <v>157</v>
      </c>
    </row>
    <row r="4393" spans="19:22" x14ac:dyDescent="0.45">
      <c r="S4393" t="s">
        <v>685</v>
      </c>
      <c r="T4393" t="s">
        <v>159</v>
      </c>
      <c r="U4393">
        <v>1.9302934945352339E-2</v>
      </c>
      <c r="V4393" t="s">
        <v>157</v>
      </c>
    </row>
    <row r="4394" spans="19:22" x14ac:dyDescent="0.45">
      <c r="S4394" t="s">
        <v>685</v>
      </c>
      <c r="T4394" t="s">
        <v>160</v>
      </c>
      <c r="U4394">
        <v>1.9337117986240736E-2</v>
      </c>
      <c r="V4394" t="s">
        <v>157</v>
      </c>
    </row>
    <row r="4395" spans="19:22" x14ac:dyDescent="0.45">
      <c r="S4395" t="s">
        <v>685</v>
      </c>
      <c r="T4395" t="s">
        <v>161</v>
      </c>
      <c r="U4395">
        <v>9.9584460298960287E-2</v>
      </c>
      <c r="V4395" t="s">
        <v>157</v>
      </c>
    </row>
    <row r="4396" spans="19:22" x14ac:dyDescent="0.45">
      <c r="S4396" t="s">
        <v>685</v>
      </c>
      <c r="T4396" t="s">
        <v>162</v>
      </c>
      <c r="U4396">
        <v>0.11114390529011813</v>
      </c>
      <c r="V4396" t="s">
        <v>157</v>
      </c>
    </row>
    <row r="4397" spans="19:22" x14ac:dyDescent="0.45">
      <c r="S4397" t="s">
        <v>685</v>
      </c>
      <c r="T4397" t="s">
        <v>163</v>
      </c>
      <c r="U4397">
        <v>0.15013750289147831</v>
      </c>
      <c r="V4397" t="s">
        <v>157</v>
      </c>
    </row>
    <row r="4398" spans="19:22" x14ac:dyDescent="0.45">
      <c r="S4398" t="s">
        <v>685</v>
      </c>
      <c r="T4398" t="s">
        <v>164</v>
      </c>
      <c r="U4398">
        <v>1.4459996004096542E-2</v>
      </c>
      <c r="V4398" t="s">
        <v>157</v>
      </c>
    </row>
    <row r="4399" spans="19:22" x14ac:dyDescent="0.45">
      <c r="S4399" t="s">
        <v>685</v>
      </c>
      <c r="T4399" t="s">
        <v>165</v>
      </c>
      <c r="U4399">
        <v>1.4677192463516354E-2</v>
      </c>
      <c r="V4399" t="s">
        <v>157</v>
      </c>
    </row>
    <row r="4400" spans="19:22" x14ac:dyDescent="0.45">
      <c r="S4400" t="s">
        <v>685</v>
      </c>
      <c r="T4400" t="s">
        <v>166</v>
      </c>
      <c r="U4400">
        <v>7.8163362800007033E-2</v>
      </c>
      <c r="V4400" t="s">
        <v>157</v>
      </c>
    </row>
    <row r="4401" spans="19:22" x14ac:dyDescent="0.45">
      <c r="S4401" t="s">
        <v>685</v>
      </c>
      <c r="T4401" t="s">
        <v>167</v>
      </c>
      <c r="U4401">
        <v>4.4157457473790435E-2</v>
      </c>
      <c r="V4401" t="s">
        <v>157</v>
      </c>
    </row>
    <row r="4402" spans="19:22" x14ac:dyDescent="0.45">
      <c r="S4402" t="s">
        <v>685</v>
      </c>
      <c r="T4402" t="s">
        <v>168</v>
      </c>
      <c r="U4402">
        <v>6.5336867392881415E-2</v>
      </c>
      <c r="V4402" t="s">
        <v>157</v>
      </c>
    </row>
    <row r="4403" spans="19:22" x14ac:dyDescent="0.45">
      <c r="S4403" t="s">
        <v>685</v>
      </c>
      <c r="T4403" t="s">
        <v>169</v>
      </c>
      <c r="U4403">
        <v>6.1898494911134822E-3</v>
      </c>
      <c r="V4403" t="s">
        <v>157</v>
      </c>
    </row>
    <row r="4404" spans="19:22" x14ac:dyDescent="0.45">
      <c r="S4404" t="s">
        <v>685</v>
      </c>
      <c r="T4404" t="s">
        <v>170</v>
      </c>
      <c r="U4404">
        <v>6.274487858252558E-3</v>
      </c>
      <c r="V4404" t="s">
        <v>157</v>
      </c>
    </row>
    <row r="4405" spans="19:22" x14ac:dyDescent="0.45">
      <c r="S4405" t="s">
        <v>685</v>
      </c>
      <c r="T4405" t="s">
        <v>171</v>
      </c>
      <c r="U4405">
        <v>3.1715859771128771E-2</v>
      </c>
      <c r="V4405" t="s">
        <v>157</v>
      </c>
    </row>
    <row r="4406" spans="19:22" x14ac:dyDescent="0.45">
      <c r="S4406" t="s">
        <v>686</v>
      </c>
      <c r="T4406" t="s">
        <v>156</v>
      </c>
      <c r="U4406">
        <v>0.1436769958851318</v>
      </c>
      <c r="V4406" t="s">
        <v>157</v>
      </c>
    </row>
    <row r="4407" spans="19:22" x14ac:dyDescent="0.45">
      <c r="S4407" t="s">
        <v>686</v>
      </c>
      <c r="T4407" t="s">
        <v>158</v>
      </c>
      <c r="U4407">
        <v>0.19246899062235526</v>
      </c>
      <c r="V4407" t="s">
        <v>157</v>
      </c>
    </row>
    <row r="4408" spans="19:22" x14ac:dyDescent="0.45">
      <c r="S4408" t="s">
        <v>686</v>
      </c>
      <c r="T4408" t="s">
        <v>159</v>
      </c>
      <c r="U4408">
        <v>1.8934165730541935E-2</v>
      </c>
      <c r="V4408" t="s">
        <v>157</v>
      </c>
    </row>
    <row r="4409" spans="19:22" x14ac:dyDescent="0.45">
      <c r="S4409" t="s">
        <v>686</v>
      </c>
      <c r="T4409" t="s">
        <v>160</v>
      </c>
      <c r="U4409">
        <v>1.9416983243189637E-2</v>
      </c>
      <c r="V4409" t="s">
        <v>157</v>
      </c>
    </row>
    <row r="4410" spans="19:22" x14ac:dyDescent="0.45">
      <c r="S4410" t="s">
        <v>686</v>
      </c>
      <c r="T4410" t="s">
        <v>161</v>
      </c>
      <c r="U4410">
        <v>0.1019536332351717</v>
      </c>
      <c r="V4410" t="s">
        <v>157</v>
      </c>
    </row>
    <row r="4411" spans="19:22" x14ac:dyDescent="0.45">
      <c r="S4411" t="s">
        <v>686</v>
      </c>
      <c r="T4411" t="s">
        <v>162</v>
      </c>
      <c r="U4411">
        <v>0.11274737016580111</v>
      </c>
      <c r="V4411" t="s">
        <v>157</v>
      </c>
    </row>
    <row r="4412" spans="19:22" x14ac:dyDescent="0.45">
      <c r="S4412" t="s">
        <v>686</v>
      </c>
      <c r="T4412" t="s">
        <v>163</v>
      </c>
      <c r="U4412">
        <v>0.15197742150270077</v>
      </c>
      <c r="V4412" t="s">
        <v>157</v>
      </c>
    </row>
    <row r="4413" spans="19:22" x14ac:dyDescent="0.45">
      <c r="S4413" t="s">
        <v>686</v>
      </c>
      <c r="T4413" t="s">
        <v>164</v>
      </c>
      <c r="U4413">
        <v>1.4331195534186608E-2</v>
      </c>
      <c r="V4413" t="s">
        <v>157</v>
      </c>
    </row>
    <row r="4414" spans="19:22" x14ac:dyDescent="0.45">
      <c r="S4414" t="s">
        <v>686</v>
      </c>
      <c r="T4414" t="s">
        <v>165</v>
      </c>
      <c r="U4414">
        <v>1.4592970338133192E-2</v>
      </c>
      <c r="V4414" t="s">
        <v>157</v>
      </c>
    </row>
    <row r="4415" spans="19:22" x14ac:dyDescent="0.45">
      <c r="S4415" t="s">
        <v>686</v>
      </c>
      <c r="T4415" t="s">
        <v>166</v>
      </c>
      <c r="U4415">
        <v>7.7969332993295004E-2</v>
      </c>
      <c r="V4415" t="s">
        <v>157</v>
      </c>
    </row>
    <row r="4416" spans="19:22" x14ac:dyDescent="0.45">
      <c r="S4416" t="s">
        <v>686</v>
      </c>
      <c r="T4416" t="s">
        <v>167</v>
      </c>
      <c r="U4416">
        <v>4.381438437551325E-2</v>
      </c>
      <c r="V4416" t="s">
        <v>157</v>
      </c>
    </row>
    <row r="4417" spans="19:22" x14ac:dyDescent="0.45">
      <c r="S4417" t="s">
        <v>686</v>
      </c>
      <c r="T4417" t="s">
        <v>168</v>
      </c>
      <c r="U4417">
        <v>6.240757012479866E-2</v>
      </c>
      <c r="V4417" t="s">
        <v>157</v>
      </c>
    </row>
    <row r="4418" spans="19:22" x14ac:dyDescent="0.45">
      <c r="S4418" t="s">
        <v>686</v>
      </c>
      <c r="T4418" t="s">
        <v>169</v>
      </c>
      <c r="U4418">
        <v>6.3086290480978101E-3</v>
      </c>
      <c r="V4418" t="s">
        <v>157</v>
      </c>
    </row>
    <row r="4419" spans="19:22" x14ac:dyDescent="0.45">
      <c r="S4419" t="s">
        <v>686</v>
      </c>
      <c r="T4419" t="s">
        <v>170</v>
      </c>
      <c r="U4419">
        <v>6.525166179880448E-3</v>
      </c>
      <c r="V4419" t="s">
        <v>157</v>
      </c>
    </row>
    <row r="4420" spans="19:22" x14ac:dyDescent="0.45">
      <c r="S4420" t="s">
        <v>686</v>
      </c>
      <c r="T4420" t="s">
        <v>171</v>
      </c>
      <c r="U4420">
        <v>3.2875191021202808E-2</v>
      </c>
      <c r="V4420" t="s">
        <v>157</v>
      </c>
    </row>
    <row r="4421" spans="19:22" x14ac:dyDescent="0.45">
      <c r="S4421" t="s">
        <v>687</v>
      </c>
      <c r="T4421" t="s">
        <v>156</v>
      </c>
      <c r="U4421">
        <v>0.13667744209663824</v>
      </c>
      <c r="V4421" t="s">
        <v>157</v>
      </c>
    </row>
    <row r="4422" spans="19:22" x14ac:dyDescent="0.45">
      <c r="S4422" t="s">
        <v>687</v>
      </c>
      <c r="T4422" t="s">
        <v>158</v>
      </c>
      <c r="U4422">
        <v>0.18808057645617521</v>
      </c>
      <c r="V4422" t="s">
        <v>157</v>
      </c>
    </row>
    <row r="4423" spans="19:22" x14ac:dyDescent="0.45">
      <c r="S4423" t="s">
        <v>687</v>
      </c>
      <c r="T4423" t="s">
        <v>159</v>
      </c>
      <c r="U4423">
        <v>1.9933521690854085E-2</v>
      </c>
      <c r="V4423" t="s">
        <v>157</v>
      </c>
    </row>
    <row r="4424" spans="19:22" x14ac:dyDescent="0.45">
      <c r="S4424" t="s">
        <v>687</v>
      </c>
      <c r="T4424" t="s">
        <v>160</v>
      </c>
      <c r="U4424">
        <v>2.0242370119821725E-2</v>
      </c>
      <c r="V4424" t="s">
        <v>157</v>
      </c>
    </row>
    <row r="4425" spans="19:22" x14ac:dyDescent="0.45">
      <c r="S4425" t="s">
        <v>687</v>
      </c>
      <c r="T4425" t="s">
        <v>161</v>
      </c>
      <c r="U4425">
        <v>0.10435236706770037</v>
      </c>
      <c r="V4425" t="s">
        <v>157</v>
      </c>
    </row>
    <row r="4426" spans="19:22" x14ac:dyDescent="0.45">
      <c r="S4426" t="s">
        <v>687</v>
      </c>
      <c r="T4426" t="s">
        <v>162</v>
      </c>
      <c r="U4426">
        <v>0.11596748583452671</v>
      </c>
      <c r="V4426" t="s">
        <v>157</v>
      </c>
    </row>
    <row r="4427" spans="19:22" x14ac:dyDescent="0.45">
      <c r="S4427" t="s">
        <v>687</v>
      </c>
      <c r="T4427" t="s">
        <v>163</v>
      </c>
      <c r="U4427">
        <v>0.15149482778091389</v>
      </c>
      <c r="V4427" t="s">
        <v>157</v>
      </c>
    </row>
    <row r="4428" spans="19:22" x14ac:dyDescent="0.45">
      <c r="S4428" t="s">
        <v>687</v>
      </c>
      <c r="T4428" t="s">
        <v>164</v>
      </c>
      <c r="U4428">
        <v>1.451682693465471E-2</v>
      </c>
      <c r="V4428" t="s">
        <v>157</v>
      </c>
    </row>
    <row r="4429" spans="19:22" x14ac:dyDescent="0.45">
      <c r="S4429" t="s">
        <v>687</v>
      </c>
      <c r="T4429" t="s">
        <v>165</v>
      </c>
      <c r="U4429">
        <v>1.4953022062955476E-2</v>
      </c>
      <c r="V4429" t="s">
        <v>157</v>
      </c>
    </row>
    <row r="4430" spans="19:22" x14ac:dyDescent="0.45">
      <c r="S4430" t="s">
        <v>687</v>
      </c>
      <c r="T4430" t="s">
        <v>166</v>
      </c>
      <c r="U4430">
        <v>8.0229354271236869E-2</v>
      </c>
      <c r="V4430" t="s">
        <v>157</v>
      </c>
    </row>
    <row r="4431" spans="19:22" x14ac:dyDescent="0.45">
      <c r="S4431" t="s">
        <v>687</v>
      </c>
      <c r="T4431" t="s">
        <v>167</v>
      </c>
      <c r="U4431">
        <v>4.4363148727675973E-2</v>
      </c>
      <c r="V4431" t="s">
        <v>157</v>
      </c>
    </row>
    <row r="4432" spans="19:22" x14ac:dyDescent="0.45">
      <c r="S4432" t="s">
        <v>687</v>
      </c>
      <c r="T4432" t="s">
        <v>168</v>
      </c>
      <c r="U4432">
        <v>6.0329564234603304E-2</v>
      </c>
      <c r="V4432" t="s">
        <v>157</v>
      </c>
    </row>
    <row r="4433" spans="19:22" x14ac:dyDescent="0.45">
      <c r="S4433" t="s">
        <v>687</v>
      </c>
      <c r="T4433" t="s">
        <v>169</v>
      </c>
      <c r="U4433">
        <v>6.9087287358115118E-3</v>
      </c>
      <c r="V4433" t="s">
        <v>157</v>
      </c>
    </row>
    <row r="4434" spans="19:22" x14ac:dyDescent="0.45">
      <c r="S4434" t="s">
        <v>687</v>
      </c>
      <c r="T4434" t="s">
        <v>170</v>
      </c>
      <c r="U4434">
        <v>6.9052558165255745E-3</v>
      </c>
      <c r="V4434" t="s">
        <v>157</v>
      </c>
    </row>
    <row r="4435" spans="19:22" x14ac:dyDescent="0.45">
      <c r="S4435" t="s">
        <v>687</v>
      </c>
      <c r="T4435" t="s">
        <v>171</v>
      </c>
      <c r="U4435">
        <v>3.5045508169906349E-2</v>
      </c>
      <c r="V4435" t="s">
        <v>157</v>
      </c>
    </row>
    <row r="4436" spans="19:22" x14ac:dyDescent="0.45">
      <c r="S4436" t="s">
        <v>688</v>
      </c>
      <c r="T4436" t="s">
        <v>156</v>
      </c>
      <c r="U4436">
        <v>0.13243063556957063</v>
      </c>
      <c r="V4436" t="s">
        <v>157</v>
      </c>
    </row>
    <row r="4437" spans="19:22" x14ac:dyDescent="0.45">
      <c r="S4437" t="s">
        <v>688</v>
      </c>
      <c r="T4437" t="s">
        <v>158</v>
      </c>
      <c r="U4437">
        <v>0.18275105072648468</v>
      </c>
      <c r="V4437" t="s">
        <v>157</v>
      </c>
    </row>
    <row r="4438" spans="19:22" x14ac:dyDescent="0.45">
      <c r="S4438" t="s">
        <v>688</v>
      </c>
      <c r="T4438" t="s">
        <v>159</v>
      </c>
      <c r="U4438">
        <v>1.9565126406403368E-2</v>
      </c>
      <c r="V4438" t="s">
        <v>157</v>
      </c>
    </row>
    <row r="4439" spans="19:22" x14ac:dyDescent="0.45">
      <c r="S4439" t="s">
        <v>688</v>
      </c>
      <c r="T4439" t="s">
        <v>160</v>
      </c>
      <c r="U4439">
        <v>1.9721071611682014E-2</v>
      </c>
      <c r="V4439" t="s">
        <v>157</v>
      </c>
    </row>
    <row r="4440" spans="19:22" x14ac:dyDescent="0.45">
      <c r="S4440" t="s">
        <v>688</v>
      </c>
      <c r="T4440" t="s">
        <v>161</v>
      </c>
      <c r="U4440">
        <v>0.10064038144056016</v>
      </c>
      <c r="V4440" t="s">
        <v>157</v>
      </c>
    </row>
    <row r="4441" spans="19:22" x14ac:dyDescent="0.45">
      <c r="S4441" t="s">
        <v>688</v>
      </c>
      <c r="T4441" t="s">
        <v>162</v>
      </c>
      <c r="U4441">
        <v>0.12211709671576297</v>
      </c>
      <c r="V4441" t="s">
        <v>157</v>
      </c>
    </row>
    <row r="4442" spans="19:22" x14ac:dyDescent="0.45">
      <c r="S4442" t="s">
        <v>688</v>
      </c>
      <c r="T4442" t="s">
        <v>163</v>
      </c>
      <c r="U4442">
        <v>0.1592312891812851</v>
      </c>
      <c r="V4442" t="s">
        <v>157</v>
      </c>
    </row>
    <row r="4443" spans="19:22" x14ac:dyDescent="0.45">
      <c r="S4443" t="s">
        <v>688</v>
      </c>
      <c r="T4443" t="s">
        <v>164</v>
      </c>
      <c r="U4443">
        <v>1.520141429723266E-2</v>
      </c>
      <c r="V4443" t="s">
        <v>157</v>
      </c>
    </row>
    <row r="4444" spans="19:22" x14ac:dyDescent="0.45">
      <c r="S4444" t="s">
        <v>688</v>
      </c>
      <c r="T4444" t="s">
        <v>165</v>
      </c>
      <c r="U4444">
        <v>1.5364892070814404E-2</v>
      </c>
      <c r="V4444" t="s">
        <v>157</v>
      </c>
    </row>
    <row r="4445" spans="19:22" x14ac:dyDescent="0.45">
      <c r="S4445" t="s">
        <v>688</v>
      </c>
      <c r="T4445" t="s">
        <v>166</v>
      </c>
      <c r="U4445">
        <v>8.2058702063072905E-2</v>
      </c>
      <c r="V4445" t="s">
        <v>157</v>
      </c>
    </row>
    <row r="4446" spans="19:22" x14ac:dyDescent="0.45">
      <c r="S4446" t="s">
        <v>688</v>
      </c>
      <c r="T4446" t="s">
        <v>167</v>
      </c>
      <c r="U4446">
        <v>4.5254458299438222E-2</v>
      </c>
      <c r="V4446" t="s">
        <v>157</v>
      </c>
    </row>
    <row r="4447" spans="19:22" x14ac:dyDescent="0.45">
      <c r="S4447" t="s">
        <v>688</v>
      </c>
      <c r="T4447" t="s">
        <v>168</v>
      </c>
      <c r="U4447">
        <v>5.886476437569705E-2</v>
      </c>
      <c r="V4447" t="s">
        <v>157</v>
      </c>
    </row>
    <row r="4448" spans="19:22" x14ac:dyDescent="0.45">
      <c r="S4448" t="s">
        <v>688</v>
      </c>
      <c r="T4448" t="s">
        <v>169</v>
      </c>
      <c r="U4448">
        <v>6.5639617897281554E-3</v>
      </c>
      <c r="V4448" t="s">
        <v>157</v>
      </c>
    </row>
    <row r="4449" spans="19:22" x14ac:dyDescent="0.45">
      <c r="S4449" t="s">
        <v>688</v>
      </c>
      <c r="T4449" t="s">
        <v>170</v>
      </c>
      <c r="U4449">
        <v>6.4987514809077499E-3</v>
      </c>
      <c r="V4449" t="s">
        <v>157</v>
      </c>
    </row>
    <row r="4450" spans="19:22" x14ac:dyDescent="0.45">
      <c r="S4450" t="s">
        <v>688</v>
      </c>
      <c r="T4450" t="s">
        <v>171</v>
      </c>
      <c r="U4450">
        <v>3.3736403971359921E-2</v>
      </c>
      <c r="V4450" t="s">
        <v>157</v>
      </c>
    </row>
    <row r="4451" spans="19:22" x14ac:dyDescent="0.45">
      <c r="S4451" t="s">
        <v>689</v>
      </c>
      <c r="T4451" t="s">
        <v>156</v>
      </c>
      <c r="U4451">
        <v>0.12503498513390127</v>
      </c>
      <c r="V4451" t="s">
        <v>157</v>
      </c>
    </row>
    <row r="4452" spans="19:22" x14ac:dyDescent="0.45">
      <c r="S4452" t="s">
        <v>689</v>
      </c>
      <c r="T4452" t="s">
        <v>158</v>
      </c>
      <c r="U4452">
        <v>0.17705556875731596</v>
      </c>
      <c r="V4452" t="s">
        <v>157</v>
      </c>
    </row>
    <row r="4453" spans="19:22" x14ac:dyDescent="0.45">
      <c r="S4453" t="s">
        <v>689</v>
      </c>
      <c r="T4453" t="s">
        <v>159</v>
      </c>
      <c r="U4453">
        <v>1.8604161539646405E-2</v>
      </c>
      <c r="V4453" t="s">
        <v>157</v>
      </c>
    </row>
    <row r="4454" spans="19:22" x14ac:dyDescent="0.45">
      <c r="S4454" t="s">
        <v>689</v>
      </c>
      <c r="T4454" t="s">
        <v>160</v>
      </c>
      <c r="U4454">
        <v>1.8623848502759343E-2</v>
      </c>
      <c r="V4454" t="s">
        <v>157</v>
      </c>
    </row>
    <row r="4455" spans="19:22" x14ac:dyDescent="0.45">
      <c r="S4455" t="s">
        <v>689</v>
      </c>
      <c r="T4455" t="s">
        <v>161</v>
      </c>
      <c r="U4455">
        <v>9.161314347069334E-2</v>
      </c>
      <c r="V4455" t="s">
        <v>157</v>
      </c>
    </row>
    <row r="4456" spans="19:22" x14ac:dyDescent="0.45">
      <c r="S4456" t="s">
        <v>689</v>
      </c>
      <c r="T4456" t="s">
        <v>162</v>
      </c>
      <c r="U4456">
        <v>0.12744179797745414</v>
      </c>
      <c r="V4456" t="s">
        <v>157</v>
      </c>
    </row>
    <row r="4457" spans="19:22" x14ac:dyDescent="0.45">
      <c r="S4457" t="s">
        <v>689</v>
      </c>
      <c r="T4457" t="s">
        <v>163</v>
      </c>
      <c r="U4457">
        <v>0.17480111861727166</v>
      </c>
      <c r="V4457" t="s">
        <v>157</v>
      </c>
    </row>
    <row r="4458" spans="19:22" x14ac:dyDescent="0.45">
      <c r="S4458" t="s">
        <v>689</v>
      </c>
      <c r="T4458" t="s">
        <v>164</v>
      </c>
      <c r="U4458">
        <v>1.6869557517928152E-2</v>
      </c>
      <c r="V4458" t="s">
        <v>157</v>
      </c>
    </row>
    <row r="4459" spans="19:22" x14ac:dyDescent="0.45">
      <c r="S4459" t="s">
        <v>689</v>
      </c>
      <c r="T4459" t="s">
        <v>165</v>
      </c>
      <c r="U4459">
        <v>1.6638040666604011E-2</v>
      </c>
      <c r="V4459" t="s">
        <v>157</v>
      </c>
    </row>
    <row r="4460" spans="19:22" x14ac:dyDescent="0.45">
      <c r="S4460" t="s">
        <v>689</v>
      </c>
      <c r="T4460" t="s">
        <v>166</v>
      </c>
      <c r="U4460">
        <v>8.5212902888600922E-2</v>
      </c>
      <c r="V4460" t="s">
        <v>157</v>
      </c>
    </row>
    <row r="4461" spans="19:22" x14ac:dyDescent="0.45">
      <c r="S4461" t="s">
        <v>689</v>
      </c>
      <c r="T4461" t="s">
        <v>167</v>
      </c>
      <c r="U4461">
        <v>4.4183622351174491E-2</v>
      </c>
      <c r="V4461" t="s">
        <v>157</v>
      </c>
    </row>
    <row r="4462" spans="19:22" x14ac:dyDescent="0.45">
      <c r="S4462" t="s">
        <v>689</v>
      </c>
      <c r="T4462" t="s">
        <v>168</v>
      </c>
      <c r="U4462">
        <v>6.06158987463963E-2</v>
      </c>
      <c r="V4462" t="s">
        <v>157</v>
      </c>
    </row>
    <row r="4463" spans="19:22" x14ac:dyDescent="0.45">
      <c r="S4463" t="s">
        <v>689</v>
      </c>
      <c r="T4463" t="s">
        <v>169</v>
      </c>
      <c r="U4463">
        <v>6.3525685334889261E-3</v>
      </c>
      <c r="V4463" t="s">
        <v>157</v>
      </c>
    </row>
    <row r="4464" spans="19:22" x14ac:dyDescent="0.45">
      <c r="S4464" t="s">
        <v>689</v>
      </c>
      <c r="T4464" t="s">
        <v>170</v>
      </c>
      <c r="U4464">
        <v>6.1470247003752214E-3</v>
      </c>
      <c r="V4464" t="s">
        <v>157</v>
      </c>
    </row>
    <row r="4465" spans="19:22" x14ac:dyDescent="0.45">
      <c r="S4465" t="s">
        <v>689</v>
      </c>
      <c r="T4465" t="s">
        <v>171</v>
      </c>
      <c r="U4465">
        <v>3.0805760596389883E-2</v>
      </c>
      <c r="V4465" t="s">
        <v>157</v>
      </c>
    </row>
    <row r="4466" spans="19:22" x14ac:dyDescent="0.45">
      <c r="S4466" t="s">
        <v>690</v>
      </c>
      <c r="T4466" t="s">
        <v>156</v>
      </c>
      <c r="U4466">
        <v>0.1131998149813413</v>
      </c>
      <c r="V4466" t="s">
        <v>157</v>
      </c>
    </row>
    <row r="4467" spans="19:22" x14ac:dyDescent="0.45">
      <c r="S4467" t="s">
        <v>690</v>
      </c>
      <c r="T4467" t="s">
        <v>158</v>
      </c>
      <c r="U4467">
        <v>0.1751030722437999</v>
      </c>
      <c r="V4467" t="s">
        <v>157</v>
      </c>
    </row>
    <row r="4468" spans="19:22" x14ac:dyDescent="0.45">
      <c r="S4468" t="s">
        <v>690</v>
      </c>
      <c r="T4468" t="s">
        <v>159</v>
      </c>
      <c r="U4468">
        <v>1.8476221340025443E-2</v>
      </c>
      <c r="V4468" t="s">
        <v>157</v>
      </c>
    </row>
    <row r="4469" spans="19:22" x14ac:dyDescent="0.45">
      <c r="S4469" t="s">
        <v>690</v>
      </c>
      <c r="T4469" t="s">
        <v>160</v>
      </c>
      <c r="U4469">
        <v>1.7864246800731648E-2</v>
      </c>
      <c r="V4469" t="s">
        <v>157</v>
      </c>
    </row>
    <row r="4470" spans="19:22" x14ac:dyDescent="0.45">
      <c r="S4470" t="s">
        <v>690</v>
      </c>
      <c r="T4470" t="s">
        <v>161</v>
      </c>
      <c r="U4470">
        <v>8.1862968356329571E-2</v>
      </c>
      <c r="V4470" t="s">
        <v>157</v>
      </c>
    </row>
    <row r="4471" spans="19:22" x14ac:dyDescent="0.45">
      <c r="S4471" t="s">
        <v>690</v>
      </c>
      <c r="T4471" t="s">
        <v>162</v>
      </c>
      <c r="U4471">
        <v>0.13353760974134068</v>
      </c>
      <c r="V4471" t="s">
        <v>157</v>
      </c>
    </row>
    <row r="4472" spans="19:22" x14ac:dyDescent="0.45">
      <c r="S4472" t="s">
        <v>690</v>
      </c>
      <c r="T4472" t="s">
        <v>163</v>
      </c>
      <c r="U4472">
        <v>0.19486388682264186</v>
      </c>
      <c r="V4472" t="s">
        <v>157</v>
      </c>
    </row>
    <row r="4473" spans="19:22" x14ac:dyDescent="0.45">
      <c r="S4473" t="s">
        <v>690</v>
      </c>
      <c r="T4473" t="s">
        <v>164</v>
      </c>
      <c r="U4473">
        <v>1.8999076843699825E-2</v>
      </c>
      <c r="V4473" t="s">
        <v>157</v>
      </c>
    </row>
    <row r="4474" spans="19:22" x14ac:dyDescent="0.45">
      <c r="S4474" t="s">
        <v>690</v>
      </c>
      <c r="T4474" t="s">
        <v>165</v>
      </c>
      <c r="U4474">
        <v>1.8059430645099191E-2</v>
      </c>
      <c r="V4474" t="s">
        <v>157</v>
      </c>
    </row>
    <row r="4475" spans="19:22" x14ac:dyDescent="0.45">
      <c r="S4475" t="s">
        <v>690</v>
      </c>
      <c r="T4475" t="s">
        <v>166</v>
      </c>
      <c r="U4475">
        <v>8.7596199616003567E-2</v>
      </c>
      <c r="V4475" t="s">
        <v>157</v>
      </c>
    </row>
    <row r="4476" spans="19:22" x14ac:dyDescent="0.45">
      <c r="S4476" t="s">
        <v>690</v>
      </c>
      <c r="T4476" t="s">
        <v>167</v>
      </c>
      <c r="U4476">
        <v>3.8324422146653637E-2</v>
      </c>
      <c r="V4476" t="s">
        <v>157</v>
      </c>
    </row>
    <row r="4477" spans="19:22" x14ac:dyDescent="0.45">
      <c r="S4477" t="s">
        <v>690</v>
      </c>
      <c r="T4477" t="s">
        <v>168</v>
      </c>
      <c r="U4477">
        <v>6.2941220676433374E-2</v>
      </c>
      <c r="V4477" t="s">
        <v>157</v>
      </c>
    </row>
    <row r="4478" spans="19:22" x14ac:dyDescent="0.45">
      <c r="S4478" t="s">
        <v>690</v>
      </c>
      <c r="T4478" t="s">
        <v>169</v>
      </c>
      <c r="U4478">
        <v>6.4253592659171011E-3</v>
      </c>
      <c r="V4478" t="s">
        <v>157</v>
      </c>
    </row>
    <row r="4479" spans="19:22" x14ac:dyDescent="0.45">
      <c r="S4479" t="s">
        <v>690</v>
      </c>
      <c r="T4479" t="s">
        <v>170</v>
      </c>
      <c r="U4479">
        <v>5.9135154169918979E-3</v>
      </c>
      <c r="V4479" t="s">
        <v>157</v>
      </c>
    </row>
    <row r="4480" spans="19:22" x14ac:dyDescent="0.45">
      <c r="S4480" t="s">
        <v>690</v>
      </c>
      <c r="T4480" t="s">
        <v>171</v>
      </c>
      <c r="U4480">
        <v>2.6832955102990996E-2</v>
      </c>
      <c r="V4480" t="s">
        <v>157</v>
      </c>
    </row>
    <row r="4481" spans="19:22" x14ac:dyDescent="0.45">
      <c r="S4481" t="s">
        <v>691</v>
      </c>
      <c r="T4481" t="s">
        <v>156</v>
      </c>
      <c r="U4481">
        <v>0.11838683416909465</v>
      </c>
      <c r="V4481" t="s">
        <v>157</v>
      </c>
    </row>
    <row r="4482" spans="19:22" x14ac:dyDescent="0.45">
      <c r="S4482" t="s">
        <v>691</v>
      </c>
      <c r="T4482" t="s">
        <v>158</v>
      </c>
      <c r="U4482">
        <v>0.1682023131051491</v>
      </c>
      <c r="V4482" t="s">
        <v>157</v>
      </c>
    </row>
    <row r="4483" spans="19:22" x14ac:dyDescent="0.45">
      <c r="S4483" t="s">
        <v>691</v>
      </c>
      <c r="T4483" t="s">
        <v>159</v>
      </c>
      <c r="U4483">
        <v>1.9492974945854117E-2</v>
      </c>
      <c r="V4483" t="s">
        <v>157</v>
      </c>
    </row>
    <row r="4484" spans="19:22" x14ac:dyDescent="0.45">
      <c r="S4484" t="s">
        <v>691</v>
      </c>
      <c r="T4484" t="s">
        <v>160</v>
      </c>
      <c r="U4484">
        <v>1.8801266974419441E-2</v>
      </c>
      <c r="V4484" t="s">
        <v>157</v>
      </c>
    </row>
    <row r="4485" spans="19:22" x14ac:dyDescent="0.45">
      <c r="S4485" t="s">
        <v>691</v>
      </c>
      <c r="T4485" t="s">
        <v>161</v>
      </c>
      <c r="U4485">
        <v>9.0974918547369887E-2</v>
      </c>
      <c r="V4485" t="s">
        <v>157</v>
      </c>
    </row>
    <row r="4486" spans="19:22" x14ac:dyDescent="0.45">
      <c r="S4486" t="s">
        <v>691</v>
      </c>
      <c r="T4486" t="s">
        <v>162</v>
      </c>
      <c r="U4486">
        <v>0.11856880820884942</v>
      </c>
      <c r="V4486" t="s">
        <v>157</v>
      </c>
    </row>
    <row r="4487" spans="19:22" x14ac:dyDescent="0.45">
      <c r="S4487" t="s">
        <v>691</v>
      </c>
      <c r="T4487" t="s">
        <v>163</v>
      </c>
      <c r="U4487">
        <v>0.21224976982663901</v>
      </c>
      <c r="V4487" t="s">
        <v>157</v>
      </c>
    </row>
    <row r="4488" spans="19:22" x14ac:dyDescent="0.45">
      <c r="S4488" t="s">
        <v>691</v>
      </c>
      <c r="T4488" t="s">
        <v>164</v>
      </c>
      <c r="U4488">
        <v>1.8928716701610549E-2</v>
      </c>
      <c r="V4488" t="s">
        <v>157</v>
      </c>
    </row>
    <row r="4489" spans="19:22" x14ac:dyDescent="0.45">
      <c r="S4489" t="s">
        <v>691</v>
      </c>
      <c r="T4489" t="s">
        <v>165</v>
      </c>
      <c r="U4489">
        <v>1.7845745505635092E-2</v>
      </c>
      <c r="V4489" t="s">
        <v>157</v>
      </c>
    </row>
    <row r="4490" spans="19:22" x14ac:dyDescent="0.45">
      <c r="S4490" t="s">
        <v>691</v>
      </c>
      <c r="T4490" t="s">
        <v>166</v>
      </c>
      <c r="U4490">
        <v>8.5020392503432116E-2</v>
      </c>
      <c r="V4490" t="s">
        <v>157</v>
      </c>
    </row>
    <row r="4491" spans="19:22" x14ac:dyDescent="0.45">
      <c r="S4491" t="s">
        <v>691</v>
      </c>
      <c r="T4491" t="s">
        <v>167</v>
      </c>
      <c r="U4491">
        <v>3.3242782874575501E-2</v>
      </c>
      <c r="V4491" t="s">
        <v>157</v>
      </c>
    </row>
    <row r="4492" spans="19:22" x14ac:dyDescent="0.45">
      <c r="S4492" t="s">
        <v>691</v>
      </c>
      <c r="T4492" t="s">
        <v>168</v>
      </c>
      <c r="U4492">
        <v>5.8024707832482599E-2</v>
      </c>
      <c r="V4492" t="s">
        <v>157</v>
      </c>
    </row>
    <row r="4493" spans="19:22" x14ac:dyDescent="0.45">
      <c r="S4493" t="s">
        <v>691</v>
      </c>
      <c r="T4493" t="s">
        <v>169</v>
      </c>
      <c r="U4493">
        <v>6.7326099515337802E-3</v>
      </c>
      <c r="V4493" t="s">
        <v>157</v>
      </c>
    </row>
    <row r="4494" spans="19:22" x14ac:dyDescent="0.45">
      <c r="S4494" t="s">
        <v>691</v>
      </c>
      <c r="T4494" t="s">
        <v>170</v>
      </c>
      <c r="U4494">
        <v>6.0862926565273421E-3</v>
      </c>
      <c r="V4494" t="s">
        <v>157</v>
      </c>
    </row>
    <row r="4495" spans="19:22" x14ac:dyDescent="0.45">
      <c r="S4495" t="s">
        <v>691</v>
      </c>
      <c r="T4495" t="s">
        <v>171</v>
      </c>
      <c r="U4495">
        <v>2.7441866196827404E-2</v>
      </c>
      <c r="V4495" t="s">
        <v>157</v>
      </c>
    </row>
    <row r="4496" spans="19:22" x14ac:dyDescent="0.45">
      <c r="S4496" t="s">
        <v>692</v>
      </c>
      <c r="T4496" t="s">
        <v>156</v>
      </c>
      <c r="U4496">
        <v>0.12682577595206676</v>
      </c>
      <c r="V4496" t="s">
        <v>157</v>
      </c>
    </row>
    <row r="4497" spans="19:22" x14ac:dyDescent="0.45">
      <c r="S4497" t="s">
        <v>692</v>
      </c>
      <c r="T4497" t="s">
        <v>158</v>
      </c>
      <c r="U4497">
        <v>0.16333322155018923</v>
      </c>
      <c r="V4497" t="s">
        <v>157</v>
      </c>
    </row>
    <row r="4498" spans="19:22" x14ac:dyDescent="0.45">
      <c r="S4498" t="s">
        <v>692</v>
      </c>
      <c r="T4498" t="s">
        <v>159</v>
      </c>
      <c r="U4498">
        <v>2.0477246714953625E-2</v>
      </c>
      <c r="V4498" t="s">
        <v>157</v>
      </c>
    </row>
    <row r="4499" spans="19:22" x14ac:dyDescent="0.45">
      <c r="S4499" t="s">
        <v>692</v>
      </c>
      <c r="T4499" t="s">
        <v>160</v>
      </c>
      <c r="U4499">
        <v>2.0626290288312824E-2</v>
      </c>
      <c r="V4499" t="s">
        <v>157</v>
      </c>
    </row>
    <row r="4500" spans="19:22" x14ac:dyDescent="0.45">
      <c r="S4500" t="s">
        <v>692</v>
      </c>
      <c r="T4500" t="s">
        <v>161</v>
      </c>
      <c r="U4500">
        <v>0.10362727365823828</v>
      </c>
      <c r="V4500" t="s">
        <v>157</v>
      </c>
    </row>
    <row r="4501" spans="19:22" x14ac:dyDescent="0.45">
      <c r="S4501" t="s">
        <v>692</v>
      </c>
      <c r="T4501" t="s">
        <v>162</v>
      </c>
      <c r="U4501">
        <v>0.11607211786566214</v>
      </c>
      <c r="V4501" t="s">
        <v>157</v>
      </c>
    </row>
    <row r="4502" spans="19:22" x14ac:dyDescent="0.45">
      <c r="S4502" t="s">
        <v>692</v>
      </c>
      <c r="T4502" t="s">
        <v>163</v>
      </c>
      <c r="U4502">
        <v>0.17355082937724481</v>
      </c>
      <c r="V4502" t="s">
        <v>157</v>
      </c>
    </row>
    <row r="4503" spans="19:22" x14ac:dyDescent="0.45">
      <c r="S4503" t="s">
        <v>692</v>
      </c>
      <c r="T4503" t="s">
        <v>164</v>
      </c>
      <c r="U4503">
        <v>1.9915503139305818E-2</v>
      </c>
      <c r="V4503" t="s">
        <v>157</v>
      </c>
    </row>
    <row r="4504" spans="19:22" x14ac:dyDescent="0.45">
      <c r="S4504" t="s">
        <v>692</v>
      </c>
      <c r="T4504" t="s">
        <v>165</v>
      </c>
      <c r="U4504">
        <v>1.9626190447868359E-2</v>
      </c>
      <c r="V4504" t="s">
        <v>157</v>
      </c>
    </row>
    <row r="4505" spans="19:22" x14ac:dyDescent="0.45">
      <c r="S4505" t="s">
        <v>692</v>
      </c>
      <c r="T4505" t="s">
        <v>166</v>
      </c>
      <c r="U4505">
        <v>8.7955377482754088E-2</v>
      </c>
      <c r="V4505" t="s">
        <v>157</v>
      </c>
    </row>
    <row r="4506" spans="19:22" x14ac:dyDescent="0.45">
      <c r="S4506" t="s">
        <v>692</v>
      </c>
      <c r="T4506" t="s">
        <v>167</v>
      </c>
      <c r="U4506">
        <v>4.037927084960273E-2</v>
      </c>
      <c r="V4506" t="s">
        <v>157</v>
      </c>
    </row>
    <row r="4507" spans="19:22" x14ac:dyDescent="0.45">
      <c r="S4507" t="s">
        <v>692</v>
      </c>
      <c r="T4507" t="s">
        <v>168</v>
      </c>
      <c r="U4507">
        <v>5.5768153466172331E-2</v>
      </c>
      <c r="V4507" t="s">
        <v>157</v>
      </c>
    </row>
    <row r="4508" spans="19:22" x14ac:dyDescent="0.45">
      <c r="S4508" t="s">
        <v>692</v>
      </c>
      <c r="T4508" t="s">
        <v>169</v>
      </c>
      <c r="U4508">
        <v>7.3798573272413365E-3</v>
      </c>
      <c r="V4508" t="s">
        <v>157</v>
      </c>
    </row>
    <row r="4509" spans="19:22" x14ac:dyDescent="0.45">
      <c r="S4509" t="s">
        <v>692</v>
      </c>
      <c r="T4509" t="s">
        <v>170</v>
      </c>
      <c r="U4509">
        <v>7.6942978300361562E-3</v>
      </c>
      <c r="V4509" t="s">
        <v>157</v>
      </c>
    </row>
    <row r="4510" spans="19:22" x14ac:dyDescent="0.45">
      <c r="S4510" t="s">
        <v>692</v>
      </c>
      <c r="T4510" t="s">
        <v>171</v>
      </c>
      <c r="U4510">
        <v>3.6768594050351433E-2</v>
      </c>
      <c r="V4510" t="s">
        <v>157</v>
      </c>
    </row>
    <row r="4511" spans="19:22" x14ac:dyDescent="0.45">
      <c r="S4511" t="s">
        <v>693</v>
      </c>
      <c r="T4511" t="s">
        <v>156</v>
      </c>
      <c r="U4511">
        <v>0.13974487175004616</v>
      </c>
      <c r="V4511" t="s">
        <v>157</v>
      </c>
    </row>
    <row r="4512" spans="19:22" x14ac:dyDescent="0.45">
      <c r="S4512" t="s">
        <v>693</v>
      </c>
      <c r="T4512" t="s">
        <v>158</v>
      </c>
      <c r="U4512">
        <v>0.16735312653985918</v>
      </c>
      <c r="V4512" t="s">
        <v>157</v>
      </c>
    </row>
    <row r="4513" spans="19:22" x14ac:dyDescent="0.45">
      <c r="S4513" t="s">
        <v>693</v>
      </c>
      <c r="T4513" t="s">
        <v>159</v>
      </c>
      <c r="U4513">
        <v>1.9302070225732961E-2</v>
      </c>
      <c r="V4513" t="s">
        <v>157</v>
      </c>
    </row>
    <row r="4514" spans="19:22" x14ac:dyDescent="0.45">
      <c r="S4514" t="s">
        <v>693</v>
      </c>
      <c r="T4514" t="s">
        <v>160</v>
      </c>
      <c r="U4514">
        <v>2.0043900364936282E-2</v>
      </c>
      <c r="V4514" t="s">
        <v>157</v>
      </c>
    </row>
    <row r="4515" spans="19:22" x14ac:dyDescent="0.45">
      <c r="S4515" t="s">
        <v>693</v>
      </c>
      <c r="T4515" t="s">
        <v>161</v>
      </c>
      <c r="U4515">
        <v>0.10748070668128808</v>
      </c>
      <c r="V4515" t="s">
        <v>157</v>
      </c>
    </row>
    <row r="4516" spans="19:22" x14ac:dyDescent="0.45">
      <c r="S4516" t="s">
        <v>693</v>
      </c>
      <c r="T4516" t="s">
        <v>162</v>
      </c>
      <c r="U4516">
        <v>0.118085728490454</v>
      </c>
      <c r="V4516" t="s">
        <v>157</v>
      </c>
    </row>
    <row r="4517" spans="19:22" x14ac:dyDescent="0.45">
      <c r="S4517" t="s">
        <v>693</v>
      </c>
      <c r="T4517" t="s">
        <v>163</v>
      </c>
      <c r="U4517">
        <v>0.16585601884233675</v>
      </c>
      <c r="V4517" t="s">
        <v>157</v>
      </c>
    </row>
    <row r="4518" spans="19:22" x14ac:dyDescent="0.45">
      <c r="S4518" t="s">
        <v>693</v>
      </c>
      <c r="T4518" t="s">
        <v>164</v>
      </c>
      <c r="U4518">
        <v>1.8111664028107002E-2</v>
      </c>
      <c r="V4518" t="s">
        <v>157</v>
      </c>
    </row>
    <row r="4519" spans="19:22" x14ac:dyDescent="0.45">
      <c r="S4519" t="s">
        <v>693</v>
      </c>
      <c r="T4519" t="s">
        <v>165</v>
      </c>
      <c r="U4519">
        <v>1.8031523524158995E-2</v>
      </c>
      <c r="V4519" t="s">
        <v>157</v>
      </c>
    </row>
    <row r="4520" spans="19:22" x14ac:dyDescent="0.45">
      <c r="S4520" t="s">
        <v>693</v>
      </c>
      <c r="T4520" t="s">
        <v>166</v>
      </c>
      <c r="U4520">
        <v>8.694231203331923E-2</v>
      </c>
      <c r="V4520" t="s">
        <v>157</v>
      </c>
    </row>
    <row r="4521" spans="19:22" x14ac:dyDescent="0.45">
      <c r="S4521" t="s">
        <v>693</v>
      </c>
      <c r="T4521" t="s">
        <v>167</v>
      </c>
      <c r="U4521">
        <v>4.2015271828099096E-2</v>
      </c>
      <c r="V4521" t="s">
        <v>157</v>
      </c>
    </row>
    <row r="4522" spans="19:22" x14ac:dyDescent="0.45">
      <c r="S4522" t="s">
        <v>693</v>
      </c>
      <c r="T4522" t="s">
        <v>168</v>
      </c>
      <c r="U4522">
        <v>5.0441833506692048E-2</v>
      </c>
      <c r="V4522" t="s">
        <v>157</v>
      </c>
    </row>
    <row r="4523" spans="19:22" x14ac:dyDescent="0.45">
      <c r="S4523" t="s">
        <v>693</v>
      </c>
      <c r="T4523" t="s">
        <v>169</v>
      </c>
      <c r="U4523">
        <v>5.6324376637334672E-3</v>
      </c>
      <c r="V4523" t="s">
        <v>157</v>
      </c>
    </row>
    <row r="4524" spans="19:22" x14ac:dyDescent="0.45">
      <c r="S4524" t="s">
        <v>693</v>
      </c>
      <c r="T4524" t="s">
        <v>170</v>
      </c>
      <c r="U4524">
        <v>6.2104521046780995E-3</v>
      </c>
      <c r="V4524" t="s">
        <v>157</v>
      </c>
    </row>
    <row r="4525" spans="19:22" x14ac:dyDescent="0.45">
      <c r="S4525" t="s">
        <v>693</v>
      </c>
      <c r="T4525" t="s">
        <v>171</v>
      </c>
      <c r="U4525">
        <v>3.4748082416558704E-2</v>
      </c>
      <c r="V4525" t="s">
        <v>157</v>
      </c>
    </row>
    <row r="4526" spans="19:22" x14ac:dyDescent="0.45">
      <c r="S4526" t="s">
        <v>694</v>
      </c>
      <c r="T4526" t="s">
        <v>156</v>
      </c>
      <c r="U4526">
        <v>0.14412259390440429</v>
      </c>
      <c r="V4526" t="s">
        <v>157</v>
      </c>
    </row>
    <row r="4527" spans="19:22" x14ac:dyDescent="0.45">
      <c r="S4527" t="s">
        <v>694</v>
      </c>
      <c r="T4527" t="s">
        <v>158</v>
      </c>
      <c r="U4527">
        <v>0.18027107756931143</v>
      </c>
      <c r="V4527" t="s">
        <v>157</v>
      </c>
    </row>
    <row r="4528" spans="19:22" x14ac:dyDescent="0.45">
      <c r="S4528" t="s">
        <v>694</v>
      </c>
      <c r="T4528" t="s">
        <v>159</v>
      </c>
      <c r="U4528">
        <v>1.949136348551074E-2</v>
      </c>
      <c r="V4528" t="s">
        <v>157</v>
      </c>
    </row>
    <row r="4529" spans="19:22" x14ac:dyDescent="0.45">
      <c r="S4529" t="s">
        <v>694</v>
      </c>
      <c r="T4529" t="s">
        <v>160</v>
      </c>
      <c r="U4529">
        <v>2.0219726693286456E-2</v>
      </c>
      <c r="V4529" t="s">
        <v>157</v>
      </c>
    </row>
    <row r="4530" spans="19:22" x14ac:dyDescent="0.45">
      <c r="S4530" t="s">
        <v>694</v>
      </c>
      <c r="T4530" t="s">
        <v>161</v>
      </c>
      <c r="U4530">
        <v>0.10793101163918503</v>
      </c>
      <c r="V4530" t="s">
        <v>157</v>
      </c>
    </row>
    <row r="4531" spans="19:22" x14ac:dyDescent="0.45">
      <c r="S4531" t="s">
        <v>694</v>
      </c>
      <c r="T4531" t="s">
        <v>162</v>
      </c>
      <c r="U4531">
        <v>0.11609797453666115</v>
      </c>
      <c r="V4531" t="s">
        <v>157</v>
      </c>
    </row>
    <row r="4532" spans="19:22" x14ac:dyDescent="0.45">
      <c r="S4532" t="s">
        <v>694</v>
      </c>
      <c r="T4532" t="s">
        <v>163</v>
      </c>
      <c r="U4532">
        <v>0.16099883149241884</v>
      </c>
      <c r="V4532" t="s">
        <v>157</v>
      </c>
    </row>
    <row r="4533" spans="19:22" x14ac:dyDescent="0.45">
      <c r="S4533" t="s">
        <v>694</v>
      </c>
      <c r="T4533" t="s">
        <v>164</v>
      </c>
      <c r="U4533">
        <v>1.7039377529665625E-2</v>
      </c>
      <c r="V4533" t="s">
        <v>157</v>
      </c>
    </row>
    <row r="4534" spans="19:22" x14ac:dyDescent="0.45">
      <c r="S4534" t="s">
        <v>694</v>
      </c>
      <c r="T4534" t="s">
        <v>165</v>
      </c>
      <c r="U4534">
        <v>1.7081065181305359E-2</v>
      </c>
      <c r="V4534" t="s">
        <v>157</v>
      </c>
    </row>
    <row r="4535" spans="19:22" x14ac:dyDescent="0.45">
      <c r="S4535" t="s">
        <v>694</v>
      </c>
      <c r="T4535" t="s">
        <v>166</v>
      </c>
      <c r="U4535">
        <v>8.5014047691275851E-2</v>
      </c>
      <c r="V4535" t="s">
        <v>157</v>
      </c>
    </row>
    <row r="4536" spans="19:22" x14ac:dyDescent="0.45">
      <c r="S4536" t="s">
        <v>694</v>
      </c>
      <c r="T4536" t="s">
        <v>167</v>
      </c>
      <c r="U4536">
        <v>4.0316481918143944E-2</v>
      </c>
      <c r="V4536" t="s">
        <v>157</v>
      </c>
    </row>
    <row r="4537" spans="19:22" x14ac:dyDescent="0.45">
      <c r="S4537" t="s">
        <v>694</v>
      </c>
      <c r="T4537" t="s">
        <v>168</v>
      </c>
      <c r="U4537">
        <v>4.8372572073126431E-2</v>
      </c>
      <c r="V4537" t="s">
        <v>157</v>
      </c>
    </row>
    <row r="4538" spans="19:22" x14ac:dyDescent="0.45">
      <c r="S4538" t="s">
        <v>694</v>
      </c>
      <c r="T4538" t="s">
        <v>169</v>
      </c>
      <c r="U4538">
        <v>5.2060773681551608E-3</v>
      </c>
      <c r="V4538" t="s">
        <v>157</v>
      </c>
    </row>
    <row r="4539" spans="19:22" x14ac:dyDescent="0.45">
      <c r="S4539" t="s">
        <v>694</v>
      </c>
      <c r="T4539" t="s">
        <v>170</v>
      </c>
      <c r="U4539">
        <v>5.6966884244140014E-3</v>
      </c>
      <c r="V4539" t="s">
        <v>157</v>
      </c>
    </row>
    <row r="4540" spans="19:22" x14ac:dyDescent="0.45">
      <c r="S4540" t="s">
        <v>694</v>
      </c>
      <c r="T4540" t="s">
        <v>171</v>
      </c>
      <c r="U4540">
        <v>3.2141110493135623E-2</v>
      </c>
      <c r="V4540" t="s">
        <v>157</v>
      </c>
    </row>
    <row r="4541" spans="19:22" x14ac:dyDescent="0.45">
      <c r="S4541" t="s">
        <v>695</v>
      </c>
      <c r="T4541" t="s">
        <v>156</v>
      </c>
      <c r="U4541">
        <v>0.14379964739502166</v>
      </c>
      <c r="V4541" t="s">
        <v>157</v>
      </c>
    </row>
    <row r="4542" spans="19:22" x14ac:dyDescent="0.45">
      <c r="S4542" t="s">
        <v>695</v>
      </c>
      <c r="T4542" t="s">
        <v>158</v>
      </c>
      <c r="U4542">
        <v>0.20822460668401213</v>
      </c>
      <c r="V4542" t="s">
        <v>157</v>
      </c>
    </row>
    <row r="4543" spans="19:22" x14ac:dyDescent="0.45">
      <c r="S4543" t="s">
        <v>695</v>
      </c>
      <c r="T4543" t="s">
        <v>159</v>
      </c>
      <c r="U4543">
        <v>2.1031001695408773E-2</v>
      </c>
      <c r="V4543" t="s">
        <v>157</v>
      </c>
    </row>
    <row r="4544" spans="19:22" x14ac:dyDescent="0.45">
      <c r="S4544" t="s">
        <v>695</v>
      </c>
      <c r="T4544" t="s">
        <v>160</v>
      </c>
      <c r="U4544">
        <v>2.0837019350813307E-2</v>
      </c>
      <c r="V4544" t="s">
        <v>157</v>
      </c>
    </row>
    <row r="4545" spans="19:22" x14ac:dyDescent="0.45">
      <c r="S4545" t="s">
        <v>695</v>
      </c>
      <c r="T4545" t="s">
        <v>161</v>
      </c>
      <c r="U4545">
        <v>0.10225288532890497</v>
      </c>
      <c r="V4545" t="s">
        <v>157</v>
      </c>
    </row>
    <row r="4546" spans="19:22" x14ac:dyDescent="0.45">
      <c r="S4546" t="s">
        <v>695</v>
      </c>
      <c r="T4546" t="s">
        <v>162</v>
      </c>
      <c r="U4546">
        <v>0.10220504072189544</v>
      </c>
      <c r="V4546" t="s">
        <v>157</v>
      </c>
    </row>
    <row r="4547" spans="19:22" x14ac:dyDescent="0.45">
      <c r="S4547" t="s">
        <v>695</v>
      </c>
      <c r="T4547" t="s">
        <v>163</v>
      </c>
      <c r="U4547">
        <v>0.14751860370797831</v>
      </c>
      <c r="V4547" t="s">
        <v>157</v>
      </c>
    </row>
    <row r="4548" spans="19:22" x14ac:dyDescent="0.45">
      <c r="S4548" t="s">
        <v>695</v>
      </c>
      <c r="T4548" t="s">
        <v>164</v>
      </c>
      <c r="U4548">
        <v>1.4701946675554856E-2</v>
      </c>
      <c r="V4548" t="s">
        <v>157</v>
      </c>
    </row>
    <row r="4549" spans="19:22" x14ac:dyDescent="0.45">
      <c r="S4549" t="s">
        <v>695</v>
      </c>
      <c r="T4549" t="s">
        <v>165</v>
      </c>
      <c r="U4549">
        <v>1.4355747300164231E-2</v>
      </c>
      <c r="V4549" t="s">
        <v>157</v>
      </c>
    </row>
    <row r="4550" spans="19:22" x14ac:dyDescent="0.45">
      <c r="S4550" t="s">
        <v>695</v>
      </c>
      <c r="T4550" t="s">
        <v>166</v>
      </c>
      <c r="U4550">
        <v>7.2025552506151155E-2</v>
      </c>
      <c r="V4550" t="s">
        <v>157</v>
      </c>
    </row>
    <row r="4551" spans="19:22" x14ac:dyDescent="0.45">
      <c r="S4551" t="s">
        <v>695</v>
      </c>
      <c r="T4551" t="s">
        <v>167</v>
      </c>
      <c r="U4551">
        <v>4.6088554017881818E-2</v>
      </c>
      <c r="V4551" t="s">
        <v>157</v>
      </c>
    </row>
    <row r="4552" spans="19:22" x14ac:dyDescent="0.45">
      <c r="S4552" t="s">
        <v>695</v>
      </c>
      <c r="T4552" t="s">
        <v>168</v>
      </c>
      <c r="U4552">
        <v>6.4132052927598396E-2</v>
      </c>
      <c r="V4552" t="s">
        <v>157</v>
      </c>
    </row>
    <row r="4553" spans="19:22" x14ac:dyDescent="0.45">
      <c r="S4553" t="s">
        <v>695</v>
      </c>
      <c r="T4553" t="s">
        <v>169</v>
      </c>
      <c r="U4553">
        <v>6.0487646150205483E-3</v>
      </c>
      <c r="V4553" t="s">
        <v>157</v>
      </c>
    </row>
    <row r="4554" spans="19:22" x14ac:dyDescent="0.45">
      <c r="S4554" t="s">
        <v>695</v>
      </c>
      <c r="T4554" t="s">
        <v>170</v>
      </c>
      <c r="U4554">
        <v>6.1041138907555817E-3</v>
      </c>
      <c r="V4554" t="s">
        <v>157</v>
      </c>
    </row>
    <row r="4555" spans="19:22" x14ac:dyDescent="0.45">
      <c r="S4555" t="s">
        <v>695</v>
      </c>
      <c r="T4555" t="s">
        <v>171</v>
      </c>
      <c r="U4555">
        <v>3.0674463182838858E-2</v>
      </c>
      <c r="V4555" t="s">
        <v>157</v>
      </c>
    </row>
    <row r="4556" spans="19:22" x14ac:dyDescent="0.45">
      <c r="S4556" t="s">
        <v>696</v>
      </c>
      <c r="T4556" t="s">
        <v>156</v>
      </c>
      <c r="U4556">
        <v>0.14556393685099411</v>
      </c>
      <c r="V4556" t="s">
        <v>157</v>
      </c>
    </row>
    <row r="4557" spans="19:22" x14ac:dyDescent="0.45">
      <c r="S4557" t="s">
        <v>696</v>
      </c>
      <c r="T4557" t="s">
        <v>158</v>
      </c>
      <c r="U4557">
        <v>0.19414420744938324</v>
      </c>
      <c r="V4557" t="s">
        <v>157</v>
      </c>
    </row>
    <row r="4558" spans="19:22" x14ac:dyDescent="0.45">
      <c r="S4558" t="s">
        <v>696</v>
      </c>
      <c r="T4558" t="s">
        <v>159</v>
      </c>
      <c r="U4558">
        <v>2.0274529733168893E-2</v>
      </c>
      <c r="V4558" t="s">
        <v>157</v>
      </c>
    </row>
    <row r="4559" spans="19:22" x14ac:dyDescent="0.45">
      <c r="S4559" t="s">
        <v>696</v>
      </c>
      <c r="T4559" t="s">
        <v>160</v>
      </c>
      <c r="U4559">
        <v>2.0649240044452479E-2</v>
      </c>
      <c r="V4559" t="s">
        <v>157</v>
      </c>
    </row>
    <row r="4560" spans="19:22" x14ac:dyDescent="0.45">
      <c r="S4560" t="s">
        <v>696</v>
      </c>
      <c r="T4560" t="s">
        <v>161</v>
      </c>
      <c r="U4560">
        <v>0.10790881949495111</v>
      </c>
      <c r="V4560" t="s">
        <v>157</v>
      </c>
    </row>
    <row r="4561" spans="19:22" x14ac:dyDescent="0.45">
      <c r="S4561" t="s">
        <v>696</v>
      </c>
      <c r="T4561" t="s">
        <v>162</v>
      </c>
      <c r="U4561">
        <v>0.11451681653345275</v>
      </c>
      <c r="V4561" t="s">
        <v>157</v>
      </c>
    </row>
    <row r="4562" spans="19:22" x14ac:dyDescent="0.45">
      <c r="S4562" t="s">
        <v>696</v>
      </c>
      <c r="T4562" t="s">
        <v>163</v>
      </c>
      <c r="U4562">
        <v>0.15636124923131986</v>
      </c>
      <c r="V4562" t="s">
        <v>157</v>
      </c>
    </row>
    <row r="4563" spans="19:22" x14ac:dyDescent="0.45">
      <c r="S4563" t="s">
        <v>696</v>
      </c>
      <c r="T4563" t="s">
        <v>164</v>
      </c>
      <c r="U4563">
        <v>1.622749961677258E-2</v>
      </c>
      <c r="V4563" t="s">
        <v>157</v>
      </c>
    </row>
    <row r="4564" spans="19:22" x14ac:dyDescent="0.45">
      <c r="S4564" t="s">
        <v>696</v>
      </c>
      <c r="T4564" t="s">
        <v>165</v>
      </c>
      <c r="U4564">
        <v>1.6266171946910771E-2</v>
      </c>
      <c r="V4564" t="s">
        <v>157</v>
      </c>
    </row>
    <row r="4565" spans="19:22" x14ac:dyDescent="0.45">
      <c r="S4565" t="s">
        <v>696</v>
      </c>
      <c r="T4565" t="s">
        <v>166</v>
      </c>
      <c r="U4565">
        <v>8.144341696706392E-2</v>
      </c>
      <c r="V4565" t="s">
        <v>157</v>
      </c>
    </row>
    <row r="4566" spans="19:22" x14ac:dyDescent="0.45">
      <c r="S4566" t="s">
        <v>696</v>
      </c>
      <c r="T4566" t="s">
        <v>167</v>
      </c>
      <c r="U4566">
        <v>3.9231387708332087E-2</v>
      </c>
      <c r="V4566" t="s">
        <v>157</v>
      </c>
    </row>
    <row r="4567" spans="19:22" x14ac:dyDescent="0.45">
      <c r="S4567" t="s">
        <v>696</v>
      </c>
      <c r="T4567" t="s">
        <v>168</v>
      </c>
      <c r="U4567">
        <v>4.7848322532619288E-2</v>
      </c>
      <c r="V4567" t="s">
        <v>157</v>
      </c>
    </row>
    <row r="4568" spans="19:22" x14ac:dyDescent="0.45">
      <c r="S4568" t="s">
        <v>696</v>
      </c>
      <c r="T4568" t="s">
        <v>169</v>
      </c>
      <c r="U4568">
        <v>4.8625240310233566E-3</v>
      </c>
      <c r="V4568" t="s">
        <v>157</v>
      </c>
    </row>
    <row r="4569" spans="19:22" x14ac:dyDescent="0.45">
      <c r="S4569" t="s">
        <v>696</v>
      </c>
      <c r="T4569" t="s">
        <v>170</v>
      </c>
      <c r="U4569">
        <v>5.2376160509332624E-3</v>
      </c>
      <c r="V4569" t="s">
        <v>157</v>
      </c>
    </row>
    <row r="4570" spans="19:22" x14ac:dyDescent="0.45">
      <c r="S4570" t="s">
        <v>696</v>
      </c>
      <c r="T4570" t="s">
        <v>171</v>
      </c>
      <c r="U4570">
        <v>2.9464261808622254E-2</v>
      </c>
      <c r="V4570" t="s">
        <v>157</v>
      </c>
    </row>
    <row r="4571" spans="19:22" x14ac:dyDescent="0.45">
      <c r="S4571" t="s">
        <v>697</v>
      </c>
      <c r="T4571" t="s">
        <v>156</v>
      </c>
      <c r="U4571">
        <v>0.14723680873860157</v>
      </c>
      <c r="V4571" t="s">
        <v>157</v>
      </c>
    </row>
    <row r="4572" spans="19:22" x14ac:dyDescent="0.45">
      <c r="S4572" t="s">
        <v>697</v>
      </c>
      <c r="T4572" t="s">
        <v>158</v>
      </c>
      <c r="U4572">
        <v>0.203247013885859</v>
      </c>
      <c r="V4572" t="s">
        <v>157</v>
      </c>
    </row>
    <row r="4573" spans="19:22" x14ac:dyDescent="0.45">
      <c r="S4573" t="s">
        <v>697</v>
      </c>
      <c r="T4573" t="s">
        <v>159</v>
      </c>
      <c r="U4573">
        <v>2.0979778443010386E-2</v>
      </c>
      <c r="V4573" t="s">
        <v>157</v>
      </c>
    </row>
    <row r="4574" spans="19:22" x14ac:dyDescent="0.45">
      <c r="S4574" t="s">
        <v>697</v>
      </c>
      <c r="T4574" t="s">
        <v>160</v>
      </c>
      <c r="U4574">
        <v>2.1057583825878856E-2</v>
      </c>
      <c r="V4574" t="s">
        <v>157</v>
      </c>
    </row>
    <row r="4575" spans="19:22" x14ac:dyDescent="0.45">
      <c r="S4575" t="s">
        <v>697</v>
      </c>
      <c r="T4575" t="s">
        <v>161</v>
      </c>
      <c r="U4575">
        <v>0.10770496343371612</v>
      </c>
      <c r="V4575" t="s">
        <v>157</v>
      </c>
    </row>
    <row r="4576" spans="19:22" x14ac:dyDescent="0.45">
      <c r="S4576" t="s">
        <v>697</v>
      </c>
      <c r="T4576" t="s">
        <v>162</v>
      </c>
      <c r="U4576">
        <v>0.1131312244841628</v>
      </c>
      <c r="V4576" t="s">
        <v>157</v>
      </c>
    </row>
    <row r="4577" spans="19:22" x14ac:dyDescent="0.45">
      <c r="S4577" t="s">
        <v>697</v>
      </c>
      <c r="T4577" t="s">
        <v>163</v>
      </c>
      <c r="U4577">
        <v>0.15322575753023923</v>
      </c>
      <c r="V4577" t="s">
        <v>157</v>
      </c>
    </row>
    <row r="4578" spans="19:22" x14ac:dyDescent="0.45">
      <c r="S4578" t="s">
        <v>697</v>
      </c>
      <c r="T4578" t="s">
        <v>164</v>
      </c>
      <c r="U4578">
        <v>1.5591293517853259E-2</v>
      </c>
      <c r="V4578" t="s">
        <v>157</v>
      </c>
    </row>
    <row r="4579" spans="19:22" x14ac:dyDescent="0.45">
      <c r="S4579" t="s">
        <v>697</v>
      </c>
      <c r="T4579" t="s">
        <v>165</v>
      </c>
      <c r="U4579">
        <v>1.5561704109174294E-2</v>
      </c>
      <c r="V4579" t="s">
        <v>157</v>
      </c>
    </row>
    <row r="4580" spans="19:22" x14ac:dyDescent="0.45">
      <c r="S4580" t="s">
        <v>697</v>
      </c>
      <c r="T4580" t="s">
        <v>166</v>
      </c>
      <c r="U4580">
        <v>7.830141304199506E-2</v>
      </c>
      <c r="V4580" t="s">
        <v>157</v>
      </c>
    </row>
    <row r="4581" spans="19:22" x14ac:dyDescent="0.45">
      <c r="S4581" t="s">
        <v>697</v>
      </c>
      <c r="T4581" t="s">
        <v>167</v>
      </c>
      <c r="U4581">
        <v>3.8572006879586798E-2</v>
      </c>
      <c r="V4581" t="s">
        <v>157</v>
      </c>
    </row>
    <row r="4582" spans="19:22" x14ac:dyDescent="0.45">
      <c r="S4582" t="s">
        <v>697</v>
      </c>
      <c r="T4582" t="s">
        <v>168</v>
      </c>
      <c r="U4582">
        <v>4.8571997911272348E-2</v>
      </c>
      <c r="V4582" t="s">
        <v>157</v>
      </c>
    </row>
    <row r="4583" spans="19:22" x14ac:dyDescent="0.45">
      <c r="S4583" t="s">
        <v>697</v>
      </c>
      <c r="T4583" t="s">
        <v>169</v>
      </c>
      <c r="U4583">
        <v>4.6316859237184316E-3</v>
      </c>
      <c r="V4583" t="s">
        <v>157</v>
      </c>
    </row>
    <row r="4584" spans="19:22" x14ac:dyDescent="0.45">
      <c r="S4584" t="s">
        <v>697</v>
      </c>
      <c r="T4584" t="s">
        <v>170</v>
      </c>
      <c r="U4584">
        <v>4.8852918089884994E-3</v>
      </c>
      <c r="V4584" t="s">
        <v>157</v>
      </c>
    </row>
    <row r="4585" spans="19:22" x14ac:dyDescent="0.45">
      <c r="S4585" t="s">
        <v>697</v>
      </c>
      <c r="T4585" t="s">
        <v>171</v>
      </c>
      <c r="U4585">
        <v>2.7301476465943299E-2</v>
      </c>
      <c r="V4585" t="s">
        <v>157</v>
      </c>
    </row>
    <row r="4586" spans="19:22" x14ac:dyDescent="0.45">
      <c r="S4586" t="s">
        <v>698</v>
      </c>
      <c r="T4586" t="s">
        <v>156</v>
      </c>
      <c r="U4586">
        <v>0.15041137380659744</v>
      </c>
      <c r="V4586" t="s">
        <v>157</v>
      </c>
    </row>
    <row r="4587" spans="19:22" x14ac:dyDescent="0.45">
      <c r="S4587" t="s">
        <v>698</v>
      </c>
      <c r="T4587" t="s">
        <v>158</v>
      </c>
      <c r="U4587">
        <v>0.20956237863517901</v>
      </c>
      <c r="V4587" t="s">
        <v>157</v>
      </c>
    </row>
    <row r="4588" spans="19:22" x14ac:dyDescent="0.45">
      <c r="S4588" t="s">
        <v>698</v>
      </c>
      <c r="T4588" t="s">
        <v>159</v>
      </c>
      <c r="U4588">
        <v>2.0300673353319386E-2</v>
      </c>
      <c r="V4588" t="s">
        <v>157</v>
      </c>
    </row>
    <row r="4589" spans="19:22" x14ac:dyDescent="0.45">
      <c r="S4589" t="s">
        <v>698</v>
      </c>
      <c r="T4589" t="s">
        <v>160</v>
      </c>
      <c r="U4589">
        <v>2.0212704215610906E-2</v>
      </c>
      <c r="V4589" t="s">
        <v>157</v>
      </c>
    </row>
    <row r="4590" spans="19:22" x14ac:dyDescent="0.45">
      <c r="S4590" t="s">
        <v>698</v>
      </c>
      <c r="T4590" t="s">
        <v>161</v>
      </c>
      <c r="U4590">
        <v>0.1020071932216558</v>
      </c>
      <c r="V4590" t="s">
        <v>157</v>
      </c>
    </row>
    <row r="4591" spans="19:22" x14ac:dyDescent="0.45">
      <c r="S4591" t="s">
        <v>698</v>
      </c>
      <c r="T4591" t="s">
        <v>162</v>
      </c>
      <c r="U4591">
        <v>9.9505681455183764E-2</v>
      </c>
      <c r="V4591" t="s">
        <v>157</v>
      </c>
    </row>
    <row r="4592" spans="19:22" x14ac:dyDescent="0.45">
      <c r="S4592" t="s">
        <v>698</v>
      </c>
      <c r="T4592" t="s">
        <v>163</v>
      </c>
      <c r="U4592">
        <v>0.14610446923005835</v>
      </c>
      <c r="V4592" t="s">
        <v>157</v>
      </c>
    </row>
    <row r="4593" spans="19:22" x14ac:dyDescent="0.45">
      <c r="S4593" t="s">
        <v>698</v>
      </c>
      <c r="T4593" t="s">
        <v>164</v>
      </c>
      <c r="U4593">
        <v>1.443005172075601E-2</v>
      </c>
      <c r="V4593" t="s">
        <v>157</v>
      </c>
    </row>
    <row r="4594" spans="19:22" x14ac:dyDescent="0.45">
      <c r="S4594" t="s">
        <v>698</v>
      </c>
      <c r="T4594" t="s">
        <v>165</v>
      </c>
      <c r="U4594">
        <v>1.4193834807449688E-2</v>
      </c>
      <c r="V4594" t="s">
        <v>157</v>
      </c>
    </row>
    <row r="4595" spans="19:22" x14ac:dyDescent="0.45">
      <c r="S4595" t="s">
        <v>698</v>
      </c>
      <c r="T4595" t="s">
        <v>166</v>
      </c>
      <c r="U4595">
        <v>7.0386211179980146E-2</v>
      </c>
      <c r="V4595" t="s">
        <v>157</v>
      </c>
    </row>
    <row r="4596" spans="19:22" x14ac:dyDescent="0.45">
      <c r="S4596" t="s">
        <v>698</v>
      </c>
      <c r="T4596" t="s">
        <v>167</v>
      </c>
      <c r="U4596">
        <v>4.5783068499696197E-2</v>
      </c>
      <c r="V4596" t="s">
        <v>157</v>
      </c>
    </row>
    <row r="4597" spans="19:22" x14ac:dyDescent="0.45">
      <c r="S4597" t="s">
        <v>698</v>
      </c>
      <c r="T4597" t="s">
        <v>168</v>
      </c>
      <c r="U4597">
        <v>6.2030824580690515E-2</v>
      </c>
      <c r="V4597" t="s">
        <v>157</v>
      </c>
    </row>
    <row r="4598" spans="19:22" x14ac:dyDescent="0.45">
      <c r="S4598" t="s">
        <v>698</v>
      </c>
      <c r="T4598" t="s">
        <v>169</v>
      </c>
      <c r="U4598">
        <v>6.3427250274767357E-3</v>
      </c>
      <c r="V4598" t="s">
        <v>157</v>
      </c>
    </row>
    <row r="4599" spans="19:22" x14ac:dyDescent="0.45">
      <c r="S4599" t="s">
        <v>698</v>
      </c>
      <c r="T4599" t="s">
        <v>170</v>
      </c>
      <c r="U4599">
        <v>6.3894111251362818E-3</v>
      </c>
      <c r="V4599" t="s">
        <v>157</v>
      </c>
    </row>
    <row r="4600" spans="19:22" x14ac:dyDescent="0.45">
      <c r="S4600" t="s">
        <v>698</v>
      </c>
      <c r="T4600" t="s">
        <v>171</v>
      </c>
      <c r="U4600">
        <v>3.2339399141209757E-2</v>
      </c>
      <c r="V4600" t="s">
        <v>157</v>
      </c>
    </row>
    <row r="4601" spans="19:22" x14ac:dyDescent="0.45">
      <c r="S4601" t="s">
        <v>699</v>
      </c>
      <c r="T4601" t="s">
        <v>156</v>
      </c>
      <c r="U4601">
        <v>0.14998252047108646</v>
      </c>
      <c r="V4601" t="s">
        <v>157</v>
      </c>
    </row>
    <row r="4602" spans="19:22" x14ac:dyDescent="0.45">
      <c r="S4602" t="s">
        <v>699</v>
      </c>
      <c r="T4602" t="s">
        <v>158</v>
      </c>
      <c r="U4602">
        <v>0.20901050924295939</v>
      </c>
      <c r="V4602" t="s">
        <v>157</v>
      </c>
    </row>
    <row r="4603" spans="19:22" x14ac:dyDescent="0.45">
      <c r="S4603" t="s">
        <v>699</v>
      </c>
      <c r="T4603" t="s">
        <v>159</v>
      </c>
      <c r="U4603">
        <v>2.039077461707952E-2</v>
      </c>
      <c r="V4603" t="s">
        <v>157</v>
      </c>
    </row>
    <row r="4604" spans="19:22" x14ac:dyDescent="0.45">
      <c r="S4604" t="s">
        <v>699</v>
      </c>
      <c r="T4604" t="s">
        <v>160</v>
      </c>
      <c r="U4604">
        <v>2.021902969319567E-2</v>
      </c>
      <c r="V4604" t="s">
        <v>157</v>
      </c>
    </row>
    <row r="4605" spans="19:22" x14ac:dyDescent="0.45">
      <c r="S4605" t="s">
        <v>699</v>
      </c>
      <c r="T4605" t="s">
        <v>161</v>
      </c>
      <c r="U4605">
        <v>0.10141726452437148</v>
      </c>
      <c r="V4605" t="s">
        <v>157</v>
      </c>
    </row>
    <row r="4606" spans="19:22" x14ac:dyDescent="0.45">
      <c r="S4606" t="s">
        <v>699</v>
      </c>
      <c r="T4606" t="s">
        <v>162</v>
      </c>
      <c r="U4606">
        <v>0.10022968028686563</v>
      </c>
      <c r="V4606" t="s">
        <v>157</v>
      </c>
    </row>
    <row r="4607" spans="19:22" x14ac:dyDescent="0.45">
      <c r="S4607" t="s">
        <v>699</v>
      </c>
      <c r="T4607" t="s">
        <v>163</v>
      </c>
      <c r="U4607">
        <v>0.14745483794895869</v>
      </c>
      <c r="V4607" t="s">
        <v>157</v>
      </c>
    </row>
    <row r="4608" spans="19:22" x14ac:dyDescent="0.45">
      <c r="S4608" t="s">
        <v>699</v>
      </c>
      <c r="T4608" t="s">
        <v>164</v>
      </c>
      <c r="U4608">
        <v>1.4471017289195986E-2</v>
      </c>
      <c r="V4608" t="s">
        <v>157</v>
      </c>
    </row>
    <row r="4609" spans="19:22" x14ac:dyDescent="0.45">
      <c r="S4609" t="s">
        <v>699</v>
      </c>
      <c r="T4609" t="s">
        <v>165</v>
      </c>
      <c r="U4609">
        <v>1.425147787460929E-2</v>
      </c>
      <c r="V4609" t="s">
        <v>157</v>
      </c>
    </row>
    <row r="4610" spans="19:22" x14ac:dyDescent="0.45">
      <c r="S4610" t="s">
        <v>699</v>
      </c>
      <c r="T4610" t="s">
        <v>166</v>
      </c>
      <c r="U4610">
        <v>7.1286382589138317E-2</v>
      </c>
      <c r="V4610" t="s">
        <v>157</v>
      </c>
    </row>
    <row r="4611" spans="19:22" x14ac:dyDescent="0.45">
      <c r="S4611" t="s">
        <v>699</v>
      </c>
      <c r="T4611" t="s">
        <v>167</v>
      </c>
      <c r="U4611">
        <v>4.5653124264790228E-2</v>
      </c>
      <c r="V4611" t="s">
        <v>157</v>
      </c>
    </row>
    <row r="4612" spans="19:22" x14ac:dyDescent="0.45">
      <c r="S4612" t="s">
        <v>699</v>
      </c>
      <c r="T4612" t="s">
        <v>168</v>
      </c>
      <c r="U4612">
        <v>6.1560929376431164E-2</v>
      </c>
      <c r="V4612" t="s">
        <v>157</v>
      </c>
    </row>
    <row r="4613" spans="19:22" x14ac:dyDescent="0.45">
      <c r="S4613" t="s">
        <v>699</v>
      </c>
      <c r="T4613" t="s">
        <v>169</v>
      </c>
      <c r="U4613">
        <v>6.1115347117266282E-3</v>
      </c>
      <c r="V4613" t="s">
        <v>157</v>
      </c>
    </row>
    <row r="4614" spans="19:22" x14ac:dyDescent="0.45">
      <c r="S4614" t="s">
        <v>699</v>
      </c>
      <c r="T4614" t="s">
        <v>170</v>
      </c>
      <c r="U4614">
        <v>6.1336607946642684E-3</v>
      </c>
      <c r="V4614" t="s">
        <v>157</v>
      </c>
    </row>
    <row r="4615" spans="19:22" x14ac:dyDescent="0.45">
      <c r="S4615" t="s">
        <v>699</v>
      </c>
      <c r="T4615" t="s">
        <v>171</v>
      </c>
      <c r="U4615">
        <v>3.182725631492727E-2</v>
      </c>
      <c r="V4615" t="s">
        <v>157</v>
      </c>
    </row>
    <row r="4616" spans="19:22" x14ac:dyDescent="0.45">
      <c r="S4616" t="s">
        <v>700</v>
      </c>
      <c r="T4616" t="s">
        <v>156</v>
      </c>
      <c r="U4616">
        <v>0.14519347140076205</v>
      </c>
      <c r="V4616" t="s">
        <v>157</v>
      </c>
    </row>
    <row r="4617" spans="19:22" x14ac:dyDescent="0.45">
      <c r="S4617" t="s">
        <v>700</v>
      </c>
      <c r="T4617" t="s">
        <v>158</v>
      </c>
      <c r="U4617">
        <v>0.20854205766384573</v>
      </c>
      <c r="V4617" t="s">
        <v>157</v>
      </c>
    </row>
    <row r="4618" spans="19:22" x14ac:dyDescent="0.45">
      <c r="S4618" t="s">
        <v>700</v>
      </c>
      <c r="T4618" t="s">
        <v>159</v>
      </c>
      <c r="U4618">
        <v>2.0612411597065533E-2</v>
      </c>
      <c r="V4618" t="s">
        <v>157</v>
      </c>
    </row>
    <row r="4619" spans="19:22" x14ac:dyDescent="0.45">
      <c r="S4619" t="s">
        <v>700</v>
      </c>
      <c r="T4619" t="s">
        <v>160</v>
      </c>
      <c r="U4619">
        <v>2.0357471056774996E-2</v>
      </c>
      <c r="V4619" t="s">
        <v>157</v>
      </c>
    </row>
    <row r="4620" spans="19:22" x14ac:dyDescent="0.45">
      <c r="S4620" t="s">
        <v>700</v>
      </c>
      <c r="T4620" t="s">
        <v>161</v>
      </c>
      <c r="U4620">
        <v>9.9638889203067474E-2</v>
      </c>
      <c r="V4620" t="s">
        <v>157</v>
      </c>
    </row>
    <row r="4621" spans="19:22" x14ac:dyDescent="0.45">
      <c r="S4621" t="s">
        <v>700</v>
      </c>
      <c r="T4621" t="s">
        <v>162</v>
      </c>
      <c r="U4621">
        <v>0.10362942005348209</v>
      </c>
      <c r="V4621" t="s">
        <v>157</v>
      </c>
    </row>
    <row r="4622" spans="19:22" x14ac:dyDescent="0.45">
      <c r="S4622" t="s">
        <v>700</v>
      </c>
      <c r="T4622" t="s">
        <v>163</v>
      </c>
      <c r="U4622">
        <v>0.15153982639472607</v>
      </c>
      <c r="V4622" t="s">
        <v>157</v>
      </c>
    </row>
    <row r="4623" spans="19:22" x14ac:dyDescent="0.45">
      <c r="S4623" t="s">
        <v>700</v>
      </c>
      <c r="T4623" t="s">
        <v>164</v>
      </c>
      <c r="U4623">
        <v>1.4602801656074933E-2</v>
      </c>
      <c r="V4623" t="s">
        <v>157</v>
      </c>
    </row>
    <row r="4624" spans="19:22" x14ac:dyDescent="0.45">
      <c r="S4624" t="s">
        <v>700</v>
      </c>
      <c r="T4624" t="s">
        <v>165</v>
      </c>
      <c r="U4624">
        <v>1.4446307238830811E-2</v>
      </c>
      <c r="V4624" t="s">
        <v>157</v>
      </c>
    </row>
    <row r="4625" spans="19:22" x14ac:dyDescent="0.45">
      <c r="S4625" t="s">
        <v>700</v>
      </c>
      <c r="T4625" t="s">
        <v>166</v>
      </c>
      <c r="U4625">
        <v>7.142974042917144E-2</v>
      </c>
      <c r="V4625" t="s">
        <v>157</v>
      </c>
    </row>
    <row r="4626" spans="19:22" x14ac:dyDescent="0.45">
      <c r="S4626" t="s">
        <v>700</v>
      </c>
      <c r="T4626" t="s">
        <v>167</v>
      </c>
      <c r="U4626">
        <v>4.5506663600860399E-2</v>
      </c>
      <c r="V4626" t="s">
        <v>157</v>
      </c>
    </row>
    <row r="4627" spans="19:22" x14ac:dyDescent="0.45">
      <c r="S4627" t="s">
        <v>700</v>
      </c>
      <c r="T4627" t="s">
        <v>168</v>
      </c>
      <c r="U4627">
        <v>6.1801193687936032E-2</v>
      </c>
      <c r="V4627" t="s">
        <v>157</v>
      </c>
    </row>
    <row r="4628" spans="19:22" x14ac:dyDescent="0.45">
      <c r="S4628" t="s">
        <v>700</v>
      </c>
      <c r="T4628" t="s">
        <v>169</v>
      </c>
      <c r="U4628">
        <v>6.0776302485308813E-3</v>
      </c>
      <c r="V4628" t="s">
        <v>157</v>
      </c>
    </row>
    <row r="4629" spans="19:22" x14ac:dyDescent="0.45">
      <c r="S4629" t="s">
        <v>700</v>
      </c>
      <c r="T4629" t="s">
        <v>170</v>
      </c>
      <c r="U4629">
        <v>6.0503744551380131E-3</v>
      </c>
      <c r="V4629" t="s">
        <v>157</v>
      </c>
    </row>
    <row r="4630" spans="19:22" x14ac:dyDescent="0.45">
      <c r="S4630" t="s">
        <v>700</v>
      </c>
      <c r="T4630" t="s">
        <v>171</v>
      </c>
      <c r="U4630">
        <v>3.0571741313733553E-2</v>
      </c>
      <c r="V4630" t="s">
        <v>157</v>
      </c>
    </row>
    <row r="4631" spans="19:22" x14ac:dyDescent="0.45">
      <c r="S4631" t="s">
        <v>701</v>
      </c>
      <c r="T4631" t="s">
        <v>156</v>
      </c>
      <c r="U4631">
        <v>0.14283276136540141</v>
      </c>
      <c r="V4631" t="s">
        <v>157</v>
      </c>
    </row>
    <row r="4632" spans="19:22" x14ac:dyDescent="0.45">
      <c r="S4632" t="s">
        <v>701</v>
      </c>
      <c r="T4632" t="s">
        <v>158</v>
      </c>
      <c r="U4632">
        <v>0.207754005784864</v>
      </c>
      <c r="V4632" t="s">
        <v>157</v>
      </c>
    </row>
    <row r="4633" spans="19:22" x14ac:dyDescent="0.45">
      <c r="S4633" t="s">
        <v>701</v>
      </c>
      <c r="T4633" t="s">
        <v>159</v>
      </c>
      <c r="U4633">
        <v>2.0606420570319813E-2</v>
      </c>
      <c r="V4633" t="s">
        <v>157</v>
      </c>
    </row>
    <row r="4634" spans="19:22" x14ac:dyDescent="0.45">
      <c r="S4634" t="s">
        <v>701</v>
      </c>
      <c r="T4634" t="s">
        <v>160</v>
      </c>
      <c r="U4634">
        <v>2.0354082175174919E-2</v>
      </c>
      <c r="V4634" t="s">
        <v>157</v>
      </c>
    </row>
    <row r="4635" spans="19:22" x14ac:dyDescent="0.45">
      <c r="S4635" t="s">
        <v>701</v>
      </c>
      <c r="T4635" t="s">
        <v>161</v>
      </c>
      <c r="U4635">
        <v>9.8796730411353673E-2</v>
      </c>
      <c r="V4635" t="s">
        <v>157</v>
      </c>
    </row>
    <row r="4636" spans="19:22" x14ac:dyDescent="0.45">
      <c r="S4636" t="s">
        <v>701</v>
      </c>
      <c r="T4636" t="s">
        <v>162</v>
      </c>
      <c r="U4636">
        <v>0.1051998956540344</v>
      </c>
      <c r="V4636" t="s">
        <v>157</v>
      </c>
    </row>
    <row r="4637" spans="19:22" x14ac:dyDescent="0.45">
      <c r="S4637" t="s">
        <v>701</v>
      </c>
      <c r="T4637" t="s">
        <v>163</v>
      </c>
      <c r="U4637">
        <v>0.15272859665192526</v>
      </c>
      <c r="V4637" t="s">
        <v>157</v>
      </c>
    </row>
    <row r="4638" spans="19:22" x14ac:dyDescent="0.45">
      <c r="S4638" t="s">
        <v>701</v>
      </c>
      <c r="T4638" t="s">
        <v>164</v>
      </c>
      <c r="U4638">
        <v>1.4686094210456094E-2</v>
      </c>
      <c r="V4638" t="s">
        <v>157</v>
      </c>
    </row>
    <row r="4639" spans="19:22" x14ac:dyDescent="0.45">
      <c r="S4639" t="s">
        <v>701</v>
      </c>
      <c r="T4639" t="s">
        <v>165</v>
      </c>
      <c r="U4639">
        <v>1.4630475416852445E-2</v>
      </c>
      <c r="V4639" t="s">
        <v>157</v>
      </c>
    </row>
    <row r="4640" spans="19:22" x14ac:dyDescent="0.45">
      <c r="S4640" t="s">
        <v>701</v>
      </c>
      <c r="T4640" t="s">
        <v>166</v>
      </c>
      <c r="U4640">
        <v>7.1922266911879543E-2</v>
      </c>
      <c r="V4640" t="s">
        <v>157</v>
      </c>
    </row>
    <row r="4641" spans="19:22" x14ac:dyDescent="0.45">
      <c r="S4641" t="s">
        <v>701</v>
      </c>
      <c r="T4641" t="s">
        <v>167</v>
      </c>
      <c r="U4641">
        <v>4.5901546423639958E-2</v>
      </c>
      <c r="V4641" t="s">
        <v>157</v>
      </c>
    </row>
    <row r="4642" spans="19:22" x14ac:dyDescent="0.45">
      <c r="S4642" t="s">
        <v>701</v>
      </c>
      <c r="T4642" t="s">
        <v>168</v>
      </c>
      <c r="U4642">
        <v>6.2012075506071143E-2</v>
      </c>
      <c r="V4642" t="s">
        <v>157</v>
      </c>
    </row>
    <row r="4643" spans="19:22" x14ac:dyDescent="0.45">
      <c r="S4643" t="s">
        <v>701</v>
      </c>
      <c r="T4643" t="s">
        <v>169</v>
      </c>
      <c r="U4643">
        <v>6.1668811002967257E-3</v>
      </c>
      <c r="V4643" t="s">
        <v>157</v>
      </c>
    </row>
    <row r="4644" spans="19:22" x14ac:dyDescent="0.45">
      <c r="S4644" t="s">
        <v>701</v>
      </c>
      <c r="T4644" t="s">
        <v>170</v>
      </c>
      <c r="U4644">
        <v>6.1342195456845043E-3</v>
      </c>
      <c r="V4644" t="s">
        <v>157</v>
      </c>
    </row>
    <row r="4645" spans="19:22" x14ac:dyDescent="0.45">
      <c r="S4645" t="s">
        <v>701</v>
      </c>
      <c r="T4645" t="s">
        <v>171</v>
      </c>
      <c r="U4645">
        <v>3.027394827204612E-2</v>
      </c>
      <c r="V4645" t="s">
        <v>157</v>
      </c>
    </row>
    <row r="4646" spans="19:22" x14ac:dyDescent="0.45">
      <c r="S4646" t="s">
        <v>702</v>
      </c>
      <c r="T4646" t="s">
        <v>156</v>
      </c>
      <c r="U4646">
        <v>0.14280786480263433</v>
      </c>
      <c r="V4646" t="s">
        <v>157</v>
      </c>
    </row>
    <row r="4647" spans="19:22" x14ac:dyDescent="0.45">
      <c r="S4647" t="s">
        <v>702</v>
      </c>
      <c r="T4647" t="s">
        <v>158</v>
      </c>
      <c r="U4647">
        <v>0.20457750483200854</v>
      </c>
      <c r="V4647" t="s">
        <v>157</v>
      </c>
    </row>
    <row r="4648" spans="19:22" x14ac:dyDescent="0.45">
      <c r="S4648" t="s">
        <v>702</v>
      </c>
      <c r="T4648" t="s">
        <v>159</v>
      </c>
      <c r="U4648">
        <v>2.1015955625663132E-2</v>
      </c>
      <c r="V4648" t="s">
        <v>157</v>
      </c>
    </row>
    <row r="4649" spans="19:22" x14ac:dyDescent="0.45">
      <c r="S4649" t="s">
        <v>702</v>
      </c>
      <c r="T4649" t="s">
        <v>160</v>
      </c>
      <c r="U4649">
        <v>2.0918292060407045E-2</v>
      </c>
      <c r="V4649" t="s">
        <v>157</v>
      </c>
    </row>
    <row r="4650" spans="19:22" x14ac:dyDescent="0.45">
      <c r="S4650" t="s">
        <v>702</v>
      </c>
      <c r="T4650" t="s">
        <v>161</v>
      </c>
      <c r="U4650">
        <v>0.10235037363718197</v>
      </c>
      <c r="V4650" t="s">
        <v>157</v>
      </c>
    </row>
    <row r="4651" spans="19:22" x14ac:dyDescent="0.45">
      <c r="S4651" t="s">
        <v>702</v>
      </c>
      <c r="T4651" t="s">
        <v>162</v>
      </c>
      <c r="U4651">
        <v>0.1055975276871723</v>
      </c>
      <c r="V4651" t="s">
        <v>157</v>
      </c>
    </row>
    <row r="4652" spans="19:22" x14ac:dyDescent="0.45">
      <c r="S4652" t="s">
        <v>702</v>
      </c>
      <c r="T4652" t="s">
        <v>163</v>
      </c>
      <c r="U4652">
        <v>0.14787116577886533</v>
      </c>
      <c r="V4652" t="s">
        <v>157</v>
      </c>
    </row>
    <row r="4653" spans="19:22" x14ac:dyDescent="0.45">
      <c r="S4653" t="s">
        <v>702</v>
      </c>
      <c r="T4653" t="s">
        <v>164</v>
      </c>
      <c r="U4653">
        <v>1.4710848100705934E-2</v>
      </c>
      <c r="V4653" t="s">
        <v>157</v>
      </c>
    </row>
    <row r="4654" spans="19:22" x14ac:dyDescent="0.45">
      <c r="S4654" t="s">
        <v>702</v>
      </c>
      <c r="T4654" t="s">
        <v>165</v>
      </c>
      <c r="U4654">
        <v>1.4458239690181035E-2</v>
      </c>
      <c r="V4654" t="s">
        <v>157</v>
      </c>
    </row>
    <row r="4655" spans="19:22" x14ac:dyDescent="0.45">
      <c r="S4655" t="s">
        <v>702</v>
      </c>
      <c r="T4655" t="s">
        <v>166</v>
      </c>
      <c r="U4655">
        <v>7.282785708967443E-2</v>
      </c>
      <c r="V4655" t="s">
        <v>157</v>
      </c>
    </row>
    <row r="4656" spans="19:22" x14ac:dyDescent="0.45">
      <c r="S4656" t="s">
        <v>702</v>
      </c>
      <c r="T4656" t="s">
        <v>167</v>
      </c>
      <c r="U4656">
        <v>4.6827079915205391E-2</v>
      </c>
      <c r="V4656" t="s">
        <v>157</v>
      </c>
    </row>
    <row r="4657" spans="19:22" x14ac:dyDescent="0.45">
      <c r="S4657" t="s">
        <v>702</v>
      </c>
      <c r="T4657" t="s">
        <v>168</v>
      </c>
      <c r="U4657">
        <v>6.2454635546224303E-2</v>
      </c>
      <c r="V4657" t="s">
        <v>157</v>
      </c>
    </row>
    <row r="4658" spans="19:22" x14ac:dyDescent="0.45">
      <c r="S4658" t="s">
        <v>702</v>
      </c>
      <c r="T4658" t="s">
        <v>169</v>
      </c>
      <c r="U4658">
        <v>6.1328551818829163E-3</v>
      </c>
      <c r="V4658" t="s">
        <v>157</v>
      </c>
    </row>
    <row r="4659" spans="19:22" x14ac:dyDescent="0.45">
      <c r="S4659" t="s">
        <v>702</v>
      </c>
      <c r="T4659" t="s">
        <v>170</v>
      </c>
      <c r="U4659">
        <v>6.1390617924886089E-3</v>
      </c>
      <c r="V4659" t="s">
        <v>157</v>
      </c>
    </row>
    <row r="4660" spans="19:22" x14ac:dyDescent="0.45">
      <c r="S4660" t="s">
        <v>702</v>
      </c>
      <c r="T4660" t="s">
        <v>171</v>
      </c>
      <c r="U4660">
        <v>3.1310738259704721E-2</v>
      </c>
      <c r="V4660" t="s">
        <v>157</v>
      </c>
    </row>
    <row r="4661" spans="19:22" x14ac:dyDescent="0.45">
      <c r="S4661" t="s">
        <v>703</v>
      </c>
      <c r="T4661" t="s">
        <v>156</v>
      </c>
      <c r="U4661">
        <v>0.14158708925344674</v>
      </c>
      <c r="V4661" t="s">
        <v>157</v>
      </c>
    </row>
    <row r="4662" spans="19:22" x14ac:dyDescent="0.45">
      <c r="S4662" t="s">
        <v>703</v>
      </c>
      <c r="T4662" t="s">
        <v>158</v>
      </c>
      <c r="U4662">
        <v>0.19840033079989888</v>
      </c>
      <c r="V4662" t="s">
        <v>157</v>
      </c>
    </row>
    <row r="4663" spans="19:22" x14ac:dyDescent="0.45">
      <c r="S4663" t="s">
        <v>703</v>
      </c>
      <c r="T4663" t="s">
        <v>159</v>
      </c>
      <c r="U4663">
        <v>1.9214642428440672E-2</v>
      </c>
      <c r="V4663" t="s">
        <v>157</v>
      </c>
    </row>
    <row r="4664" spans="19:22" x14ac:dyDescent="0.45">
      <c r="S4664" t="s">
        <v>703</v>
      </c>
      <c r="T4664" t="s">
        <v>160</v>
      </c>
      <c r="U4664">
        <v>1.9171825607957573E-2</v>
      </c>
      <c r="V4664" t="s">
        <v>157</v>
      </c>
    </row>
    <row r="4665" spans="19:22" x14ac:dyDescent="0.45">
      <c r="S4665" t="s">
        <v>703</v>
      </c>
      <c r="T4665" t="s">
        <v>161</v>
      </c>
      <c r="U4665">
        <v>9.8558230442276989E-2</v>
      </c>
      <c r="V4665" t="s">
        <v>157</v>
      </c>
    </row>
    <row r="4666" spans="19:22" x14ac:dyDescent="0.45">
      <c r="S4666" t="s">
        <v>703</v>
      </c>
      <c r="T4666" t="s">
        <v>162</v>
      </c>
      <c r="U4666">
        <v>0.11045829158918777</v>
      </c>
      <c r="V4666" t="s">
        <v>157</v>
      </c>
    </row>
    <row r="4667" spans="19:22" x14ac:dyDescent="0.45">
      <c r="S4667" t="s">
        <v>703</v>
      </c>
      <c r="T4667" t="s">
        <v>163</v>
      </c>
      <c r="U4667">
        <v>0.15208502942487501</v>
      </c>
      <c r="V4667" t="s">
        <v>157</v>
      </c>
    </row>
    <row r="4668" spans="19:22" x14ac:dyDescent="0.45">
      <c r="S4668" t="s">
        <v>703</v>
      </c>
      <c r="T4668" t="s">
        <v>164</v>
      </c>
      <c r="U4668">
        <v>1.4002439063972414E-2</v>
      </c>
      <c r="V4668" t="s">
        <v>157</v>
      </c>
    </row>
    <row r="4669" spans="19:22" x14ac:dyDescent="0.45">
      <c r="S4669" t="s">
        <v>703</v>
      </c>
      <c r="T4669" t="s">
        <v>165</v>
      </c>
      <c r="U4669">
        <v>1.4067451061855127E-2</v>
      </c>
      <c r="V4669" t="s">
        <v>157</v>
      </c>
    </row>
    <row r="4670" spans="19:22" x14ac:dyDescent="0.45">
      <c r="S4670" t="s">
        <v>703</v>
      </c>
      <c r="T4670" t="s">
        <v>166</v>
      </c>
      <c r="U4670">
        <v>7.5029957742844045E-2</v>
      </c>
      <c r="V4670" t="s">
        <v>157</v>
      </c>
    </row>
    <row r="4671" spans="19:22" x14ac:dyDescent="0.45">
      <c r="S4671" t="s">
        <v>703</v>
      </c>
      <c r="T4671" t="s">
        <v>167</v>
      </c>
      <c r="U4671">
        <v>4.6285106367587217E-2</v>
      </c>
      <c r="V4671" t="s">
        <v>157</v>
      </c>
    </row>
    <row r="4672" spans="19:22" x14ac:dyDescent="0.45">
      <c r="S4672" t="s">
        <v>703</v>
      </c>
      <c r="T4672" t="s">
        <v>168</v>
      </c>
      <c r="U4672">
        <v>6.7068604756036085E-2</v>
      </c>
      <c r="V4672" t="s">
        <v>157</v>
      </c>
    </row>
    <row r="4673" spans="19:22" x14ac:dyDescent="0.45">
      <c r="S4673" t="s">
        <v>703</v>
      </c>
      <c r="T4673" t="s">
        <v>169</v>
      </c>
      <c r="U4673">
        <v>6.0973286200761249E-3</v>
      </c>
      <c r="V4673" t="s">
        <v>157</v>
      </c>
    </row>
    <row r="4674" spans="19:22" x14ac:dyDescent="0.45">
      <c r="S4674" t="s">
        <v>703</v>
      </c>
      <c r="T4674" t="s">
        <v>170</v>
      </c>
      <c r="U4674">
        <v>6.1194620207961313E-3</v>
      </c>
      <c r="V4674" t="s">
        <v>157</v>
      </c>
    </row>
    <row r="4675" spans="19:22" x14ac:dyDescent="0.45">
      <c r="S4675" t="s">
        <v>703</v>
      </c>
      <c r="T4675" t="s">
        <v>171</v>
      </c>
      <c r="U4675">
        <v>3.185421082074915E-2</v>
      </c>
      <c r="V4675" t="s">
        <v>157</v>
      </c>
    </row>
    <row r="4676" spans="19:22" x14ac:dyDescent="0.45">
      <c r="S4676" t="s">
        <v>704</v>
      </c>
      <c r="T4676" t="s">
        <v>156</v>
      </c>
      <c r="U4676">
        <v>0.14139354996827977</v>
      </c>
      <c r="V4676" t="s">
        <v>157</v>
      </c>
    </row>
    <row r="4677" spans="19:22" x14ac:dyDescent="0.45">
      <c r="S4677" t="s">
        <v>704</v>
      </c>
      <c r="T4677" t="s">
        <v>158</v>
      </c>
      <c r="U4677">
        <v>0.19348379333138729</v>
      </c>
      <c r="V4677" t="s">
        <v>157</v>
      </c>
    </row>
    <row r="4678" spans="19:22" x14ac:dyDescent="0.45">
      <c r="S4678" t="s">
        <v>704</v>
      </c>
      <c r="T4678" t="s">
        <v>159</v>
      </c>
      <c r="U4678">
        <v>1.9149608601021793E-2</v>
      </c>
      <c r="V4678" t="s">
        <v>157</v>
      </c>
    </row>
    <row r="4679" spans="19:22" x14ac:dyDescent="0.45">
      <c r="S4679" t="s">
        <v>704</v>
      </c>
      <c r="T4679" t="s">
        <v>160</v>
      </c>
      <c r="U4679">
        <v>1.9266476136395996E-2</v>
      </c>
      <c r="V4679" t="s">
        <v>157</v>
      </c>
    </row>
    <row r="4680" spans="19:22" x14ac:dyDescent="0.45">
      <c r="S4680" t="s">
        <v>704</v>
      </c>
      <c r="T4680" t="s">
        <v>161</v>
      </c>
      <c r="U4680">
        <v>9.9808211632759436E-2</v>
      </c>
      <c r="V4680" t="s">
        <v>157</v>
      </c>
    </row>
    <row r="4681" spans="19:22" x14ac:dyDescent="0.45">
      <c r="S4681" t="s">
        <v>704</v>
      </c>
      <c r="T4681" t="s">
        <v>162</v>
      </c>
      <c r="U4681">
        <v>0.11275503692561882</v>
      </c>
      <c r="V4681" t="s">
        <v>157</v>
      </c>
    </row>
    <row r="4682" spans="19:22" x14ac:dyDescent="0.45">
      <c r="S4682" t="s">
        <v>704</v>
      </c>
      <c r="T4682" t="s">
        <v>163</v>
      </c>
      <c r="U4682">
        <v>0.15409699829236723</v>
      </c>
      <c r="V4682" t="s">
        <v>157</v>
      </c>
    </row>
    <row r="4683" spans="19:22" x14ac:dyDescent="0.45">
      <c r="S4683" t="s">
        <v>704</v>
      </c>
      <c r="T4683" t="s">
        <v>164</v>
      </c>
      <c r="U4683">
        <v>1.4084587015924079E-2</v>
      </c>
      <c r="V4683" t="s">
        <v>157</v>
      </c>
    </row>
    <row r="4684" spans="19:22" x14ac:dyDescent="0.45">
      <c r="S4684" t="s">
        <v>704</v>
      </c>
      <c r="T4684" t="s">
        <v>165</v>
      </c>
      <c r="U4684">
        <v>1.4140615923094806E-2</v>
      </c>
      <c r="V4684" t="s">
        <v>157</v>
      </c>
    </row>
    <row r="4685" spans="19:22" x14ac:dyDescent="0.45">
      <c r="S4685" t="s">
        <v>704</v>
      </c>
      <c r="T4685" t="s">
        <v>166</v>
      </c>
      <c r="U4685">
        <v>7.4602092973035841E-2</v>
      </c>
      <c r="V4685" t="s">
        <v>157</v>
      </c>
    </row>
    <row r="4686" spans="19:22" x14ac:dyDescent="0.45">
      <c r="S4686" t="s">
        <v>704</v>
      </c>
      <c r="T4686" t="s">
        <v>167</v>
      </c>
      <c r="U4686">
        <v>4.6794268440337745E-2</v>
      </c>
      <c r="V4686" t="s">
        <v>157</v>
      </c>
    </row>
    <row r="4687" spans="19:22" x14ac:dyDescent="0.45">
      <c r="S4687" t="s">
        <v>704</v>
      </c>
      <c r="T4687" t="s">
        <v>168</v>
      </c>
      <c r="U4687">
        <v>6.4499335830684512E-2</v>
      </c>
      <c r="V4687" t="s">
        <v>157</v>
      </c>
    </row>
    <row r="4688" spans="19:22" x14ac:dyDescent="0.45">
      <c r="S4688" t="s">
        <v>704</v>
      </c>
      <c r="T4688" t="s">
        <v>169</v>
      </c>
      <c r="U4688">
        <v>6.1420138216992702E-3</v>
      </c>
      <c r="V4688" t="s">
        <v>157</v>
      </c>
    </row>
    <row r="4689" spans="19:22" x14ac:dyDescent="0.45">
      <c r="S4689" t="s">
        <v>704</v>
      </c>
      <c r="T4689" t="s">
        <v>170</v>
      </c>
      <c r="U4689">
        <v>6.3465649273486942E-3</v>
      </c>
      <c r="V4689" t="s">
        <v>157</v>
      </c>
    </row>
    <row r="4690" spans="19:22" x14ac:dyDescent="0.45">
      <c r="S4690" t="s">
        <v>704</v>
      </c>
      <c r="T4690" t="s">
        <v>171</v>
      </c>
      <c r="U4690">
        <v>3.3436846180044714E-2</v>
      </c>
      <c r="V4690" t="s">
        <v>157</v>
      </c>
    </row>
    <row r="4691" spans="19:22" x14ac:dyDescent="0.45">
      <c r="S4691" t="s">
        <v>705</v>
      </c>
      <c r="T4691" t="s">
        <v>156</v>
      </c>
      <c r="U4691">
        <v>0.13514354435977302</v>
      </c>
      <c r="V4691" t="s">
        <v>157</v>
      </c>
    </row>
    <row r="4692" spans="19:22" x14ac:dyDescent="0.45">
      <c r="S4692" t="s">
        <v>705</v>
      </c>
      <c r="T4692" t="s">
        <v>158</v>
      </c>
      <c r="U4692">
        <v>0.18604919422161867</v>
      </c>
      <c r="V4692" t="s">
        <v>157</v>
      </c>
    </row>
    <row r="4693" spans="19:22" x14ac:dyDescent="0.45">
      <c r="S4693" t="s">
        <v>705</v>
      </c>
      <c r="T4693" t="s">
        <v>159</v>
      </c>
      <c r="U4693">
        <v>1.9267877193925916E-2</v>
      </c>
      <c r="V4693" t="s">
        <v>157</v>
      </c>
    </row>
    <row r="4694" spans="19:22" x14ac:dyDescent="0.45">
      <c r="S4694" t="s">
        <v>705</v>
      </c>
      <c r="T4694" t="s">
        <v>160</v>
      </c>
      <c r="U4694">
        <v>1.9592932740212534E-2</v>
      </c>
      <c r="V4694" t="s">
        <v>157</v>
      </c>
    </row>
    <row r="4695" spans="19:22" x14ac:dyDescent="0.45">
      <c r="S4695" t="s">
        <v>705</v>
      </c>
      <c r="T4695" t="s">
        <v>161</v>
      </c>
      <c r="U4695">
        <v>0.10105912237524557</v>
      </c>
      <c r="V4695" t="s">
        <v>157</v>
      </c>
    </row>
    <row r="4696" spans="19:22" x14ac:dyDescent="0.45">
      <c r="S4696" t="s">
        <v>705</v>
      </c>
      <c r="T4696" t="s">
        <v>162</v>
      </c>
      <c r="U4696">
        <v>0.12171547616080759</v>
      </c>
      <c r="V4696" t="s">
        <v>157</v>
      </c>
    </row>
    <row r="4697" spans="19:22" x14ac:dyDescent="0.45">
      <c r="S4697" t="s">
        <v>705</v>
      </c>
      <c r="T4697" t="s">
        <v>163</v>
      </c>
      <c r="U4697">
        <v>0.15556100370294515</v>
      </c>
      <c r="V4697" t="s">
        <v>157</v>
      </c>
    </row>
    <row r="4698" spans="19:22" x14ac:dyDescent="0.45">
      <c r="S4698" t="s">
        <v>705</v>
      </c>
      <c r="T4698" t="s">
        <v>164</v>
      </c>
      <c r="U4698">
        <v>1.3891929764849769E-2</v>
      </c>
      <c r="V4698" t="s">
        <v>157</v>
      </c>
    </row>
    <row r="4699" spans="19:22" x14ac:dyDescent="0.45">
      <c r="S4699" t="s">
        <v>705</v>
      </c>
      <c r="T4699" t="s">
        <v>165</v>
      </c>
      <c r="U4699">
        <v>1.4065371152799275E-2</v>
      </c>
      <c r="V4699" t="s">
        <v>157</v>
      </c>
    </row>
    <row r="4700" spans="19:22" x14ac:dyDescent="0.45">
      <c r="S4700" t="s">
        <v>705</v>
      </c>
      <c r="T4700" t="s">
        <v>166</v>
      </c>
      <c r="U4700">
        <v>7.8000446618386579E-2</v>
      </c>
      <c r="V4700" t="s">
        <v>157</v>
      </c>
    </row>
    <row r="4701" spans="19:22" x14ac:dyDescent="0.45">
      <c r="S4701" t="s">
        <v>705</v>
      </c>
      <c r="T4701" t="s">
        <v>167</v>
      </c>
      <c r="U4701">
        <v>4.8758984509200437E-2</v>
      </c>
      <c r="V4701" t="s">
        <v>157</v>
      </c>
    </row>
    <row r="4702" spans="19:22" x14ac:dyDescent="0.45">
      <c r="S4702" t="s">
        <v>705</v>
      </c>
      <c r="T4702" t="s">
        <v>168</v>
      </c>
      <c r="U4702">
        <v>5.9811879266073453E-2</v>
      </c>
      <c r="V4702" t="s">
        <v>157</v>
      </c>
    </row>
    <row r="4703" spans="19:22" x14ac:dyDescent="0.45">
      <c r="S4703" t="s">
        <v>705</v>
      </c>
      <c r="T4703" t="s">
        <v>169</v>
      </c>
      <c r="U4703">
        <v>6.2528367973368748E-3</v>
      </c>
      <c r="V4703" t="s">
        <v>157</v>
      </c>
    </row>
    <row r="4704" spans="19:22" x14ac:dyDescent="0.45">
      <c r="S4704" t="s">
        <v>705</v>
      </c>
      <c r="T4704" t="s">
        <v>170</v>
      </c>
      <c r="U4704">
        <v>6.4505069827016526E-3</v>
      </c>
      <c r="V4704" t="s">
        <v>157</v>
      </c>
    </row>
    <row r="4705" spans="19:22" x14ac:dyDescent="0.45">
      <c r="S4705" t="s">
        <v>705</v>
      </c>
      <c r="T4705" t="s">
        <v>171</v>
      </c>
      <c r="U4705">
        <v>3.4378894154123561E-2</v>
      </c>
      <c r="V4705" t="s">
        <v>157</v>
      </c>
    </row>
    <row r="4706" spans="19:22" x14ac:dyDescent="0.45">
      <c r="S4706" t="s">
        <v>706</v>
      </c>
      <c r="T4706" t="s">
        <v>156</v>
      </c>
      <c r="U4706">
        <v>0.13126652224913637</v>
      </c>
      <c r="V4706" t="s">
        <v>157</v>
      </c>
    </row>
    <row r="4707" spans="19:22" x14ac:dyDescent="0.45">
      <c r="S4707" t="s">
        <v>706</v>
      </c>
      <c r="T4707" t="s">
        <v>158</v>
      </c>
      <c r="U4707">
        <v>0.18667445587755549</v>
      </c>
      <c r="V4707" t="s">
        <v>157</v>
      </c>
    </row>
    <row r="4708" spans="19:22" x14ac:dyDescent="0.45">
      <c r="S4708" t="s">
        <v>706</v>
      </c>
      <c r="T4708" t="s">
        <v>159</v>
      </c>
      <c r="U4708">
        <v>1.9981468735945848E-2</v>
      </c>
      <c r="V4708" t="s">
        <v>157</v>
      </c>
    </row>
    <row r="4709" spans="19:22" x14ac:dyDescent="0.45">
      <c r="S4709" t="s">
        <v>706</v>
      </c>
      <c r="T4709" t="s">
        <v>160</v>
      </c>
      <c r="U4709">
        <v>2.0110415513811087E-2</v>
      </c>
      <c r="V4709" t="s">
        <v>157</v>
      </c>
    </row>
    <row r="4710" spans="19:22" x14ac:dyDescent="0.45">
      <c r="S4710" t="s">
        <v>706</v>
      </c>
      <c r="T4710" t="s">
        <v>161</v>
      </c>
      <c r="U4710">
        <v>9.9247043848488842E-2</v>
      </c>
      <c r="V4710" t="s">
        <v>157</v>
      </c>
    </row>
    <row r="4711" spans="19:22" x14ac:dyDescent="0.45">
      <c r="S4711" t="s">
        <v>706</v>
      </c>
      <c r="T4711" t="s">
        <v>162</v>
      </c>
      <c r="U4711">
        <v>0.12063987522895678</v>
      </c>
      <c r="V4711" t="s">
        <v>157</v>
      </c>
    </row>
    <row r="4712" spans="19:22" x14ac:dyDescent="0.45">
      <c r="S4712" t="s">
        <v>706</v>
      </c>
      <c r="T4712" t="s">
        <v>163</v>
      </c>
      <c r="U4712">
        <v>0.15586016807458383</v>
      </c>
      <c r="V4712" t="s">
        <v>157</v>
      </c>
    </row>
    <row r="4713" spans="19:22" x14ac:dyDescent="0.45">
      <c r="S4713" t="s">
        <v>706</v>
      </c>
      <c r="T4713" t="s">
        <v>164</v>
      </c>
      <c r="U4713">
        <v>1.4511707312920875E-2</v>
      </c>
      <c r="V4713" t="s">
        <v>157</v>
      </c>
    </row>
    <row r="4714" spans="19:22" x14ac:dyDescent="0.45">
      <c r="S4714" t="s">
        <v>706</v>
      </c>
      <c r="T4714" t="s">
        <v>165</v>
      </c>
      <c r="U4714">
        <v>1.4733175211550872E-2</v>
      </c>
      <c r="V4714" t="s">
        <v>157</v>
      </c>
    </row>
    <row r="4715" spans="19:22" x14ac:dyDescent="0.45">
      <c r="S4715" t="s">
        <v>706</v>
      </c>
      <c r="T4715" t="s">
        <v>166</v>
      </c>
      <c r="U4715">
        <v>7.863307268565789E-2</v>
      </c>
      <c r="V4715" t="s">
        <v>157</v>
      </c>
    </row>
    <row r="4716" spans="19:22" x14ac:dyDescent="0.45">
      <c r="S4716" t="s">
        <v>706</v>
      </c>
      <c r="T4716" t="s">
        <v>167</v>
      </c>
      <c r="U4716">
        <v>4.872438341401434E-2</v>
      </c>
      <c r="V4716" t="s">
        <v>157</v>
      </c>
    </row>
    <row r="4717" spans="19:22" x14ac:dyDescent="0.45">
      <c r="S4717" t="s">
        <v>706</v>
      </c>
      <c r="T4717" t="s">
        <v>168</v>
      </c>
      <c r="U4717">
        <v>6.2576038203762188E-2</v>
      </c>
      <c r="V4717" t="s">
        <v>157</v>
      </c>
    </row>
    <row r="4718" spans="19:22" x14ac:dyDescent="0.45">
      <c r="S4718" t="s">
        <v>706</v>
      </c>
      <c r="T4718" t="s">
        <v>169</v>
      </c>
      <c r="U4718">
        <v>6.6488846794553365E-3</v>
      </c>
      <c r="V4718" t="s">
        <v>157</v>
      </c>
    </row>
    <row r="4719" spans="19:22" x14ac:dyDescent="0.45">
      <c r="S4719" t="s">
        <v>706</v>
      </c>
      <c r="T4719" t="s">
        <v>170</v>
      </c>
      <c r="U4719">
        <v>6.6594152817294654E-3</v>
      </c>
      <c r="V4719" t="s">
        <v>157</v>
      </c>
    </row>
    <row r="4720" spans="19:22" x14ac:dyDescent="0.45">
      <c r="S4720" t="s">
        <v>706</v>
      </c>
      <c r="T4720" t="s">
        <v>171</v>
      </c>
      <c r="U4720">
        <v>3.3733373682430776E-2</v>
      </c>
      <c r="V4720" t="s">
        <v>157</v>
      </c>
    </row>
    <row r="4721" spans="19:22" x14ac:dyDescent="0.45">
      <c r="S4721" t="s">
        <v>707</v>
      </c>
      <c r="T4721" t="s">
        <v>156</v>
      </c>
      <c r="U4721">
        <v>0.12784125621309911</v>
      </c>
      <c r="V4721" t="s">
        <v>157</v>
      </c>
    </row>
    <row r="4722" spans="19:22" x14ac:dyDescent="0.45">
      <c r="S4722" t="s">
        <v>707</v>
      </c>
      <c r="T4722" t="s">
        <v>158</v>
      </c>
      <c r="U4722">
        <v>0.18746676752993419</v>
      </c>
      <c r="V4722" t="s">
        <v>157</v>
      </c>
    </row>
    <row r="4723" spans="19:22" x14ac:dyDescent="0.45">
      <c r="S4723" t="s">
        <v>707</v>
      </c>
      <c r="T4723" t="s">
        <v>159</v>
      </c>
      <c r="U4723">
        <v>2.1630224807094461E-2</v>
      </c>
      <c r="V4723" t="s">
        <v>157</v>
      </c>
    </row>
    <row r="4724" spans="19:22" x14ac:dyDescent="0.45">
      <c r="S4724" t="s">
        <v>707</v>
      </c>
      <c r="T4724" t="s">
        <v>160</v>
      </c>
      <c r="U4724">
        <v>2.1641312314471896E-2</v>
      </c>
      <c r="V4724" t="s">
        <v>157</v>
      </c>
    </row>
    <row r="4725" spans="19:22" x14ac:dyDescent="0.45">
      <c r="S4725" t="s">
        <v>707</v>
      </c>
      <c r="T4725" t="s">
        <v>161</v>
      </c>
      <c r="U4725">
        <v>0.10136736799347647</v>
      </c>
      <c r="V4725" t="s">
        <v>157</v>
      </c>
    </row>
    <row r="4726" spans="19:22" x14ac:dyDescent="0.45">
      <c r="S4726" t="s">
        <v>707</v>
      </c>
      <c r="T4726" t="s">
        <v>162</v>
      </c>
      <c r="U4726">
        <v>0.11752313466203791</v>
      </c>
      <c r="V4726" t="s">
        <v>157</v>
      </c>
    </row>
    <row r="4727" spans="19:22" x14ac:dyDescent="0.45">
      <c r="S4727" t="s">
        <v>707</v>
      </c>
      <c r="T4727" t="s">
        <v>163</v>
      </c>
      <c r="U4727">
        <v>0.15684960273576326</v>
      </c>
      <c r="V4727" t="s">
        <v>157</v>
      </c>
    </row>
    <row r="4728" spans="19:22" x14ac:dyDescent="0.45">
      <c r="S4728" t="s">
        <v>707</v>
      </c>
      <c r="T4728" t="s">
        <v>164</v>
      </c>
      <c r="U4728">
        <v>1.5122407847150013E-2</v>
      </c>
      <c r="V4728" t="s">
        <v>157</v>
      </c>
    </row>
    <row r="4729" spans="19:22" x14ac:dyDescent="0.45">
      <c r="S4729" t="s">
        <v>707</v>
      </c>
      <c r="T4729" t="s">
        <v>165</v>
      </c>
      <c r="U4729">
        <v>1.5227164346473391E-2</v>
      </c>
      <c r="V4729" t="s">
        <v>157</v>
      </c>
    </row>
    <row r="4730" spans="19:22" x14ac:dyDescent="0.45">
      <c r="S4730" t="s">
        <v>707</v>
      </c>
      <c r="T4730" t="s">
        <v>166</v>
      </c>
      <c r="U4730">
        <v>7.8939032834486167E-2</v>
      </c>
      <c r="V4730" t="s">
        <v>157</v>
      </c>
    </row>
    <row r="4731" spans="19:22" x14ac:dyDescent="0.45">
      <c r="S4731" t="s">
        <v>707</v>
      </c>
      <c r="T4731" t="s">
        <v>167</v>
      </c>
      <c r="U4731">
        <v>4.5978972591914156E-2</v>
      </c>
      <c r="V4731" t="s">
        <v>157</v>
      </c>
    </row>
    <row r="4732" spans="19:22" x14ac:dyDescent="0.45">
      <c r="S4732" t="s">
        <v>707</v>
      </c>
      <c r="T4732" t="s">
        <v>168</v>
      </c>
      <c r="U4732">
        <v>6.3524759334117747E-2</v>
      </c>
      <c r="V4732" t="s">
        <v>157</v>
      </c>
    </row>
    <row r="4733" spans="19:22" x14ac:dyDescent="0.45">
      <c r="S4733" t="s">
        <v>707</v>
      </c>
      <c r="T4733" t="s">
        <v>169</v>
      </c>
      <c r="U4733">
        <v>7.0199127702629425E-3</v>
      </c>
      <c r="V4733" t="s">
        <v>157</v>
      </c>
    </row>
    <row r="4734" spans="19:22" x14ac:dyDescent="0.45">
      <c r="S4734" t="s">
        <v>707</v>
      </c>
      <c r="T4734" t="s">
        <v>170</v>
      </c>
      <c r="U4734">
        <v>6.9075671792738413E-3</v>
      </c>
      <c r="V4734" t="s">
        <v>157</v>
      </c>
    </row>
    <row r="4735" spans="19:22" x14ac:dyDescent="0.45">
      <c r="S4735" t="s">
        <v>707</v>
      </c>
      <c r="T4735" t="s">
        <v>171</v>
      </c>
      <c r="U4735">
        <v>3.2960516840444432E-2</v>
      </c>
      <c r="V4735" t="s">
        <v>157</v>
      </c>
    </row>
    <row r="4736" spans="19:22" x14ac:dyDescent="0.45">
      <c r="S4736" t="s">
        <v>708</v>
      </c>
      <c r="T4736" t="s">
        <v>156</v>
      </c>
      <c r="U4736">
        <v>0.12457353160242846</v>
      </c>
      <c r="V4736" t="s">
        <v>157</v>
      </c>
    </row>
    <row r="4737" spans="19:22" x14ac:dyDescent="0.45">
      <c r="S4737" t="s">
        <v>708</v>
      </c>
      <c r="T4737" t="s">
        <v>158</v>
      </c>
      <c r="U4737">
        <v>0.18503594854609312</v>
      </c>
      <c r="V4737" t="s">
        <v>157</v>
      </c>
    </row>
    <row r="4738" spans="19:22" x14ac:dyDescent="0.45">
      <c r="S4738" t="s">
        <v>708</v>
      </c>
      <c r="T4738" t="s">
        <v>159</v>
      </c>
      <c r="U4738">
        <v>2.4090937744981517E-2</v>
      </c>
      <c r="V4738" t="s">
        <v>157</v>
      </c>
    </row>
    <row r="4739" spans="19:22" x14ac:dyDescent="0.45">
      <c r="S4739" t="s">
        <v>708</v>
      </c>
      <c r="T4739" t="s">
        <v>160</v>
      </c>
      <c r="U4739">
        <v>2.4113487792382551E-2</v>
      </c>
      <c r="V4739" t="s">
        <v>157</v>
      </c>
    </row>
    <row r="4740" spans="19:22" x14ac:dyDescent="0.45">
      <c r="S4740" t="s">
        <v>708</v>
      </c>
      <c r="T4740" t="s">
        <v>161</v>
      </c>
      <c r="U4740">
        <v>0.1077559504610674</v>
      </c>
      <c r="V4740" t="s">
        <v>157</v>
      </c>
    </row>
    <row r="4741" spans="19:22" x14ac:dyDescent="0.45">
      <c r="S4741" t="s">
        <v>708</v>
      </c>
      <c r="T4741" t="s">
        <v>162</v>
      </c>
      <c r="U4741">
        <v>0.1158570326236882</v>
      </c>
      <c r="V4741" t="s">
        <v>157</v>
      </c>
    </row>
    <row r="4742" spans="19:22" x14ac:dyDescent="0.45">
      <c r="S4742" t="s">
        <v>708</v>
      </c>
      <c r="T4742" t="s">
        <v>163</v>
      </c>
      <c r="U4742">
        <v>0.15692532225466965</v>
      </c>
      <c r="V4742" t="s">
        <v>157</v>
      </c>
    </row>
    <row r="4743" spans="19:22" x14ac:dyDescent="0.45">
      <c r="S4743" t="s">
        <v>708</v>
      </c>
      <c r="T4743" t="s">
        <v>164</v>
      </c>
      <c r="U4743">
        <v>1.5919096327875804E-2</v>
      </c>
      <c r="V4743" t="s">
        <v>157</v>
      </c>
    </row>
    <row r="4744" spans="19:22" x14ac:dyDescent="0.45">
      <c r="S4744" t="s">
        <v>708</v>
      </c>
      <c r="T4744" t="s">
        <v>165</v>
      </c>
      <c r="U4744">
        <v>1.6069632654762148E-2</v>
      </c>
      <c r="V4744" t="s">
        <v>157</v>
      </c>
    </row>
    <row r="4745" spans="19:22" x14ac:dyDescent="0.45">
      <c r="S4745" t="s">
        <v>708</v>
      </c>
      <c r="T4745" t="s">
        <v>166</v>
      </c>
      <c r="U4745">
        <v>8.1975762745504555E-2</v>
      </c>
      <c r="V4745" t="s">
        <v>157</v>
      </c>
    </row>
    <row r="4746" spans="19:22" x14ac:dyDescent="0.45">
      <c r="S4746" t="s">
        <v>708</v>
      </c>
      <c r="T4746" t="s">
        <v>167</v>
      </c>
      <c r="U4746">
        <v>4.0839937787614515E-2</v>
      </c>
      <c r="V4746" t="s">
        <v>157</v>
      </c>
    </row>
    <row r="4747" spans="19:22" x14ac:dyDescent="0.45">
      <c r="S4747" t="s">
        <v>708</v>
      </c>
      <c r="T4747" t="s">
        <v>168</v>
      </c>
      <c r="U4747">
        <v>5.971270338341416E-2</v>
      </c>
      <c r="V4747" t="s">
        <v>157</v>
      </c>
    </row>
    <row r="4748" spans="19:22" x14ac:dyDescent="0.45">
      <c r="S4748" t="s">
        <v>708</v>
      </c>
      <c r="T4748" t="s">
        <v>169</v>
      </c>
      <c r="U4748">
        <v>7.3374976202894918E-3</v>
      </c>
      <c r="V4748" t="s">
        <v>157</v>
      </c>
    </row>
    <row r="4749" spans="19:22" x14ac:dyDescent="0.45">
      <c r="S4749" t="s">
        <v>708</v>
      </c>
      <c r="T4749" t="s">
        <v>170</v>
      </c>
      <c r="U4749">
        <v>7.1436005315904192E-3</v>
      </c>
      <c r="V4749" t="s">
        <v>157</v>
      </c>
    </row>
    <row r="4750" spans="19:22" x14ac:dyDescent="0.45">
      <c r="S4750" t="s">
        <v>708</v>
      </c>
      <c r="T4750" t="s">
        <v>171</v>
      </c>
      <c r="U4750">
        <v>3.2649557923637967E-2</v>
      </c>
      <c r="V4750" t="s">
        <v>157</v>
      </c>
    </row>
    <row r="4751" spans="19:22" x14ac:dyDescent="0.45">
      <c r="S4751" t="s">
        <v>709</v>
      </c>
      <c r="T4751" t="s">
        <v>156</v>
      </c>
      <c r="U4751">
        <v>0.12306517052988346</v>
      </c>
      <c r="V4751" t="s">
        <v>157</v>
      </c>
    </row>
    <row r="4752" spans="19:22" x14ac:dyDescent="0.45">
      <c r="S4752" t="s">
        <v>709</v>
      </c>
      <c r="T4752" t="s">
        <v>158</v>
      </c>
      <c r="U4752">
        <v>0.17926033074774031</v>
      </c>
      <c r="V4752" t="s">
        <v>157</v>
      </c>
    </row>
    <row r="4753" spans="19:22" x14ac:dyDescent="0.45">
      <c r="S4753" t="s">
        <v>709</v>
      </c>
      <c r="T4753" t="s">
        <v>159</v>
      </c>
      <c r="U4753">
        <v>2.4092456178470521E-2</v>
      </c>
      <c r="V4753" t="s">
        <v>157</v>
      </c>
    </row>
    <row r="4754" spans="19:22" x14ac:dyDescent="0.45">
      <c r="S4754" t="s">
        <v>709</v>
      </c>
      <c r="T4754" t="s">
        <v>160</v>
      </c>
      <c r="U4754">
        <v>2.4122795475317198E-2</v>
      </c>
      <c r="V4754" t="s">
        <v>157</v>
      </c>
    </row>
    <row r="4755" spans="19:22" x14ac:dyDescent="0.45">
      <c r="S4755" t="s">
        <v>709</v>
      </c>
      <c r="T4755" t="s">
        <v>161</v>
      </c>
      <c r="U4755">
        <v>0.10844261178522877</v>
      </c>
      <c r="V4755" t="s">
        <v>157</v>
      </c>
    </row>
    <row r="4756" spans="19:22" x14ac:dyDescent="0.45">
      <c r="S4756" t="s">
        <v>709</v>
      </c>
      <c r="T4756" t="s">
        <v>162</v>
      </c>
      <c r="U4756">
        <v>0.12232954156905419</v>
      </c>
      <c r="V4756" t="s">
        <v>157</v>
      </c>
    </row>
    <row r="4757" spans="19:22" x14ac:dyDescent="0.45">
      <c r="S4757" t="s">
        <v>709</v>
      </c>
      <c r="T4757" t="s">
        <v>163</v>
      </c>
      <c r="U4757">
        <v>0.1611018899756744</v>
      </c>
      <c r="V4757" t="s">
        <v>157</v>
      </c>
    </row>
    <row r="4758" spans="19:22" x14ac:dyDescent="0.45">
      <c r="S4758" t="s">
        <v>709</v>
      </c>
      <c r="T4758" t="s">
        <v>164</v>
      </c>
      <c r="U4758">
        <v>1.6744207336653258E-2</v>
      </c>
      <c r="V4758" t="s">
        <v>157</v>
      </c>
    </row>
    <row r="4759" spans="19:22" x14ac:dyDescent="0.45">
      <c r="S4759" t="s">
        <v>709</v>
      </c>
      <c r="T4759" t="s">
        <v>165</v>
      </c>
      <c r="U4759">
        <v>1.7267391123811059E-2</v>
      </c>
      <c r="V4759" t="s">
        <v>157</v>
      </c>
    </row>
    <row r="4760" spans="19:22" x14ac:dyDescent="0.45">
      <c r="S4760" t="s">
        <v>709</v>
      </c>
      <c r="T4760" t="s">
        <v>166</v>
      </c>
      <c r="U4760">
        <v>8.9671673922250228E-2</v>
      </c>
      <c r="V4760" t="s">
        <v>157</v>
      </c>
    </row>
    <row r="4761" spans="19:22" x14ac:dyDescent="0.45">
      <c r="S4761" t="s">
        <v>709</v>
      </c>
      <c r="T4761" t="s">
        <v>167</v>
      </c>
      <c r="U4761">
        <v>3.6564176827470013E-2</v>
      </c>
      <c r="V4761" t="s">
        <v>157</v>
      </c>
    </row>
    <row r="4762" spans="19:22" x14ac:dyDescent="0.45">
      <c r="S4762" t="s">
        <v>709</v>
      </c>
      <c r="T4762" t="s">
        <v>168</v>
      </c>
      <c r="U4762">
        <v>5.2113286517062353E-2</v>
      </c>
      <c r="V4762" t="s">
        <v>157</v>
      </c>
    </row>
    <row r="4763" spans="19:22" x14ac:dyDescent="0.45">
      <c r="S4763" t="s">
        <v>709</v>
      </c>
      <c r="T4763" t="s">
        <v>169</v>
      </c>
      <c r="U4763">
        <v>7.0609996269197514E-3</v>
      </c>
      <c r="V4763" t="s">
        <v>157</v>
      </c>
    </row>
    <row r="4764" spans="19:22" x14ac:dyDescent="0.45">
      <c r="S4764" t="s">
        <v>709</v>
      </c>
      <c r="T4764" t="s">
        <v>170</v>
      </c>
      <c r="U4764">
        <v>6.8038523776455936E-3</v>
      </c>
      <c r="V4764" t="s">
        <v>157</v>
      </c>
    </row>
    <row r="4765" spans="19:22" x14ac:dyDescent="0.45">
      <c r="S4765" t="s">
        <v>709</v>
      </c>
      <c r="T4765" t="s">
        <v>171</v>
      </c>
      <c r="U4765">
        <v>3.1359616006818934E-2</v>
      </c>
      <c r="V4765" t="s">
        <v>157</v>
      </c>
    </row>
    <row r="4766" spans="19:22" x14ac:dyDescent="0.45">
      <c r="S4766" t="s">
        <v>710</v>
      </c>
      <c r="T4766" t="s">
        <v>156</v>
      </c>
      <c r="U4766">
        <v>0.14193886562457572</v>
      </c>
      <c r="V4766" t="s">
        <v>157</v>
      </c>
    </row>
    <row r="4767" spans="19:22" x14ac:dyDescent="0.45">
      <c r="S4767" t="s">
        <v>710</v>
      </c>
      <c r="T4767" t="s">
        <v>158</v>
      </c>
      <c r="U4767">
        <v>0.20480934984671129</v>
      </c>
      <c r="V4767" t="s">
        <v>157</v>
      </c>
    </row>
    <row r="4768" spans="19:22" x14ac:dyDescent="0.45">
      <c r="S4768" t="s">
        <v>710</v>
      </c>
      <c r="T4768" t="s">
        <v>159</v>
      </c>
      <c r="U4768">
        <v>2.102291883860789E-2</v>
      </c>
      <c r="V4768" t="s">
        <v>157</v>
      </c>
    </row>
    <row r="4769" spans="19:22" x14ac:dyDescent="0.45">
      <c r="S4769" t="s">
        <v>710</v>
      </c>
      <c r="T4769" t="s">
        <v>160</v>
      </c>
      <c r="U4769">
        <v>2.0892140451088392E-2</v>
      </c>
      <c r="V4769" t="s">
        <v>157</v>
      </c>
    </row>
    <row r="4770" spans="19:22" x14ac:dyDescent="0.45">
      <c r="S4770" t="s">
        <v>710</v>
      </c>
      <c r="T4770" t="s">
        <v>161</v>
      </c>
      <c r="U4770">
        <v>0.10183914915032523</v>
      </c>
      <c r="V4770" t="s">
        <v>157</v>
      </c>
    </row>
    <row r="4771" spans="19:22" x14ac:dyDescent="0.45">
      <c r="S4771" t="s">
        <v>710</v>
      </c>
      <c r="T4771" t="s">
        <v>162</v>
      </c>
      <c r="U4771">
        <v>0.10658832482738348</v>
      </c>
      <c r="V4771" t="s">
        <v>157</v>
      </c>
    </row>
    <row r="4772" spans="19:22" x14ac:dyDescent="0.45">
      <c r="S4772" t="s">
        <v>710</v>
      </c>
      <c r="T4772" t="s">
        <v>163</v>
      </c>
      <c r="U4772">
        <v>0.14810958652038564</v>
      </c>
      <c r="V4772" t="s">
        <v>157</v>
      </c>
    </row>
    <row r="4773" spans="19:22" x14ac:dyDescent="0.45">
      <c r="S4773" t="s">
        <v>710</v>
      </c>
      <c r="T4773" t="s">
        <v>164</v>
      </c>
      <c r="U4773">
        <v>1.4619961093709645E-2</v>
      </c>
      <c r="V4773" t="s">
        <v>157</v>
      </c>
    </row>
    <row r="4774" spans="19:22" x14ac:dyDescent="0.45">
      <c r="S4774" t="s">
        <v>710</v>
      </c>
      <c r="T4774" t="s">
        <v>165</v>
      </c>
      <c r="U4774">
        <v>1.4309583791349436E-2</v>
      </c>
      <c r="V4774" t="s">
        <v>157</v>
      </c>
    </row>
    <row r="4775" spans="19:22" x14ac:dyDescent="0.45">
      <c r="S4775" t="s">
        <v>710</v>
      </c>
      <c r="T4775" t="s">
        <v>166</v>
      </c>
      <c r="U4775">
        <v>7.2339919133950964E-2</v>
      </c>
      <c r="V4775" t="s">
        <v>157</v>
      </c>
    </row>
    <row r="4776" spans="19:22" x14ac:dyDescent="0.45">
      <c r="S4776" t="s">
        <v>710</v>
      </c>
      <c r="T4776" t="s">
        <v>167</v>
      </c>
      <c r="U4776">
        <v>4.7147848311500061E-2</v>
      </c>
      <c r="V4776" t="s">
        <v>157</v>
      </c>
    </row>
    <row r="4777" spans="19:22" x14ac:dyDescent="0.45">
      <c r="S4777" t="s">
        <v>710</v>
      </c>
      <c r="T4777" t="s">
        <v>168</v>
      </c>
      <c r="U4777">
        <v>6.2474083856909286E-2</v>
      </c>
      <c r="V4777" t="s">
        <v>157</v>
      </c>
    </row>
    <row r="4778" spans="19:22" x14ac:dyDescent="0.45">
      <c r="S4778" t="s">
        <v>710</v>
      </c>
      <c r="T4778" t="s">
        <v>169</v>
      </c>
      <c r="U4778">
        <v>6.1742986688963393E-3</v>
      </c>
      <c r="V4778" t="s">
        <v>157</v>
      </c>
    </row>
    <row r="4779" spans="19:22" x14ac:dyDescent="0.45">
      <c r="S4779" t="s">
        <v>710</v>
      </c>
      <c r="T4779" t="s">
        <v>170</v>
      </c>
      <c r="U4779">
        <v>6.1893083300433279E-3</v>
      </c>
      <c r="V4779" t="s">
        <v>157</v>
      </c>
    </row>
    <row r="4780" spans="19:22" x14ac:dyDescent="0.45">
      <c r="S4780" t="s">
        <v>710</v>
      </c>
      <c r="T4780" t="s">
        <v>171</v>
      </c>
      <c r="U4780">
        <v>3.1544661554563362E-2</v>
      </c>
      <c r="V4780" t="s">
        <v>157</v>
      </c>
    </row>
    <row r="4781" spans="19:22" x14ac:dyDescent="0.45">
      <c r="S4781" t="s">
        <v>711</v>
      </c>
      <c r="T4781" t="s">
        <v>156</v>
      </c>
      <c r="U4781">
        <v>0.12616083277728868</v>
      </c>
      <c r="V4781" t="s">
        <v>157</v>
      </c>
    </row>
    <row r="4782" spans="19:22" x14ac:dyDescent="0.45">
      <c r="S4782" t="s">
        <v>711</v>
      </c>
      <c r="T4782" t="s">
        <v>158</v>
      </c>
      <c r="U4782">
        <v>0.17821100412387991</v>
      </c>
      <c r="V4782" t="s">
        <v>157</v>
      </c>
    </row>
    <row r="4783" spans="19:22" x14ac:dyDescent="0.45">
      <c r="S4783" t="s">
        <v>711</v>
      </c>
      <c r="T4783" t="s">
        <v>159</v>
      </c>
      <c r="U4783">
        <v>2.0967663268055086E-2</v>
      </c>
      <c r="V4783" t="s">
        <v>157</v>
      </c>
    </row>
    <row r="4784" spans="19:22" x14ac:dyDescent="0.45">
      <c r="S4784" t="s">
        <v>711</v>
      </c>
      <c r="T4784" t="s">
        <v>160</v>
      </c>
      <c r="U4784">
        <v>2.08048510512715E-2</v>
      </c>
      <c r="V4784" t="s">
        <v>157</v>
      </c>
    </row>
    <row r="4785" spans="19:22" x14ac:dyDescent="0.45">
      <c r="S4785" t="s">
        <v>711</v>
      </c>
      <c r="T4785" t="s">
        <v>161</v>
      </c>
      <c r="U4785">
        <v>9.9365435095131585E-2</v>
      </c>
      <c r="V4785" t="s">
        <v>157</v>
      </c>
    </row>
    <row r="4786" spans="19:22" x14ac:dyDescent="0.45">
      <c r="S4786" t="s">
        <v>711</v>
      </c>
      <c r="T4786" t="s">
        <v>162</v>
      </c>
      <c r="U4786">
        <v>0.10466413469891699</v>
      </c>
      <c r="V4786" t="s">
        <v>157</v>
      </c>
    </row>
    <row r="4787" spans="19:22" x14ac:dyDescent="0.45">
      <c r="S4787" t="s">
        <v>711</v>
      </c>
      <c r="T4787" t="s">
        <v>163</v>
      </c>
      <c r="U4787">
        <v>0.189205157125933</v>
      </c>
      <c r="V4787" t="s">
        <v>157</v>
      </c>
    </row>
    <row r="4788" spans="19:22" x14ac:dyDescent="0.45">
      <c r="S4788" t="s">
        <v>711</v>
      </c>
      <c r="T4788" t="s">
        <v>164</v>
      </c>
      <c r="U4788">
        <v>1.8758724480682137E-2</v>
      </c>
      <c r="V4788" t="s">
        <v>157</v>
      </c>
    </row>
    <row r="4789" spans="19:22" x14ac:dyDescent="0.45">
      <c r="S4789" t="s">
        <v>711</v>
      </c>
      <c r="T4789" t="s">
        <v>165</v>
      </c>
      <c r="U4789">
        <v>1.7911449471653199E-2</v>
      </c>
      <c r="V4789" t="s">
        <v>157</v>
      </c>
    </row>
    <row r="4790" spans="19:22" x14ac:dyDescent="0.45">
      <c r="S4790" t="s">
        <v>711</v>
      </c>
      <c r="T4790" t="s">
        <v>166</v>
      </c>
      <c r="U4790">
        <v>8.3597625866674255E-2</v>
      </c>
      <c r="V4790" t="s">
        <v>157</v>
      </c>
    </row>
    <row r="4791" spans="19:22" x14ac:dyDescent="0.45">
      <c r="S4791" t="s">
        <v>711</v>
      </c>
      <c r="T4791" t="s">
        <v>167</v>
      </c>
      <c r="U4791">
        <v>3.6216068622615026E-2</v>
      </c>
      <c r="V4791" t="s">
        <v>157</v>
      </c>
    </row>
    <row r="4792" spans="19:22" x14ac:dyDescent="0.45">
      <c r="S4792" t="s">
        <v>711</v>
      </c>
      <c r="T4792" t="s">
        <v>168</v>
      </c>
      <c r="U4792">
        <v>6.0448101742283315E-2</v>
      </c>
      <c r="V4792" t="s">
        <v>157</v>
      </c>
    </row>
    <row r="4793" spans="19:22" x14ac:dyDescent="0.45">
      <c r="S4793" t="s">
        <v>711</v>
      </c>
      <c r="T4793" t="s">
        <v>169</v>
      </c>
      <c r="U4793">
        <v>7.1445760001568829E-3</v>
      </c>
      <c r="V4793" t="s">
        <v>157</v>
      </c>
    </row>
    <row r="4794" spans="19:22" x14ac:dyDescent="0.45">
      <c r="S4794" t="s">
        <v>711</v>
      </c>
      <c r="T4794" t="s">
        <v>170</v>
      </c>
      <c r="U4794">
        <v>6.4794337524026694E-3</v>
      </c>
      <c r="V4794" t="s">
        <v>157</v>
      </c>
    </row>
    <row r="4795" spans="19:22" x14ac:dyDescent="0.45">
      <c r="S4795" t="s">
        <v>711</v>
      </c>
      <c r="T4795" t="s">
        <v>171</v>
      </c>
      <c r="U4795">
        <v>3.0064941923055796E-2</v>
      </c>
      <c r="V4795" t="s">
        <v>157</v>
      </c>
    </row>
    <row r="4796" spans="19:22" x14ac:dyDescent="0.45">
      <c r="S4796" t="s">
        <v>712</v>
      </c>
      <c r="T4796" t="s">
        <v>156</v>
      </c>
      <c r="U4796">
        <v>0.1236864738047459</v>
      </c>
      <c r="V4796" t="s">
        <v>157</v>
      </c>
    </row>
    <row r="4797" spans="19:22" x14ac:dyDescent="0.45">
      <c r="S4797" t="s">
        <v>712</v>
      </c>
      <c r="T4797" t="s">
        <v>158</v>
      </c>
      <c r="U4797">
        <v>0.15873435711307593</v>
      </c>
      <c r="V4797" t="s">
        <v>157</v>
      </c>
    </row>
    <row r="4798" spans="19:22" x14ac:dyDescent="0.45">
      <c r="S4798" t="s">
        <v>712</v>
      </c>
      <c r="T4798" t="s">
        <v>159</v>
      </c>
      <c r="U4798">
        <v>1.9990170955747222E-2</v>
      </c>
      <c r="V4798" t="s">
        <v>157</v>
      </c>
    </row>
    <row r="4799" spans="19:22" x14ac:dyDescent="0.45">
      <c r="S4799" t="s">
        <v>712</v>
      </c>
      <c r="T4799" t="s">
        <v>160</v>
      </c>
      <c r="U4799">
        <v>2.0792106286167209E-2</v>
      </c>
      <c r="V4799" t="s">
        <v>157</v>
      </c>
    </row>
    <row r="4800" spans="19:22" x14ac:dyDescent="0.45">
      <c r="S4800" t="s">
        <v>712</v>
      </c>
      <c r="T4800" t="s">
        <v>161</v>
      </c>
      <c r="U4800">
        <v>0.10399939882035242</v>
      </c>
      <c r="V4800" t="s">
        <v>157</v>
      </c>
    </row>
    <row r="4801" spans="19:22" x14ac:dyDescent="0.45">
      <c r="S4801" t="s">
        <v>712</v>
      </c>
      <c r="T4801" t="s">
        <v>162</v>
      </c>
      <c r="U4801">
        <v>0.11749240442633124</v>
      </c>
      <c r="V4801" t="s">
        <v>157</v>
      </c>
    </row>
    <row r="4802" spans="19:22" x14ac:dyDescent="0.45">
      <c r="S4802" t="s">
        <v>712</v>
      </c>
      <c r="T4802" t="s">
        <v>163</v>
      </c>
      <c r="U4802">
        <v>0.1686573082908171</v>
      </c>
      <c r="V4802" t="s">
        <v>157</v>
      </c>
    </row>
    <row r="4803" spans="19:22" x14ac:dyDescent="0.45">
      <c r="S4803" t="s">
        <v>712</v>
      </c>
      <c r="T4803" t="s">
        <v>164</v>
      </c>
      <c r="U4803">
        <v>1.9491563339718899E-2</v>
      </c>
      <c r="V4803" t="s">
        <v>157</v>
      </c>
    </row>
    <row r="4804" spans="19:22" x14ac:dyDescent="0.45">
      <c r="S4804" t="s">
        <v>712</v>
      </c>
      <c r="T4804" t="s">
        <v>165</v>
      </c>
      <c r="U4804">
        <v>1.9395255336087321E-2</v>
      </c>
      <c r="V4804" t="s">
        <v>157</v>
      </c>
    </row>
    <row r="4805" spans="19:22" x14ac:dyDescent="0.45">
      <c r="S4805" t="s">
        <v>712</v>
      </c>
      <c r="T4805" t="s">
        <v>166</v>
      </c>
      <c r="U4805">
        <v>9.1392969396704188E-2</v>
      </c>
      <c r="V4805" t="s">
        <v>157</v>
      </c>
    </row>
    <row r="4806" spans="19:22" x14ac:dyDescent="0.45">
      <c r="S4806" t="s">
        <v>712</v>
      </c>
      <c r="T4806" t="s">
        <v>167</v>
      </c>
      <c r="U4806">
        <v>4.2966305376010712E-2</v>
      </c>
      <c r="V4806" t="s">
        <v>157</v>
      </c>
    </row>
    <row r="4807" spans="19:22" x14ac:dyDescent="0.45">
      <c r="S4807" t="s">
        <v>712</v>
      </c>
      <c r="T4807" t="s">
        <v>168</v>
      </c>
      <c r="U4807">
        <v>5.961713077462949E-2</v>
      </c>
      <c r="V4807" t="s">
        <v>157</v>
      </c>
    </row>
    <row r="4808" spans="19:22" x14ac:dyDescent="0.45">
      <c r="S4808" t="s">
        <v>712</v>
      </c>
      <c r="T4808" t="s">
        <v>169</v>
      </c>
      <c r="U4808">
        <v>8.0414969794998774E-3</v>
      </c>
      <c r="V4808" t="s">
        <v>157</v>
      </c>
    </row>
    <row r="4809" spans="19:22" x14ac:dyDescent="0.45">
      <c r="S4809" t="s">
        <v>712</v>
      </c>
      <c r="T4809" t="s">
        <v>170</v>
      </c>
      <c r="U4809">
        <v>7.9031223054842805E-3</v>
      </c>
      <c r="V4809" t="s">
        <v>157</v>
      </c>
    </row>
    <row r="4810" spans="19:22" x14ac:dyDescent="0.45">
      <c r="S4810" t="s">
        <v>712</v>
      </c>
      <c r="T4810" t="s">
        <v>171</v>
      </c>
      <c r="U4810">
        <v>3.7839936794628264E-2</v>
      </c>
      <c r="V4810" t="s">
        <v>157</v>
      </c>
    </row>
    <row r="4811" spans="19:22" x14ac:dyDescent="0.45">
      <c r="S4811" t="s">
        <v>713</v>
      </c>
      <c r="T4811" t="s">
        <v>156</v>
      </c>
      <c r="U4811">
        <v>0.13849564521286228</v>
      </c>
      <c r="V4811" t="s">
        <v>157</v>
      </c>
    </row>
    <row r="4812" spans="19:22" x14ac:dyDescent="0.45">
      <c r="S4812" t="s">
        <v>713</v>
      </c>
      <c r="T4812" t="s">
        <v>158</v>
      </c>
      <c r="U4812">
        <v>0.16781476849402574</v>
      </c>
      <c r="V4812" t="s">
        <v>157</v>
      </c>
    </row>
    <row r="4813" spans="19:22" x14ac:dyDescent="0.45">
      <c r="S4813" t="s">
        <v>713</v>
      </c>
      <c r="T4813" t="s">
        <v>159</v>
      </c>
      <c r="U4813">
        <v>1.9648275156171589E-2</v>
      </c>
      <c r="V4813" t="s">
        <v>157</v>
      </c>
    </row>
    <row r="4814" spans="19:22" x14ac:dyDescent="0.45">
      <c r="S4814" t="s">
        <v>713</v>
      </c>
      <c r="T4814" t="s">
        <v>160</v>
      </c>
      <c r="U4814">
        <v>2.0611559341303515E-2</v>
      </c>
      <c r="V4814" t="s">
        <v>157</v>
      </c>
    </row>
    <row r="4815" spans="19:22" x14ac:dyDescent="0.45">
      <c r="S4815" t="s">
        <v>713</v>
      </c>
      <c r="T4815" t="s">
        <v>161</v>
      </c>
      <c r="U4815">
        <v>0.10765691022171021</v>
      </c>
      <c r="V4815" t="s">
        <v>157</v>
      </c>
    </row>
    <row r="4816" spans="19:22" x14ac:dyDescent="0.45">
      <c r="S4816" t="s">
        <v>713</v>
      </c>
      <c r="T4816" t="s">
        <v>162</v>
      </c>
      <c r="U4816">
        <v>0.1160236970323269</v>
      </c>
      <c r="V4816" t="s">
        <v>157</v>
      </c>
    </row>
    <row r="4817" spans="19:22" x14ac:dyDescent="0.45">
      <c r="S4817" t="s">
        <v>713</v>
      </c>
      <c r="T4817" t="s">
        <v>163</v>
      </c>
      <c r="U4817">
        <v>0.16369608758976953</v>
      </c>
      <c r="V4817" t="s">
        <v>157</v>
      </c>
    </row>
    <row r="4818" spans="19:22" x14ac:dyDescent="0.45">
      <c r="S4818" t="s">
        <v>713</v>
      </c>
      <c r="T4818" t="s">
        <v>164</v>
      </c>
      <c r="U4818">
        <v>1.7659441086424855E-2</v>
      </c>
      <c r="V4818" t="s">
        <v>157</v>
      </c>
    </row>
    <row r="4819" spans="19:22" x14ac:dyDescent="0.45">
      <c r="S4819" t="s">
        <v>713</v>
      </c>
      <c r="T4819" t="s">
        <v>165</v>
      </c>
      <c r="U4819">
        <v>1.7653491686667053E-2</v>
      </c>
      <c r="V4819" t="s">
        <v>157</v>
      </c>
    </row>
    <row r="4820" spans="19:22" x14ac:dyDescent="0.45">
      <c r="S4820" t="s">
        <v>713</v>
      </c>
      <c r="T4820" t="s">
        <v>166</v>
      </c>
      <c r="U4820">
        <v>8.6522598888785024E-2</v>
      </c>
      <c r="V4820" t="s">
        <v>157</v>
      </c>
    </row>
    <row r="4821" spans="19:22" x14ac:dyDescent="0.45">
      <c r="S4821" t="s">
        <v>713</v>
      </c>
      <c r="T4821" t="s">
        <v>167</v>
      </c>
      <c r="U4821">
        <v>4.3697177344614195E-2</v>
      </c>
      <c r="V4821" t="s">
        <v>157</v>
      </c>
    </row>
    <row r="4822" spans="19:22" x14ac:dyDescent="0.45">
      <c r="S4822" t="s">
        <v>713</v>
      </c>
      <c r="T4822" t="s">
        <v>168</v>
      </c>
      <c r="U4822">
        <v>5.3510343861221499E-2</v>
      </c>
      <c r="V4822" t="s">
        <v>157</v>
      </c>
    </row>
    <row r="4823" spans="19:22" x14ac:dyDescent="0.45">
      <c r="S4823" t="s">
        <v>713</v>
      </c>
      <c r="T4823" t="s">
        <v>169</v>
      </c>
      <c r="U4823">
        <v>6.1513384830801784E-3</v>
      </c>
      <c r="V4823" t="s">
        <v>157</v>
      </c>
    </row>
    <row r="4824" spans="19:22" x14ac:dyDescent="0.45">
      <c r="S4824" t="s">
        <v>713</v>
      </c>
      <c r="T4824" t="s">
        <v>170</v>
      </c>
      <c r="U4824">
        <v>6.4185698986775012E-3</v>
      </c>
      <c r="V4824" t="s">
        <v>157</v>
      </c>
    </row>
    <row r="4825" spans="19:22" x14ac:dyDescent="0.45">
      <c r="S4825" t="s">
        <v>713</v>
      </c>
      <c r="T4825" t="s">
        <v>171</v>
      </c>
      <c r="U4825">
        <v>3.4440095702359924E-2</v>
      </c>
      <c r="V4825" t="s">
        <v>157</v>
      </c>
    </row>
    <row r="4826" spans="19:22" x14ac:dyDescent="0.45">
      <c r="S4826" t="s">
        <v>714</v>
      </c>
      <c r="T4826" t="s">
        <v>156</v>
      </c>
      <c r="U4826">
        <v>0.14405460239401693</v>
      </c>
      <c r="V4826" t="s">
        <v>157</v>
      </c>
    </row>
    <row r="4827" spans="19:22" x14ac:dyDescent="0.45">
      <c r="S4827" t="s">
        <v>714</v>
      </c>
      <c r="T4827" t="s">
        <v>158</v>
      </c>
      <c r="U4827">
        <v>0.18487591363707698</v>
      </c>
      <c r="V4827" t="s">
        <v>157</v>
      </c>
    </row>
    <row r="4828" spans="19:22" x14ac:dyDescent="0.45">
      <c r="S4828" t="s">
        <v>714</v>
      </c>
      <c r="T4828" t="s">
        <v>159</v>
      </c>
      <c r="U4828">
        <v>1.9817990795944696E-2</v>
      </c>
      <c r="V4828" t="s">
        <v>157</v>
      </c>
    </row>
    <row r="4829" spans="19:22" x14ac:dyDescent="0.45">
      <c r="S4829" t="s">
        <v>714</v>
      </c>
      <c r="T4829" t="s">
        <v>160</v>
      </c>
      <c r="U4829">
        <v>2.0593793181431341E-2</v>
      </c>
      <c r="V4829" t="s">
        <v>157</v>
      </c>
    </row>
    <row r="4830" spans="19:22" x14ac:dyDescent="0.45">
      <c r="S4830" t="s">
        <v>714</v>
      </c>
      <c r="T4830" t="s">
        <v>161</v>
      </c>
      <c r="U4830">
        <v>0.10829795708504754</v>
      </c>
      <c r="V4830" t="s">
        <v>157</v>
      </c>
    </row>
    <row r="4831" spans="19:22" x14ac:dyDescent="0.45">
      <c r="S4831" t="s">
        <v>714</v>
      </c>
      <c r="T4831" t="s">
        <v>162</v>
      </c>
      <c r="U4831">
        <v>0.11301489271467023</v>
      </c>
      <c r="V4831" t="s">
        <v>157</v>
      </c>
    </row>
    <row r="4832" spans="19:22" x14ac:dyDescent="0.45">
      <c r="S4832" t="s">
        <v>714</v>
      </c>
      <c r="T4832" t="s">
        <v>163</v>
      </c>
      <c r="U4832">
        <v>0.15875984541308846</v>
      </c>
      <c r="V4832" t="s">
        <v>157</v>
      </c>
    </row>
    <row r="4833" spans="19:22" x14ac:dyDescent="0.45">
      <c r="S4833" t="s">
        <v>714</v>
      </c>
      <c r="T4833" t="s">
        <v>164</v>
      </c>
      <c r="U4833">
        <v>1.6426508895172918E-2</v>
      </c>
      <c r="V4833" t="s">
        <v>157</v>
      </c>
    </row>
    <row r="4834" spans="19:22" x14ac:dyDescent="0.45">
      <c r="S4834" t="s">
        <v>714</v>
      </c>
      <c r="T4834" t="s">
        <v>165</v>
      </c>
      <c r="U4834">
        <v>1.663732403735721E-2</v>
      </c>
      <c r="V4834" t="s">
        <v>157</v>
      </c>
    </row>
    <row r="4835" spans="19:22" x14ac:dyDescent="0.45">
      <c r="S4835" t="s">
        <v>714</v>
      </c>
      <c r="T4835" t="s">
        <v>166</v>
      </c>
      <c r="U4835">
        <v>8.2994949108944296E-2</v>
      </c>
      <c r="V4835" t="s">
        <v>157</v>
      </c>
    </row>
    <row r="4836" spans="19:22" x14ac:dyDescent="0.45">
      <c r="S4836" t="s">
        <v>714</v>
      </c>
      <c r="T4836" t="s">
        <v>167</v>
      </c>
      <c r="U4836">
        <v>4.2289553973081935E-2</v>
      </c>
      <c r="V4836" t="s">
        <v>157</v>
      </c>
    </row>
    <row r="4837" spans="19:22" x14ac:dyDescent="0.45">
      <c r="S4837" t="s">
        <v>714</v>
      </c>
      <c r="T4837" t="s">
        <v>168</v>
      </c>
      <c r="U4837">
        <v>5.037542623968369E-2</v>
      </c>
      <c r="V4837" t="s">
        <v>157</v>
      </c>
    </row>
    <row r="4838" spans="19:22" x14ac:dyDescent="0.45">
      <c r="S4838" t="s">
        <v>714</v>
      </c>
      <c r="T4838" t="s">
        <v>169</v>
      </c>
      <c r="U4838">
        <v>5.2573780653680929E-3</v>
      </c>
      <c r="V4838" t="s">
        <v>157</v>
      </c>
    </row>
    <row r="4839" spans="19:22" x14ac:dyDescent="0.45">
      <c r="S4839" t="s">
        <v>714</v>
      </c>
      <c r="T4839" t="s">
        <v>170</v>
      </c>
      <c r="U4839">
        <v>5.5666664698108383E-3</v>
      </c>
      <c r="V4839" t="s">
        <v>157</v>
      </c>
    </row>
    <row r="4840" spans="19:22" x14ac:dyDescent="0.45">
      <c r="S4840" t="s">
        <v>714</v>
      </c>
      <c r="T4840" t="s">
        <v>171</v>
      </c>
      <c r="U4840">
        <v>3.1037197989304863E-2</v>
      </c>
      <c r="V4840" t="s">
        <v>157</v>
      </c>
    </row>
    <row r="4841" spans="19:22" x14ac:dyDescent="0.45">
      <c r="S4841" t="s">
        <v>715</v>
      </c>
      <c r="T4841" t="s">
        <v>156</v>
      </c>
      <c r="U4841">
        <v>0.14599051209433267</v>
      </c>
      <c r="V4841" t="s">
        <v>157</v>
      </c>
    </row>
    <row r="4842" spans="19:22" x14ac:dyDescent="0.45">
      <c r="S4842" t="s">
        <v>715</v>
      </c>
      <c r="T4842" t="s">
        <v>158</v>
      </c>
      <c r="U4842">
        <v>0.19784701147387515</v>
      </c>
      <c r="V4842" t="s">
        <v>157</v>
      </c>
    </row>
    <row r="4843" spans="19:22" x14ac:dyDescent="0.45">
      <c r="S4843" t="s">
        <v>715</v>
      </c>
      <c r="T4843" t="s">
        <v>159</v>
      </c>
      <c r="U4843">
        <v>2.0594166317262189E-2</v>
      </c>
      <c r="V4843" t="s">
        <v>157</v>
      </c>
    </row>
    <row r="4844" spans="19:22" x14ac:dyDescent="0.45">
      <c r="S4844" t="s">
        <v>715</v>
      </c>
      <c r="T4844" t="s">
        <v>160</v>
      </c>
      <c r="U4844">
        <v>2.0908097449867311E-2</v>
      </c>
      <c r="V4844" t="s">
        <v>157</v>
      </c>
    </row>
    <row r="4845" spans="19:22" x14ac:dyDescent="0.45">
      <c r="S4845" t="s">
        <v>715</v>
      </c>
      <c r="T4845" t="s">
        <v>161</v>
      </c>
      <c r="U4845">
        <v>0.10809014587409486</v>
      </c>
      <c r="V4845" t="s">
        <v>157</v>
      </c>
    </row>
    <row r="4846" spans="19:22" x14ac:dyDescent="0.45">
      <c r="S4846" t="s">
        <v>715</v>
      </c>
      <c r="T4846" t="s">
        <v>162</v>
      </c>
      <c r="U4846">
        <v>0.11130886477629175</v>
      </c>
      <c r="V4846" t="s">
        <v>157</v>
      </c>
    </row>
    <row r="4847" spans="19:22" x14ac:dyDescent="0.45">
      <c r="S4847" t="s">
        <v>715</v>
      </c>
      <c r="T4847" t="s">
        <v>163</v>
      </c>
      <c r="U4847">
        <v>0.15485538431023638</v>
      </c>
      <c r="V4847" t="s">
        <v>157</v>
      </c>
    </row>
    <row r="4848" spans="19:22" x14ac:dyDescent="0.45">
      <c r="S4848" t="s">
        <v>715</v>
      </c>
      <c r="T4848" t="s">
        <v>164</v>
      </c>
      <c r="U4848">
        <v>1.582336494813489E-2</v>
      </c>
      <c r="V4848" t="s">
        <v>157</v>
      </c>
    </row>
    <row r="4849" spans="19:22" x14ac:dyDescent="0.45">
      <c r="S4849" t="s">
        <v>715</v>
      </c>
      <c r="T4849" t="s">
        <v>165</v>
      </c>
      <c r="U4849">
        <v>1.5874622542628277E-2</v>
      </c>
      <c r="V4849" t="s">
        <v>157</v>
      </c>
    </row>
    <row r="4850" spans="19:22" x14ac:dyDescent="0.45">
      <c r="S4850" t="s">
        <v>715</v>
      </c>
      <c r="T4850" t="s">
        <v>166</v>
      </c>
      <c r="U4850">
        <v>7.9631742761265278E-2</v>
      </c>
      <c r="V4850" t="s">
        <v>157</v>
      </c>
    </row>
    <row r="4851" spans="19:22" x14ac:dyDescent="0.45">
      <c r="S4851" t="s">
        <v>715</v>
      </c>
      <c r="T4851" t="s">
        <v>167</v>
      </c>
      <c r="U4851">
        <v>4.0940511982565028E-2</v>
      </c>
      <c r="V4851" t="s">
        <v>157</v>
      </c>
    </row>
    <row r="4852" spans="19:22" x14ac:dyDescent="0.45">
      <c r="S4852" t="s">
        <v>715</v>
      </c>
      <c r="T4852" t="s">
        <v>168</v>
      </c>
      <c r="U4852">
        <v>4.960603559692757E-2</v>
      </c>
      <c r="V4852" t="s">
        <v>157</v>
      </c>
    </row>
    <row r="4853" spans="19:22" x14ac:dyDescent="0.45">
      <c r="S4853" t="s">
        <v>715</v>
      </c>
      <c r="T4853" t="s">
        <v>169</v>
      </c>
      <c r="U4853">
        <v>4.8147784712398774E-3</v>
      </c>
      <c r="V4853" t="s">
        <v>157</v>
      </c>
    </row>
    <row r="4854" spans="19:22" x14ac:dyDescent="0.45">
      <c r="S4854" t="s">
        <v>715</v>
      </c>
      <c r="T4854" t="s">
        <v>170</v>
      </c>
      <c r="U4854">
        <v>5.0278573651451981E-3</v>
      </c>
      <c r="V4854" t="s">
        <v>157</v>
      </c>
    </row>
    <row r="4855" spans="19:22" x14ac:dyDescent="0.45">
      <c r="S4855" t="s">
        <v>715</v>
      </c>
      <c r="T4855" t="s">
        <v>171</v>
      </c>
      <c r="U4855">
        <v>2.8686904036133644E-2</v>
      </c>
      <c r="V4855" t="s">
        <v>157</v>
      </c>
    </row>
    <row r="4856" spans="19:22" x14ac:dyDescent="0.45">
      <c r="S4856" t="s">
        <v>716</v>
      </c>
      <c r="T4856" t="s">
        <v>156</v>
      </c>
      <c r="U4856">
        <v>0.14162194194366273</v>
      </c>
      <c r="V4856" t="s">
        <v>157</v>
      </c>
    </row>
    <row r="4857" spans="19:22" x14ac:dyDescent="0.45">
      <c r="S4857" t="s">
        <v>716</v>
      </c>
      <c r="T4857" t="s">
        <v>158</v>
      </c>
      <c r="U4857">
        <v>0.20524298073470409</v>
      </c>
      <c r="V4857" t="s">
        <v>157</v>
      </c>
    </row>
    <row r="4858" spans="19:22" x14ac:dyDescent="0.45">
      <c r="S4858" t="s">
        <v>716</v>
      </c>
      <c r="T4858" t="s">
        <v>159</v>
      </c>
      <c r="U4858">
        <v>2.1009159517199113E-2</v>
      </c>
      <c r="V4858" t="s">
        <v>157</v>
      </c>
    </row>
    <row r="4859" spans="19:22" x14ac:dyDescent="0.45">
      <c r="S4859" t="s">
        <v>716</v>
      </c>
      <c r="T4859" t="s">
        <v>160</v>
      </c>
      <c r="U4859">
        <v>2.0829780763787407E-2</v>
      </c>
      <c r="V4859" t="s">
        <v>157</v>
      </c>
    </row>
    <row r="4860" spans="19:22" x14ac:dyDescent="0.45">
      <c r="S4860" t="s">
        <v>716</v>
      </c>
      <c r="T4860" t="s">
        <v>161</v>
      </c>
      <c r="U4860">
        <v>0.10132387969625083</v>
      </c>
      <c r="V4860" t="s">
        <v>157</v>
      </c>
    </row>
    <row r="4861" spans="19:22" x14ac:dyDescent="0.45">
      <c r="S4861" t="s">
        <v>716</v>
      </c>
      <c r="T4861" t="s">
        <v>162</v>
      </c>
      <c r="U4861">
        <v>0.10670493472496224</v>
      </c>
      <c r="V4861" t="s">
        <v>157</v>
      </c>
    </row>
    <row r="4862" spans="19:22" x14ac:dyDescent="0.45">
      <c r="S4862" t="s">
        <v>716</v>
      </c>
      <c r="T4862" t="s">
        <v>163</v>
      </c>
      <c r="U4862">
        <v>0.14804722543852961</v>
      </c>
      <c r="V4862" t="s">
        <v>157</v>
      </c>
    </row>
    <row r="4863" spans="19:22" x14ac:dyDescent="0.45">
      <c r="S4863" t="s">
        <v>716</v>
      </c>
      <c r="T4863" t="s">
        <v>164</v>
      </c>
      <c r="U4863">
        <v>1.4552671445207476E-2</v>
      </c>
      <c r="V4863" t="s">
        <v>157</v>
      </c>
    </row>
    <row r="4864" spans="19:22" x14ac:dyDescent="0.45">
      <c r="S4864" t="s">
        <v>716</v>
      </c>
      <c r="T4864" t="s">
        <v>165</v>
      </c>
      <c r="U4864">
        <v>1.4234786151190148E-2</v>
      </c>
      <c r="V4864" t="s">
        <v>157</v>
      </c>
    </row>
    <row r="4865" spans="19:22" x14ac:dyDescent="0.45">
      <c r="S4865" t="s">
        <v>716</v>
      </c>
      <c r="T4865" t="s">
        <v>166</v>
      </c>
      <c r="U4865">
        <v>7.2355761020539908E-2</v>
      </c>
      <c r="V4865" t="s">
        <v>157</v>
      </c>
    </row>
    <row r="4866" spans="19:22" x14ac:dyDescent="0.45">
      <c r="S4866" t="s">
        <v>716</v>
      </c>
      <c r="T4866" t="s">
        <v>167</v>
      </c>
      <c r="U4866">
        <v>4.724875002033635E-2</v>
      </c>
      <c r="V4866" t="s">
        <v>157</v>
      </c>
    </row>
    <row r="4867" spans="19:22" x14ac:dyDescent="0.45">
      <c r="S4867" t="s">
        <v>716</v>
      </c>
      <c r="T4867" t="s">
        <v>168</v>
      </c>
      <c r="U4867">
        <v>6.2759702109253759E-2</v>
      </c>
      <c r="V4867" t="s">
        <v>157</v>
      </c>
    </row>
    <row r="4868" spans="19:22" x14ac:dyDescent="0.45">
      <c r="S4868" t="s">
        <v>716</v>
      </c>
      <c r="T4868" t="s">
        <v>169</v>
      </c>
      <c r="U4868">
        <v>6.2122372527980323E-3</v>
      </c>
      <c r="V4868" t="s">
        <v>157</v>
      </c>
    </row>
    <row r="4869" spans="19:22" x14ac:dyDescent="0.45">
      <c r="S4869" t="s">
        <v>716</v>
      </c>
      <c r="T4869" t="s">
        <v>170</v>
      </c>
      <c r="U4869">
        <v>6.2110350600323916E-3</v>
      </c>
      <c r="V4869" t="s">
        <v>157</v>
      </c>
    </row>
    <row r="4870" spans="19:22" x14ac:dyDescent="0.45">
      <c r="S4870" t="s">
        <v>716</v>
      </c>
      <c r="T4870" t="s">
        <v>171</v>
      </c>
      <c r="U4870">
        <v>3.1645154121545838E-2</v>
      </c>
      <c r="V4870" t="s">
        <v>157</v>
      </c>
    </row>
    <row r="4871" spans="19:22" x14ac:dyDescent="0.45">
      <c r="S4871" t="s">
        <v>717</v>
      </c>
      <c r="T4871" t="s">
        <v>156</v>
      </c>
      <c r="U4871">
        <v>0.15085460003190798</v>
      </c>
      <c r="V4871" t="s">
        <v>157</v>
      </c>
    </row>
    <row r="4872" spans="19:22" x14ac:dyDescent="0.45">
      <c r="S4872" t="s">
        <v>717</v>
      </c>
      <c r="T4872" t="s">
        <v>158</v>
      </c>
      <c r="U4872">
        <v>0.21172605558305366</v>
      </c>
      <c r="V4872" t="s">
        <v>157</v>
      </c>
    </row>
    <row r="4873" spans="19:22" x14ac:dyDescent="0.45">
      <c r="S4873" t="s">
        <v>717</v>
      </c>
      <c r="T4873" t="s">
        <v>159</v>
      </c>
      <c r="U4873">
        <v>2.0521733190255204E-2</v>
      </c>
      <c r="V4873" t="s">
        <v>157</v>
      </c>
    </row>
    <row r="4874" spans="19:22" x14ac:dyDescent="0.45">
      <c r="S4874" t="s">
        <v>717</v>
      </c>
      <c r="T4874" t="s">
        <v>160</v>
      </c>
      <c r="U4874">
        <v>2.0266525039255162E-2</v>
      </c>
      <c r="V4874" t="s">
        <v>157</v>
      </c>
    </row>
    <row r="4875" spans="19:22" x14ac:dyDescent="0.45">
      <c r="S4875" t="s">
        <v>717</v>
      </c>
      <c r="T4875" t="s">
        <v>161</v>
      </c>
      <c r="U4875">
        <v>0.10185733313415046</v>
      </c>
      <c r="V4875" t="s">
        <v>157</v>
      </c>
    </row>
    <row r="4876" spans="19:22" x14ac:dyDescent="0.45">
      <c r="S4876" t="s">
        <v>717</v>
      </c>
      <c r="T4876" t="s">
        <v>162</v>
      </c>
      <c r="U4876">
        <v>0.10005261620355478</v>
      </c>
      <c r="V4876" t="s">
        <v>157</v>
      </c>
    </row>
    <row r="4877" spans="19:22" x14ac:dyDescent="0.45">
      <c r="S4877" t="s">
        <v>717</v>
      </c>
      <c r="T4877" t="s">
        <v>163</v>
      </c>
      <c r="U4877">
        <v>0.1451930273985963</v>
      </c>
      <c r="V4877" t="s">
        <v>157</v>
      </c>
    </row>
    <row r="4878" spans="19:22" x14ac:dyDescent="0.45">
      <c r="S4878" t="s">
        <v>717</v>
      </c>
      <c r="T4878" t="s">
        <v>164</v>
      </c>
      <c r="U4878">
        <v>1.4716037382919194E-2</v>
      </c>
      <c r="V4878" t="s">
        <v>157</v>
      </c>
    </row>
    <row r="4879" spans="19:22" x14ac:dyDescent="0.45">
      <c r="S4879" t="s">
        <v>717</v>
      </c>
      <c r="T4879" t="s">
        <v>165</v>
      </c>
      <c r="U4879">
        <v>1.433662268776492E-2</v>
      </c>
      <c r="V4879" t="s">
        <v>157</v>
      </c>
    </row>
    <row r="4880" spans="19:22" x14ac:dyDescent="0.45">
      <c r="S4880" t="s">
        <v>717</v>
      </c>
      <c r="T4880" t="s">
        <v>166</v>
      </c>
      <c r="U4880">
        <v>7.0602775436092668E-2</v>
      </c>
      <c r="V4880" t="s">
        <v>157</v>
      </c>
    </row>
    <row r="4881" spans="19:22" x14ac:dyDescent="0.45">
      <c r="S4881" t="s">
        <v>717</v>
      </c>
      <c r="T4881" t="s">
        <v>167</v>
      </c>
      <c r="U4881">
        <v>4.4895891136125132E-2</v>
      </c>
      <c r="V4881" t="s">
        <v>157</v>
      </c>
    </row>
    <row r="4882" spans="19:22" x14ac:dyDescent="0.45">
      <c r="S4882" t="s">
        <v>717</v>
      </c>
      <c r="T4882" t="s">
        <v>168</v>
      </c>
      <c r="U4882">
        <v>6.1576717257641224E-2</v>
      </c>
      <c r="V4882" t="s">
        <v>157</v>
      </c>
    </row>
    <row r="4883" spans="19:22" x14ac:dyDescent="0.45">
      <c r="S4883" t="s">
        <v>717</v>
      </c>
      <c r="T4883" t="s">
        <v>169</v>
      </c>
      <c r="U4883">
        <v>6.1438156338283348E-3</v>
      </c>
      <c r="V4883" t="s">
        <v>157</v>
      </c>
    </row>
    <row r="4884" spans="19:22" x14ac:dyDescent="0.45">
      <c r="S4884" t="s">
        <v>717</v>
      </c>
      <c r="T4884" t="s">
        <v>170</v>
      </c>
      <c r="U4884">
        <v>6.1231378131899128E-3</v>
      </c>
      <c r="V4884" t="s">
        <v>157</v>
      </c>
    </row>
    <row r="4885" spans="19:22" x14ac:dyDescent="0.45">
      <c r="S4885" t="s">
        <v>717</v>
      </c>
      <c r="T4885" t="s">
        <v>171</v>
      </c>
      <c r="U4885">
        <v>3.1133112071665022E-2</v>
      </c>
      <c r="V4885" t="s">
        <v>157</v>
      </c>
    </row>
    <row r="4886" spans="19:22" x14ac:dyDescent="0.45">
      <c r="S4886" t="s">
        <v>718</v>
      </c>
      <c r="T4886" t="s">
        <v>156</v>
      </c>
      <c r="U4886">
        <v>0.15028171933557286</v>
      </c>
      <c r="V4886" t="s">
        <v>157</v>
      </c>
    </row>
    <row r="4887" spans="19:22" x14ac:dyDescent="0.45">
      <c r="S4887" t="s">
        <v>718</v>
      </c>
      <c r="T4887" t="s">
        <v>158</v>
      </c>
      <c r="U4887">
        <v>0.2109337118267082</v>
      </c>
      <c r="V4887" t="s">
        <v>157</v>
      </c>
    </row>
    <row r="4888" spans="19:22" x14ac:dyDescent="0.45">
      <c r="S4888" t="s">
        <v>718</v>
      </c>
      <c r="T4888" t="s">
        <v>159</v>
      </c>
      <c r="U4888">
        <v>2.0578511673382437E-2</v>
      </c>
      <c r="V4888" t="s">
        <v>157</v>
      </c>
    </row>
    <row r="4889" spans="19:22" x14ac:dyDescent="0.45">
      <c r="S4889" t="s">
        <v>718</v>
      </c>
      <c r="T4889" t="s">
        <v>160</v>
      </c>
      <c r="U4889">
        <v>2.0358387300322852E-2</v>
      </c>
      <c r="V4889" t="s">
        <v>157</v>
      </c>
    </row>
    <row r="4890" spans="19:22" x14ac:dyDescent="0.45">
      <c r="S4890" t="s">
        <v>718</v>
      </c>
      <c r="T4890" t="s">
        <v>161</v>
      </c>
      <c r="U4890">
        <v>0.10119178689213019</v>
      </c>
      <c r="V4890" t="s">
        <v>157</v>
      </c>
    </row>
    <row r="4891" spans="19:22" x14ac:dyDescent="0.45">
      <c r="S4891" t="s">
        <v>718</v>
      </c>
      <c r="T4891" t="s">
        <v>162</v>
      </c>
      <c r="U4891">
        <v>0.10047684531281133</v>
      </c>
      <c r="V4891" t="s">
        <v>157</v>
      </c>
    </row>
    <row r="4892" spans="19:22" x14ac:dyDescent="0.45">
      <c r="S4892" t="s">
        <v>718</v>
      </c>
      <c r="T4892" t="s">
        <v>163</v>
      </c>
      <c r="U4892">
        <v>0.14686368895808044</v>
      </c>
      <c r="V4892" t="s">
        <v>157</v>
      </c>
    </row>
    <row r="4893" spans="19:22" x14ac:dyDescent="0.45">
      <c r="S4893" t="s">
        <v>718</v>
      </c>
      <c r="T4893" t="s">
        <v>164</v>
      </c>
      <c r="U4893">
        <v>1.4780544378741114E-2</v>
      </c>
      <c r="V4893" t="s">
        <v>157</v>
      </c>
    </row>
    <row r="4894" spans="19:22" x14ac:dyDescent="0.45">
      <c r="S4894" t="s">
        <v>718</v>
      </c>
      <c r="T4894" t="s">
        <v>165</v>
      </c>
      <c r="U4894">
        <v>1.4349740483669163E-2</v>
      </c>
      <c r="V4894" t="s">
        <v>157</v>
      </c>
    </row>
    <row r="4895" spans="19:22" x14ac:dyDescent="0.45">
      <c r="S4895" t="s">
        <v>718</v>
      </c>
      <c r="T4895" t="s">
        <v>166</v>
      </c>
      <c r="U4895">
        <v>7.1189113464344339E-2</v>
      </c>
      <c r="V4895" t="s">
        <v>157</v>
      </c>
    </row>
    <row r="4896" spans="19:22" x14ac:dyDescent="0.45">
      <c r="S4896" t="s">
        <v>718</v>
      </c>
      <c r="T4896" t="s">
        <v>167</v>
      </c>
      <c r="U4896">
        <v>4.5079848594328085E-2</v>
      </c>
      <c r="V4896" t="s">
        <v>157</v>
      </c>
    </row>
    <row r="4897" spans="19:22" x14ac:dyDescent="0.45">
      <c r="S4897" t="s">
        <v>718</v>
      </c>
      <c r="T4897" t="s">
        <v>168</v>
      </c>
      <c r="U4897">
        <v>6.13608176820069E-2</v>
      </c>
      <c r="V4897" t="s">
        <v>157</v>
      </c>
    </row>
    <row r="4898" spans="19:22" x14ac:dyDescent="0.45">
      <c r="S4898" t="s">
        <v>718</v>
      </c>
      <c r="T4898" t="s">
        <v>169</v>
      </c>
      <c r="U4898">
        <v>5.9553152694957288E-3</v>
      </c>
      <c r="V4898" t="s">
        <v>157</v>
      </c>
    </row>
    <row r="4899" spans="19:22" x14ac:dyDescent="0.45">
      <c r="S4899" t="s">
        <v>718</v>
      </c>
      <c r="T4899" t="s">
        <v>170</v>
      </c>
      <c r="U4899">
        <v>5.9158651207330366E-3</v>
      </c>
      <c r="V4899" t="s">
        <v>157</v>
      </c>
    </row>
    <row r="4900" spans="19:22" x14ac:dyDescent="0.45">
      <c r="S4900" t="s">
        <v>718</v>
      </c>
      <c r="T4900" t="s">
        <v>171</v>
      </c>
      <c r="U4900">
        <v>3.0684103707673303E-2</v>
      </c>
      <c r="V4900" t="s">
        <v>157</v>
      </c>
    </row>
    <row r="4901" spans="19:22" x14ac:dyDescent="0.45">
      <c r="S4901" t="s">
        <v>719</v>
      </c>
      <c r="T4901" t="s">
        <v>156</v>
      </c>
      <c r="U4901">
        <v>0.14868798693867982</v>
      </c>
      <c r="V4901" t="s">
        <v>157</v>
      </c>
    </row>
    <row r="4902" spans="19:22" x14ac:dyDescent="0.45">
      <c r="S4902" t="s">
        <v>719</v>
      </c>
      <c r="T4902" t="s">
        <v>158</v>
      </c>
      <c r="U4902">
        <v>0.21036184241267497</v>
      </c>
      <c r="V4902" t="s">
        <v>157</v>
      </c>
    </row>
    <row r="4903" spans="19:22" x14ac:dyDescent="0.45">
      <c r="S4903" t="s">
        <v>719</v>
      </c>
      <c r="T4903" t="s">
        <v>159</v>
      </c>
      <c r="U4903">
        <v>2.0774652987161236E-2</v>
      </c>
      <c r="V4903" t="s">
        <v>157</v>
      </c>
    </row>
    <row r="4904" spans="19:22" x14ac:dyDescent="0.45">
      <c r="S4904" t="s">
        <v>719</v>
      </c>
      <c r="T4904" t="s">
        <v>160</v>
      </c>
      <c r="U4904">
        <v>2.0522865377214695E-2</v>
      </c>
      <c r="V4904" t="s">
        <v>157</v>
      </c>
    </row>
    <row r="4905" spans="19:22" x14ac:dyDescent="0.45">
      <c r="S4905" t="s">
        <v>719</v>
      </c>
      <c r="T4905" t="s">
        <v>161</v>
      </c>
      <c r="U4905">
        <v>0.10069927434797804</v>
      </c>
      <c r="V4905" t="s">
        <v>157</v>
      </c>
    </row>
    <row r="4906" spans="19:22" x14ac:dyDescent="0.45">
      <c r="S4906" t="s">
        <v>719</v>
      </c>
      <c r="T4906" t="s">
        <v>162</v>
      </c>
      <c r="U4906">
        <v>0.10067892629828648</v>
      </c>
      <c r="V4906" t="s">
        <v>157</v>
      </c>
    </row>
    <row r="4907" spans="19:22" x14ac:dyDescent="0.45">
      <c r="S4907" t="s">
        <v>719</v>
      </c>
      <c r="T4907" t="s">
        <v>163</v>
      </c>
      <c r="U4907">
        <v>0.14846925781031059</v>
      </c>
      <c r="V4907" t="s">
        <v>157</v>
      </c>
    </row>
    <row r="4908" spans="19:22" x14ac:dyDescent="0.45">
      <c r="S4908" t="s">
        <v>719</v>
      </c>
      <c r="T4908" t="s">
        <v>164</v>
      </c>
      <c r="U4908">
        <v>1.4784670992585288E-2</v>
      </c>
      <c r="V4908" t="s">
        <v>157</v>
      </c>
    </row>
    <row r="4909" spans="19:22" x14ac:dyDescent="0.45">
      <c r="S4909" t="s">
        <v>719</v>
      </c>
      <c r="T4909" t="s">
        <v>165</v>
      </c>
      <c r="U4909">
        <v>1.4387950589418077E-2</v>
      </c>
      <c r="V4909" t="s">
        <v>157</v>
      </c>
    </row>
    <row r="4910" spans="19:22" x14ac:dyDescent="0.45">
      <c r="S4910" t="s">
        <v>719</v>
      </c>
      <c r="T4910" t="s">
        <v>166</v>
      </c>
      <c r="U4910">
        <v>7.1546814329281561E-2</v>
      </c>
      <c r="V4910" t="s">
        <v>157</v>
      </c>
    </row>
    <row r="4911" spans="19:22" x14ac:dyDescent="0.45">
      <c r="S4911" t="s">
        <v>719</v>
      </c>
      <c r="T4911" t="s">
        <v>167</v>
      </c>
      <c r="U4911">
        <v>4.5469994477446853E-2</v>
      </c>
      <c r="V4911" t="s">
        <v>157</v>
      </c>
    </row>
    <row r="4912" spans="19:22" x14ac:dyDescent="0.45">
      <c r="S4912" t="s">
        <v>719</v>
      </c>
      <c r="T4912" t="s">
        <v>168</v>
      </c>
      <c r="U4912">
        <v>6.1639990840205279E-2</v>
      </c>
      <c r="V4912" t="s">
        <v>157</v>
      </c>
    </row>
    <row r="4913" spans="19:22" x14ac:dyDescent="0.45">
      <c r="S4913" t="s">
        <v>719</v>
      </c>
      <c r="T4913" t="s">
        <v>169</v>
      </c>
      <c r="U4913">
        <v>5.8622411392319582E-3</v>
      </c>
      <c r="V4913" t="s">
        <v>157</v>
      </c>
    </row>
    <row r="4914" spans="19:22" x14ac:dyDescent="0.45">
      <c r="S4914" t="s">
        <v>719</v>
      </c>
      <c r="T4914" t="s">
        <v>170</v>
      </c>
      <c r="U4914">
        <v>5.8167184079427701E-3</v>
      </c>
      <c r="V4914" t="s">
        <v>157</v>
      </c>
    </row>
    <row r="4915" spans="19:22" x14ac:dyDescent="0.45">
      <c r="S4915" t="s">
        <v>719</v>
      </c>
      <c r="T4915" t="s">
        <v>171</v>
      </c>
      <c r="U4915">
        <v>3.029681305158238E-2</v>
      </c>
      <c r="V4915" t="s">
        <v>157</v>
      </c>
    </row>
    <row r="4916" spans="19:22" x14ac:dyDescent="0.45">
      <c r="S4916" t="s">
        <v>720</v>
      </c>
      <c r="T4916" t="s">
        <v>156</v>
      </c>
      <c r="U4916">
        <v>0.14651999588311079</v>
      </c>
      <c r="V4916" t="s">
        <v>157</v>
      </c>
    </row>
    <row r="4917" spans="19:22" x14ac:dyDescent="0.45">
      <c r="S4917" t="s">
        <v>720</v>
      </c>
      <c r="T4917" t="s">
        <v>158</v>
      </c>
      <c r="U4917">
        <v>0.20980324022049007</v>
      </c>
      <c r="V4917" t="s">
        <v>157</v>
      </c>
    </row>
    <row r="4918" spans="19:22" x14ac:dyDescent="0.45">
      <c r="S4918" t="s">
        <v>720</v>
      </c>
      <c r="T4918" t="s">
        <v>159</v>
      </c>
      <c r="U4918">
        <v>2.0959260658841062E-2</v>
      </c>
      <c r="V4918" t="s">
        <v>157</v>
      </c>
    </row>
    <row r="4919" spans="19:22" x14ac:dyDescent="0.45">
      <c r="S4919" t="s">
        <v>720</v>
      </c>
      <c r="T4919" t="s">
        <v>160</v>
      </c>
      <c r="U4919">
        <v>2.0653435393477557E-2</v>
      </c>
      <c r="V4919" t="s">
        <v>157</v>
      </c>
    </row>
    <row r="4920" spans="19:22" x14ac:dyDescent="0.45">
      <c r="S4920" t="s">
        <v>720</v>
      </c>
      <c r="T4920" t="s">
        <v>161</v>
      </c>
      <c r="U4920">
        <v>0.10059504412781259</v>
      </c>
      <c r="V4920" t="s">
        <v>157</v>
      </c>
    </row>
    <row r="4921" spans="19:22" x14ac:dyDescent="0.45">
      <c r="S4921" t="s">
        <v>720</v>
      </c>
      <c r="T4921" t="s">
        <v>162</v>
      </c>
      <c r="U4921">
        <v>0.10146284838595902</v>
      </c>
      <c r="V4921" t="s">
        <v>157</v>
      </c>
    </row>
    <row r="4922" spans="19:22" x14ac:dyDescent="0.45">
      <c r="S4922" t="s">
        <v>720</v>
      </c>
      <c r="T4922" t="s">
        <v>163</v>
      </c>
      <c r="U4922">
        <v>0.14943783187619122</v>
      </c>
      <c r="V4922" t="s">
        <v>157</v>
      </c>
    </row>
    <row r="4923" spans="19:22" x14ac:dyDescent="0.45">
      <c r="S4923" t="s">
        <v>720</v>
      </c>
      <c r="T4923" t="s">
        <v>164</v>
      </c>
      <c r="U4923">
        <v>1.4740322106880229E-2</v>
      </c>
      <c r="V4923" t="s">
        <v>157</v>
      </c>
    </row>
    <row r="4924" spans="19:22" x14ac:dyDescent="0.45">
      <c r="S4924" t="s">
        <v>720</v>
      </c>
      <c r="T4924" t="s">
        <v>165</v>
      </c>
      <c r="U4924">
        <v>1.444989306301186E-2</v>
      </c>
      <c r="V4924" t="s">
        <v>157</v>
      </c>
    </row>
    <row r="4925" spans="19:22" x14ac:dyDescent="0.45">
      <c r="S4925" t="s">
        <v>720</v>
      </c>
      <c r="T4925" t="s">
        <v>166</v>
      </c>
      <c r="U4925">
        <v>7.1730455512497515E-2</v>
      </c>
      <c r="V4925" t="s">
        <v>157</v>
      </c>
    </row>
    <row r="4926" spans="19:22" x14ac:dyDescent="0.45">
      <c r="S4926" t="s">
        <v>720</v>
      </c>
      <c r="T4926" t="s">
        <v>167</v>
      </c>
      <c r="U4926">
        <v>4.5736296342760045E-2</v>
      </c>
      <c r="V4926" t="s">
        <v>157</v>
      </c>
    </row>
    <row r="4927" spans="19:22" x14ac:dyDescent="0.45">
      <c r="S4927" t="s">
        <v>720</v>
      </c>
      <c r="T4927" t="s">
        <v>168</v>
      </c>
      <c r="U4927">
        <v>6.1968490131744394E-2</v>
      </c>
      <c r="V4927" t="s">
        <v>157</v>
      </c>
    </row>
    <row r="4928" spans="19:22" x14ac:dyDescent="0.45">
      <c r="S4928" t="s">
        <v>720</v>
      </c>
      <c r="T4928" t="s">
        <v>169</v>
      </c>
      <c r="U4928">
        <v>5.9335489092321881E-3</v>
      </c>
      <c r="V4928" t="s">
        <v>157</v>
      </c>
    </row>
    <row r="4929" spans="19:22" x14ac:dyDescent="0.45">
      <c r="S4929" t="s">
        <v>720</v>
      </c>
      <c r="T4929" t="s">
        <v>170</v>
      </c>
      <c r="U4929">
        <v>5.8934474033858278E-3</v>
      </c>
      <c r="V4929" t="s">
        <v>157</v>
      </c>
    </row>
    <row r="4930" spans="19:22" x14ac:dyDescent="0.45">
      <c r="S4930" t="s">
        <v>720</v>
      </c>
      <c r="T4930" t="s">
        <v>171</v>
      </c>
      <c r="U4930">
        <v>3.0115889984605713E-2</v>
      </c>
      <c r="V4930" t="s">
        <v>157</v>
      </c>
    </row>
    <row r="4931" spans="19:22" x14ac:dyDescent="0.45">
      <c r="S4931" t="s">
        <v>721</v>
      </c>
      <c r="T4931" t="s">
        <v>156</v>
      </c>
      <c r="U4931">
        <v>0.14422997210775365</v>
      </c>
      <c r="V4931" t="s">
        <v>157</v>
      </c>
    </row>
    <row r="4932" spans="19:22" x14ac:dyDescent="0.45">
      <c r="S4932" t="s">
        <v>721</v>
      </c>
      <c r="T4932" t="s">
        <v>158</v>
      </c>
      <c r="U4932">
        <v>0.2085922239395788</v>
      </c>
      <c r="V4932" t="s">
        <v>157</v>
      </c>
    </row>
    <row r="4933" spans="19:22" x14ac:dyDescent="0.45">
      <c r="S4933" t="s">
        <v>721</v>
      </c>
      <c r="T4933" t="s">
        <v>159</v>
      </c>
      <c r="U4933">
        <v>2.0899252848137342E-2</v>
      </c>
      <c r="V4933" t="s">
        <v>157</v>
      </c>
    </row>
    <row r="4934" spans="19:22" x14ac:dyDescent="0.45">
      <c r="S4934" t="s">
        <v>721</v>
      </c>
      <c r="T4934" t="s">
        <v>160</v>
      </c>
      <c r="U4934">
        <v>2.0678049388508115E-2</v>
      </c>
      <c r="V4934" t="s">
        <v>157</v>
      </c>
    </row>
    <row r="4935" spans="19:22" x14ac:dyDescent="0.45">
      <c r="S4935" t="s">
        <v>721</v>
      </c>
      <c r="T4935" t="s">
        <v>161</v>
      </c>
      <c r="U4935">
        <v>0.1005392800259186</v>
      </c>
      <c r="V4935" t="s">
        <v>157</v>
      </c>
    </row>
    <row r="4936" spans="19:22" x14ac:dyDescent="0.45">
      <c r="S4936" t="s">
        <v>721</v>
      </c>
      <c r="T4936" t="s">
        <v>162</v>
      </c>
      <c r="U4936">
        <v>0.10331166167390698</v>
      </c>
      <c r="V4936" t="s">
        <v>157</v>
      </c>
    </row>
    <row r="4937" spans="19:22" x14ac:dyDescent="0.45">
      <c r="S4937" t="s">
        <v>721</v>
      </c>
      <c r="T4937" t="s">
        <v>163</v>
      </c>
      <c r="U4937">
        <v>0.1500603719315019</v>
      </c>
      <c r="V4937" t="s">
        <v>157</v>
      </c>
    </row>
    <row r="4938" spans="19:22" x14ac:dyDescent="0.45">
      <c r="S4938" t="s">
        <v>721</v>
      </c>
      <c r="T4938" t="s">
        <v>164</v>
      </c>
      <c r="U4938">
        <v>1.4694556291984812E-2</v>
      </c>
      <c r="V4938" t="s">
        <v>157</v>
      </c>
    </row>
    <row r="4939" spans="19:22" x14ac:dyDescent="0.45">
      <c r="S4939" t="s">
        <v>721</v>
      </c>
      <c r="T4939" t="s">
        <v>165</v>
      </c>
      <c r="U4939">
        <v>1.4526532261625244E-2</v>
      </c>
      <c r="V4939" t="s">
        <v>157</v>
      </c>
    </row>
    <row r="4940" spans="19:22" x14ac:dyDescent="0.45">
      <c r="S4940" t="s">
        <v>721</v>
      </c>
      <c r="T4940" t="s">
        <v>166</v>
      </c>
      <c r="U4940">
        <v>7.2144513702396662E-2</v>
      </c>
      <c r="V4940" t="s">
        <v>157</v>
      </c>
    </row>
    <row r="4941" spans="19:22" x14ac:dyDescent="0.45">
      <c r="S4941" t="s">
        <v>721</v>
      </c>
      <c r="T4941" t="s">
        <v>167</v>
      </c>
      <c r="U4941">
        <v>4.5765058864860202E-2</v>
      </c>
      <c r="V4941" t="s">
        <v>157</v>
      </c>
    </row>
    <row r="4942" spans="19:22" x14ac:dyDescent="0.45">
      <c r="S4942" t="s">
        <v>721</v>
      </c>
      <c r="T4942" t="s">
        <v>168</v>
      </c>
      <c r="U4942">
        <v>6.2267078828200997E-2</v>
      </c>
      <c r="V4942" t="s">
        <v>157</v>
      </c>
    </row>
    <row r="4943" spans="19:22" x14ac:dyDescent="0.45">
      <c r="S4943" t="s">
        <v>721</v>
      </c>
      <c r="T4943" t="s">
        <v>169</v>
      </c>
      <c r="U4943">
        <v>6.1033466550942887E-3</v>
      </c>
      <c r="V4943" t="s">
        <v>157</v>
      </c>
    </row>
    <row r="4944" spans="19:22" x14ac:dyDescent="0.45">
      <c r="S4944" t="s">
        <v>721</v>
      </c>
      <c r="T4944" t="s">
        <v>170</v>
      </c>
      <c r="U4944">
        <v>6.0794426265037048E-3</v>
      </c>
      <c r="V4944" t="s">
        <v>157</v>
      </c>
    </row>
    <row r="4945" spans="19:22" x14ac:dyDescent="0.45">
      <c r="S4945" t="s">
        <v>721</v>
      </c>
      <c r="T4945" t="s">
        <v>171</v>
      </c>
      <c r="U4945">
        <v>3.0108658854028744E-2</v>
      </c>
      <c r="V4945" t="s">
        <v>157</v>
      </c>
    </row>
    <row r="4946" spans="19:22" x14ac:dyDescent="0.45">
      <c r="S4946" t="s">
        <v>722</v>
      </c>
      <c r="T4946" t="s">
        <v>156</v>
      </c>
      <c r="U4946">
        <v>0.141879188377696</v>
      </c>
      <c r="V4946" t="s">
        <v>157</v>
      </c>
    </row>
    <row r="4947" spans="19:22" x14ac:dyDescent="0.45">
      <c r="S4947" t="s">
        <v>722</v>
      </c>
      <c r="T4947" t="s">
        <v>158</v>
      </c>
      <c r="U4947">
        <v>0.2068128612270948</v>
      </c>
      <c r="V4947" t="s">
        <v>157</v>
      </c>
    </row>
    <row r="4948" spans="19:22" x14ac:dyDescent="0.45">
      <c r="S4948" t="s">
        <v>722</v>
      </c>
      <c r="T4948" t="s">
        <v>159</v>
      </c>
      <c r="U4948">
        <v>2.0824385573242989E-2</v>
      </c>
      <c r="V4948" t="s">
        <v>157</v>
      </c>
    </row>
    <row r="4949" spans="19:22" x14ac:dyDescent="0.45">
      <c r="S4949" t="s">
        <v>722</v>
      </c>
      <c r="T4949" t="s">
        <v>160</v>
      </c>
      <c r="U4949">
        <v>2.0698154718586274E-2</v>
      </c>
      <c r="V4949" t="s">
        <v>157</v>
      </c>
    </row>
    <row r="4950" spans="19:22" x14ac:dyDescent="0.45">
      <c r="S4950" t="s">
        <v>722</v>
      </c>
      <c r="T4950" t="s">
        <v>161</v>
      </c>
      <c r="U4950">
        <v>0.10007085886853406</v>
      </c>
      <c r="V4950" t="s">
        <v>157</v>
      </c>
    </row>
    <row r="4951" spans="19:22" x14ac:dyDescent="0.45">
      <c r="S4951" t="s">
        <v>722</v>
      </c>
      <c r="T4951" t="s">
        <v>162</v>
      </c>
      <c r="U4951">
        <v>0.1053999667916083</v>
      </c>
      <c r="V4951" t="s">
        <v>157</v>
      </c>
    </row>
    <row r="4952" spans="19:22" x14ac:dyDescent="0.45">
      <c r="S4952" t="s">
        <v>722</v>
      </c>
      <c r="T4952" t="s">
        <v>163</v>
      </c>
      <c r="U4952">
        <v>0.15123955787718707</v>
      </c>
      <c r="V4952" t="s">
        <v>157</v>
      </c>
    </row>
    <row r="4953" spans="19:22" x14ac:dyDescent="0.45">
      <c r="S4953" t="s">
        <v>722</v>
      </c>
      <c r="T4953" t="s">
        <v>164</v>
      </c>
      <c r="U4953">
        <v>1.4557192320538377E-2</v>
      </c>
      <c r="V4953" t="s">
        <v>157</v>
      </c>
    </row>
    <row r="4954" spans="19:22" x14ac:dyDescent="0.45">
      <c r="S4954" t="s">
        <v>722</v>
      </c>
      <c r="T4954" t="s">
        <v>165</v>
      </c>
      <c r="U4954">
        <v>1.4511709386551183E-2</v>
      </c>
      <c r="V4954" t="s">
        <v>157</v>
      </c>
    </row>
    <row r="4955" spans="19:22" x14ac:dyDescent="0.45">
      <c r="S4955" t="s">
        <v>722</v>
      </c>
      <c r="T4955" t="s">
        <v>166</v>
      </c>
      <c r="U4955">
        <v>7.2833295025595213E-2</v>
      </c>
      <c r="V4955" t="s">
        <v>157</v>
      </c>
    </row>
    <row r="4956" spans="19:22" x14ac:dyDescent="0.45">
      <c r="S4956" t="s">
        <v>722</v>
      </c>
      <c r="T4956" t="s">
        <v>167</v>
      </c>
      <c r="U4956">
        <v>4.5833001018598107E-2</v>
      </c>
      <c r="V4956" t="s">
        <v>157</v>
      </c>
    </row>
    <row r="4957" spans="19:22" x14ac:dyDescent="0.45">
      <c r="S4957" t="s">
        <v>722</v>
      </c>
      <c r="T4957" t="s">
        <v>168</v>
      </c>
      <c r="U4957">
        <v>6.2529942022717333E-2</v>
      </c>
      <c r="V4957" t="s">
        <v>157</v>
      </c>
    </row>
    <row r="4958" spans="19:22" x14ac:dyDescent="0.45">
      <c r="S4958" t="s">
        <v>722</v>
      </c>
      <c r="T4958" t="s">
        <v>169</v>
      </c>
      <c r="U4958">
        <v>6.2468186425100403E-3</v>
      </c>
      <c r="V4958" t="s">
        <v>157</v>
      </c>
    </row>
    <row r="4959" spans="19:22" x14ac:dyDescent="0.45">
      <c r="S4959" t="s">
        <v>722</v>
      </c>
      <c r="T4959" t="s">
        <v>170</v>
      </c>
      <c r="U4959">
        <v>6.2705633326580103E-3</v>
      </c>
      <c r="V4959" t="s">
        <v>157</v>
      </c>
    </row>
    <row r="4960" spans="19:22" x14ac:dyDescent="0.45">
      <c r="S4960" t="s">
        <v>722</v>
      </c>
      <c r="T4960" t="s">
        <v>171</v>
      </c>
      <c r="U4960">
        <v>3.0292504816882219E-2</v>
      </c>
      <c r="V4960" t="s">
        <v>157</v>
      </c>
    </row>
    <row r="4961" spans="19:22" x14ac:dyDescent="0.45">
      <c r="S4961" t="s">
        <v>723</v>
      </c>
      <c r="T4961" t="s">
        <v>156</v>
      </c>
      <c r="U4961">
        <v>0.13289433303266768</v>
      </c>
      <c r="V4961" t="s">
        <v>157</v>
      </c>
    </row>
    <row r="4962" spans="19:22" x14ac:dyDescent="0.45">
      <c r="S4962" t="s">
        <v>723</v>
      </c>
      <c r="T4962" t="s">
        <v>158</v>
      </c>
      <c r="U4962">
        <v>0.18945968737842311</v>
      </c>
      <c r="V4962" t="s">
        <v>157</v>
      </c>
    </row>
    <row r="4963" spans="19:22" x14ac:dyDescent="0.45">
      <c r="S4963" t="s">
        <v>723</v>
      </c>
      <c r="T4963" t="s">
        <v>159</v>
      </c>
      <c r="U4963">
        <v>2.0296314163683323E-2</v>
      </c>
      <c r="V4963" t="s">
        <v>157</v>
      </c>
    </row>
    <row r="4964" spans="19:22" x14ac:dyDescent="0.45">
      <c r="S4964" t="s">
        <v>723</v>
      </c>
      <c r="T4964" t="s">
        <v>160</v>
      </c>
      <c r="U4964">
        <v>2.0622991631820815E-2</v>
      </c>
      <c r="V4964" t="s">
        <v>157</v>
      </c>
    </row>
    <row r="4965" spans="19:22" x14ac:dyDescent="0.45">
      <c r="S4965" t="s">
        <v>723</v>
      </c>
      <c r="T4965" t="s">
        <v>161</v>
      </c>
      <c r="U4965">
        <v>0.10422091008884853</v>
      </c>
      <c r="V4965" t="s">
        <v>157</v>
      </c>
    </row>
    <row r="4966" spans="19:22" x14ac:dyDescent="0.45">
      <c r="S4966" t="s">
        <v>723</v>
      </c>
      <c r="T4966" t="s">
        <v>162</v>
      </c>
      <c r="U4966">
        <v>0.11559991639897284</v>
      </c>
      <c r="V4966" t="s">
        <v>157</v>
      </c>
    </row>
    <row r="4967" spans="19:22" x14ac:dyDescent="0.45">
      <c r="S4967" t="s">
        <v>723</v>
      </c>
      <c r="T4967" t="s">
        <v>163</v>
      </c>
      <c r="U4967">
        <v>0.15488109665594924</v>
      </c>
      <c r="V4967" t="s">
        <v>157</v>
      </c>
    </row>
    <row r="4968" spans="19:22" x14ac:dyDescent="0.45">
      <c r="S4968" t="s">
        <v>723</v>
      </c>
      <c r="T4968" t="s">
        <v>164</v>
      </c>
      <c r="U4968">
        <v>1.3843277126033313E-2</v>
      </c>
      <c r="V4968" t="s">
        <v>157</v>
      </c>
    </row>
    <row r="4969" spans="19:22" x14ac:dyDescent="0.45">
      <c r="S4969" t="s">
        <v>723</v>
      </c>
      <c r="T4969" t="s">
        <v>165</v>
      </c>
      <c r="U4969">
        <v>1.4012563301280225E-2</v>
      </c>
      <c r="V4969" t="s">
        <v>157</v>
      </c>
    </row>
    <row r="4970" spans="19:22" x14ac:dyDescent="0.45">
      <c r="S4970" t="s">
        <v>723</v>
      </c>
      <c r="T4970" t="s">
        <v>166</v>
      </c>
      <c r="U4970">
        <v>7.5555209688904945E-2</v>
      </c>
      <c r="V4970" t="s">
        <v>157</v>
      </c>
    </row>
    <row r="4971" spans="19:22" x14ac:dyDescent="0.45">
      <c r="S4971" t="s">
        <v>723</v>
      </c>
      <c r="T4971" t="s">
        <v>167</v>
      </c>
      <c r="U4971">
        <v>4.9620051925132976E-2</v>
      </c>
      <c r="V4971" t="s">
        <v>157</v>
      </c>
    </row>
    <row r="4972" spans="19:22" x14ac:dyDescent="0.45">
      <c r="S4972" t="s">
        <v>723</v>
      </c>
      <c r="T4972" t="s">
        <v>168</v>
      </c>
      <c r="U4972">
        <v>6.1336318572875949E-2</v>
      </c>
      <c r="V4972" t="s">
        <v>157</v>
      </c>
    </row>
    <row r="4973" spans="19:22" x14ac:dyDescent="0.45">
      <c r="S4973" t="s">
        <v>723</v>
      </c>
      <c r="T4973" t="s">
        <v>169</v>
      </c>
      <c r="U4973">
        <v>6.4827210361943907E-3</v>
      </c>
      <c r="V4973" t="s">
        <v>157</v>
      </c>
    </row>
    <row r="4974" spans="19:22" x14ac:dyDescent="0.45">
      <c r="S4974" t="s">
        <v>723</v>
      </c>
      <c r="T4974" t="s">
        <v>170</v>
      </c>
      <c r="U4974">
        <v>6.6820985380145652E-3</v>
      </c>
      <c r="V4974" t="s">
        <v>157</v>
      </c>
    </row>
    <row r="4975" spans="19:22" x14ac:dyDescent="0.45">
      <c r="S4975" t="s">
        <v>723</v>
      </c>
      <c r="T4975" t="s">
        <v>171</v>
      </c>
      <c r="U4975">
        <v>3.4492510461198014E-2</v>
      </c>
      <c r="V4975" t="s">
        <v>157</v>
      </c>
    </row>
    <row r="4976" spans="19:22" x14ac:dyDescent="0.45">
      <c r="S4976" t="s">
        <v>724</v>
      </c>
      <c r="T4976" t="s">
        <v>156</v>
      </c>
      <c r="U4976">
        <v>0.13378643659508385</v>
      </c>
      <c r="V4976" t="s">
        <v>157</v>
      </c>
    </row>
    <row r="4977" spans="19:22" x14ac:dyDescent="0.45">
      <c r="S4977" t="s">
        <v>724</v>
      </c>
      <c r="T4977" t="s">
        <v>158</v>
      </c>
      <c r="U4977">
        <v>0.18552069063599713</v>
      </c>
      <c r="V4977" t="s">
        <v>157</v>
      </c>
    </row>
    <row r="4978" spans="19:22" x14ac:dyDescent="0.45">
      <c r="S4978" t="s">
        <v>724</v>
      </c>
      <c r="T4978" t="s">
        <v>159</v>
      </c>
      <c r="U4978">
        <v>2.150972067393821E-2</v>
      </c>
      <c r="V4978" t="s">
        <v>157</v>
      </c>
    </row>
    <row r="4979" spans="19:22" x14ac:dyDescent="0.45">
      <c r="S4979" t="s">
        <v>724</v>
      </c>
      <c r="T4979" t="s">
        <v>160</v>
      </c>
      <c r="U4979">
        <v>2.2150588871762807E-2</v>
      </c>
      <c r="V4979" t="s">
        <v>157</v>
      </c>
    </row>
    <row r="4980" spans="19:22" x14ac:dyDescent="0.45">
      <c r="S4980" t="s">
        <v>724</v>
      </c>
      <c r="T4980" t="s">
        <v>161</v>
      </c>
      <c r="U4980">
        <v>0.11054035460598612</v>
      </c>
      <c r="V4980" t="s">
        <v>157</v>
      </c>
    </row>
    <row r="4981" spans="19:22" x14ac:dyDescent="0.45">
      <c r="S4981" t="s">
        <v>724</v>
      </c>
      <c r="T4981" t="s">
        <v>162</v>
      </c>
      <c r="U4981">
        <v>0.11253427928056424</v>
      </c>
      <c r="V4981" t="s">
        <v>157</v>
      </c>
    </row>
    <row r="4982" spans="19:22" x14ac:dyDescent="0.45">
      <c r="S4982" t="s">
        <v>724</v>
      </c>
      <c r="T4982" t="s">
        <v>163</v>
      </c>
      <c r="U4982">
        <v>0.14952953483152814</v>
      </c>
      <c r="V4982" t="s">
        <v>157</v>
      </c>
    </row>
    <row r="4983" spans="19:22" x14ac:dyDescent="0.45">
      <c r="S4983" t="s">
        <v>724</v>
      </c>
      <c r="T4983" t="s">
        <v>164</v>
      </c>
      <c r="U4983">
        <v>1.4089499377409397E-2</v>
      </c>
      <c r="V4983" t="s">
        <v>157</v>
      </c>
    </row>
    <row r="4984" spans="19:22" x14ac:dyDescent="0.45">
      <c r="S4984" t="s">
        <v>724</v>
      </c>
      <c r="T4984" t="s">
        <v>165</v>
      </c>
      <c r="U4984">
        <v>1.445392138621575E-2</v>
      </c>
      <c r="V4984" t="s">
        <v>157</v>
      </c>
    </row>
    <row r="4985" spans="19:22" x14ac:dyDescent="0.45">
      <c r="S4985" t="s">
        <v>724</v>
      </c>
      <c r="T4985" t="s">
        <v>166</v>
      </c>
      <c r="U4985">
        <v>7.7856866278546003E-2</v>
      </c>
      <c r="V4985" t="s">
        <v>157</v>
      </c>
    </row>
    <row r="4986" spans="19:22" x14ac:dyDescent="0.45">
      <c r="S4986" t="s">
        <v>724</v>
      </c>
      <c r="T4986" t="s">
        <v>167</v>
      </c>
      <c r="U4986">
        <v>4.7971182866362407E-2</v>
      </c>
      <c r="V4986" t="s">
        <v>157</v>
      </c>
    </row>
    <row r="4987" spans="19:22" x14ac:dyDescent="0.45">
      <c r="S4987" t="s">
        <v>724</v>
      </c>
      <c r="T4987" t="s">
        <v>168</v>
      </c>
      <c r="U4987">
        <v>5.9484999647949482E-2</v>
      </c>
      <c r="V4987" t="s">
        <v>157</v>
      </c>
    </row>
    <row r="4988" spans="19:22" x14ac:dyDescent="0.45">
      <c r="S4988" t="s">
        <v>724</v>
      </c>
      <c r="T4988" t="s">
        <v>169</v>
      </c>
      <c r="U4988">
        <v>7.0055151100587012E-3</v>
      </c>
      <c r="V4988" t="s">
        <v>157</v>
      </c>
    </row>
    <row r="4989" spans="19:22" x14ac:dyDescent="0.45">
      <c r="S4989" t="s">
        <v>724</v>
      </c>
      <c r="T4989" t="s">
        <v>170</v>
      </c>
      <c r="U4989">
        <v>7.2101832692667983E-3</v>
      </c>
      <c r="V4989" t="s">
        <v>157</v>
      </c>
    </row>
    <row r="4990" spans="19:22" x14ac:dyDescent="0.45">
      <c r="S4990" t="s">
        <v>724</v>
      </c>
      <c r="T4990" t="s">
        <v>171</v>
      </c>
      <c r="U4990">
        <v>3.6356226569331018E-2</v>
      </c>
      <c r="V4990" t="s">
        <v>157</v>
      </c>
    </row>
    <row r="4991" spans="19:22" x14ac:dyDescent="0.45">
      <c r="S4991" t="s">
        <v>725</v>
      </c>
      <c r="T4991" t="s">
        <v>156</v>
      </c>
      <c r="U4991">
        <v>0.13180952477979846</v>
      </c>
      <c r="V4991" t="s">
        <v>157</v>
      </c>
    </row>
    <row r="4992" spans="19:22" x14ac:dyDescent="0.45">
      <c r="S4992" t="s">
        <v>725</v>
      </c>
      <c r="T4992" t="s">
        <v>158</v>
      </c>
      <c r="U4992">
        <v>0.18394513340089996</v>
      </c>
      <c r="V4992" t="s">
        <v>157</v>
      </c>
    </row>
    <row r="4993" spans="19:22" x14ac:dyDescent="0.45">
      <c r="S4993" t="s">
        <v>725</v>
      </c>
      <c r="T4993" t="s">
        <v>159</v>
      </c>
      <c r="U4993">
        <v>2.28725418781257E-2</v>
      </c>
      <c r="V4993" t="s">
        <v>157</v>
      </c>
    </row>
    <row r="4994" spans="19:22" x14ac:dyDescent="0.45">
      <c r="S4994" t="s">
        <v>725</v>
      </c>
      <c r="T4994" t="s">
        <v>160</v>
      </c>
      <c r="U4994">
        <v>2.3419069979905061E-2</v>
      </c>
      <c r="V4994" t="s">
        <v>157</v>
      </c>
    </row>
    <row r="4995" spans="19:22" x14ac:dyDescent="0.45">
      <c r="S4995" t="s">
        <v>725</v>
      </c>
      <c r="T4995" t="s">
        <v>161</v>
      </c>
      <c r="U4995">
        <v>0.11320272858391939</v>
      </c>
      <c r="V4995" t="s">
        <v>157</v>
      </c>
    </row>
    <row r="4996" spans="19:22" x14ac:dyDescent="0.45">
      <c r="S4996" t="s">
        <v>725</v>
      </c>
      <c r="T4996" t="s">
        <v>162</v>
      </c>
      <c r="U4996">
        <v>0.11278558740365573</v>
      </c>
      <c r="V4996" t="s">
        <v>157</v>
      </c>
    </row>
    <row r="4997" spans="19:22" x14ac:dyDescent="0.45">
      <c r="S4997" t="s">
        <v>725</v>
      </c>
      <c r="T4997" t="s">
        <v>163</v>
      </c>
      <c r="U4997">
        <v>0.1467648631332707</v>
      </c>
      <c r="V4997" t="s">
        <v>157</v>
      </c>
    </row>
    <row r="4998" spans="19:22" x14ac:dyDescent="0.45">
      <c r="S4998" t="s">
        <v>725</v>
      </c>
      <c r="T4998" t="s">
        <v>164</v>
      </c>
      <c r="U4998">
        <v>1.4692433378573455E-2</v>
      </c>
      <c r="V4998" t="s">
        <v>157</v>
      </c>
    </row>
    <row r="4999" spans="19:22" x14ac:dyDescent="0.45">
      <c r="S4999" t="s">
        <v>725</v>
      </c>
      <c r="T4999" t="s">
        <v>165</v>
      </c>
      <c r="U4999">
        <v>1.511810925600632E-2</v>
      </c>
      <c r="V4999" t="s">
        <v>157</v>
      </c>
    </row>
    <row r="5000" spans="19:22" x14ac:dyDescent="0.45">
      <c r="S5000" t="s">
        <v>725</v>
      </c>
      <c r="T5000" t="s">
        <v>166</v>
      </c>
      <c r="U5000">
        <v>8.1669225873984327E-2</v>
      </c>
      <c r="V5000" t="s">
        <v>157</v>
      </c>
    </row>
    <row r="5001" spans="19:22" x14ac:dyDescent="0.45">
      <c r="S5001" t="s">
        <v>725</v>
      </c>
      <c r="T5001" t="s">
        <v>167</v>
      </c>
      <c r="U5001">
        <v>4.3975504611255781E-2</v>
      </c>
      <c r="V5001" t="s">
        <v>157</v>
      </c>
    </row>
    <row r="5002" spans="19:22" x14ac:dyDescent="0.45">
      <c r="S5002" t="s">
        <v>725</v>
      </c>
      <c r="T5002" t="s">
        <v>168</v>
      </c>
      <c r="U5002">
        <v>5.7623187533047966E-2</v>
      </c>
      <c r="V5002" t="s">
        <v>157</v>
      </c>
    </row>
    <row r="5003" spans="19:22" x14ac:dyDescent="0.45">
      <c r="S5003" t="s">
        <v>725</v>
      </c>
      <c r="T5003" t="s">
        <v>169</v>
      </c>
      <c r="U5003">
        <v>7.5843501540989499E-3</v>
      </c>
      <c r="V5003" t="s">
        <v>157</v>
      </c>
    </row>
    <row r="5004" spans="19:22" x14ac:dyDescent="0.45">
      <c r="S5004" t="s">
        <v>725</v>
      </c>
      <c r="T5004" t="s">
        <v>170</v>
      </c>
      <c r="U5004">
        <v>7.674065527756623E-3</v>
      </c>
      <c r="V5004" t="s">
        <v>157</v>
      </c>
    </row>
    <row r="5005" spans="19:22" x14ac:dyDescent="0.45">
      <c r="S5005" t="s">
        <v>725</v>
      </c>
      <c r="T5005" t="s">
        <v>171</v>
      </c>
      <c r="U5005">
        <v>3.6863674505701598E-2</v>
      </c>
      <c r="V5005" t="s">
        <v>157</v>
      </c>
    </row>
    <row r="5006" spans="19:22" x14ac:dyDescent="0.45">
      <c r="S5006" t="s">
        <v>726</v>
      </c>
      <c r="T5006" t="s">
        <v>156</v>
      </c>
      <c r="U5006">
        <v>0.12401121042931353</v>
      </c>
      <c r="V5006" t="s">
        <v>157</v>
      </c>
    </row>
    <row r="5007" spans="19:22" x14ac:dyDescent="0.45">
      <c r="S5007" t="s">
        <v>726</v>
      </c>
      <c r="T5007" t="s">
        <v>158</v>
      </c>
      <c r="U5007">
        <v>0.19255418866423143</v>
      </c>
      <c r="V5007" t="s">
        <v>157</v>
      </c>
    </row>
    <row r="5008" spans="19:22" x14ac:dyDescent="0.45">
      <c r="S5008" t="s">
        <v>726</v>
      </c>
      <c r="T5008" t="s">
        <v>159</v>
      </c>
      <c r="U5008">
        <v>2.3758972052054021E-2</v>
      </c>
      <c r="V5008" t="s">
        <v>157</v>
      </c>
    </row>
    <row r="5009" spans="19:22" x14ac:dyDescent="0.45">
      <c r="S5009" t="s">
        <v>726</v>
      </c>
      <c r="T5009" t="s">
        <v>160</v>
      </c>
      <c r="U5009">
        <v>2.341769406806039E-2</v>
      </c>
      <c r="V5009" t="s">
        <v>157</v>
      </c>
    </row>
    <row r="5010" spans="19:22" x14ac:dyDescent="0.45">
      <c r="S5010" t="s">
        <v>726</v>
      </c>
      <c r="T5010" t="s">
        <v>161</v>
      </c>
      <c r="U5010">
        <v>0.10670254101342187</v>
      </c>
      <c r="V5010" t="s">
        <v>157</v>
      </c>
    </row>
    <row r="5011" spans="19:22" x14ac:dyDescent="0.45">
      <c r="S5011" t="s">
        <v>726</v>
      </c>
      <c r="T5011" t="s">
        <v>162</v>
      </c>
      <c r="U5011">
        <v>0.11677270879722237</v>
      </c>
      <c r="V5011" t="s">
        <v>157</v>
      </c>
    </row>
    <row r="5012" spans="19:22" x14ac:dyDescent="0.45">
      <c r="S5012" t="s">
        <v>726</v>
      </c>
      <c r="T5012" t="s">
        <v>163</v>
      </c>
      <c r="U5012">
        <v>0.15687994769282237</v>
      </c>
      <c r="V5012" t="s">
        <v>157</v>
      </c>
    </row>
    <row r="5013" spans="19:22" x14ac:dyDescent="0.45">
      <c r="S5013" t="s">
        <v>726</v>
      </c>
      <c r="T5013" t="s">
        <v>164</v>
      </c>
      <c r="U5013">
        <v>1.5658753372819439E-2</v>
      </c>
      <c r="V5013" t="s">
        <v>157</v>
      </c>
    </row>
    <row r="5014" spans="19:22" x14ac:dyDescent="0.45">
      <c r="S5014" t="s">
        <v>726</v>
      </c>
      <c r="T5014" t="s">
        <v>165</v>
      </c>
      <c r="U5014">
        <v>1.5715502122163168E-2</v>
      </c>
      <c r="V5014" t="s">
        <v>157</v>
      </c>
    </row>
    <row r="5015" spans="19:22" x14ac:dyDescent="0.45">
      <c r="S5015" t="s">
        <v>726</v>
      </c>
      <c r="T5015" t="s">
        <v>166</v>
      </c>
      <c r="U5015">
        <v>8.2200076908904129E-2</v>
      </c>
      <c r="V5015" t="s">
        <v>157</v>
      </c>
    </row>
    <row r="5016" spans="19:22" x14ac:dyDescent="0.45">
      <c r="S5016" t="s">
        <v>726</v>
      </c>
      <c r="T5016" t="s">
        <v>167</v>
      </c>
      <c r="U5016">
        <v>3.7539143459271361E-2</v>
      </c>
      <c r="V5016" t="s">
        <v>157</v>
      </c>
    </row>
    <row r="5017" spans="19:22" x14ac:dyDescent="0.45">
      <c r="S5017" t="s">
        <v>726</v>
      </c>
      <c r="T5017" t="s">
        <v>168</v>
      </c>
      <c r="U5017">
        <v>5.8678731747899081E-2</v>
      </c>
      <c r="V5017" t="s">
        <v>157</v>
      </c>
    </row>
    <row r="5018" spans="19:22" x14ac:dyDescent="0.45">
      <c r="S5018" t="s">
        <v>726</v>
      </c>
      <c r="T5018" t="s">
        <v>169</v>
      </c>
      <c r="U5018">
        <v>7.5491049298477423E-3</v>
      </c>
      <c r="V5018" t="s">
        <v>157</v>
      </c>
    </row>
    <row r="5019" spans="19:22" x14ac:dyDescent="0.45">
      <c r="S5019" t="s">
        <v>726</v>
      </c>
      <c r="T5019" t="s">
        <v>170</v>
      </c>
      <c r="U5019">
        <v>7.1676883164006749E-3</v>
      </c>
      <c r="V5019" t="s">
        <v>157</v>
      </c>
    </row>
    <row r="5020" spans="19:22" x14ac:dyDescent="0.45">
      <c r="S5020" t="s">
        <v>726</v>
      </c>
      <c r="T5020" t="s">
        <v>171</v>
      </c>
      <c r="U5020">
        <v>3.1393736425568364E-2</v>
      </c>
      <c r="V5020" t="s">
        <v>157</v>
      </c>
    </row>
    <row r="5021" spans="19:22" x14ac:dyDescent="0.45">
      <c r="S5021" t="s">
        <v>727</v>
      </c>
      <c r="T5021" t="s">
        <v>156</v>
      </c>
      <c r="U5021">
        <v>0.11823962720465843</v>
      </c>
      <c r="V5021" t="s">
        <v>157</v>
      </c>
    </row>
    <row r="5022" spans="19:22" x14ac:dyDescent="0.45">
      <c r="S5022" t="s">
        <v>727</v>
      </c>
      <c r="T5022" t="s">
        <v>158</v>
      </c>
      <c r="U5022">
        <v>0.19627908483369927</v>
      </c>
      <c r="V5022" t="s">
        <v>157</v>
      </c>
    </row>
    <row r="5023" spans="19:22" x14ac:dyDescent="0.45">
      <c r="S5023" t="s">
        <v>727</v>
      </c>
      <c r="T5023" t="s">
        <v>159</v>
      </c>
      <c r="U5023">
        <v>2.1309101951509889E-2</v>
      </c>
      <c r="V5023" t="s">
        <v>157</v>
      </c>
    </row>
    <row r="5024" spans="19:22" x14ac:dyDescent="0.45">
      <c r="S5024" t="s">
        <v>727</v>
      </c>
      <c r="T5024" t="s">
        <v>160</v>
      </c>
      <c r="U5024">
        <v>2.0127360081989093E-2</v>
      </c>
      <c r="V5024" t="s">
        <v>157</v>
      </c>
    </row>
    <row r="5025" spans="19:22" x14ac:dyDescent="0.45">
      <c r="S5025" t="s">
        <v>727</v>
      </c>
      <c r="T5025" t="s">
        <v>161</v>
      </c>
      <c r="U5025">
        <v>8.9605736850987633E-2</v>
      </c>
      <c r="V5025" t="s">
        <v>157</v>
      </c>
    </row>
    <row r="5026" spans="19:22" x14ac:dyDescent="0.45">
      <c r="S5026" t="s">
        <v>727</v>
      </c>
      <c r="T5026" t="s">
        <v>162</v>
      </c>
      <c r="U5026">
        <v>0.12462044634524352</v>
      </c>
      <c r="V5026" t="s">
        <v>157</v>
      </c>
    </row>
    <row r="5027" spans="19:22" x14ac:dyDescent="0.45">
      <c r="S5027" t="s">
        <v>727</v>
      </c>
      <c r="T5027" t="s">
        <v>163</v>
      </c>
      <c r="U5027">
        <v>0.18342088243754107</v>
      </c>
      <c r="V5027" t="s">
        <v>157</v>
      </c>
    </row>
    <row r="5028" spans="19:22" x14ac:dyDescent="0.45">
      <c r="S5028" t="s">
        <v>727</v>
      </c>
      <c r="T5028" t="s">
        <v>164</v>
      </c>
      <c r="U5028">
        <v>1.7770776974622798E-2</v>
      </c>
      <c r="V5028" t="s">
        <v>157</v>
      </c>
    </row>
    <row r="5029" spans="19:22" x14ac:dyDescent="0.45">
      <c r="S5029" t="s">
        <v>727</v>
      </c>
      <c r="T5029" t="s">
        <v>165</v>
      </c>
      <c r="U5029">
        <v>1.7348017875238941E-2</v>
      </c>
      <c r="V5029" t="s">
        <v>157</v>
      </c>
    </row>
    <row r="5030" spans="19:22" x14ac:dyDescent="0.45">
      <c r="S5030" t="s">
        <v>727</v>
      </c>
      <c r="T5030" t="s">
        <v>166</v>
      </c>
      <c r="U5030">
        <v>8.4706547642553587E-2</v>
      </c>
      <c r="V5030" t="s">
        <v>157</v>
      </c>
    </row>
    <row r="5031" spans="19:22" x14ac:dyDescent="0.45">
      <c r="S5031" t="s">
        <v>727</v>
      </c>
      <c r="T5031" t="s">
        <v>167</v>
      </c>
      <c r="U5031">
        <v>3.4505673804471247E-2</v>
      </c>
      <c r="V5031" t="s">
        <v>157</v>
      </c>
    </row>
    <row r="5032" spans="19:22" x14ac:dyDescent="0.45">
      <c r="S5032" t="s">
        <v>727</v>
      </c>
      <c r="T5032" t="s">
        <v>168</v>
      </c>
      <c r="U5032">
        <v>5.5425146139399487E-2</v>
      </c>
      <c r="V5032" t="s">
        <v>157</v>
      </c>
    </row>
    <row r="5033" spans="19:22" x14ac:dyDescent="0.45">
      <c r="S5033" t="s">
        <v>727</v>
      </c>
      <c r="T5033" t="s">
        <v>169</v>
      </c>
      <c r="U5033">
        <v>6.1304945540417346E-3</v>
      </c>
      <c r="V5033" t="s">
        <v>157</v>
      </c>
    </row>
    <row r="5034" spans="19:22" x14ac:dyDescent="0.45">
      <c r="S5034" t="s">
        <v>727</v>
      </c>
      <c r="T5034" t="s">
        <v>170</v>
      </c>
      <c r="U5034">
        <v>5.7120611901611898E-3</v>
      </c>
      <c r="V5034" t="s">
        <v>157</v>
      </c>
    </row>
    <row r="5035" spans="19:22" x14ac:dyDescent="0.45">
      <c r="S5035" t="s">
        <v>727</v>
      </c>
      <c r="T5035" t="s">
        <v>171</v>
      </c>
      <c r="U5035">
        <v>2.4799042113882119E-2</v>
      </c>
      <c r="V5035" t="s">
        <v>157</v>
      </c>
    </row>
    <row r="5036" spans="19:22" x14ac:dyDescent="0.45">
      <c r="S5036" t="s">
        <v>728</v>
      </c>
      <c r="T5036" t="s">
        <v>156</v>
      </c>
      <c r="U5036">
        <v>0.11155983981974235</v>
      </c>
      <c r="V5036" t="s">
        <v>157</v>
      </c>
    </row>
    <row r="5037" spans="19:22" x14ac:dyDescent="0.45">
      <c r="S5037" t="s">
        <v>728</v>
      </c>
      <c r="T5037" t="s">
        <v>158</v>
      </c>
      <c r="U5037">
        <v>0.20498127904767649</v>
      </c>
      <c r="V5037" t="s">
        <v>157</v>
      </c>
    </row>
    <row r="5038" spans="19:22" x14ac:dyDescent="0.45">
      <c r="S5038" t="s">
        <v>728</v>
      </c>
      <c r="T5038" t="s">
        <v>159</v>
      </c>
      <c r="U5038">
        <v>2.023768444135909E-2</v>
      </c>
      <c r="V5038" t="s">
        <v>157</v>
      </c>
    </row>
    <row r="5039" spans="19:22" x14ac:dyDescent="0.45">
      <c r="S5039" t="s">
        <v>728</v>
      </c>
      <c r="T5039" t="s">
        <v>160</v>
      </c>
      <c r="U5039">
        <v>1.8696133744318832E-2</v>
      </c>
      <c r="V5039" t="s">
        <v>157</v>
      </c>
    </row>
    <row r="5040" spans="19:22" x14ac:dyDescent="0.45">
      <c r="S5040" t="s">
        <v>728</v>
      </c>
      <c r="T5040" t="s">
        <v>161</v>
      </c>
      <c r="U5040">
        <v>8.1574451012082758E-2</v>
      </c>
      <c r="V5040" t="s">
        <v>157</v>
      </c>
    </row>
    <row r="5041" spans="19:22" x14ac:dyDescent="0.45">
      <c r="S5041" t="s">
        <v>728</v>
      </c>
      <c r="T5041" t="s">
        <v>162</v>
      </c>
      <c r="U5041">
        <v>0.11213692528235576</v>
      </c>
      <c r="V5041" t="s">
        <v>157</v>
      </c>
    </row>
    <row r="5042" spans="19:22" x14ac:dyDescent="0.45">
      <c r="S5042" t="s">
        <v>728</v>
      </c>
      <c r="T5042" t="s">
        <v>163</v>
      </c>
      <c r="U5042">
        <v>0.20376154116356845</v>
      </c>
      <c r="V5042" t="s">
        <v>157</v>
      </c>
    </row>
    <row r="5043" spans="19:22" x14ac:dyDescent="0.45">
      <c r="S5043" t="s">
        <v>728</v>
      </c>
      <c r="T5043" t="s">
        <v>164</v>
      </c>
      <c r="U5043">
        <v>1.8729159308314224E-2</v>
      </c>
      <c r="V5043" t="s">
        <v>157</v>
      </c>
    </row>
    <row r="5044" spans="19:22" x14ac:dyDescent="0.45">
      <c r="S5044" t="s">
        <v>728</v>
      </c>
      <c r="T5044" t="s">
        <v>165</v>
      </c>
      <c r="U5044">
        <v>1.767777981655258E-2</v>
      </c>
      <c r="V5044" t="s">
        <v>157</v>
      </c>
    </row>
    <row r="5045" spans="19:22" x14ac:dyDescent="0.45">
      <c r="S5045" t="s">
        <v>728</v>
      </c>
      <c r="T5045" t="s">
        <v>166</v>
      </c>
      <c r="U5045">
        <v>8.1792511729336201E-2</v>
      </c>
      <c r="V5045" t="s">
        <v>157</v>
      </c>
    </row>
    <row r="5046" spans="19:22" x14ac:dyDescent="0.45">
      <c r="S5046" t="s">
        <v>728</v>
      </c>
      <c r="T5046" t="s">
        <v>167</v>
      </c>
      <c r="U5046">
        <v>3.1476578647696672E-2</v>
      </c>
      <c r="V5046" t="s">
        <v>157</v>
      </c>
    </row>
    <row r="5047" spans="19:22" x14ac:dyDescent="0.45">
      <c r="S5047" t="s">
        <v>728</v>
      </c>
      <c r="T5047" t="s">
        <v>168</v>
      </c>
      <c r="U5047">
        <v>6.0873781303200737E-2</v>
      </c>
      <c r="V5047" t="s">
        <v>157</v>
      </c>
    </row>
    <row r="5048" spans="19:22" x14ac:dyDescent="0.45">
      <c r="S5048" t="s">
        <v>728</v>
      </c>
      <c r="T5048" t="s">
        <v>169</v>
      </c>
      <c r="U5048">
        <v>6.8543304293530978E-3</v>
      </c>
      <c r="V5048" t="s">
        <v>157</v>
      </c>
    </row>
    <row r="5049" spans="19:22" x14ac:dyDescent="0.45">
      <c r="S5049" t="s">
        <v>728</v>
      </c>
      <c r="T5049" t="s">
        <v>170</v>
      </c>
      <c r="U5049">
        <v>5.7727894834458887E-3</v>
      </c>
      <c r="V5049" t="s">
        <v>157</v>
      </c>
    </row>
    <row r="5050" spans="19:22" x14ac:dyDescent="0.45">
      <c r="S5050" t="s">
        <v>728</v>
      </c>
      <c r="T5050" t="s">
        <v>171</v>
      </c>
      <c r="U5050">
        <v>2.3875214770996901E-2</v>
      </c>
      <c r="V5050" t="s">
        <v>157</v>
      </c>
    </row>
    <row r="5051" spans="19:22" x14ac:dyDescent="0.45">
      <c r="S5051" t="s">
        <v>729</v>
      </c>
      <c r="T5051" t="s">
        <v>156</v>
      </c>
      <c r="U5051">
        <v>0.12217826206283078</v>
      </c>
      <c r="V5051" t="s">
        <v>157</v>
      </c>
    </row>
    <row r="5052" spans="19:22" x14ac:dyDescent="0.45">
      <c r="S5052" t="s">
        <v>729</v>
      </c>
      <c r="T5052" t="s">
        <v>158</v>
      </c>
      <c r="U5052">
        <v>0.1778078874699518</v>
      </c>
      <c r="V5052" t="s">
        <v>157</v>
      </c>
    </row>
    <row r="5053" spans="19:22" x14ac:dyDescent="0.45">
      <c r="S5053" t="s">
        <v>729</v>
      </c>
      <c r="T5053" t="s">
        <v>159</v>
      </c>
      <c r="U5053">
        <v>2.0642025711606494E-2</v>
      </c>
      <c r="V5053" t="s">
        <v>157</v>
      </c>
    </row>
    <row r="5054" spans="19:22" x14ac:dyDescent="0.45">
      <c r="S5054" t="s">
        <v>729</v>
      </c>
      <c r="T5054" t="s">
        <v>160</v>
      </c>
      <c r="U5054">
        <v>2.0742413450043129E-2</v>
      </c>
      <c r="V5054" t="s">
        <v>157</v>
      </c>
    </row>
    <row r="5055" spans="19:22" x14ac:dyDescent="0.45">
      <c r="S5055" t="s">
        <v>729</v>
      </c>
      <c r="T5055" t="s">
        <v>161</v>
      </c>
      <c r="U5055">
        <v>9.751881932681554E-2</v>
      </c>
      <c r="V5055" t="s">
        <v>157</v>
      </c>
    </row>
    <row r="5056" spans="19:22" x14ac:dyDescent="0.45">
      <c r="S5056" t="s">
        <v>729</v>
      </c>
      <c r="T5056" t="s">
        <v>162</v>
      </c>
      <c r="U5056">
        <v>0.11539213124791659</v>
      </c>
      <c r="V5056" t="s">
        <v>157</v>
      </c>
    </row>
    <row r="5057" spans="19:22" x14ac:dyDescent="0.45">
      <c r="S5057" t="s">
        <v>729</v>
      </c>
      <c r="T5057" t="s">
        <v>163</v>
      </c>
      <c r="U5057">
        <v>0.17630804592564145</v>
      </c>
      <c r="V5057" t="s">
        <v>157</v>
      </c>
    </row>
    <row r="5058" spans="19:22" x14ac:dyDescent="0.45">
      <c r="S5058" t="s">
        <v>729</v>
      </c>
      <c r="T5058" t="s">
        <v>164</v>
      </c>
      <c r="U5058">
        <v>1.8383782470681852E-2</v>
      </c>
      <c r="V5058" t="s">
        <v>157</v>
      </c>
    </row>
    <row r="5059" spans="19:22" x14ac:dyDescent="0.45">
      <c r="S5059" t="s">
        <v>729</v>
      </c>
      <c r="T5059" t="s">
        <v>165</v>
      </c>
      <c r="U5059">
        <v>1.7972303333582001E-2</v>
      </c>
      <c r="V5059" t="s">
        <v>157</v>
      </c>
    </row>
    <row r="5060" spans="19:22" x14ac:dyDescent="0.45">
      <c r="S5060" t="s">
        <v>729</v>
      </c>
      <c r="T5060" t="s">
        <v>166</v>
      </c>
      <c r="U5060">
        <v>8.7080266136186371E-2</v>
      </c>
      <c r="V5060" t="s">
        <v>157</v>
      </c>
    </row>
    <row r="5061" spans="19:22" x14ac:dyDescent="0.45">
      <c r="S5061" t="s">
        <v>729</v>
      </c>
      <c r="T5061" t="s">
        <v>167</v>
      </c>
      <c r="U5061">
        <v>4.0346173551404907E-2</v>
      </c>
      <c r="V5061" t="s">
        <v>157</v>
      </c>
    </row>
    <row r="5062" spans="19:22" x14ac:dyDescent="0.45">
      <c r="S5062" t="s">
        <v>729</v>
      </c>
      <c r="T5062" t="s">
        <v>168</v>
      </c>
      <c r="U5062">
        <v>6.0500321188993643E-2</v>
      </c>
      <c r="V5062" t="s">
        <v>157</v>
      </c>
    </row>
    <row r="5063" spans="19:22" x14ac:dyDescent="0.45">
      <c r="S5063" t="s">
        <v>729</v>
      </c>
      <c r="T5063" t="s">
        <v>169</v>
      </c>
      <c r="U5063">
        <v>6.8713835741901676E-3</v>
      </c>
      <c r="V5063" t="s">
        <v>157</v>
      </c>
    </row>
    <row r="5064" spans="19:22" x14ac:dyDescent="0.45">
      <c r="S5064" t="s">
        <v>729</v>
      </c>
      <c r="T5064" t="s">
        <v>170</v>
      </c>
      <c r="U5064">
        <v>6.5555009485168386E-3</v>
      </c>
      <c r="V5064" t="s">
        <v>157</v>
      </c>
    </row>
    <row r="5065" spans="19:22" x14ac:dyDescent="0.45">
      <c r="S5065" t="s">
        <v>729</v>
      </c>
      <c r="T5065" t="s">
        <v>171</v>
      </c>
      <c r="U5065">
        <v>3.1700683601638489E-2</v>
      </c>
      <c r="V5065" t="s">
        <v>157</v>
      </c>
    </row>
    <row r="5066" spans="19:22" x14ac:dyDescent="0.45">
      <c r="S5066" t="s">
        <v>730</v>
      </c>
      <c r="T5066" t="s">
        <v>156</v>
      </c>
      <c r="U5066">
        <v>0.14471914235485198</v>
      </c>
      <c r="V5066" t="s">
        <v>157</v>
      </c>
    </row>
    <row r="5067" spans="19:22" x14ac:dyDescent="0.45">
      <c r="S5067" t="s">
        <v>730</v>
      </c>
      <c r="T5067" t="s">
        <v>158</v>
      </c>
      <c r="U5067">
        <v>0.19260880525603163</v>
      </c>
      <c r="V5067" t="s">
        <v>157</v>
      </c>
    </row>
    <row r="5068" spans="19:22" x14ac:dyDescent="0.45">
      <c r="S5068" t="s">
        <v>730</v>
      </c>
      <c r="T5068" t="s">
        <v>159</v>
      </c>
      <c r="U5068">
        <v>2.0212803627875579E-2</v>
      </c>
      <c r="V5068" t="s">
        <v>157</v>
      </c>
    </row>
    <row r="5069" spans="19:22" x14ac:dyDescent="0.45">
      <c r="S5069" t="s">
        <v>730</v>
      </c>
      <c r="T5069" t="s">
        <v>160</v>
      </c>
      <c r="U5069">
        <v>2.0627138071659633E-2</v>
      </c>
      <c r="V5069" t="s">
        <v>157</v>
      </c>
    </row>
    <row r="5070" spans="19:22" x14ac:dyDescent="0.45">
      <c r="S5070" t="s">
        <v>730</v>
      </c>
      <c r="T5070" t="s">
        <v>161</v>
      </c>
      <c r="U5070">
        <v>0.1059668023127686</v>
      </c>
      <c r="V5070" t="s">
        <v>157</v>
      </c>
    </row>
    <row r="5071" spans="19:22" x14ac:dyDescent="0.45">
      <c r="S5071" t="s">
        <v>730</v>
      </c>
      <c r="T5071" t="s">
        <v>162</v>
      </c>
      <c r="U5071">
        <v>0.10975495597763368</v>
      </c>
      <c r="V5071" t="s">
        <v>157</v>
      </c>
    </row>
    <row r="5072" spans="19:22" x14ac:dyDescent="0.45">
      <c r="S5072" t="s">
        <v>730</v>
      </c>
      <c r="T5072" t="s">
        <v>163</v>
      </c>
      <c r="U5072">
        <v>0.15736259549942649</v>
      </c>
      <c r="V5072" t="s">
        <v>157</v>
      </c>
    </row>
    <row r="5073" spans="19:22" x14ac:dyDescent="0.45">
      <c r="S5073" t="s">
        <v>730</v>
      </c>
      <c r="T5073" t="s">
        <v>164</v>
      </c>
      <c r="U5073">
        <v>1.615477954271826E-2</v>
      </c>
      <c r="V5073" t="s">
        <v>157</v>
      </c>
    </row>
    <row r="5074" spans="19:22" x14ac:dyDescent="0.45">
      <c r="S5074" t="s">
        <v>730</v>
      </c>
      <c r="T5074" t="s">
        <v>165</v>
      </c>
      <c r="U5074">
        <v>1.6155018411887028E-2</v>
      </c>
      <c r="V5074" t="s">
        <v>157</v>
      </c>
    </row>
    <row r="5075" spans="19:22" x14ac:dyDescent="0.45">
      <c r="S5075" t="s">
        <v>730</v>
      </c>
      <c r="T5075" t="s">
        <v>166</v>
      </c>
      <c r="U5075">
        <v>7.9072332195487746E-2</v>
      </c>
      <c r="V5075" t="s">
        <v>157</v>
      </c>
    </row>
    <row r="5076" spans="19:22" x14ac:dyDescent="0.45">
      <c r="S5076" t="s">
        <v>730</v>
      </c>
      <c r="T5076" t="s">
        <v>167</v>
      </c>
      <c r="U5076">
        <v>4.2486716409267988E-2</v>
      </c>
      <c r="V5076" t="s">
        <v>157</v>
      </c>
    </row>
    <row r="5077" spans="19:22" x14ac:dyDescent="0.45">
      <c r="S5077" t="s">
        <v>730</v>
      </c>
      <c r="T5077" t="s">
        <v>168</v>
      </c>
      <c r="U5077">
        <v>5.4106796711437005E-2</v>
      </c>
      <c r="V5077" t="s">
        <v>157</v>
      </c>
    </row>
    <row r="5078" spans="19:22" x14ac:dyDescent="0.45">
      <c r="S5078" t="s">
        <v>730</v>
      </c>
      <c r="T5078" t="s">
        <v>169</v>
      </c>
      <c r="U5078">
        <v>5.4225075264318469E-3</v>
      </c>
      <c r="V5078" t="s">
        <v>157</v>
      </c>
    </row>
    <row r="5079" spans="19:22" x14ac:dyDescent="0.45">
      <c r="S5079" t="s">
        <v>730</v>
      </c>
      <c r="T5079" t="s">
        <v>170</v>
      </c>
      <c r="U5079">
        <v>5.4781252823900613E-3</v>
      </c>
      <c r="V5079" t="s">
        <v>157</v>
      </c>
    </row>
    <row r="5080" spans="19:22" x14ac:dyDescent="0.45">
      <c r="S5080" t="s">
        <v>730</v>
      </c>
      <c r="T5080" t="s">
        <v>171</v>
      </c>
      <c r="U5080">
        <v>2.9871480820132468E-2</v>
      </c>
      <c r="V5080" t="s">
        <v>157</v>
      </c>
    </row>
    <row r="5081" spans="19:22" x14ac:dyDescent="0.45">
      <c r="S5081" t="s">
        <v>731</v>
      </c>
      <c r="T5081" t="s">
        <v>156</v>
      </c>
      <c r="U5081">
        <v>0.14604485343487358</v>
      </c>
      <c r="V5081" t="s">
        <v>157</v>
      </c>
    </row>
    <row r="5082" spans="19:22" x14ac:dyDescent="0.45">
      <c r="S5082" t="s">
        <v>731</v>
      </c>
      <c r="T5082" t="s">
        <v>158</v>
      </c>
      <c r="U5082">
        <v>0.19984729214674149</v>
      </c>
      <c r="V5082" t="s">
        <v>157</v>
      </c>
    </row>
    <row r="5083" spans="19:22" x14ac:dyDescent="0.45">
      <c r="S5083" t="s">
        <v>731</v>
      </c>
      <c r="T5083" t="s">
        <v>159</v>
      </c>
      <c r="U5083">
        <v>2.0677636548093625E-2</v>
      </c>
      <c r="V5083" t="s">
        <v>157</v>
      </c>
    </row>
    <row r="5084" spans="19:22" x14ac:dyDescent="0.45">
      <c r="S5084" t="s">
        <v>731</v>
      </c>
      <c r="T5084" t="s">
        <v>160</v>
      </c>
      <c r="U5084">
        <v>2.0823580116375688E-2</v>
      </c>
      <c r="V5084" t="s">
        <v>157</v>
      </c>
    </row>
    <row r="5085" spans="19:22" x14ac:dyDescent="0.45">
      <c r="S5085" t="s">
        <v>731</v>
      </c>
      <c r="T5085" t="s">
        <v>161</v>
      </c>
      <c r="U5085">
        <v>0.10597457068005676</v>
      </c>
      <c r="V5085" t="s">
        <v>157</v>
      </c>
    </row>
    <row r="5086" spans="19:22" x14ac:dyDescent="0.45">
      <c r="S5086" t="s">
        <v>731</v>
      </c>
      <c r="T5086" t="s">
        <v>162</v>
      </c>
      <c r="U5086">
        <v>0.10933455955239321</v>
      </c>
      <c r="V5086" t="s">
        <v>157</v>
      </c>
    </row>
    <row r="5087" spans="19:22" x14ac:dyDescent="0.45">
      <c r="S5087" t="s">
        <v>731</v>
      </c>
      <c r="T5087" t="s">
        <v>163</v>
      </c>
      <c r="U5087">
        <v>0.15407527862113909</v>
      </c>
      <c r="V5087" t="s">
        <v>157</v>
      </c>
    </row>
    <row r="5088" spans="19:22" x14ac:dyDescent="0.45">
      <c r="S5088" t="s">
        <v>731</v>
      </c>
      <c r="T5088" t="s">
        <v>164</v>
      </c>
      <c r="U5088">
        <v>1.574625868867004E-2</v>
      </c>
      <c r="V5088" t="s">
        <v>157</v>
      </c>
    </row>
    <row r="5089" spans="19:22" x14ac:dyDescent="0.45">
      <c r="S5089" t="s">
        <v>731</v>
      </c>
      <c r="T5089" t="s">
        <v>165</v>
      </c>
      <c r="U5089">
        <v>1.5662169155498583E-2</v>
      </c>
      <c r="V5089" t="s">
        <v>157</v>
      </c>
    </row>
    <row r="5090" spans="19:22" x14ac:dyDescent="0.45">
      <c r="S5090" t="s">
        <v>731</v>
      </c>
      <c r="T5090" t="s">
        <v>166</v>
      </c>
      <c r="U5090">
        <v>7.7269318123279154E-2</v>
      </c>
      <c r="V5090" t="s">
        <v>157</v>
      </c>
    </row>
    <row r="5091" spans="19:22" x14ac:dyDescent="0.45">
      <c r="S5091" t="s">
        <v>731</v>
      </c>
      <c r="T5091" t="s">
        <v>167</v>
      </c>
      <c r="U5091">
        <v>4.1878415783436956E-2</v>
      </c>
      <c r="V5091" t="s">
        <v>157</v>
      </c>
    </row>
    <row r="5092" spans="19:22" x14ac:dyDescent="0.45">
      <c r="S5092" t="s">
        <v>731</v>
      </c>
      <c r="T5092" t="s">
        <v>168</v>
      </c>
      <c r="U5092">
        <v>5.3560903827156281E-2</v>
      </c>
      <c r="V5092" t="s">
        <v>157</v>
      </c>
    </row>
    <row r="5093" spans="19:22" x14ac:dyDescent="0.45">
      <c r="S5093" t="s">
        <v>731</v>
      </c>
      <c r="T5093" t="s">
        <v>169</v>
      </c>
      <c r="U5093">
        <v>5.1359384562386194E-3</v>
      </c>
      <c r="V5093" t="s">
        <v>157</v>
      </c>
    </row>
    <row r="5094" spans="19:22" x14ac:dyDescent="0.45">
      <c r="S5094" t="s">
        <v>731</v>
      </c>
      <c r="T5094" t="s">
        <v>170</v>
      </c>
      <c r="U5094">
        <v>5.1464621476960369E-3</v>
      </c>
      <c r="V5094" t="s">
        <v>157</v>
      </c>
    </row>
    <row r="5095" spans="19:22" x14ac:dyDescent="0.45">
      <c r="S5095" t="s">
        <v>731</v>
      </c>
      <c r="T5095" t="s">
        <v>171</v>
      </c>
      <c r="U5095">
        <v>2.8822762718350912E-2</v>
      </c>
      <c r="V5095" t="s">
        <v>157</v>
      </c>
    </row>
    <row r="5096" spans="19:22" x14ac:dyDescent="0.45">
      <c r="S5096" t="s">
        <v>732</v>
      </c>
      <c r="T5096" t="s">
        <v>156</v>
      </c>
      <c r="U5096">
        <v>0.15074641405287587</v>
      </c>
      <c r="V5096" t="s">
        <v>157</v>
      </c>
    </row>
    <row r="5097" spans="19:22" x14ac:dyDescent="0.45">
      <c r="S5097" t="s">
        <v>732</v>
      </c>
      <c r="T5097" t="s">
        <v>158</v>
      </c>
      <c r="U5097">
        <v>0.21360352628023221</v>
      </c>
      <c r="V5097" t="s">
        <v>157</v>
      </c>
    </row>
    <row r="5098" spans="19:22" x14ac:dyDescent="0.45">
      <c r="S5098" t="s">
        <v>732</v>
      </c>
      <c r="T5098" t="s">
        <v>159</v>
      </c>
      <c r="U5098">
        <v>2.0850934798166392E-2</v>
      </c>
      <c r="V5098" t="s">
        <v>157</v>
      </c>
    </row>
    <row r="5099" spans="19:22" x14ac:dyDescent="0.45">
      <c r="S5099" t="s">
        <v>732</v>
      </c>
      <c r="T5099" t="s">
        <v>160</v>
      </c>
      <c r="U5099">
        <v>2.0539369312992016E-2</v>
      </c>
      <c r="V5099" t="s">
        <v>157</v>
      </c>
    </row>
    <row r="5100" spans="19:22" x14ac:dyDescent="0.45">
      <c r="S5100" t="s">
        <v>732</v>
      </c>
      <c r="T5100" t="s">
        <v>161</v>
      </c>
      <c r="U5100">
        <v>0.10145475740619081</v>
      </c>
      <c r="V5100" t="s">
        <v>157</v>
      </c>
    </row>
    <row r="5101" spans="19:22" x14ac:dyDescent="0.45">
      <c r="S5101" t="s">
        <v>732</v>
      </c>
      <c r="T5101" t="s">
        <v>162</v>
      </c>
      <c r="U5101">
        <v>0.10075338782759305</v>
      </c>
      <c r="V5101" t="s">
        <v>157</v>
      </c>
    </row>
    <row r="5102" spans="19:22" x14ac:dyDescent="0.45">
      <c r="S5102" t="s">
        <v>732</v>
      </c>
      <c r="T5102" t="s">
        <v>163</v>
      </c>
      <c r="U5102">
        <v>0.14519949602504012</v>
      </c>
      <c r="V5102" t="s">
        <v>157</v>
      </c>
    </row>
    <row r="5103" spans="19:22" x14ac:dyDescent="0.45">
      <c r="S5103" t="s">
        <v>732</v>
      </c>
      <c r="T5103" t="s">
        <v>164</v>
      </c>
      <c r="U5103">
        <v>1.4908316467892334E-2</v>
      </c>
      <c r="V5103" t="s">
        <v>157</v>
      </c>
    </row>
    <row r="5104" spans="19:22" x14ac:dyDescent="0.45">
      <c r="S5104" t="s">
        <v>732</v>
      </c>
      <c r="T5104" t="s">
        <v>165</v>
      </c>
      <c r="U5104">
        <v>1.4617581033201224E-2</v>
      </c>
      <c r="V5104" t="s">
        <v>157</v>
      </c>
    </row>
    <row r="5105" spans="19:22" x14ac:dyDescent="0.45">
      <c r="S5105" t="s">
        <v>732</v>
      </c>
      <c r="T5105" t="s">
        <v>166</v>
      </c>
      <c r="U5105">
        <v>7.1017119900364772E-2</v>
      </c>
      <c r="V5105" t="s">
        <v>157</v>
      </c>
    </row>
    <row r="5106" spans="19:22" x14ac:dyDescent="0.45">
      <c r="S5106" t="s">
        <v>732</v>
      </c>
      <c r="T5106" t="s">
        <v>167</v>
      </c>
      <c r="U5106">
        <v>4.3946872242452771E-2</v>
      </c>
      <c r="V5106" t="s">
        <v>157</v>
      </c>
    </row>
    <row r="5107" spans="19:22" x14ac:dyDescent="0.45">
      <c r="S5107" t="s">
        <v>732</v>
      </c>
      <c r="T5107" t="s">
        <v>168</v>
      </c>
      <c r="U5107">
        <v>6.0609722099034744E-2</v>
      </c>
      <c r="V5107" t="s">
        <v>157</v>
      </c>
    </row>
    <row r="5108" spans="19:22" x14ac:dyDescent="0.45">
      <c r="S5108" t="s">
        <v>732</v>
      </c>
      <c r="T5108" t="s">
        <v>169</v>
      </c>
      <c r="U5108">
        <v>6.0969629135958353E-3</v>
      </c>
      <c r="V5108" t="s">
        <v>157</v>
      </c>
    </row>
    <row r="5109" spans="19:22" x14ac:dyDescent="0.45">
      <c r="S5109" t="s">
        <v>732</v>
      </c>
      <c r="T5109" t="s">
        <v>170</v>
      </c>
      <c r="U5109">
        <v>5.9595081652459511E-3</v>
      </c>
      <c r="V5109" t="s">
        <v>157</v>
      </c>
    </row>
    <row r="5110" spans="19:22" x14ac:dyDescent="0.45">
      <c r="S5110" t="s">
        <v>732</v>
      </c>
      <c r="T5110" t="s">
        <v>171</v>
      </c>
      <c r="U5110">
        <v>2.9696031475121967E-2</v>
      </c>
      <c r="V5110" t="s">
        <v>157</v>
      </c>
    </row>
    <row r="5111" spans="19:22" x14ac:dyDescent="0.45">
      <c r="S5111" t="s">
        <v>733</v>
      </c>
      <c r="T5111" t="s">
        <v>156</v>
      </c>
      <c r="U5111">
        <v>0.1497806727139035</v>
      </c>
      <c r="V5111" t="s">
        <v>157</v>
      </c>
    </row>
    <row r="5112" spans="19:22" x14ac:dyDescent="0.45">
      <c r="S5112" t="s">
        <v>733</v>
      </c>
      <c r="T5112" t="s">
        <v>158</v>
      </c>
      <c r="U5112">
        <v>0.2124751992175215</v>
      </c>
      <c r="V5112" t="s">
        <v>157</v>
      </c>
    </row>
    <row r="5113" spans="19:22" x14ac:dyDescent="0.45">
      <c r="S5113" t="s">
        <v>733</v>
      </c>
      <c r="T5113" t="s">
        <v>159</v>
      </c>
      <c r="U5113">
        <v>2.0894987738773799E-2</v>
      </c>
      <c r="V5113" t="s">
        <v>157</v>
      </c>
    </row>
    <row r="5114" spans="19:22" x14ac:dyDescent="0.45">
      <c r="S5114" t="s">
        <v>733</v>
      </c>
      <c r="T5114" t="s">
        <v>160</v>
      </c>
      <c r="U5114">
        <v>2.0604535686204031E-2</v>
      </c>
      <c r="V5114" t="s">
        <v>157</v>
      </c>
    </row>
    <row r="5115" spans="19:22" x14ac:dyDescent="0.45">
      <c r="S5115" t="s">
        <v>733</v>
      </c>
      <c r="T5115" t="s">
        <v>161</v>
      </c>
      <c r="U5115">
        <v>0.10112086572094972</v>
      </c>
      <c r="V5115" t="s">
        <v>157</v>
      </c>
    </row>
    <row r="5116" spans="19:22" x14ac:dyDescent="0.45">
      <c r="S5116" t="s">
        <v>733</v>
      </c>
      <c r="T5116" t="s">
        <v>162</v>
      </c>
      <c r="U5116">
        <v>0.10139912501801981</v>
      </c>
      <c r="V5116" t="s">
        <v>157</v>
      </c>
    </row>
    <row r="5117" spans="19:22" x14ac:dyDescent="0.45">
      <c r="S5117" t="s">
        <v>733</v>
      </c>
      <c r="T5117" t="s">
        <v>163</v>
      </c>
      <c r="U5117">
        <v>0.14676792215272577</v>
      </c>
      <c r="V5117" t="s">
        <v>157</v>
      </c>
    </row>
    <row r="5118" spans="19:22" x14ac:dyDescent="0.45">
      <c r="S5118" t="s">
        <v>733</v>
      </c>
      <c r="T5118" t="s">
        <v>164</v>
      </c>
      <c r="U5118">
        <v>1.4981927729734388E-2</v>
      </c>
      <c r="V5118" t="s">
        <v>157</v>
      </c>
    </row>
    <row r="5119" spans="19:22" x14ac:dyDescent="0.45">
      <c r="S5119" t="s">
        <v>733</v>
      </c>
      <c r="T5119" t="s">
        <v>165</v>
      </c>
      <c r="U5119">
        <v>1.4606695560844015E-2</v>
      </c>
      <c r="V5119" t="s">
        <v>157</v>
      </c>
    </row>
    <row r="5120" spans="19:22" x14ac:dyDescent="0.45">
      <c r="S5120" t="s">
        <v>733</v>
      </c>
      <c r="T5120" t="s">
        <v>166</v>
      </c>
      <c r="U5120">
        <v>7.1074283729339049E-2</v>
      </c>
      <c r="V5120" t="s">
        <v>157</v>
      </c>
    </row>
    <row r="5121" spans="19:22" x14ac:dyDescent="0.45">
      <c r="S5121" t="s">
        <v>733</v>
      </c>
      <c r="T5121" t="s">
        <v>167</v>
      </c>
      <c r="U5121">
        <v>4.4338474635993837E-2</v>
      </c>
      <c r="V5121" t="s">
        <v>157</v>
      </c>
    </row>
    <row r="5122" spans="19:22" x14ac:dyDescent="0.45">
      <c r="S5122" t="s">
        <v>733</v>
      </c>
      <c r="T5122" t="s">
        <v>168</v>
      </c>
      <c r="U5122">
        <v>6.0826583266873076E-2</v>
      </c>
      <c r="V5122" t="s">
        <v>157</v>
      </c>
    </row>
    <row r="5123" spans="19:22" x14ac:dyDescent="0.45">
      <c r="S5123" t="s">
        <v>733</v>
      </c>
      <c r="T5123" t="s">
        <v>169</v>
      </c>
      <c r="U5123">
        <v>5.9345650330003517E-3</v>
      </c>
      <c r="V5123" t="s">
        <v>157</v>
      </c>
    </row>
    <row r="5124" spans="19:22" x14ac:dyDescent="0.45">
      <c r="S5124" t="s">
        <v>733</v>
      </c>
      <c r="T5124" t="s">
        <v>170</v>
      </c>
      <c r="U5124">
        <v>5.8388977633376804E-3</v>
      </c>
      <c r="V5124" t="s">
        <v>157</v>
      </c>
    </row>
    <row r="5125" spans="19:22" x14ac:dyDescent="0.45">
      <c r="S5125" t="s">
        <v>733</v>
      </c>
      <c r="T5125" t="s">
        <v>171</v>
      </c>
      <c r="U5125">
        <v>2.9355264032779518E-2</v>
      </c>
      <c r="V5125" t="s">
        <v>157</v>
      </c>
    </row>
    <row r="5126" spans="19:22" x14ac:dyDescent="0.45">
      <c r="S5126" t="s">
        <v>734</v>
      </c>
      <c r="T5126" t="s">
        <v>156</v>
      </c>
      <c r="U5126">
        <v>0.14793875897406164</v>
      </c>
      <c r="V5126" t="s">
        <v>157</v>
      </c>
    </row>
    <row r="5127" spans="19:22" x14ac:dyDescent="0.45">
      <c r="S5127" t="s">
        <v>734</v>
      </c>
      <c r="T5127" t="s">
        <v>158</v>
      </c>
      <c r="U5127">
        <v>0.21087912281329632</v>
      </c>
      <c r="V5127" t="s">
        <v>157</v>
      </c>
    </row>
    <row r="5128" spans="19:22" x14ac:dyDescent="0.45">
      <c r="S5128" t="s">
        <v>734</v>
      </c>
      <c r="T5128" t="s">
        <v>159</v>
      </c>
      <c r="U5128">
        <v>2.1094125744073482E-2</v>
      </c>
      <c r="V5128" t="s">
        <v>157</v>
      </c>
    </row>
    <row r="5129" spans="19:22" x14ac:dyDescent="0.45">
      <c r="S5129" t="s">
        <v>734</v>
      </c>
      <c r="T5129" t="s">
        <v>160</v>
      </c>
      <c r="U5129">
        <v>2.0781822510092838E-2</v>
      </c>
      <c r="V5129" t="s">
        <v>157</v>
      </c>
    </row>
    <row r="5130" spans="19:22" x14ac:dyDescent="0.45">
      <c r="S5130" t="s">
        <v>734</v>
      </c>
      <c r="T5130" t="s">
        <v>161</v>
      </c>
      <c r="U5130">
        <v>0.1013986286211435</v>
      </c>
      <c r="V5130" t="s">
        <v>157</v>
      </c>
    </row>
    <row r="5131" spans="19:22" x14ac:dyDescent="0.45">
      <c r="S5131" t="s">
        <v>734</v>
      </c>
      <c r="T5131" t="s">
        <v>162</v>
      </c>
      <c r="U5131">
        <v>0.10147252670909887</v>
      </c>
      <c r="V5131" t="s">
        <v>157</v>
      </c>
    </row>
    <row r="5132" spans="19:22" x14ac:dyDescent="0.45">
      <c r="S5132" t="s">
        <v>734</v>
      </c>
      <c r="T5132" t="s">
        <v>163</v>
      </c>
      <c r="U5132">
        <v>0.1477893230114988</v>
      </c>
      <c r="V5132" t="s">
        <v>157</v>
      </c>
    </row>
    <row r="5133" spans="19:22" x14ac:dyDescent="0.45">
      <c r="S5133" t="s">
        <v>734</v>
      </c>
      <c r="T5133" t="s">
        <v>164</v>
      </c>
      <c r="U5133">
        <v>1.4955287620111519E-2</v>
      </c>
      <c r="V5133" t="s">
        <v>157</v>
      </c>
    </row>
    <row r="5134" spans="19:22" x14ac:dyDescent="0.45">
      <c r="S5134" t="s">
        <v>734</v>
      </c>
      <c r="T5134" t="s">
        <v>165</v>
      </c>
      <c r="U5134">
        <v>1.4630050433862356E-2</v>
      </c>
      <c r="V5134" t="s">
        <v>157</v>
      </c>
    </row>
    <row r="5135" spans="19:22" x14ac:dyDescent="0.45">
      <c r="S5135" t="s">
        <v>734</v>
      </c>
      <c r="T5135" t="s">
        <v>166</v>
      </c>
      <c r="U5135">
        <v>7.1441298050226712E-2</v>
      </c>
      <c r="V5135" t="s">
        <v>157</v>
      </c>
    </row>
    <row r="5136" spans="19:22" x14ac:dyDescent="0.45">
      <c r="S5136" t="s">
        <v>734</v>
      </c>
      <c r="T5136" t="s">
        <v>167</v>
      </c>
      <c r="U5136">
        <v>4.5138294784406063E-2</v>
      </c>
      <c r="V5136" t="s">
        <v>157</v>
      </c>
    </row>
    <row r="5137" spans="19:22" x14ac:dyDescent="0.45">
      <c r="S5137" t="s">
        <v>734</v>
      </c>
      <c r="T5137" t="s">
        <v>168</v>
      </c>
      <c r="U5137">
        <v>6.1450623847656392E-2</v>
      </c>
      <c r="V5137" t="s">
        <v>157</v>
      </c>
    </row>
    <row r="5138" spans="19:22" x14ac:dyDescent="0.45">
      <c r="S5138" t="s">
        <v>734</v>
      </c>
      <c r="T5138" t="s">
        <v>169</v>
      </c>
      <c r="U5138">
        <v>5.8747057037608595E-3</v>
      </c>
      <c r="V5138" t="s">
        <v>157</v>
      </c>
    </row>
    <row r="5139" spans="19:22" x14ac:dyDescent="0.45">
      <c r="S5139" t="s">
        <v>734</v>
      </c>
      <c r="T5139" t="s">
        <v>170</v>
      </c>
      <c r="U5139">
        <v>5.8037157714907325E-3</v>
      </c>
      <c r="V5139" t="s">
        <v>157</v>
      </c>
    </row>
    <row r="5140" spans="19:22" x14ac:dyDescent="0.45">
      <c r="S5140" t="s">
        <v>734</v>
      </c>
      <c r="T5140" t="s">
        <v>171</v>
      </c>
      <c r="U5140">
        <v>2.9351715405219924E-2</v>
      </c>
      <c r="V5140" t="s">
        <v>157</v>
      </c>
    </row>
    <row r="5141" spans="19:22" x14ac:dyDescent="0.45">
      <c r="S5141" t="s">
        <v>735</v>
      </c>
      <c r="T5141" t="s">
        <v>156</v>
      </c>
      <c r="U5141">
        <v>0.14576697278663961</v>
      </c>
      <c r="V5141" t="s">
        <v>157</v>
      </c>
    </row>
    <row r="5142" spans="19:22" x14ac:dyDescent="0.45">
      <c r="S5142" t="s">
        <v>735</v>
      </c>
      <c r="T5142" t="s">
        <v>158</v>
      </c>
      <c r="U5142">
        <v>0.20917262137532969</v>
      </c>
      <c r="V5142" t="s">
        <v>157</v>
      </c>
    </row>
    <row r="5143" spans="19:22" x14ac:dyDescent="0.45">
      <c r="S5143" t="s">
        <v>735</v>
      </c>
      <c r="T5143" t="s">
        <v>159</v>
      </c>
      <c r="U5143">
        <v>2.11734848582029E-2</v>
      </c>
      <c r="V5143" t="s">
        <v>157</v>
      </c>
    </row>
    <row r="5144" spans="19:22" x14ac:dyDescent="0.45">
      <c r="S5144" t="s">
        <v>735</v>
      </c>
      <c r="T5144" t="s">
        <v>160</v>
      </c>
      <c r="U5144">
        <v>2.092454307222515E-2</v>
      </c>
      <c r="V5144" t="s">
        <v>157</v>
      </c>
    </row>
    <row r="5145" spans="19:22" x14ac:dyDescent="0.45">
      <c r="S5145" t="s">
        <v>735</v>
      </c>
      <c r="T5145" t="s">
        <v>161</v>
      </c>
      <c r="U5145">
        <v>0.10175130097042526</v>
      </c>
      <c r="V5145" t="s">
        <v>157</v>
      </c>
    </row>
    <row r="5146" spans="19:22" x14ac:dyDescent="0.45">
      <c r="S5146" t="s">
        <v>735</v>
      </c>
      <c r="T5146" t="s">
        <v>162</v>
      </c>
      <c r="U5146">
        <v>0.1017223789285307</v>
      </c>
      <c r="V5146" t="s">
        <v>157</v>
      </c>
    </row>
    <row r="5147" spans="19:22" x14ac:dyDescent="0.45">
      <c r="S5147" t="s">
        <v>735</v>
      </c>
      <c r="T5147" t="s">
        <v>163</v>
      </c>
      <c r="U5147">
        <v>0.14871602563001265</v>
      </c>
      <c r="V5147" t="s">
        <v>157</v>
      </c>
    </row>
    <row r="5148" spans="19:22" x14ac:dyDescent="0.45">
      <c r="S5148" t="s">
        <v>735</v>
      </c>
      <c r="T5148" t="s">
        <v>164</v>
      </c>
      <c r="U5148">
        <v>1.4847678376269552E-2</v>
      </c>
      <c r="V5148" t="s">
        <v>157</v>
      </c>
    </row>
    <row r="5149" spans="19:22" x14ac:dyDescent="0.45">
      <c r="S5149" t="s">
        <v>735</v>
      </c>
      <c r="T5149" t="s">
        <v>165</v>
      </c>
      <c r="U5149">
        <v>1.4620840216265732E-2</v>
      </c>
      <c r="V5149" t="s">
        <v>157</v>
      </c>
    </row>
    <row r="5150" spans="19:22" x14ac:dyDescent="0.45">
      <c r="S5150" t="s">
        <v>735</v>
      </c>
      <c r="T5150" t="s">
        <v>166</v>
      </c>
      <c r="U5150">
        <v>7.2066647942392759E-2</v>
      </c>
      <c r="V5150" t="s">
        <v>157</v>
      </c>
    </row>
    <row r="5151" spans="19:22" x14ac:dyDescent="0.45">
      <c r="S5151" t="s">
        <v>735</v>
      </c>
      <c r="T5151" t="s">
        <v>167</v>
      </c>
      <c r="U5151">
        <v>4.5673873140838817E-2</v>
      </c>
      <c r="V5151" t="s">
        <v>157</v>
      </c>
    </row>
    <row r="5152" spans="19:22" x14ac:dyDescent="0.45">
      <c r="S5152" t="s">
        <v>735</v>
      </c>
      <c r="T5152" t="s">
        <v>168</v>
      </c>
      <c r="U5152">
        <v>6.2119445698040163E-2</v>
      </c>
      <c r="V5152" t="s">
        <v>157</v>
      </c>
    </row>
    <row r="5153" spans="19:22" x14ac:dyDescent="0.45">
      <c r="S5153" t="s">
        <v>735</v>
      </c>
      <c r="T5153" t="s">
        <v>169</v>
      </c>
      <c r="U5153">
        <v>5.9722876930988333E-3</v>
      </c>
      <c r="V5153" t="s">
        <v>157</v>
      </c>
    </row>
    <row r="5154" spans="19:22" x14ac:dyDescent="0.45">
      <c r="S5154" t="s">
        <v>735</v>
      </c>
      <c r="T5154" t="s">
        <v>170</v>
      </c>
      <c r="U5154">
        <v>5.9013968636625553E-3</v>
      </c>
      <c r="V5154" t="s">
        <v>157</v>
      </c>
    </row>
    <row r="5155" spans="19:22" x14ac:dyDescent="0.45">
      <c r="S5155" t="s">
        <v>735</v>
      </c>
      <c r="T5155" t="s">
        <v>171</v>
      </c>
      <c r="U5155">
        <v>2.9570502448065583E-2</v>
      </c>
      <c r="V5155" t="s">
        <v>157</v>
      </c>
    </row>
    <row r="5156" spans="19:22" x14ac:dyDescent="0.45">
      <c r="S5156" t="s">
        <v>736</v>
      </c>
      <c r="T5156" t="s">
        <v>156</v>
      </c>
      <c r="U5156">
        <v>0.1437917337196675</v>
      </c>
      <c r="V5156" t="s">
        <v>157</v>
      </c>
    </row>
    <row r="5157" spans="19:22" x14ac:dyDescent="0.45">
      <c r="S5157" t="s">
        <v>736</v>
      </c>
      <c r="T5157" t="s">
        <v>158</v>
      </c>
      <c r="U5157">
        <v>0.20741361995694485</v>
      </c>
      <c r="V5157" t="s">
        <v>157</v>
      </c>
    </row>
    <row r="5158" spans="19:22" x14ac:dyDescent="0.45">
      <c r="S5158" t="s">
        <v>736</v>
      </c>
      <c r="T5158" t="s">
        <v>159</v>
      </c>
      <c r="U5158">
        <v>2.0893517287278347E-2</v>
      </c>
      <c r="V5158" t="s">
        <v>157</v>
      </c>
    </row>
    <row r="5159" spans="19:22" x14ac:dyDescent="0.45">
      <c r="S5159" t="s">
        <v>736</v>
      </c>
      <c r="T5159" t="s">
        <v>160</v>
      </c>
      <c r="U5159">
        <v>2.087645002464052E-2</v>
      </c>
      <c r="V5159" t="s">
        <v>157</v>
      </c>
    </row>
    <row r="5160" spans="19:22" x14ac:dyDescent="0.45">
      <c r="S5160" t="s">
        <v>736</v>
      </c>
      <c r="T5160" t="s">
        <v>161</v>
      </c>
      <c r="U5160">
        <v>0.10154773371660315</v>
      </c>
      <c r="V5160" t="s">
        <v>157</v>
      </c>
    </row>
    <row r="5161" spans="19:22" x14ac:dyDescent="0.45">
      <c r="S5161" t="s">
        <v>736</v>
      </c>
      <c r="T5161" t="s">
        <v>162</v>
      </c>
      <c r="U5161">
        <v>0.10302845402870205</v>
      </c>
      <c r="V5161" t="s">
        <v>157</v>
      </c>
    </row>
    <row r="5162" spans="19:22" x14ac:dyDescent="0.45">
      <c r="S5162" t="s">
        <v>736</v>
      </c>
      <c r="T5162" t="s">
        <v>163</v>
      </c>
      <c r="U5162">
        <v>0.14998186163102734</v>
      </c>
      <c r="V5162" t="s">
        <v>157</v>
      </c>
    </row>
    <row r="5163" spans="19:22" x14ac:dyDescent="0.45">
      <c r="S5163" t="s">
        <v>736</v>
      </c>
      <c r="T5163" t="s">
        <v>164</v>
      </c>
      <c r="U5163">
        <v>1.4764146374935495E-2</v>
      </c>
      <c r="V5163" t="s">
        <v>157</v>
      </c>
    </row>
    <row r="5164" spans="19:22" x14ac:dyDescent="0.45">
      <c r="S5164" t="s">
        <v>736</v>
      </c>
      <c r="T5164" t="s">
        <v>165</v>
      </c>
      <c r="U5164">
        <v>1.4542992103774476E-2</v>
      </c>
      <c r="V5164" t="s">
        <v>157</v>
      </c>
    </row>
    <row r="5165" spans="19:22" x14ac:dyDescent="0.45">
      <c r="S5165" t="s">
        <v>736</v>
      </c>
      <c r="T5165" t="s">
        <v>166</v>
      </c>
      <c r="U5165">
        <v>7.2551033798267314E-2</v>
      </c>
      <c r="V5165" t="s">
        <v>157</v>
      </c>
    </row>
    <row r="5166" spans="19:22" x14ac:dyDescent="0.45">
      <c r="S5166" t="s">
        <v>736</v>
      </c>
      <c r="T5166" t="s">
        <v>167</v>
      </c>
      <c r="U5166">
        <v>4.570111041362164E-2</v>
      </c>
      <c r="V5166" t="s">
        <v>157</v>
      </c>
    </row>
    <row r="5167" spans="19:22" x14ac:dyDescent="0.45">
      <c r="S5167" t="s">
        <v>736</v>
      </c>
      <c r="T5167" t="s">
        <v>168</v>
      </c>
      <c r="U5167">
        <v>6.2599216320664661E-2</v>
      </c>
      <c r="V5167" t="s">
        <v>157</v>
      </c>
    </row>
    <row r="5168" spans="19:22" x14ac:dyDescent="0.45">
      <c r="S5168" t="s">
        <v>736</v>
      </c>
      <c r="T5168" t="s">
        <v>169</v>
      </c>
      <c r="U5168">
        <v>6.1620299273572321E-3</v>
      </c>
      <c r="V5168" t="s">
        <v>157</v>
      </c>
    </row>
    <row r="5169" spans="19:22" x14ac:dyDescent="0.45">
      <c r="S5169" t="s">
        <v>736</v>
      </c>
      <c r="T5169" t="s">
        <v>170</v>
      </c>
      <c r="U5169">
        <v>6.1060578339348134E-3</v>
      </c>
      <c r="V5169" t="s">
        <v>157</v>
      </c>
    </row>
    <row r="5170" spans="19:22" x14ac:dyDescent="0.45">
      <c r="S5170" t="s">
        <v>736</v>
      </c>
      <c r="T5170" t="s">
        <v>171</v>
      </c>
      <c r="U5170">
        <v>3.0040042862580624E-2</v>
      </c>
      <c r="V5170" t="s">
        <v>157</v>
      </c>
    </row>
    <row r="5171" spans="19:22" x14ac:dyDescent="0.45">
      <c r="S5171" t="s">
        <v>737</v>
      </c>
      <c r="T5171" t="s">
        <v>156</v>
      </c>
      <c r="U5171">
        <v>0.14204910668563159</v>
      </c>
      <c r="V5171" t="s">
        <v>157</v>
      </c>
    </row>
    <row r="5172" spans="19:22" x14ac:dyDescent="0.45">
      <c r="S5172" t="s">
        <v>737</v>
      </c>
      <c r="T5172" t="s">
        <v>158</v>
      </c>
      <c r="U5172">
        <v>0.20547793493573047</v>
      </c>
      <c r="V5172" t="s">
        <v>157</v>
      </c>
    </row>
    <row r="5173" spans="19:22" x14ac:dyDescent="0.45">
      <c r="S5173" t="s">
        <v>737</v>
      </c>
      <c r="T5173" t="s">
        <v>159</v>
      </c>
      <c r="U5173">
        <v>2.0586654624610078E-2</v>
      </c>
      <c r="V5173" t="s">
        <v>157</v>
      </c>
    </row>
    <row r="5174" spans="19:22" x14ac:dyDescent="0.45">
      <c r="S5174" t="s">
        <v>737</v>
      </c>
      <c r="T5174" t="s">
        <v>160</v>
      </c>
      <c r="U5174">
        <v>2.0570689476763281E-2</v>
      </c>
      <c r="V5174" t="s">
        <v>157</v>
      </c>
    </row>
    <row r="5175" spans="19:22" x14ac:dyDescent="0.45">
      <c r="S5175" t="s">
        <v>737</v>
      </c>
      <c r="T5175" t="s">
        <v>161</v>
      </c>
      <c r="U5175">
        <v>0.10095540797431257</v>
      </c>
      <c r="V5175" t="s">
        <v>157</v>
      </c>
    </row>
    <row r="5176" spans="19:22" x14ac:dyDescent="0.45">
      <c r="S5176" t="s">
        <v>737</v>
      </c>
      <c r="T5176" t="s">
        <v>162</v>
      </c>
      <c r="U5176">
        <v>0.10499991841212028</v>
      </c>
      <c r="V5176" t="s">
        <v>157</v>
      </c>
    </row>
    <row r="5177" spans="19:22" x14ac:dyDescent="0.45">
      <c r="S5177" t="s">
        <v>737</v>
      </c>
      <c r="T5177" t="s">
        <v>163</v>
      </c>
      <c r="U5177">
        <v>0.15120761599585117</v>
      </c>
      <c r="V5177" t="s">
        <v>157</v>
      </c>
    </row>
    <row r="5178" spans="19:22" x14ac:dyDescent="0.45">
      <c r="S5178" t="s">
        <v>737</v>
      </c>
      <c r="T5178" t="s">
        <v>164</v>
      </c>
      <c r="U5178">
        <v>1.4717505861129613E-2</v>
      </c>
      <c r="V5178" t="s">
        <v>157</v>
      </c>
    </row>
    <row r="5179" spans="19:22" x14ac:dyDescent="0.45">
      <c r="S5179" t="s">
        <v>737</v>
      </c>
      <c r="T5179" t="s">
        <v>165</v>
      </c>
      <c r="U5179">
        <v>1.455131905452862E-2</v>
      </c>
      <c r="V5179" t="s">
        <v>157</v>
      </c>
    </row>
    <row r="5180" spans="19:22" x14ac:dyDescent="0.45">
      <c r="S5180" t="s">
        <v>737</v>
      </c>
      <c r="T5180" t="s">
        <v>166</v>
      </c>
      <c r="U5180">
        <v>7.3031058758037781E-2</v>
      </c>
      <c r="V5180" t="s">
        <v>157</v>
      </c>
    </row>
    <row r="5181" spans="19:22" x14ac:dyDescent="0.45">
      <c r="S5181" t="s">
        <v>737</v>
      </c>
      <c r="T5181" t="s">
        <v>167</v>
      </c>
      <c r="U5181">
        <v>4.5546676826741433E-2</v>
      </c>
      <c r="V5181" t="s">
        <v>157</v>
      </c>
    </row>
    <row r="5182" spans="19:22" x14ac:dyDescent="0.45">
      <c r="S5182" t="s">
        <v>737</v>
      </c>
      <c r="T5182" t="s">
        <v>168</v>
      </c>
      <c r="U5182">
        <v>6.2918131418880918E-2</v>
      </c>
      <c r="V5182" t="s">
        <v>157</v>
      </c>
    </row>
    <row r="5183" spans="19:22" x14ac:dyDescent="0.45">
      <c r="S5183" t="s">
        <v>737</v>
      </c>
      <c r="T5183" t="s">
        <v>169</v>
      </c>
      <c r="U5183">
        <v>6.3260730871010987E-3</v>
      </c>
      <c r="V5183" t="s">
        <v>157</v>
      </c>
    </row>
    <row r="5184" spans="19:22" x14ac:dyDescent="0.45">
      <c r="S5184" t="s">
        <v>737</v>
      </c>
      <c r="T5184" t="s">
        <v>170</v>
      </c>
      <c r="U5184">
        <v>6.3189037552512763E-3</v>
      </c>
      <c r="V5184" t="s">
        <v>157</v>
      </c>
    </row>
    <row r="5185" spans="19:22" x14ac:dyDescent="0.45">
      <c r="S5185" t="s">
        <v>737</v>
      </c>
      <c r="T5185" t="s">
        <v>171</v>
      </c>
      <c r="U5185">
        <v>3.0743003133309708E-2</v>
      </c>
      <c r="V5185" t="s">
        <v>157</v>
      </c>
    </row>
    <row r="5186" spans="19:22" x14ac:dyDescent="0.45">
      <c r="S5186" t="s">
        <v>738</v>
      </c>
      <c r="T5186" t="s">
        <v>156</v>
      </c>
      <c r="U5186">
        <v>0.13784195880100827</v>
      </c>
      <c r="V5186" t="s">
        <v>157</v>
      </c>
    </row>
    <row r="5187" spans="19:22" x14ac:dyDescent="0.45">
      <c r="S5187" t="s">
        <v>738</v>
      </c>
      <c r="T5187" t="s">
        <v>158</v>
      </c>
      <c r="U5187">
        <v>0.19359564285844993</v>
      </c>
      <c r="V5187" t="s">
        <v>157</v>
      </c>
    </row>
    <row r="5188" spans="19:22" x14ac:dyDescent="0.45">
      <c r="S5188" t="s">
        <v>738</v>
      </c>
      <c r="T5188" t="s">
        <v>159</v>
      </c>
      <c r="U5188">
        <v>2.0513396399944921E-2</v>
      </c>
      <c r="V5188" t="s">
        <v>157</v>
      </c>
    </row>
    <row r="5189" spans="19:22" x14ac:dyDescent="0.45">
      <c r="S5189" t="s">
        <v>738</v>
      </c>
      <c r="T5189" t="s">
        <v>160</v>
      </c>
      <c r="U5189">
        <v>2.090722088763541E-2</v>
      </c>
      <c r="V5189" t="s">
        <v>157</v>
      </c>
    </row>
    <row r="5190" spans="19:22" x14ac:dyDescent="0.45">
      <c r="S5190" t="s">
        <v>738</v>
      </c>
      <c r="T5190" t="s">
        <v>161</v>
      </c>
      <c r="U5190">
        <v>0.10647467232077258</v>
      </c>
      <c r="V5190" t="s">
        <v>157</v>
      </c>
    </row>
    <row r="5191" spans="19:22" x14ac:dyDescent="0.45">
      <c r="S5191" t="s">
        <v>738</v>
      </c>
      <c r="T5191" t="s">
        <v>162</v>
      </c>
      <c r="U5191">
        <v>0.10848665672884451</v>
      </c>
      <c r="V5191" t="s">
        <v>157</v>
      </c>
    </row>
    <row r="5192" spans="19:22" x14ac:dyDescent="0.45">
      <c r="S5192" t="s">
        <v>738</v>
      </c>
      <c r="T5192" t="s">
        <v>163</v>
      </c>
      <c r="U5192">
        <v>0.15100085396288446</v>
      </c>
      <c r="V5192" t="s">
        <v>157</v>
      </c>
    </row>
    <row r="5193" spans="19:22" x14ac:dyDescent="0.45">
      <c r="S5193" t="s">
        <v>738</v>
      </c>
      <c r="T5193" t="s">
        <v>164</v>
      </c>
      <c r="U5193">
        <v>1.351503818394131E-2</v>
      </c>
      <c r="V5193" t="s">
        <v>157</v>
      </c>
    </row>
    <row r="5194" spans="19:22" x14ac:dyDescent="0.45">
      <c r="S5194" t="s">
        <v>738</v>
      </c>
      <c r="T5194" t="s">
        <v>165</v>
      </c>
      <c r="U5194">
        <v>1.3696366091090996E-2</v>
      </c>
      <c r="V5194" t="s">
        <v>157</v>
      </c>
    </row>
    <row r="5195" spans="19:22" x14ac:dyDescent="0.45">
      <c r="S5195" t="s">
        <v>738</v>
      </c>
      <c r="T5195" t="s">
        <v>166</v>
      </c>
      <c r="U5195">
        <v>7.3090915749598931E-2</v>
      </c>
      <c r="V5195" t="s">
        <v>157</v>
      </c>
    </row>
    <row r="5196" spans="19:22" x14ac:dyDescent="0.45">
      <c r="S5196" t="s">
        <v>738</v>
      </c>
      <c r="T5196" t="s">
        <v>167</v>
      </c>
      <c r="U5196">
        <v>5.0321563080658646E-2</v>
      </c>
      <c r="V5196" t="s">
        <v>157</v>
      </c>
    </row>
    <row r="5197" spans="19:22" x14ac:dyDescent="0.45">
      <c r="S5197" t="s">
        <v>738</v>
      </c>
      <c r="T5197" t="s">
        <v>168</v>
      </c>
      <c r="U5197">
        <v>6.29039969989693E-2</v>
      </c>
      <c r="V5197" t="s">
        <v>157</v>
      </c>
    </row>
    <row r="5198" spans="19:22" x14ac:dyDescent="0.45">
      <c r="S5198" t="s">
        <v>738</v>
      </c>
      <c r="T5198" t="s">
        <v>169</v>
      </c>
      <c r="U5198">
        <v>6.2142311123299376E-3</v>
      </c>
      <c r="V5198" t="s">
        <v>157</v>
      </c>
    </row>
    <row r="5199" spans="19:22" x14ac:dyDescent="0.45">
      <c r="S5199" t="s">
        <v>738</v>
      </c>
      <c r="T5199" t="s">
        <v>170</v>
      </c>
      <c r="U5199">
        <v>6.5071175578907273E-3</v>
      </c>
      <c r="V5199" t="s">
        <v>157</v>
      </c>
    </row>
    <row r="5200" spans="19:22" x14ac:dyDescent="0.45">
      <c r="S5200" t="s">
        <v>738</v>
      </c>
      <c r="T5200" t="s">
        <v>171</v>
      </c>
      <c r="U5200">
        <v>3.493036926598006E-2</v>
      </c>
      <c r="V5200" t="s">
        <v>157</v>
      </c>
    </row>
    <row r="5201" spans="19:22" x14ac:dyDescent="0.45">
      <c r="S5201" t="s">
        <v>739</v>
      </c>
      <c r="T5201" t="s">
        <v>156</v>
      </c>
      <c r="U5201">
        <v>0.13821464173590206</v>
      </c>
      <c r="V5201" t="s">
        <v>157</v>
      </c>
    </row>
    <row r="5202" spans="19:22" x14ac:dyDescent="0.45">
      <c r="S5202" t="s">
        <v>739</v>
      </c>
      <c r="T5202" t="s">
        <v>158</v>
      </c>
      <c r="U5202">
        <v>0.1950659726527646</v>
      </c>
      <c r="V5202" t="s">
        <v>157</v>
      </c>
    </row>
    <row r="5203" spans="19:22" x14ac:dyDescent="0.45">
      <c r="S5203" t="s">
        <v>739</v>
      </c>
      <c r="T5203" t="s">
        <v>159</v>
      </c>
      <c r="U5203">
        <v>2.1499360093986935E-2</v>
      </c>
      <c r="V5203" t="s">
        <v>157</v>
      </c>
    </row>
    <row r="5204" spans="19:22" x14ac:dyDescent="0.45">
      <c r="S5204" t="s">
        <v>739</v>
      </c>
      <c r="T5204" t="s">
        <v>160</v>
      </c>
      <c r="U5204">
        <v>2.1800431730916128E-2</v>
      </c>
      <c r="V5204" t="s">
        <v>157</v>
      </c>
    </row>
    <row r="5205" spans="19:22" x14ac:dyDescent="0.45">
      <c r="S5205" t="s">
        <v>739</v>
      </c>
      <c r="T5205" t="s">
        <v>161</v>
      </c>
      <c r="U5205">
        <v>0.10896564620671918</v>
      </c>
      <c r="V5205" t="s">
        <v>157</v>
      </c>
    </row>
    <row r="5206" spans="19:22" x14ac:dyDescent="0.45">
      <c r="S5206" t="s">
        <v>739</v>
      </c>
      <c r="T5206" t="s">
        <v>162</v>
      </c>
      <c r="U5206">
        <v>0.10679688853665656</v>
      </c>
      <c r="V5206" t="s">
        <v>157</v>
      </c>
    </row>
    <row r="5207" spans="19:22" x14ac:dyDescent="0.45">
      <c r="S5207" t="s">
        <v>739</v>
      </c>
      <c r="T5207" t="s">
        <v>163</v>
      </c>
      <c r="U5207">
        <v>0.14433488506550493</v>
      </c>
      <c r="V5207" t="s">
        <v>157</v>
      </c>
    </row>
    <row r="5208" spans="19:22" x14ac:dyDescent="0.45">
      <c r="S5208" t="s">
        <v>739</v>
      </c>
      <c r="T5208" t="s">
        <v>164</v>
      </c>
      <c r="U5208">
        <v>1.3731099439656525E-2</v>
      </c>
      <c r="V5208" t="s">
        <v>157</v>
      </c>
    </row>
    <row r="5209" spans="19:22" x14ac:dyDescent="0.45">
      <c r="S5209" t="s">
        <v>739</v>
      </c>
      <c r="T5209" t="s">
        <v>165</v>
      </c>
      <c r="U5209">
        <v>1.3984954964905668E-2</v>
      </c>
      <c r="V5209" t="s">
        <v>157</v>
      </c>
    </row>
    <row r="5210" spans="19:22" x14ac:dyDescent="0.45">
      <c r="S5210" t="s">
        <v>739</v>
      </c>
      <c r="T5210" t="s">
        <v>166</v>
      </c>
      <c r="U5210">
        <v>7.5002290132973479E-2</v>
      </c>
      <c r="V5210" t="s">
        <v>157</v>
      </c>
    </row>
    <row r="5211" spans="19:22" x14ac:dyDescent="0.45">
      <c r="S5211" t="s">
        <v>739</v>
      </c>
      <c r="T5211" t="s">
        <v>167</v>
      </c>
      <c r="U5211">
        <v>4.848374396337099E-2</v>
      </c>
      <c r="V5211" t="s">
        <v>157</v>
      </c>
    </row>
    <row r="5212" spans="19:22" x14ac:dyDescent="0.45">
      <c r="S5212" t="s">
        <v>739</v>
      </c>
      <c r="T5212" t="s">
        <v>168</v>
      </c>
      <c r="U5212">
        <v>6.3011055601483804E-2</v>
      </c>
      <c r="V5212" t="s">
        <v>157</v>
      </c>
    </row>
    <row r="5213" spans="19:22" x14ac:dyDescent="0.45">
      <c r="S5213" t="s">
        <v>739</v>
      </c>
      <c r="T5213" t="s">
        <v>169</v>
      </c>
      <c r="U5213">
        <v>6.612120105877195E-3</v>
      </c>
      <c r="V5213" t="s">
        <v>157</v>
      </c>
    </row>
    <row r="5214" spans="19:22" x14ac:dyDescent="0.45">
      <c r="S5214" t="s">
        <v>739</v>
      </c>
      <c r="T5214" t="s">
        <v>170</v>
      </c>
      <c r="U5214">
        <v>6.837169293900376E-3</v>
      </c>
      <c r="V5214" t="s">
        <v>157</v>
      </c>
    </row>
    <row r="5215" spans="19:22" x14ac:dyDescent="0.45">
      <c r="S5215" t="s">
        <v>739</v>
      </c>
      <c r="T5215" t="s">
        <v>171</v>
      </c>
      <c r="U5215">
        <v>3.5659740475381611E-2</v>
      </c>
      <c r="V5215" t="s">
        <v>157</v>
      </c>
    </row>
    <row r="5216" spans="19:22" x14ac:dyDescent="0.45">
      <c r="S5216" t="s">
        <v>740</v>
      </c>
      <c r="T5216" t="s">
        <v>156</v>
      </c>
      <c r="U5216">
        <v>0.13614135093916624</v>
      </c>
      <c r="V5216" t="s">
        <v>157</v>
      </c>
    </row>
    <row r="5217" spans="19:22" x14ac:dyDescent="0.45">
      <c r="S5217" t="s">
        <v>740</v>
      </c>
      <c r="T5217" t="s">
        <v>158</v>
      </c>
      <c r="U5217">
        <v>0.19884742592080804</v>
      </c>
      <c r="V5217" t="s">
        <v>157</v>
      </c>
    </row>
    <row r="5218" spans="19:22" x14ac:dyDescent="0.45">
      <c r="S5218" t="s">
        <v>740</v>
      </c>
      <c r="T5218" t="s">
        <v>159</v>
      </c>
      <c r="U5218">
        <v>2.3133291213250168E-2</v>
      </c>
      <c r="V5218" t="s">
        <v>157</v>
      </c>
    </row>
    <row r="5219" spans="19:22" x14ac:dyDescent="0.45">
      <c r="S5219" t="s">
        <v>740</v>
      </c>
      <c r="T5219" t="s">
        <v>160</v>
      </c>
      <c r="U5219">
        <v>2.3264947021909649E-2</v>
      </c>
      <c r="V5219" t="s">
        <v>157</v>
      </c>
    </row>
    <row r="5220" spans="19:22" x14ac:dyDescent="0.45">
      <c r="S5220" t="s">
        <v>740</v>
      </c>
      <c r="T5220" t="s">
        <v>161</v>
      </c>
      <c r="U5220">
        <v>0.11210344513707753</v>
      </c>
      <c r="V5220" t="s">
        <v>157</v>
      </c>
    </row>
    <row r="5221" spans="19:22" x14ac:dyDescent="0.45">
      <c r="S5221" t="s">
        <v>740</v>
      </c>
      <c r="T5221" t="s">
        <v>162</v>
      </c>
      <c r="U5221">
        <v>0.1038445068879616</v>
      </c>
      <c r="V5221" t="s">
        <v>157</v>
      </c>
    </row>
    <row r="5222" spans="19:22" x14ac:dyDescent="0.45">
      <c r="S5222" t="s">
        <v>740</v>
      </c>
      <c r="T5222" t="s">
        <v>163</v>
      </c>
      <c r="U5222">
        <v>0.13933805372367711</v>
      </c>
      <c r="V5222" t="s">
        <v>157</v>
      </c>
    </row>
    <row r="5223" spans="19:22" x14ac:dyDescent="0.45">
      <c r="S5223" t="s">
        <v>740</v>
      </c>
      <c r="T5223" t="s">
        <v>164</v>
      </c>
      <c r="U5223">
        <v>1.4177707963112535E-2</v>
      </c>
      <c r="V5223" t="s">
        <v>157</v>
      </c>
    </row>
    <row r="5224" spans="19:22" x14ac:dyDescent="0.45">
      <c r="S5224" t="s">
        <v>740</v>
      </c>
      <c r="T5224" t="s">
        <v>165</v>
      </c>
      <c r="U5224">
        <v>1.4416602077622794E-2</v>
      </c>
      <c r="V5224" t="s">
        <v>157</v>
      </c>
    </row>
    <row r="5225" spans="19:22" x14ac:dyDescent="0.45">
      <c r="S5225" t="s">
        <v>740</v>
      </c>
      <c r="T5225" t="s">
        <v>166</v>
      </c>
      <c r="U5225">
        <v>7.5289643189266273E-2</v>
      </c>
      <c r="V5225" t="s">
        <v>157</v>
      </c>
    </row>
    <row r="5226" spans="19:22" x14ac:dyDescent="0.45">
      <c r="S5226" t="s">
        <v>740</v>
      </c>
      <c r="T5226" t="s">
        <v>167</v>
      </c>
      <c r="U5226">
        <v>4.4919126342897402E-2</v>
      </c>
      <c r="V5226" t="s">
        <v>157</v>
      </c>
    </row>
    <row r="5227" spans="19:22" x14ac:dyDescent="0.45">
      <c r="S5227" t="s">
        <v>740</v>
      </c>
      <c r="T5227" t="s">
        <v>168</v>
      </c>
      <c r="U5227">
        <v>6.4207742800448969E-2</v>
      </c>
      <c r="V5227" t="s">
        <v>157</v>
      </c>
    </row>
    <row r="5228" spans="19:22" x14ac:dyDescent="0.45">
      <c r="S5228" t="s">
        <v>740</v>
      </c>
      <c r="T5228" t="s">
        <v>169</v>
      </c>
      <c r="U5228">
        <v>7.3324565192401936E-3</v>
      </c>
      <c r="V5228" t="s">
        <v>157</v>
      </c>
    </row>
    <row r="5229" spans="19:22" x14ac:dyDescent="0.45">
      <c r="S5229" t="s">
        <v>740</v>
      </c>
      <c r="T5229" t="s">
        <v>170</v>
      </c>
      <c r="U5229">
        <v>7.3099554775944344E-3</v>
      </c>
      <c r="V5229" t="s">
        <v>157</v>
      </c>
    </row>
    <row r="5230" spans="19:22" x14ac:dyDescent="0.45">
      <c r="S5230" t="s">
        <v>740</v>
      </c>
      <c r="T5230" t="s">
        <v>171</v>
      </c>
      <c r="U5230">
        <v>3.5673744785967118E-2</v>
      </c>
      <c r="V5230" t="s">
        <v>157</v>
      </c>
    </row>
    <row r="5231" spans="19:22" x14ac:dyDescent="0.45">
      <c r="S5231" t="s">
        <v>741</v>
      </c>
      <c r="T5231" t="s">
        <v>156</v>
      </c>
      <c r="U5231">
        <v>0.13490959610163403</v>
      </c>
      <c r="V5231" t="s">
        <v>157</v>
      </c>
    </row>
    <row r="5232" spans="19:22" x14ac:dyDescent="0.45">
      <c r="S5232" t="s">
        <v>741</v>
      </c>
      <c r="T5232" t="s">
        <v>158</v>
      </c>
      <c r="U5232">
        <v>0.20445969107632059</v>
      </c>
      <c r="V5232" t="s">
        <v>157</v>
      </c>
    </row>
    <row r="5233" spans="19:22" x14ac:dyDescent="0.45">
      <c r="S5233" t="s">
        <v>741</v>
      </c>
      <c r="T5233" t="s">
        <v>159</v>
      </c>
      <c r="U5233">
        <v>2.4687834470770439E-2</v>
      </c>
      <c r="V5233" t="s">
        <v>157</v>
      </c>
    </row>
    <row r="5234" spans="19:22" x14ac:dyDescent="0.45">
      <c r="S5234" t="s">
        <v>741</v>
      </c>
      <c r="T5234" t="s">
        <v>160</v>
      </c>
      <c r="U5234">
        <v>2.4434601542494196E-2</v>
      </c>
      <c r="V5234" t="s">
        <v>157</v>
      </c>
    </row>
    <row r="5235" spans="19:22" x14ac:dyDescent="0.45">
      <c r="S5235" t="s">
        <v>741</v>
      </c>
      <c r="T5235" t="s">
        <v>161</v>
      </c>
      <c r="U5235">
        <v>0.11183458186220016</v>
      </c>
      <c r="V5235" t="s">
        <v>157</v>
      </c>
    </row>
    <row r="5236" spans="19:22" x14ac:dyDescent="0.45">
      <c r="S5236" t="s">
        <v>741</v>
      </c>
      <c r="T5236" t="s">
        <v>162</v>
      </c>
      <c r="U5236">
        <v>0.10218836097869173</v>
      </c>
      <c r="V5236" t="s">
        <v>157</v>
      </c>
    </row>
    <row r="5237" spans="19:22" x14ac:dyDescent="0.45">
      <c r="S5237" t="s">
        <v>741</v>
      </c>
      <c r="T5237" t="s">
        <v>163</v>
      </c>
      <c r="U5237">
        <v>0.14007755663941238</v>
      </c>
      <c r="V5237" t="s">
        <v>157</v>
      </c>
    </row>
    <row r="5238" spans="19:22" x14ac:dyDescent="0.45">
      <c r="S5238" t="s">
        <v>741</v>
      </c>
      <c r="T5238" t="s">
        <v>164</v>
      </c>
      <c r="U5238">
        <v>1.4834327481768253E-2</v>
      </c>
      <c r="V5238" t="s">
        <v>157</v>
      </c>
    </row>
    <row r="5239" spans="19:22" x14ac:dyDescent="0.45">
      <c r="S5239" t="s">
        <v>741</v>
      </c>
      <c r="T5239" t="s">
        <v>165</v>
      </c>
      <c r="U5239">
        <v>1.4765698500089188E-2</v>
      </c>
      <c r="V5239" t="s">
        <v>157</v>
      </c>
    </row>
    <row r="5240" spans="19:22" x14ac:dyDescent="0.45">
      <c r="S5240" t="s">
        <v>741</v>
      </c>
      <c r="T5240" t="s">
        <v>166</v>
      </c>
      <c r="U5240">
        <v>7.1951648112808617E-2</v>
      </c>
      <c r="V5240" t="s">
        <v>157</v>
      </c>
    </row>
    <row r="5241" spans="19:22" x14ac:dyDescent="0.45">
      <c r="S5241" t="s">
        <v>741</v>
      </c>
      <c r="T5241" t="s">
        <v>167</v>
      </c>
      <c r="U5241">
        <v>4.3430804963805698E-2</v>
      </c>
      <c r="V5241" t="s">
        <v>157</v>
      </c>
    </row>
    <row r="5242" spans="19:22" x14ac:dyDescent="0.45">
      <c r="S5242" t="s">
        <v>741</v>
      </c>
      <c r="T5242" t="s">
        <v>168</v>
      </c>
      <c r="U5242">
        <v>6.4136806964171358E-2</v>
      </c>
      <c r="V5242" t="s">
        <v>157</v>
      </c>
    </row>
    <row r="5243" spans="19:22" x14ac:dyDescent="0.45">
      <c r="S5243" t="s">
        <v>741</v>
      </c>
      <c r="T5243" t="s">
        <v>169</v>
      </c>
      <c r="U5243">
        <v>7.4582848220965132E-3</v>
      </c>
      <c r="V5243" t="s">
        <v>157</v>
      </c>
    </row>
    <row r="5244" spans="19:22" x14ac:dyDescent="0.45">
      <c r="S5244" t="s">
        <v>741</v>
      </c>
      <c r="T5244" t="s">
        <v>170</v>
      </c>
      <c r="U5244">
        <v>7.2141652994567543E-3</v>
      </c>
      <c r="V5244" t="s">
        <v>157</v>
      </c>
    </row>
    <row r="5245" spans="19:22" x14ac:dyDescent="0.45">
      <c r="S5245" t="s">
        <v>741</v>
      </c>
      <c r="T5245" t="s">
        <v>171</v>
      </c>
      <c r="U5245">
        <v>3.3616041184280056E-2</v>
      </c>
      <c r="V5245" t="s">
        <v>157</v>
      </c>
    </row>
    <row r="5246" spans="19:22" x14ac:dyDescent="0.45">
      <c r="S5246" t="s">
        <v>742</v>
      </c>
      <c r="T5246" t="s">
        <v>156</v>
      </c>
      <c r="U5246">
        <v>0.14080958450747361</v>
      </c>
      <c r="V5246" t="s">
        <v>157</v>
      </c>
    </row>
    <row r="5247" spans="19:22" x14ac:dyDescent="0.45">
      <c r="S5247" t="s">
        <v>742</v>
      </c>
      <c r="T5247" t="s">
        <v>158</v>
      </c>
      <c r="U5247">
        <v>0.20983468554811083</v>
      </c>
      <c r="V5247" t="s">
        <v>157</v>
      </c>
    </row>
    <row r="5248" spans="19:22" x14ac:dyDescent="0.45">
      <c r="S5248" t="s">
        <v>742</v>
      </c>
      <c r="T5248" t="s">
        <v>159</v>
      </c>
      <c r="U5248">
        <v>2.3889135349043144E-2</v>
      </c>
      <c r="V5248" t="s">
        <v>157</v>
      </c>
    </row>
    <row r="5249" spans="19:22" x14ac:dyDescent="0.45">
      <c r="S5249" t="s">
        <v>742</v>
      </c>
      <c r="T5249" t="s">
        <v>160</v>
      </c>
      <c r="U5249">
        <v>2.3726242995151765E-2</v>
      </c>
      <c r="V5249" t="s">
        <v>157</v>
      </c>
    </row>
    <row r="5250" spans="19:22" x14ac:dyDescent="0.45">
      <c r="S5250" t="s">
        <v>742</v>
      </c>
      <c r="T5250" t="s">
        <v>161</v>
      </c>
      <c r="U5250">
        <v>0.10994929265236142</v>
      </c>
      <c r="V5250" t="s">
        <v>157</v>
      </c>
    </row>
    <row r="5251" spans="19:22" x14ac:dyDescent="0.45">
      <c r="S5251" t="s">
        <v>742</v>
      </c>
      <c r="T5251" t="s">
        <v>162</v>
      </c>
      <c r="U5251">
        <v>0.10002864322407605</v>
      </c>
      <c r="V5251" t="s">
        <v>157</v>
      </c>
    </row>
    <row r="5252" spans="19:22" x14ac:dyDescent="0.45">
      <c r="S5252" t="s">
        <v>742</v>
      </c>
      <c r="T5252" t="s">
        <v>163</v>
      </c>
      <c r="U5252">
        <v>0.14239413042348528</v>
      </c>
      <c r="V5252" t="s">
        <v>157</v>
      </c>
    </row>
    <row r="5253" spans="19:22" x14ac:dyDescent="0.45">
      <c r="S5253" t="s">
        <v>742</v>
      </c>
      <c r="T5253" t="s">
        <v>164</v>
      </c>
      <c r="U5253">
        <v>1.4826780633170307E-2</v>
      </c>
      <c r="V5253" t="s">
        <v>157</v>
      </c>
    </row>
    <row r="5254" spans="19:22" x14ac:dyDescent="0.45">
      <c r="S5254" t="s">
        <v>742</v>
      </c>
      <c r="T5254" t="s">
        <v>165</v>
      </c>
      <c r="U5254">
        <v>1.4402557827998866E-2</v>
      </c>
      <c r="V5254" t="s">
        <v>157</v>
      </c>
    </row>
    <row r="5255" spans="19:22" x14ac:dyDescent="0.45">
      <c r="S5255" t="s">
        <v>742</v>
      </c>
      <c r="T5255" t="s">
        <v>166</v>
      </c>
      <c r="U5255">
        <v>6.8456825766327806E-2</v>
      </c>
      <c r="V5255" t="s">
        <v>157</v>
      </c>
    </row>
    <row r="5256" spans="19:22" x14ac:dyDescent="0.45">
      <c r="S5256" t="s">
        <v>742</v>
      </c>
      <c r="T5256" t="s">
        <v>167</v>
      </c>
      <c r="U5256">
        <v>4.2910285498954627E-2</v>
      </c>
      <c r="V5256" t="s">
        <v>157</v>
      </c>
    </row>
    <row r="5257" spans="19:22" x14ac:dyDescent="0.45">
      <c r="S5257" t="s">
        <v>742</v>
      </c>
      <c r="T5257" t="s">
        <v>168</v>
      </c>
      <c r="U5257">
        <v>6.3011454039571729E-2</v>
      </c>
      <c r="V5257" t="s">
        <v>157</v>
      </c>
    </row>
    <row r="5258" spans="19:22" x14ac:dyDescent="0.45">
      <c r="S5258" t="s">
        <v>742</v>
      </c>
      <c r="T5258" t="s">
        <v>169</v>
      </c>
      <c r="U5258">
        <v>7.0060044734504114E-3</v>
      </c>
      <c r="V5258" t="s">
        <v>157</v>
      </c>
    </row>
    <row r="5259" spans="19:22" x14ac:dyDescent="0.45">
      <c r="S5259" t="s">
        <v>742</v>
      </c>
      <c r="T5259" t="s">
        <v>170</v>
      </c>
      <c r="U5259">
        <v>6.7264301714835681E-3</v>
      </c>
      <c r="V5259" t="s">
        <v>157</v>
      </c>
    </row>
    <row r="5260" spans="19:22" x14ac:dyDescent="0.45">
      <c r="S5260" t="s">
        <v>742</v>
      </c>
      <c r="T5260" t="s">
        <v>171</v>
      </c>
      <c r="U5260">
        <v>3.2027946889340603E-2</v>
      </c>
      <c r="V5260" t="s">
        <v>157</v>
      </c>
    </row>
    <row r="5261" spans="19:22" x14ac:dyDescent="0.45">
      <c r="S5261" t="s">
        <v>743</v>
      </c>
      <c r="T5261" t="s">
        <v>156</v>
      </c>
      <c r="U5261">
        <v>0.14078836591268218</v>
      </c>
      <c r="V5261" t="s">
        <v>157</v>
      </c>
    </row>
    <row r="5262" spans="19:22" x14ac:dyDescent="0.45">
      <c r="S5262" t="s">
        <v>743</v>
      </c>
      <c r="T5262" t="s">
        <v>158</v>
      </c>
      <c r="U5262">
        <v>0.19684788951278148</v>
      </c>
      <c r="V5262" t="s">
        <v>157</v>
      </c>
    </row>
    <row r="5263" spans="19:22" x14ac:dyDescent="0.45">
      <c r="S5263" t="s">
        <v>743</v>
      </c>
      <c r="T5263" t="s">
        <v>159</v>
      </c>
      <c r="U5263">
        <v>2.1768028355403212E-2</v>
      </c>
      <c r="V5263" t="s">
        <v>157</v>
      </c>
    </row>
    <row r="5264" spans="19:22" x14ac:dyDescent="0.45">
      <c r="S5264" t="s">
        <v>743</v>
      </c>
      <c r="T5264" t="s">
        <v>160</v>
      </c>
      <c r="U5264">
        <v>2.1884221182041898E-2</v>
      </c>
      <c r="V5264" t="s">
        <v>157</v>
      </c>
    </row>
    <row r="5265" spans="19:22" x14ac:dyDescent="0.45">
      <c r="S5265" t="s">
        <v>743</v>
      </c>
      <c r="T5265" t="s">
        <v>161</v>
      </c>
      <c r="U5265">
        <v>0.10632102959343118</v>
      </c>
      <c r="V5265" t="s">
        <v>157</v>
      </c>
    </row>
    <row r="5266" spans="19:22" x14ac:dyDescent="0.45">
      <c r="S5266" t="s">
        <v>743</v>
      </c>
      <c r="T5266" t="s">
        <v>162</v>
      </c>
      <c r="U5266">
        <v>0.10329152760709048</v>
      </c>
      <c r="V5266" t="s">
        <v>157</v>
      </c>
    </row>
    <row r="5267" spans="19:22" x14ac:dyDescent="0.45">
      <c r="S5267" t="s">
        <v>743</v>
      </c>
      <c r="T5267" t="s">
        <v>163</v>
      </c>
      <c r="U5267">
        <v>0.15280791146312178</v>
      </c>
      <c r="V5267" t="s">
        <v>157</v>
      </c>
    </row>
    <row r="5268" spans="19:22" x14ac:dyDescent="0.45">
      <c r="S5268" t="s">
        <v>743</v>
      </c>
      <c r="T5268" t="s">
        <v>164</v>
      </c>
      <c r="U5268">
        <v>1.5822973002543244E-2</v>
      </c>
      <c r="V5268" t="s">
        <v>157</v>
      </c>
    </row>
    <row r="5269" spans="19:22" x14ac:dyDescent="0.45">
      <c r="S5269" t="s">
        <v>743</v>
      </c>
      <c r="T5269" t="s">
        <v>165</v>
      </c>
      <c r="U5269">
        <v>1.5500296289064547E-2</v>
      </c>
      <c r="V5269" t="s">
        <v>157</v>
      </c>
    </row>
    <row r="5270" spans="19:22" x14ac:dyDescent="0.45">
      <c r="S5270" t="s">
        <v>743</v>
      </c>
      <c r="T5270" t="s">
        <v>166</v>
      </c>
      <c r="U5270">
        <v>7.6694578458354923E-2</v>
      </c>
      <c r="V5270" t="s">
        <v>157</v>
      </c>
    </row>
    <row r="5271" spans="19:22" x14ac:dyDescent="0.45">
      <c r="S5271" t="s">
        <v>743</v>
      </c>
      <c r="T5271" t="s">
        <v>167</v>
      </c>
      <c r="U5271">
        <v>4.282892611321857E-2</v>
      </c>
      <c r="V5271" t="s">
        <v>157</v>
      </c>
    </row>
    <row r="5272" spans="19:22" x14ac:dyDescent="0.45">
      <c r="S5272" t="s">
        <v>743</v>
      </c>
      <c r="T5272" t="s">
        <v>168</v>
      </c>
      <c r="U5272">
        <v>6.0626348488371999E-2</v>
      </c>
      <c r="V5272" t="s">
        <v>157</v>
      </c>
    </row>
    <row r="5273" spans="19:22" x14ac:dyDescent="0.45">
      <c r="S5273" t="s">
        <v>743</v>
      </c>
      <c r="T5273" t="s">
        <v>169</v>
      </c>
      <c r="U5273">
        <v>6.6201900316443978E-3</v>
      </c>
      <c r="V5273" t="s">
        <v>157</v>
      </c>
    </row>
    <row r="5274" spans="19:22" x14ac:dyDescent="0.45">
      <c r="S5274" t="s">
        <v>743</v>
      </c>
      <c r="T5274" t="s">
        <v>170</v>
      </c>
      <c r="U5274">
        <v>6.4591715580885837E-3</v>
      </c>
      <c r="V5274" t="s">
        <v>157</v>
      </c>
    </row>
    <row r="5275" spans="19:22" x14ac:dyDescent="0.45">
      <c r="S5275" t="s">
        <v>743</v>
      </c>
      <c r="T5275" t="s">
        <v>171</v>
      </c>
      <c r="U5275">
        <v>3.1738542432161558E-2</v>
      </c>
      <c r="V5275" t="s">
        <v>157</v>
      </c>
    </row>
    <row r="5276" spans="19:22" x14ac:dyDescent="0.45">
      <c r="S5276" t="s">
        <v>744</v>
      </c>
      <c r="T5276" t="s">
        <v>156</v>
      </c>
      <c r="U5276">
        <v>0.14360272342699634</v>
      </c>
      <c r="V5276" t="s">
        <v>157</v>
      </c>
    </row>
    <row r="5277" spans="19:22" x14ac:dyDescent="0.45">
      <c r="S5277" t="s">
        <v>744</v>
      </c>
      <c r="T5277" t="s">
        <v>158</v>
      </c>
      <c r="U5277">
        <v>0.20349499368266666</v>
      </c>
      <c r="V5277" t="s">
        <v>157</v>
      </c>
    </row>
    <row r="5278" spans="19:22" x14ac:dyDescent="0.45">
      <c r="S5278" t="s">
        <v>744</v>
      </c>
      <c r="T5278" t="s">
        <v>159</v>
      </c>
      <c r="U5278">
        <v>2.0706374537453807E-2</v>
      </c>
      <c r="V5278" t="s">
        <v>157</v>
      </c>
    </row>
    <row r="5279" spans="19:22" x14ac:dyDescent="0.45">
      <c r="S5279" t="s">
        <v>744</v>
      </c>
      <c r="T5279" t="s">
        <v>160</v>
      </c>
      <c r="U5279">
        <v>2.0659068539177781E-2</v>
      </c>
      <c r="V5279" t="s">
        <v>157</v>
      </c>
    </row>
    <row r="5280" spans="19:22" x14ac:dyDescent="0.45">
      <c r="S5280" t="s">
        <v>744</v>
      </c>
      <c r="T5280" t="s">
        <v>161</v>
      </c>
      <c r="U5280">
        <v>0.10408041809635719</v>
      </c>
      <c r="V5280" t="s">
        <v>157</v>
      </c>
    </row>
    <row r="5281" spans="19:22" x14ac:dyDescent="0.45">
      <c r="S5281" t="s">
        <v>744</v>
      </c>
      <c r="T5281" t="s">
        <v>162</v>
      </c>
      <c r="U5281">
        <v>0.10995298195616818</v>
      </c>
      <c r="V5281" t="s">
        <v>157</v>
      </c>
    </row>
    <row r="5282" spans="19:22" x14ac:dyDescent="0.45">
      <c r="S5282" t="s">
        <v>744</v>
      </c>
      <c r="T5282" t="s">
        <v>163</v>
      </c>
      <c r="U5282">
        <v>0.1531868945704094</v>
      </c>
      <c r="V5282" t="s">
        <v>157</v>
      </c>
    </row>
    <row r="5283" spans="19:22" x14ac:dyDescent="0.45">
      <c r="S5283" t="s">
        <v>744</v>
      </c>
      <c r="T5283" t="s">
        <v>164</v>
      </c>
      <c r="U5283">
        <v>1.5438078910592949E-2</v>
      </c>
      <c r="V5283" t="s">
        <v>157</v>
      </c>
    </row>
    <row r="5284" spans="19:22" x14ac:dyDescent="0.45">
      <c r="S5284" t="s">
        <v>744</v>
      </c>
      <c r="T5284" t="s">
        <v>165</v>
      </c>
      <c r="U5284">
        <v>1.5210042330145402E-2</v>
      </c>
      <c r="V5284" t="s">
        <v>157</v>
      </c>
    </row>
    <row r="5285" spans="19:22" x14ac:dyDescent="0.45">
      <c r="S5285" t="s">
        <v>744</v>
      </c>
      <c r="T5285" t="s">
        <v>166</v>
      </c>
      <c r="U5285">
        <v>7.4656069028672001E-2</v>
      </c>
      <c r="V5285" t="s">
        <v>157</v>
      </c>
    </row>
    <row r="5286" spans="19:22" x14ac:dyDescent="0.45">
      <c r="S5286" t="s">
        <v>744</v>
      </c>
      <c r="T5286" t="s">
        <v>167</v>
      </c>
      <c r="U5286">
        <v>4.1861810351275952E-2</v>
      </c>
      <c r="V5286" t="s">
        <v>157</v>
      </c>
    </row>
    <row r="5287" spans="19:22" x14ac:dyDescent="0.45">
      <c r="S5287" t="s">
        <v>744</v>
      </c>
      <c r="T5287" t="s">
        <v>168</v>
      </c>
      <c r="U5287">
        <v>5.6928575790860796E-2</v>
      </c>
      <c r="V5287" t="s">
        <v>157</v>
      </c>
    </row>
    <row r="5288" spans="19:22" x14ac:dyDescent="0.45">
      <c r="S5288" t="s">
        <v>744</v>
      </c>
      <c r="T5288" t="s">
        <v>169</v>
      </c>
      <c r="U5288">
        <v>5.5325861995245921E-3</v>
      </c>
      <c r="V5288" t="s">
        <v>157</v>
      </c>
    </row>
    <row r="5289" spans="19:22" x14ac:dyDescent="0.45">
      <c r="S5289" t="s">
        <v>744</v>
      </c>
      <c r="T5289" t="s">
        <v>170</v>
      </c>
      <c r="U5289">
        <v>5.4822253490848473E-3</v>
      </c>
      <c r="V5289" t="s">
        <v>157</v>
      </c>
    </row>
    <row r="5290" spans="19:22" x14ac:dyDescent="0.45">
      <c r="S5290" t="s">
        <v>744</v>
      </c>
      <c r="T5290" t="s">
        <v>171</v>
      </c>
      <c r="U5290">
        <v>2.9207157230614043E-2</v>
      </c>
      <c r="V5290" t="s">
        <v>157</v>
      </c>
    </row>
    <row r="5291" spans="19:22" x14ac:dyDescent="0.45">
      <c r="S5291" t="s">
        <v>745</v>
      </c>
      <c r="T5291" t="s">
        <v>156</v>
      </c>
      <c r="U5291">
        <v>0.14906099955162797</v>
      </c>
      <c r="V5291" t="s">
        <v>157</v>
      </c>
    </row>
    <row r="5292" spans="19:22" x14ac:dyDescent="0.45">
      <c r="S5292" t="s">
        <v>745</v>
      </c>
      <c r="T5292" t="s">
        <v>158</v>
      </c>
      <c r="U5292">
        <v>0.21304628811404891</v>
      </c>
      <c r="V5292" t="s">
        <v>157</v>
      </c>
    </row>
    <row r="5293" spans="19:22" x14ac:dyDescent="0.45">
      <c r="S5293" t="s">
        <v>745</v>
      </c>
      <c r="T5293" t="s">
        <v>159</v>
      </c>
      <c r="U5293">
        <v>2.1009279999289074E-2</v>
      </c>
      <c r="V5293" t="s">
        <v>157</v>
      </c>
    </row>
    <row r="5294" spans="19:22" x14ac:dyDescent="0.45">
      <c r="S5294" t="s">
        <v>745</v>
      </c>
      <c r="T5294" t="s">
        <v>160</v>
      </c>
      <c r="U5294">
        <v>2.0759694278143739E-2</v>
      </c>
      <c r="V5294" t="s">
        <v>157</v>
      </c>
    </row>
    <row r="5295" spans="19:22" x14ac:dyDescent="0.45">
      <c r="S5295" t="s">
        <v>745</v>
      </c>
      <c r="T5295" t="s">
        <v>161</v>
      </c>
      <c r="U5295">
        <v>0.10140971931072415</v>
      </c>
      <c r="V5295" t="s">
        <v>157</v>
      </c>
    </row>
    <row r="5296" spans="19:22" x14ac:dyDescent="0.45">
      <c r="S5296" t="s">
        <v>745</v>
      </c>
      <c r="T5296" t="s">
        <v>162</v>
      </c>
      <c r="U5296">
        <v>0.1020021714220881</v>
      </c>
      <c r="V5296" t="s">
        <v>157</v>
      </c>
    </row>
    <row r="5297" spans="19:22" x14ac:dyDescent="0.45">
      <c r="S5297" t="s">
        <v>745</v>
      </c>
      <c r="T5297" t="s">
        <v>163</v>
      </c>
      <c r="U5297">
        <v>0.14746741503944236</v>
      </c>
      <c r="V5297" t="s">
        <v>157</v>
      </c>
    </row>
    <row r="5298" spans="19:22" x14ac:dyDescent="0.45">
      <c r="S5298" t="s">
        <v>745</v>
      </c>
      <c r="T5298" t="s">
        <v>164</v>
      </c>
      <c r="U5298">
        <v>1.5001834758541896E-2</v>
      </c>
      <c r="V5298" t="s">
        <v>157</v>
      </c>
    </row>
    <row r="5299" spans="19:22" x14ac:dyDescent="0.45">
      <c r="S5299" t="s">
        <v>745</v>
      </c>
      <c r="T5299" t="s">
        <v>165</v>
      </c>
      <c r="U5299">
        <v>1.4749125652588966E-2</v>
      </c>
      <c r="V5299" t="s">
        <v>157</v>
      </c>
    </row>
    <row r="5300" spans="19:22" x14ac:dyDescent="0.45">
      <c r="S5300" t="s">
        <v>745</v>
      </c>
      <c r="T5300" t="s">
        <v>166</v>
      </c>
      <c r="U5300">
        <v>7.1294471469160223E-2</v>
      </c>
      <c r="V5300" t="s">
        <v>157</v>
      </c>
    </row>
    <row r="5301" spans="19:22" x14ac:dyDescent="0.45">
      <c r="S5301" t="s">
        <v>745</v>
      </c>
      <c r="T5301" t="s">
        <v>167</v>
      </c>
      <c r="U5301">
        <v>4.3691440428313764E-2</v>
      </c>
      <c r="V5301" t="s">
        <v>157</v>
      </c>
    </row>
    <row r="5302" spans="19:22" x14ac:dyDescent="0.45">
      <c r="S5302" t="s">
        <v>745</v>
      </c>
      <c r="T5302" t="s">
        <v>168</v>
      </c>
      <c r="U5302">
        <v>6.0155187543623638E-2</v>
      </c>
      <c r="V5302" t="s">
        <v>157</v>
      </c>
    </row>
    <row r="5303" spans="19:22" x14ac:dyDescent="0.45">
      <c r="S5303" t="s">
        <v>745</v>
      </c>
      <c r="T5303" t="s">
        <v>169</v>
      </c>
      <c r="U5303">
        <v>5.8952358344718696E-3</v>
      </c>
      <c r="V5303" t="s">
        <v>157</v>
      </c>
    </row>
    <row r="5304" spans="19:22" x14ac:dyDescent="0.45">
      <c r="S5304" t="s">
        <v>745</v>
      </c>
      <c r="T5304" t="s">
        <v>170</v>
      </c>
      <c r="U5304">
        <v>5.8071076927466922E-3</v>
      </c>
      <c r="V5304" t="s">
        <v>157</v>
      </c>
    </row>
    <row r="5305" spans="19:22" x14ac:dyDescent="0.45">
      <c r="S5305" t="s">
        <v>745</v>
      </c>
      <c r="T5305" t="s">
        <v>171</v>
      </c>
      <c r="U5305">
        <v>2.8650028905188554E-2</v>
      </c>
      <c r="V5305" t="s">
        <v>157</v>
      </c>
    </row>
    <row r="5306" spans="19:22" x14ac:dyDescent="0.45">
      <c r="S5306" t="s">
        <v>746</v>
      </c>
      <c r="T5306" t="s">
        <v>156</v>
      </c>
      <c r="U5306">
        <v>0.14759959046267898</v>
      </c>
      <c r="V5306" t="s">
        <v>157</v>
      </c>
    </row>
    <row r="5307" spans="19:22" x14ac:dyDescent="0.45">
      <c r="S5307" t="s">
        <v>746</v>
      </c>
      <c r="T5307" t="s">
        <v>158</v>
      </c>
      <c r="U5307">
        <v>0.21065860913922968</v>
      </c>
      <c r="V5307" t="s">
        <v>157</v>
      </c>
    </row>
    <row r="5308" spans="19:22" x14ac:dyDescent="0.45">
      <c r="S5308" t="s">
        <v>746</v>
      </c>
      <c r="T5308" t="s">
        <v>159</v>
      </c>
      <c r="U5308">
        <v>2.1089745738679166E-2</v>
      </c>
      <c r="V5308" t="s">
        <v>157</v>
      </c>
    </row>
    <row r="5309" spans="19:22" x14ac:dyDescent="0.45">
      <c r="S5309" t="s">
        <v>746</v>
      </c>
      <c r="T5309" t="s">
        <v>160</v>
      </c>
      <c r="U5309">
        <v>2.0923153984071619E-2</v>
      </c>
      <c r="V5309" t="s">
        <v>157</v>
      </c>
    </row>
    <row r="5310" spans="19:22" x14ac:dyDescent="0.45">
      <c r="S5310" t="s">
        <v>746</v>
      </c>
      <c r="T5310" t="s">
        <v>161</v>
      </c>
      <c r="U5310">
        <v>0.10196484038576691</v>
      </c>
      <c r="V5310" t="s">
        <v>157</v>
      </c>
    </row>
    <row r="5311" spans="19:22" x14ac:dyDescent="0.45">
      <c r="S5311" t="s">
        <v>746</v>
      </c>
      <c r="T5311" t="s">
        <v>162</v>
      </c>
      <c r="U5311">
        <v>0.1021176461304958</v>
      </c>
      <c r="V5311" t="s">
        <v>157</v>
      </c>
    </row>
    <row r="5312" spans="19:22" x14ac:dyDescent="0.45">
      <c r="S5312" t="s">
        <v>746</v>
      </c>
      <c r="T5312" t="s">
        <v>163</v>
      </c>
      <c r="U5312">
        <v>0.14790850710125983</v>
      </c>
      <c r="V5312" t="s">
        <v>157</v>
      </c>
    </row>
    <row r="5313" spans="19:22" x14ac:dyDescent="0.45">
      <c r="S5313" t="s">
        <v>746</v>
      </c>
      <c r="T5313" t="s">
        <v>164</v>
      </c>
      <c r="U5313">
        <v>1.4922152461477534E-2</v>
      </c>
      <c r="V5313" t="s">
        <v>157</v>
      </c>
    </row>
    <row r="5314" spans="19:22" x14ac:dyDescent="0.45">
      <c r="S5314" t="s">
        <v>746</v>
      </c>
      <c r="T5314" t="s">
        <v>165</v>
      </c>
      <c r="U5314">
        <v>1.4729377931081599E-2</v>
      </c>
      <c r="V5314" t="s">
        <v>157</v>
      </c>
    </row>
    <row r="5315" spans="19:22" x14ac:dyDescent="0.45">
      <c r="S5315" t="s">
        <v>746</v>
      </c>
      <c r="T5315" t="s">
        <v>166</v>
      </c>
      <c r="U5315">
        <v>7.1756687246520609E-2</v>
      </c>
      <c r="V5315" t="s">
        <v>157</v>
      </c>
    </row>
    <row r="5316" spans="19:22" x14ac:dyDescent="0.45">
      <c r="S5316" t="s">
        <v>746</v>
      </c>
      <c r="T5316" t="s">
        <v>167</v>
      </c>
      <c r="U5316">
        <v>4.4622720721515741E-2</v>
      </c>
      <c r="V5316" t="s">
        <v>157</v>
      </c>
    </row>
    <row r="5317" spans="19:22" x14ac:dyDescent="0.45">
      <c r="S5317" t="s">
        <v>746</v>
      </c>
      <c r="T5317" t="s">
        <v>168</v>
      </c>
      <c r="U5317">
        <v>6.0949195214659531E-2</v>
      </c>
      <c r="V5317" t="s">
        <v>157</v>
      </c>
    </row>
    <row r="5318" spans="19:22" x14ac:dyDescent="0.45">
      <c r="S5318" t="s">
        <v>746</v>
      </c>
      <c r="T5318" t="s">
        <v>169</v>
      </c>
      <c r="U5318">
        <v>5.9079174804350272E-3</v>
      </c>
      <c r="V5318" t="s">
        <v>157</v>
      </c>
    </row>
    <row r="5319" spans="19:22" x14ac:dyDescent="0.45">
      <c r="S5319" t="s">
        <v>746</v>
      </c>
      <c r="T5319" t="s">
        <v>170</v>
      </c>
      <c r="U5319">
        <v>5.8309561298904109E-3</v>
      </c>
      <c r="V5319" t="s">
        <v>157</v>
      </c>
    </row>
    <row r="5320" spans="19:22" x14ac:dyDescent="0.45">
      <c r="S5320" t="s">
        <v>746</v>
      </c>
      <c r="T5320" t="s">
        <v>171</v>
      </c>
      <c r="U5320">
        <v>2.9018899872237554E-2</v>
      </c>
      <c r="V5320" t="s">
        <v>157</v>
      </c>
    </row>
    <row r="5321" spans="19:22" x14ac:dyDescent="0.45">
      <c r="S5321" t="s">
        <v>747</v>
      </c>
      <c r="T5321" t="s">
        <v>156</v>
      </c>
      <c r="U5321">
        <v>0.1454183664243375</v>
      </c>
      <c r="V5321" t="s">
        <v>157</v>
      </c>
    </row>
    <row r="5322" spans="19:22" x14ac:dyDescent="0.45">
      <c r="S5322" t="s">
        <v>747</v>
      </c>
      <c r="T5322" t="s">
        <v>158</v>
      </c>
      <c r="U5322">
        <v>0.20829327702071609</v>
      </c>
      <c r="V5322" t="s">
        <v>157</v>
      </c>
    </row>
    <row r="5323" spans="19:22" x14ac:dyDescent="0.45">
      <c r="S5323" t="s">
        <v>747</v>
      </c>
      <c r="T5323" t="s">
        <v>159</v>
      </c>
      <c r="U5323">
        <v>2.1081968059886415E-2</v>
      </c>
      <c r="V5323" t="s">
        <v>157</v>
      </c>
    </row>
    <row r="5324" spans="19:22" x14ac:dyDescent="0.45">
      <c r="S5324" t="s">
        <v>747</v>
      </c>
      <c r="T5324" t="s">
        <v>160</v>
      </c>
      <c r="U5324">
        <v>2.1042107334451866E-2</v>
      </c>
      <c r="V5324" t="s">
        <v>157</v>
      </c>
    </row>
    <row r="5325" spans="19:22" x14ac:dyDescent="0.45">
      <c r="S5325" t="s">
        <v>747</v>
      </c>
      <c r="T5325" t="s">
        <v>161</v>
      </c>
      <c r="U5325">
        <v>0.10224913673006611</v>
      </c>
      <c r="V5325" t="s">
        <v>157</v>
      </c>
    </row>
    <row r="5326" spans="19:22" x14ac:dyDescent="0.45">
      <c r="S5326" t="s">
        <v>747</v>
      </c>
      <c r="T5326" t="s">
        <v>162</v>
      </c>
      <c r="U5326">
        <v>0.10234631036963013</v>
      </c>
      <c r="V5326" t="s">
        <v>157</v>
      </c>
    </row>
    <row r="5327" spans="19:22" x14ac:dyDescent="0.45">
      <c r="S5327" t="s">
        <v>747</v>
      </c>
      <c r="T5327" t="s">
        <v>163</v>
      </c>
      <c r="U5327">
        <v>0.14881801265868866</v>
      </c>
      <c r="V5327" t="s">
        <v>157</v>
      </c>
    </row>
    <row r="5328" spans="19:22" x14ac:dyDescent="0.45">
      <c r="S5328" t="s">
        <v>747</v>
      </c>
      <c r="T5328" t="s">
        <v>164</v>
      </c>
      <c r="U5328">
        <v>1.486703565676494E-2</v>
      </c>
      <c r="V5328" t="s">
        <v>157</v>
      </c>
    </row>
    <row r="5329" spans="19:22" x14ac:dyDescent="0.45">
      <c r="S5329" t="s">
        <v>747</v>
      </c>
      <c r="T5329" t="s">
        <v>165</v>
      </c>
      <c r="U5329">
        <v>1.4693524036541301E-2</v>
      </c>
      <c r="V5329" t="s">
        <v>157</v>
      </c>
    </row>
    <row r="5330" spans="19:22" x14ac:dyDescent="0.45">
      <c r="S5330" t="s">
        <v>747</v>
      </c>
      <c r="T5330" t="s">
        <v>166</v>
      </c>
      <c r="U5330">
        <v>7.2531461565117195E-2</v>
      </c>
      <c r="V5330" t="s">
        <v>157</v>
      </c>
    </row>
    <row r="5331" spans="19:22" x14ac:dyDescent="0.45">
      <c r="S5331" t="s">
        <v>747</v>
      </c>
      <c r="T5331" t="s">
        <v>167</v>
      </c>
      <c r="U5331">
        <v>4.5216451612032152E-2</v>
      </c>
      <c r="V5331" t="s">
        <v>157</v>
      </c>
    </row>
    <row r="5332" spans="19:22" x14ac:dyDescent="0.45">
      <c r="S5332" t="s">
        <v>747</v>
      </c>
      <c r="T5332" t="s">
        <v>168</v>
      </c>
      <c r="U5332">
        <v>6.1865507214511693E-2</v>
      </c>
      <c r="V5332" t="s">
        <v>157</v>
      </c>
    </row>
    <row r="5333" spans="19:22" x14ac:dyDescent="0.45">
      <c r="S5333" t="s">
        <v>747</v>
      </c>
      <c r="T5333" t="s">
        <v>169</v>
      </c>
      <c r="U5333">
        <v>6.0393042666819392E-3</v>
      </c>
      <c r="V5333" t="s">
        <v>157</v>
      </c>
    </row>
    <row r="5334" spans="19:22" x14ac:dyDescent="0.45">
      <c r="S5334" t="s">
        <v>747</v>
      </c>
      <c r="T5334" t="s">
        <v>170</v>
      </c>
      <c r="U5334">
        <v>5.9597813292989353E-3</v>
      </c>
      <c r="V5334" t="s">
        <v>157</v>
      </c>
    </row>
    <row r="5335" spans="19:22" x14ac:dyDescent="0.45">
      <c r="S5335" t="s">
        <v>747</v>
      </c>
      <c r="T5335" t="s">
        <v>171</v>
      </c>
      <c r="U5335">
        <v>2.957775572127512E-2</v>
      </c>
      <c r="V5335" t="s">
        <v>157</v>
      </c>
    </row>
    <row r="5336" spans="19:22" x14ac:dyDescent="0.45">
      <c r="S5336" t="s">
        <v>748</v>
      </c>
      <c r="T5336" t="s">
        <v>156</v>
      </c>
      <c r="U5336">
        <v>0.14346398750604789</v>
      </c>
      <c r="V5336" t="s">
        <v>157</v>
      </c>
    </row>
    <row r="5337" spans="19:22" x14ac:dyDescent="0.45">
      <c r="S5337" t="s">
        <v>748</v>
      </c>
      <c r="T5337" t="s">
        <v>158</v>
      </c>
      <c r="U5337">
        <v>0.20659270699106028</v>
      </c>
      <c r="V5337" t="s">
        <v>157</v>
      </c>
    </row>
    <row r="5338" spans="19:22" x14ac:dyDescent="0.45">
      <c r="S5338" t="s">
        <v>748</v>
      </c>
      <c r="T5338" t="s">
        <v>159</v>
      </c>
      <c r="U5338">
        <v>2.0893840982494086E-2</v>
      </c>
      <c r="V5338" t="s">
        <v>157</v>
      </c>
    </row>
    <row r="5339" spans="19:22" x14ac:dyDescent="0.45">
      <c r="S5339" t="s">
        <v>748</v>
      </c>
      <c r="T5339" t="s">
        <v>160</v>
      </c>
      <c r="U5339">
        <v>2.0828736032177525E-2</v>
      </c>
      <c r="V5339" t="s">
        <v>157</v>
      </c>
    </row>
    <row r="5340" spans="19:22" x14ac:dyDescent="0.45">
      <c r="S5340" t="s">
        <v>748</v>
      </c>
      <c r="T5340" t="s">
        <v>161</v>
      </c>
      <c r="U5340">
        <v>0.10150039486906429</v>
      </c>
      <c r="V5340" t="s">
        <v>157</v>
      </c>
    </row>
    <row r="5341" spans="19:22" x14ac:dyDescent="0.45">
      <c r="S5341" t="s">
        <v>748</v>
      </c>
      <c r="T5341" t="s">
        <v>162</v>
      </c>
      <c r="U5341">
        <v>0.10331734544339001</v>
      </c>
      <c r="V5341" t="s">
        <v>157</v>
      </c>
    </row>
    <row r="5342" spans="19:22" x14ac:dyDescent="0.45">
      <c r="S5342" t="s">
        <v>748</v>
      </c>
      <c r="T5342" t="s">
        <v>163</v>
      </c>
      <c r="U5342">
        <v>0.15035345825618321</v>
      </c>
      <c r="V5342" t="s">
        <v>157</v>
      </c>
    </row>
    <row r="5343" spans="19:22" x14ac:dyDescent="0.45">
      <c r="S5343" t="s">
        <v>748</v>
      </c>
      <c r="T5343" t="s">
        <v>164</v>
      </c>
      <c r="U5343">
        <v>1.4915320557955481E-2</v>
      </c>
      <c r="V5343" t="s">
        <v>157</v>
      </c>
    </row>
    <row r="5344" spans="19:22" x14ac:dyDescent="0.45">
      <c r="S5344" t="s">
        <v>748</v>
      </c>
      <c r="T5344" t="s">
        <v>165</v>
      </c>
      <c r="U5344">
        <v>1.4649692037352587E-2</v>
      </c>
      <c r="V5344" t="s">
        <v>157</v>
      </c>
    </row>
    <row r="5345" spans="19:22" x14ac:dyDescent="0.45">
      <c r="S5345" t="s">
        <v>748</v>
      </c>
      <c r="T5345" t="s">
        <v>166</v>
      </c>
      <c r="U5345">
        <v>7.2871486637095265E-2</v>
      </c>
      <c r="V5345" t="s">
        <v>157</v>
      </c>
    </row>
    <row r="5346" spans="19:22" x14ac:dyDescent="0.45">
      <c r="S5346" t="s">
        <v>748</v>
      </c>
      <c r="T5346" t="s">
        <v>167</v>
      </c>
      <c r="U5346">
        <v>4.5259153224394902E-2</v>
      </c>
      <c r="V5346" t="s">
        <v>157</v>
      </c>
    </row>
    <row r="5347" spans="19:22" x14ac:dyDescent="0.45">
      <c r="S5347" t="s">
        <v>748</v>
      </c>
      <c r="T5347" t="s">
        <v>168</v>
      </c>
      <c r="U5347">
        <v>6.2552032221844439E-2</v>
      </c>
      <c r="V5347" t="s">
        <v>157</v>
      </c>
    </row>
    <row r="5348" spans="19:22" x14ac:dyDescent="0.45">
      <c r="S5348" t="s">
        <v>748</v>
      </c>
      <c r="T5348" t="s">
        <v>169</v>
      </c>
      <c r="U5348">
        <v>6.2542400435187375E-3</v>
      </c>
      <c r="V5348" t="s">
        <v>157</v>
      </c>
    </row>
    <row r="5349" spans="19:22" x14ac:dyDescent="0.45">
      <c r="S5349" t="s">
        <v>748</v>
      </c>
      <c r="T5349" t="s">
        <v>170</v>
      </c>
      <c r="U5349">
        <v>6.1736088088962578E-3</v>
      </c>
      <c r="V5349" t="s">
        <v>157</v>
      </c>
    </row>
    <row r="5350" spans="19:22" x14ac:dyDescent="0.45">
      <c r="S5350" t="s">
        <v>748</v>
      </c>
      <c r="T5350" t="s">
        <v>171</v>
      </c>
      <c r="U5350">
        <v>3.0373996388525022E-2</v>
      </c>
      <c r="V5350" t="s">
        <v>157</v>
      </c>
    </row>
    <row r="5351" spans="19:22" x14ac:dyDescent="0.45">
      <c r="S5351" t="s">
        <v>749</v>
      </c>
      <c r="T5351" t="s">
        <v>156</v>
      </c>
      <c r="U5351">
        <v>0.14177274909907805</v>
      </c>
      <c r="V5351" t="s">
        <v>157</v>
      </c>
    </row>
    <row r="5352" spans="19:22" x14ac:dyDescent="0.45">
      <c r="S5352" t="s">
        <v>749</v>
      </c>
      <c r="T5352" t="s">
        <v>158</v>
      </c>
      <c r="U5352">
        <v>0.20464745329308037</v>
      </c>
      <c r="V5352" t="s">
        <v>157</v>
      </c>
    </row>
    <row r="5353" spans="19:22" x14ac:dyDescent="0.45">
      <c r="S5353" t="s">
        <v>749</v>
      </c>
      <c r="T5353" t="s">
        <v>159</v>
      </c>
      <c r="U5353">
        <v>2.0635196168716854E-2</v>
      </c>
      <c r="V5353" t="s">
        <v>157</v>
      </c>
    </row>
    <row r="5354" spans="19:22" x14ac:dyDescent="0.45">
      <c r="S5354" t="s">
        <v>749</v>
      </c>
      <c r="T5354" t="s">
        <v>160</v>
      </c>
      <c r="U5354">
        <v>2.0542017217624126E-2</v>
      </c>
      <c r="V5354" t="s">
        <v>157</v>
      </c>
    </row>
    <row r="5355" spans="19:22" x14ac:dyDescent="0.45">
      <c r="S5355" t="s">
        <v>749</v>
      </c>
      <c r="T5355" t="s">
        <v>161</v>
      </c>
      <c r="U5355">
        <v>0.1006538497338286</v>
      </c>
      <c r="V5355" t="s">
        <v>157</v>
      </c>
    </row>
    <row r="5356" spans="19:22" x14ac:dyDescent="0.45">
      <c r="S5356" t="s">
        <v>749</v>
      </c>
      <c r="T5356" t="s">
        <v>162</v>
      </c>
      <c r="U5356">
        <v>0.10483946326567424</v>
      </c>
      <c r="V5356" t="s">
        <v>157</v>
      </c>
    </row>
    <row r="5357" spans="19:22" x14ac:dyDescent="0.45">
      <c r="S5357" t="s">
        <v>749</v>
      </c>
      <c r="T5357" t="s">
        <v>163</v>
      </c>
      <c r="U5357">
        <v>0.15170410678980875</v>
      </c>
      <c r="V5357" t="s">
        <v>157</v>
      </c>
    </row>
    <row r="5358" spans="19:22" x14ac:dyDescent="0.45">
      <c r="S5358" t="s">
        <v>749</v>
      </c>
      <c r="T5358" t="s">
        <v>164</v>
      </c>
      <c r="U5358">
        <v>1.4882765010117189E-2</v>
      </c>
      <c r="V5358" t="s">
        <v>157</v>
      </c>
    </row>
    <row r="5359" spans="19:22" x14ac:dyDescent="0.45">
      <c r="S5359" t="s">
        <v>749</v>
      </c>
      <c r="T5359" t="s">
        <v>165</v>
      </c>
      <c r="U5359">
        <v>1.4664885888344888E-2</v>
      </c>
      <c r="V5359" t="s">
        <v>157</v>
      </c>
    </row>
    <row r="5360" spans="19:22" x14ac:dyDescent="0.45">
      <c r="S5360" t="s">
        <v>749</v>
      </c>
      <c r="T5360" t="s">
        <v>166</v>
      </c>
      <c r="U5360">
        <v>7.303944762296008E-2</v>
      </c>
      <c r="V5360" t="s">
        <v>157</v>
      </c>
    </row>
    <row r="5361" spans="19:22" x14ac:dyDescent="0.45">
      <c r="S5361" t="s">
        <v>749</v>
      </c>
      <c r="T5361" t="s">
        <v>167</v>
      </c>
      <c r="U5361">
        <v>4.543156907538503E-2</v>
      </c>
      <c r="V5361" t="s">
        <v>157</v>
      </c>
    </row>
    <row r="5362" spans="19:22" x14ac:dyDescent="0.45">
      <c r="S5362" t="s">
        <v>749</v>
      </c>
      <c r="T5362" t="s">
        <v>168</v>
      </c>
      <c r="U5362">
        <v>6.2914060335023947E-2</v>
      </c>
      <c r="V5362" t="s">
        <v>157</v>
      </c>
    </row>
    <row r="5363" spans="19:22" x14ac:dyDescent="0.45">
      <c r="S5363" t="s">
        <v>749</v>
      </c>
      <c r="T5363" t="s">
        <v>169</v>
      </c>
      <c r="U5363">
        <v>6.4731032177828647E-3</v>
      </c>
      <c r="V5363" t="s">
        <v>157</v>
      </c>
    </row>
    <row r="5364" spans="19:22" x14ac:dyDescent="0.45">
      <c r="S5364" t="s">
        <v>749</v>
      </c>
      <c r="T5364" t="s">
        <v>170</v>
      </c>
      <c r="U5364">
        <v>6.3839373950155395E-3</v>
      </c>
      <c r="V5364" t="s">
        <v>157</v>
      </c>
    </row>
    <row r="5365" spans="19:22" x14ac:dyDescent="0.45">
      <c r="S5365" t="s">
        <v>749</v>
      </c>
      <c r="T5365" t="s">
        <v>171</v>
      </c>
      <c r="U5365">
        <v>3.1415395887559545E-2</v>
      </c>
      <c r="V5365" t="s">
        <v>157</v>
      </c>
    </row>
    <row r="5366" spans="19:22" x14ac:dyDescent="0.45">
      <c r="S5366" t="s">
        <v>750</v>
      </c>
      <c r="T5366" t="s">
        <v>156</v>
      </c>
      <c r="U5366">
        <v>0.14613057907182381</v>
      </c>
      <c r="V5366" t="s">
        <v>157</v>
      </c>
    </row>
    <row r="5367" spans="19:22" x14ac:dyDescent="0.45">
      <c r="S5367" t="s">
        <v>750</v>
      </c>
      <c r="T5367" t="s">
        <v>158</v>
      </c>
      <c r="U5367">
        <v>0.20566828046882962</v>
      </c>
      <c r="V5367" t="s">
        <v>157</v>
      </c>
    </row>
    <row r="5368" spans="19:22" x14ac:dyDescent="0.45">
      <c r="S5368" t="s">
        <v>750</v>
      </c>
      <c r="T5368" t="s">
        <v>159</v>
      </c>
      <c r="U5368">
        <v>2.2366838226264479E-2</v>
      </c>
      <c r="V5368" t="s">
        <v>157</v>
      </c>
    </row>
    <row r="5369" spans="19:22" x14ac:dyDescent="0.45">
      <c r="S5369" t="s">
        <v>750</v>
      </c>
      <c r="T5369" t="s">
        <v>160</v>
      </c>
      <c r="U5369">
        <v>2.2103997273915561E-2</v>
      </c>
      <c r="V5369" t="s">
        <v>157</v>
      </c>
    </row>
    <row r="5370" spans="19:22" x14ac:dyDescent="0.45">
      <c r="S5370" t="s">
        <v>750</v>
      </c>
      <c r="T5370" t="s">
        <v>161</v>
      </c>
      <c r="U5370">
        <v>0.10812368914602133</v>
      </c>
      <c r="V5370" t="s">
        <v>157</v>
      </c>
    </row>
    <row r="5371" spans="19:22" x14ac:dyDescent="0.45">
      <c r="S5371" t="s">
        <v>750</v>
      </c>
      <c r="T5371" t="s">
        <v>162</v>
      </c>
      <c r="U5371">
        <v>0.10284861234488081</v>
      </c>
      <c r="V5371" t="s">
        <v>157</v>
      </c>
    </row>
    <row r="5372" spans="19:22" x14ac:dyDescent="0.45">
      <c r="S5372" t="s">
        <v>750</v>
      </c>
      <c r="T5372" t="s">
        <v>163</v>
      </c>
      <c r="U5372">
        <v>0.1414388895936359</v>
      </c>
      <c r="V5372" t="s">
        <v>157</v>
      </c>
    </row>
    <row r="5373" spans="19:22" x14ac:dyDescent="0.45">
      <c r="S5373" t="s">
        <v>750</v>
      </c>
      <c r="T5373" t="s">
        <v>164</v>
      </c>
      <c r="U5373">
        <v>1.4790426674558058E-2</v>
      </c>
      <c r="V5373" t="s">
        <v>157</v>
      </c>
    </row>
    <row r="5374" spans="19:22" x14ac:dyDescent="0.45">
      <c r="S5374" t="s">
        <v>750</v>
      </c>
      <c r="T5374" t="s">
        <v>165</v>
      </c>
      <c r="U5374">
        <v>1.4814433892105369E-2</v>
      </c>
      <c r="V5374" t="s">
        <v>157</v>
      </c>
    </row>
    <row r="5375" spans="19:22" x14ac:dyDescent="0.45">
      <c r="S5375" t="s">
        <v>750</v>
      </c>
      <c r="T5375" t="s">
        <v>166</v>
      </c>
      <c r="U5375">
        <v>7.2686170343228038E-2</v>
      </c>
      <c r="V5375" t="s">
        <v>157</v>
      </c>
    </row>
    <row r="5376" spans="19:22" x14ac:dyDescent="0.45">
      <c r="S5376" t="s">
        <v>750</v>
      </c>
      <c r="T5376" t="s">
        <v>167</v>
      </c>
      <c r="U5376">
        <v>4.4228551919275071E-2</v>
      </c>
      <c r="V5376" t="s">
        <v>157</v>
      </c>
    </row>
    <row r="5377" spans="19:22" x14ac:dyDescent="0.45">
      <c r="S5377" t="s">
        <v>750</v>
      </c>
      <c r="T5377" t="s">
        <v>168</v>
      </c>
      <c r="U5377">
        <v>5.9800207781235806E-2</v>
      </c>
      <c r="V5377" t="s">
        <v>157</v>
      </c>
    </row>
    <row r="5378" spans="19:22" x14ac:dyDescent="0.45">
      <c r="S5378" t="s">
        <v>750</v>
      </c>
      <c r="T5378" t="s">
        <v>169</v>
      </c>
      <c r="U5378">
        <v>6.2658019332374913E-3</v>
      </c>
      <c r="V5378" t="s">
        <v>157</v>
      </c>
    </row>
    <row r="5379" spans="19:22" x14ac:dyDescent="0.45">
      <c r="S5379" t="s">
        <v>750</v>
      </c>
      <c r="T5379" t="s">
        <v>170</v>
      </c>
      <c r="U5379">
        <v>6.2474316799536276E-3</v>
      </c>
      <c r="V5379" t="s">
        <v>157</v>
      </c>
    </row>
    <row r="5380" spans="19:22" x14ac:dyDescent="0.45">
      <c r="S5380" t="s">
        <v>750</v>
      </c>
      <c r="T5380" t="s">
        <v>171</v>
      </c>
      <c r="U5380">
        <v>3.2486089651035138E-2</v>
      </c>
      <c r="V5380" t="s">
        <v>157</v>
      </c>
    </row>
    <row r="5381" spans="19:22" x14ac:dyDescent="0.45">
      <c r="S5381" t="s">
        <v>751</v>
      </c>
      <c r="T5381" t="s">
        <v>156</v>
      </c>
      <c r="U5381">
        <v>0.1429819717003499</v>
      </c>
      <c r="V5381" t="s">
        <v>157</v>
      </c>
    </row>
    <row r="5382" spans="19:22" x14ac:dyDescent="0.45">
      <c r="S5382" t="s">
        <v>751</v>
      </c>
      <c r="T5382" t="s">
        <v>158</v>
      </c>
      <c r="U5382">
        <v>0.198765475573531</v>
      </c>
      <c r="V5382" t="s">
        <v>157</v>
      </c>
    </row>
    <row r="5383" spans="19:22" x14ac:dyDescent="0.45">
      <c r="S5383" t="s">
        <v>751</v>
      </c>
      <c r="T5383" t="s">
        <v>159</v>
      </c>
      <c r="U5383">
        <v>2.1158942474839092E-2</v>
      </c>
      <c r="V5383" t="s">
        <v>157</v>
      </c>
    </row>
    <row r="5384" spans="19:22" x14ac:dyDescent="0.45">
      <c r="S5384" t="s">
        <v>751</v>
      </c>
      <c r="T5384" t="s">
        <v>160</v>
      </c>
      <c r="U5384">
        <v>2.1146390544436771E-2</v>
      </c>
      <c r="V5384" t="s">
        <v>157</v>
      </c>
    </row>
    <row r="5385" spans="19:22" x14ac:dyDescent="0.45">
      <c r="S5385" t="s">
        <v>751</v>
      </c>
      <c r="T5385" t="s">
        <v>161</v>
      </c>
      <c r="U5385">
        <v>0.10467934443401063</v>
      </c>
      <c r="V5385" t="s">
        <v>157</v>
      </c>
    </row>
    <row r="5386" spans="19:22" x14ac:dyDescent="0.45">
      <c r="S5386" t="s">
        <v>751</v>
      </c>
      <c r="T5386" t="s">
        <v>162</v>
      </c>
      <c r="U5386">
        <v>0.10501837612102932</v>
      </c>
      <c r="V5386" t="s">
        <v>157</v>
      </c>
    </row>
    <row r="5387" spans="19:22" x14ac:dyDescent="0.45">
      <c r="S5387" t="s">
        <v>751</v>
      </c>
      <c r="T5387" t="s">
        <v>163</v>
      </c>
      <c r="U5387">
        <v>0.15023436224582615</v>
      </c>
      <c r="V5387" t="s">
        <v>157</v>
      </c>
    </row>
    <row r="5388" spans="19:22" x14ac:dyDescent="0.45">
      <c r="S5388" t="s">
        <v>751</v>
      </c>
      <c r="T5388" t="s">
        <v>164</v>
      </c>
      <c r="U5388">
        <v>1.5471862566899372E-2</v>
      </c>
      <c r="V5388" t="s">
        <v>157</v>
      </c>
    </row>
    <row r="5389" spans="19:22" x14ac:dyDescent="0.45">
      <c r="S5389" t="s">
        <v>751</v>
      </c>
      <c r="T5389" t="s">
        <v>165</v>
      </c>
      <c r="U5389">
        <v>1.5378777895150592E-2</v>
      </c>
      <c r="V5389" t="s">
        <v>157</v>
      </c>
    </row>
    <row r="5390" spans="19:22" x14ac:dyDescent="0.45">
      <c r="S5390" t="s">
        <v>751</v>
      </c>
      <c r="T5390" t="s">
        <v>166</v>
      </c>
      <c r="U5390">
        <v>7.7100216828931659E-2</v>
      </c>
      <c r="V5390" t="s">
        <v>157</v>
      </c>
    </row>
    <row r="5391" spans="19:22" x14ac:dyDescent="0.45">
      <c r="S5391" t="s">
        <v>751</v>
      </c>
      <c r="T5391" t="s">
        <v>167</v>
      </c>
      <c r="U5391">
        <v>4.3286099727215477E-2</v>
      </c>
      <c r="V5391" t="s">
        <v>157</v>
      </c>
    </row>
    <row r="5392" spans="19:22" x14ac:dyDescent="0.45">
      <c r="S5392" t="s">
        <v>751</v>
      </c>
      <c r="T5392" t="s">
        <v>168</v>
      </c>
      <c r="U5392">
        <v>5.9772338494577602E-2</v>
      </c>
      <c r="V5392" t="s">
        <v>157</v>
      </c>
    </row>
    <row r="5393" spans="19:22" x14ac:dyDescent="0.45">
      <c r="S5393" t="s">
        <v>751</v>
      </c>
      <c r="T5393" t="s">
        <v>169</v>
      </c>
      <c r="U5393">
        <v>6.4674765476561737E-3</v>
      </c>
      <c r="V5393" t="s">
        <v>157</v>
      </c>
    </row>
    <row r="5394" spans="19:22" x14ac:dyDescent="0.45">
      <c r="S5394" t="s">
        <v>751</v>
      </c>
      <c r="T5394" t="s">
        <v>170</v>
      </c>
      <c r="U5394">
        <v>6.3685129016953987E-3</v>
      </c>
      <c r="V5394" t="s">
        <v>157</v>
      </c>
    </row>
    <row r="5395" spans="19:22" x14ac:dyDescent="0.45">
      <c r="S5395" t="s">
        <v>751</v>
      </c>
      <c r="T5395" t="s">
        <v>171</v>
      </c>
      <c r="U5395">
        <v>3.216985194385092E-2</v>
      </c>
      <c r="V5395" t="s">
        <v>157</v>
      </c>
    </row>
    <row r="5396" spans="19:22" x14ac:dyDescent="0.45">
      <c r="S5396" t="s">
        <v>752</v>
      </c>
      <c r="T5396" t="s">
        <v>156</v>
      </c>
      <c r="U5396">
        <v>0.14473289721077551</v>
      </c>
      <c r="V5396" t="s">
        <v>157</v>
      </c>
    </row>
    <row r="5397" spans="19:22" x14ac:dyDescent="0.45">
      <c r="S5397" t="s">
        <v>752</v>
      </c>
      <c r="T5397" t="s">
        <v>158</v>
      </c>
      <c r="U5397">
        <v>0.21011744917817216</v>
      </c>
      <c r="V5397" t="s">
        <v>157</v>
      </c>
    </row>
    <row r="5398" spans="19:22" x14ac:dyDescent="0.45">
      <c r="S5398" t="s">
        <v>752</v>
      </c>
      <c r="T5398" t="s">
        <v>159</v>
      </c>
      <c r="U5398">
        <v>2.1216439105732919E-2</v>
      </c>
      <c r="V5398" t="s">
        <v>157</v>
      </c>
    </row>
    <row r="5399" spans="19:22" x14ac:dyDescent="0.45">
      <c r="S5399" t="s">
        <v>752</v>
      </c>
      <c r="T5399" t="s">
        <v>160</v>
      </c>
      <c r="U5399">
        <v>2.1058416074571012E-2</v>
      </c>
      <c r="V5399" t="s">
        <v>157</v>
      </c>
    </row>
    <row r="5400" spans="19:22" x14ac:dyDescent="0.45">
      <c r="S5400" t="s">
        <v>752</v>
      </c>
      <c r="T5400" t="s">
        <v>161</v>
      </c>
      <c r="U5400">
        <v>0.10382086477429082</v>
      </c>
      <c r="V5400" t="s">
        <v>157</v>
      </c>
    </row>
    <row r="5401" spans="19:22" x14ac:dyDescent="0.45">
      <c r="S5401" t="s">
        <v>752</v>
      </c>
      <c r="T5401" t="s">
        <v>162</v>
      </c>
      <c r="U5401">
        <v>9.7762185747109986E-2</v>
      </c>
      <c r="V5401" t="s">
        <v>157</v>
      </c>
    </row>
    <row r="5402" spans="19:22" x14ac:dyDescent="0.45">
      <c r="S5402" t="s">
        <v>752</v>
      </c>
      <c r="T5402" t="s">
        <v>163</v>
      </c>
      <c r="U5402">
        <v>0.14582231612919333</v>
      </c>
      <c r="V5402" t="s">
        <v>157</v>
      </c>
    </row>
    <row r="5403" spans="19:22" x14ac:dyDescent="0.45">
      <c r="S5403" t="s">
        <v>752</v>
      </c>
      <c r="T5403" t="s">
        <v>164</v>
      </c>
      <c r="U5403">
        <v>1.4509884699515077E-2</v>
      </c>
      <c r="V5403" t="s">
        <v>157</v>
      </c>
    </row>
    <row r="5404" spans="19:22" x14ac:dyDescent="0.45">
      <c r="S5404" t="s">
        <v>752</v>
      </c>
      <c r="T5404" t="s">
        <v>165</v>
      </c>
      <c r="U5404">
        <v>1.4641055925168745E-2</v>
      </c>
      <c r="V5404" t="s">
        <v>157</v>
      </c>
    </row>
    <row r="5405" spans="19:22" x14ac:dyDescent="0.45">
      <c r="S5405" t="s">
        <v>752</v>
      </c>
      <c r="T5405" t="s">
        <v>166</v>
      </c>
      <c r="U5405">
        <v>7.1430638569029856E-2</v>
      </c>
      <c r="V5405" t="s">
        <v>157</v>
      </c>
    </row>
    <row r="5406" spans="19:22" x14ac:dyDescent="0.45">
      <c r="S5406" t="s">
        <v>752</v>
      </c>
      <c r="T5406" t="s">
        <v>167</v>
      </c>
      <c r="U5406">
        <v>4.6089557932503772E-2</v>
      </c>
      <c r="V5406" t="s">
        <v>157</v>
      </c>
    </row>
    <row r="5407" spans="19:22" x14ac:dyDescent="0.45">
      <c r="S5407" t="s">
        <v>752</v>
      </c>
      <c r="T5407" t="s">
        <v>168</v>
      </c>
      <c r="U5407">
        <v>6.5208272863983396E-2</v>
      </c>
      <c r="V5407" t="s">
        <v>157</v>
      </c>
    </row>
    <row r="5408" spans="19:22" x14ac:dyDescent="0.45">
      <c r="S5408" t="s">
        <v>752</v>
      </c>
      <c r="T5408" t="s">
        <v>169</v>
      </c>
      <c r="U5408">
        <v>6.1168170222600775E-3</v>
      </c>
      <c r="V5408" t="s">
        <v>157</v>
      </c>
    </row>
    <row r="5409" spans="19:22" x14ac:dyDescent="0.45">
      <c r="S5409" t="s">
        <v>752</v>
      </c>
      <c r="T5409" t="s">
        <v>170</v>
      </c>
      <c r="U5409">
        <v>6.0763476570062612E-3</v>
      </c>
      <c r="V5409" t="s">
        <v>157</v>
      </c>
    </row>
    <row r="5410" spans="19:22" x14ac:dyDescent="0.45">
      <c r="S5410" t="s">
        <v>752</v>
      </c>
      <c r="T5410" t="s">
        <v>171</v>
      </c>
      <c r="U5410">
        <v>3.1396857110687147E-2</v>
      </c>
      <c r="V5410" t="s">
        <v>157</v>
      </c>
    </row>
    <row r="5411" spans="19:22" x14ac:dyDescent="0.45">
      <c r="S5411" t="s">
        <v>753</v>
      </c>
      <c r="T5411" t="s">
        <v>156</v>
      </c>
      <c r="U5411">
        <v>0.15735057392674714</v>
      </c>
      <c r="V5411" t="s">
        <v>157</v>
      </c>
    </row>
    <row r="5412" spans="19:22" x14ac:dyDescent="0.45">
      <c r="S5412" t="s">
        <v>753</v>
      </c>
      <c r="T5412" t="s">
        <v>158</v>
      </c>
      <c r="U5412">
        <v>0.2333304736533566</v>
      </c>
      <c r="V5412" t="s">
        <v>157</v>
      </c>
    </row>
    <row r="5413" spans="19:22" x14ac:dyDescent="0.45">
      <c r="S5413" t="s">
        <v>753</v>
      </c>
      <c r="T5413" t="s">
        <v>159</v>
      </c>
      <c r="U5413">
        <v>2.3256115891396305E-2</v>
      </c>
      <c r="V5413" t="s">
        <v>157</v>
      </c>
    </row>
    <row r="5414" spans="19:22" x14ac:dyDescent="0.45">
      <c r="S5414" t="s">
        <v>753</v>
      </c>
      <c r="T5414" t="s">
        <v>160</v>
      </c>
      <c r="U5414">
        <v>2.2998671564875173E-2</v>
      </c>
      <c r="V5414" t="s">
        <v>157</v>
      </c>
    </row>
    <row r="5415" spans="19:22" x14ac:dyDescent="0.45">
      <c r="S5415" t="s">
        <v>753</v>
      </c>
      <c r="T5415" t="s">
        <v>161</v>
      </c>
      <c r="U5415">
        <v>0.11286134363843961</v>
      </c>
      <c r="V5415" t="s">
        <v>157</v>
      </c>
    </row>
    <row r="5416" spans="19:22" x14ac:dyDescent="0.45">
      <c r="S5416" t="s">
        <v>753</v>
      </c>
      <c r="T5416" t="s">
        <v>162</v>
      </c>
      <c r="U5416">
        <v>9.6571345735704361E-2</v>
      </c>
      <c r="V5416" t="s">
        <v>157</v>
      </c>
    </row>
    <row r="5417" spans="19:22" x14ac:dyDescent="0.45">
      <c r="S5417" t="s">
        <v>753</v>
      </c>
      <c r="T5417" t="s">
        <v>163</v>
      </c>
      <c r="U5417">
        <v>0.14007224115769479</v>
      </c>
      <c r="V5417" t="s">
        <v>157</v>
      </c>
    </row>
    <row r="5418" spans="19:22" x14ac:dyDescent="0.45">
      <c r="S5418" t="s">
        <v>753</v>
      </c>
      <c r="T5418" t="s">
        <v>164</v>
      </c>
      <c r="U5418">
        <v>1.3758015056534866E-2</v>
      </c>
      <c r="V5418" t="s">
        <v>157</v>
      </c>
    </row>
    <row r="5419" spans="19:22" x14ac:dyDescent="0.45">
      <c r="S5419" t="s">
        <v>753</v>
      </c>
      <c r="T5419" t="s">
        <v>165</v>
      </c>
      <c r="U5419">
        <v>1.3543225622613612E-2</v>
      </c>
      <c r="V5419" t="s">
        <v>157</v>
      </c>
    </row>
    <row r="5420" spans="19:22" x14ac:dyDescent="0.45">
      <c r="S5420" t="s">
        <v>753</v>
      </c>
      <c r="T5420" t="s">
        <v>166</v>
      </c>
      <c r="U5420">
        <v>6.7167560497539872E-2</v>
      </c>
      <c r="V5420" t="s">
        <v>157</v>
      </c>
    </row>
    <row r="5421" spans="19:22" x14ac:dyDescent="0.45">
      <c r="S5421" t="s">
        <v>753</v>
      </c>
      <c r="T5421" t="s">
        <v>167</v>
      </c>
      <c r="U5421">
        <v>3.49945347244087E-2</v>
      </c>
      <c r="V5421" t="s">
        <v>157</v>
      </c>
    </row>
    <row r="5422" spans="19:22" x14ac:dyDescent="0.45">
      <c r="S5422" t="s">
        <v>753</v>
      </c>
      <c r="T5422" t="s">
        <v>168</v>
      </c>
      <c r="U5422">
        <v>4.9212231656156603E-2</v>
      </c>
      <c r="V5422" t="s">
        <v>157</v>
      </c>
    </row>
    <row r="5423" spans="19:22" x14ac:dyDescent="0.45">
      <c r="S5423" t="s">
        <v>753</v>
      </c>
      <c r="T5423" t="s">
        <v>169</v>
      </c>
      <c r="U5423">
        <v>4.9553204288651075E-3</v>
      </c>
      <c r="V5423" t="s">
        <v>157</v>
      </c>
    </row>
    <row r="5424" spans="19:22" x14ac:dyDescent="0.45">
      <c r="S5424" t="s">
        <v>753</v>
      </c>
      <c r="T5424" t="s">
        <v>170</v>
      </c>
      <c r="U5424">
        <v>4.9214024453789196E-3</v>
      </c>
      <c r="V5424" t="s">
        <v>157</v>
      </c>
    </row>
    <row r="5425" spans="19:22" x14ac:dyDescent="0.45">
      <c r="S5425" t="s">
        <v>753</v>
      </c>
      <c r="T5425" t="s">
        <v>171</v>
      </c>
      <c r="U5425">
        <v>2.5006944000288391E-2</v>
      </c>
      <c r="V5425" t="s">
        <v>157</v>
      </c>
    </row>
    <row r="5426" spans="19:22" x14ac:dyDescent="0.45">
      <c r="S5426" t="s">
        <v>754</v>
      </c>
      <c r="T5426" t="s">
        <v>156</v>
      </c>
      <c r="U5426">
        <v>0.15815206781316107</v>
      </c>
      <c r="V5426" t="s">
        <v>157</v>
      </c>
    </row>
    <row r="5427" spans="19:22" x14ac:dyDescent="0.45">
      <c r="S5427" t="s">
        <v>754</v>
      </c>
      <c r="T5427" t="s">
        <v>158</v>
      </c>
      <c r="U5427">
        <v>0.23387049900147597</v>
      </c>
      <c r="V5427" t="s">
        <v>157</v>
      </c>
    </row>
    <row r="5428" spans="19:22" x14ac:dyDescent="0.45">
      <c r="S5428" t="s">
        <v>754</v>
      </c>
      <c r="T5428" t="s">
        <v>159</v>
      </c>
      <c r="U5428">
        <v>2.363287969255054E-2</v>
      </c>
      <c r="V5428" t="s">
        <v>157</v>
      </c>
    </row>
    <row r="5429" spans="19:22" x14ac:dyDescent="0.45">
      <c r="S5429" t="s">
        <v>754</v>
      </c>
      <c r="T5429" t="s">
        <v>160</v>
      </c>
      <c r="U5429">
        <v>2.3391926170804902E-2</v>
      </c>
      <c r="V5429" t="s">
        <v>157</v>
      </c>
    </row>
    <row r="5430" spans="19:22" x14ac:dyDescent="0.45">
      <c r="S5430" t="s">
        <v>754</v>
      </c>
      <c r="T5430" t="s">
        <v>161</v>
      </c>
      <c r="U5430">
        <v>0.1139461535035946</v>
      </c>
      <c r="V5430" t="s">
        <v>157</v>
      </c>
    </row>
    <row r="5431" spans="19:22" x14ac:dyDescent="0.45">
      <c r="S5431" t="s">
        <v>754</v>
      </c>
      <c r="T5431" t="s">
        <v>162</v>
      </c>
      <c r="U5431">
        <v>9.6473435817927347E-2</v>
      </c>
      <c r="V5431" t="s">
        <v>157</v>
      </c>
    </row>
    <row r="5432" spans="19:22" x14ac:dyDescent="0.45">
      <c r="S5432" t="s">
        <v>754</v>
      </c>
      <c r="T5432" t="s">
        <v>163</v>
      </c>
      <c r="U5432">
        <v>0.1409237447261156</v>
      </c>
      <c r="V5432" t="s">
        <v>157</v>
      </c>
    </row>
    <row r="5433" spans="19:22" x14ac:dyDescent="0.45">
      <c r="S5433" t="s">
        <v>754</v>
      </c>
      <c r="T5433" t="s">
        <v>164</v>
      </c>
      <c r="U5433">
        <v>1.374611241114408E-2</v>
      </c>
      <c r="V5433" t="s">
        <v>157</v>
      </c>
    </row>
    <row r="5434" spans="19:22" x14ac:dyDescent="0.45">
      <c r="S5434" t="s">
        <v>754</v>
      </c>
      <c r="T5434" t="s">
        <v>165</v>
      </c>
      <c r="U5434">
        <v>1.3593231094092377E-2</v>
      </c>
      <c r="V5434" t="s">
        <v>157</v>
      </c>
    </row>
    <row r="5435" spans="19:22" x14ac:dyDescent="0.45">
      <c r="S5435" t="s">
        <v>754</v>
      </c>
      <c r="T5435" t="s">
        <v>166</v>
      </c>
      <c r="U5435">
        <v>6.7073938970227856E-2</v>
      </c>
      <c r="V5435" t="s">
        <v>157</v>
      </c>
    </row>
    <row r="5436" spans="19:22" x14ac:dyDescent="0.45">
      <c r="S5436" t="s">
        <v>754</v>
      </c>
      <c r="T5436" t="s">
        <v>167</v>
      </c>
      <c r="U5436">
        <v>3.3906640784608616E-2</v>
      </c>
      <c r="V5436" t="s">
        <v>157</v>
      </c>
    </row>
    <row r="5437" spans="19:22" x14ac:dyDescent="0.45">
      <c r="S5437" t="s">
        <v>754</v>
      </c>
      <c r="T5437" t="s">
        <v>168</v>
      </c>
      <c r="U5437">
        <v>4.7257824611095997E-2</v>
      </c>
      <c r="V5437" t="s">
        <v>157</v>
      </c>
    </row>
    <row r="5438" spans="19:22" x14ac:dyDescent="0.45">
      <c r="S5438" t="s">
        <v>754</v>
      </c>
      <c r="T5438" t="s">
        <v>169</v>
      </c>
      <c r="U5438">
        <v>4.8463747844345205E-3</v>
      </c>
      <c r="V5438" t="s">
        <v>157</v>
      </c>
    </row>
    <row r="5439" spans="19:22" x14ac:dyDescent="0.45">
      <c r="S5439" t="s">
        <v>754</v>
      </c>
      <c r="T5439" t="s">
        <v>170</v>
      </c>
      <c r="U5439">
        <v>4.8970680229488877E-3</v>
      </c>
      <c r="V5439" t="s">
        <v>157</v>
      </c>
    </row>
    <row r="5440" spans="19:22" x14ac:dyDescent="0.45">
      <c r="S5440" t="s">
        <v>754</v>
      </c>
      <c r="T5440" t="s">
        <v>171</v>
      </c>
      <c r="U5440">
        <v>2.4288102595817609E-2</v>
      </c>
      <c r="V5440" t="s">
        <v>157</v>
      </c>
    </row>
    <row r="5441" spans="19:22" x14ac:dyDescent="0.45">
      <c r="S5441" t="s">
        <v>755</v>
      </c>
      <c r="T5441" t="s">
        <v>156</v>
      </c>
      <c r="U5441">
        <v>0.15873236537955659</v>
      </c>
      <c r="V5441" t="s">
        <v>157</v>
      </c>
    </row>
    <row r="5442" spans="19:22" x14ac:dyDescent="0.45">
      <c r="S5442" t="s">
        <v>755</v>
      </c>
      <c r="T5442" t="s">
        <v>158</v>
      </c>
      <c r="U5442">
        <v>0.23350222345950561</v>
      </c>
      <c r="V5442" t="s">
        <v>157</v>
      </c>
    </row>
    <row r="5443" spans="19:22" x14ac:dyDescent="0.45">
      <c r="S5443" t="s">
        <v>755</v>
      </c>
      <c r="T5443" t="s">
        <v>159</v>
      </c>
      <c r="U5443">
        <v>2.3904945452796797E-2</v>
      </c>
      <c r="V5443" t="s">
        <v>157</v>
      </c>
    </row>
    <row r="5444" spans="19:22" x14ac:dyDescent="0.45">
      <c r="S5444" t="s">
        <v>755</v>
      </c>
      <c r="T5444" t="s">
        <v>160</v>
      </c>
      <c r="U5444">
        <v>2.3715089338023229E-2</v>
      </c>
      <c r="V5444" t="s">
        <v>157</v>
      </c>
    </row>
    <row r="5445" spans="19:22" x14ac:dyDescent="0.45">
      <c r="S5445" t="s">
        <v>755</v>
      </c>
      <c r="T5445" t="s">
        <v>161</v>
      </c>
      <c r="U5445">
        <v>0.11440403961863568</v>
      </c>
      <c r="V5445" t="s">
        <v>157</v>
      </c>
    </row>
    <row r="5446" spans="19:22" x14ac:dyDescent="0.45">
      <c r="S5446" t="s">
        <v>755</v>
      </c>
      <c r="T5446" t="s">
        <v>162</v>
      </c>
      <c r="U5446">
        <v>9.6877305864388599E-2</v>
      </c>
      <c r="V5446" t="s">
        <v>157</v>
      </c>
    </row>
    <row r="5447" spans="19:22" x14ac:dyDescent="0.45">
      <c r="S5447" t="s">
        <v>755</v>
      </c>
      <c r="T5447" t="s">
        <v>163</v>
      </c>
      <c r="U5447">
        <v>0.14272110651458458</v>
      </c>
      <c r="V5447" t="s">
        <v>157</v>
      </c>
    </row>
    <row r="5448" spans="19:22" x14ac:dyDescent="0.45">
      <c r="S5448" t="s">
        <v>755</v>
      </c>
      <c r="T5448" t="s">
        <v>164</v>
      </c>
      <c r="U5448">
        <v>1.4001017605695772E-2</v>
      </c>
      <c r="V5448" t="s">
        <v>157</v>
      </c>
    </row>
    <row r="5449" spans="19:22" x14ac:dyDescent="0.45">
      <c r="S5449" t="s">
        <v>755</v>
      </c>
      <c r="T5449" t="s">
        <v>165</v>
      </c>
      <c r="U5449">
        <v>1.3691615103365905E-2</v>
      </c>
      <c r="V5449" t="s">
        <v>157</v>
      </c>
    </row>
    <row r="5450" spans="19:22" x14ac:dyDescent="0.45">
      <c r="S5450" t="s">
        <v>755</v>
      </c>
      <c r="T5450" t="s">
        <v>166</v>
      </c>
      <c r="U5450">
        <v>6.7484007413158117E-2</v>
      </c>
      <c r="V5450" t="s">
        <v>157</v>
      </c>
    </row>
    <row r="5451" spans="19:22" x14ac:dyDescent="0.45">
      <c r="S5451" t="s">
        <v>755</v>
      </c>
      <c r="T5451" t="s">
        <v>167</v>
      </c>
      <c r="U5451">
        <v>3.2613344529084737E-2</v>
      </c>
      <c r="V5451" t="s">
        <v>157</v>
      </c>
    </row>
    <row r="5452" spans="19:22" x14ac:dyDescent="0.45">
      <c r="S5452" t="s">
        <v>755</v>
      </c>
      <c r="T5452" t="s">
        <v>168</v>
      </c>
      <c r="U5452">
        <v>4.5602759398142852E-2</v>
      </c>
      <c r="V5452" t="s">
        <v>157</v>
      </c>
    </row>
    <row r="5453" spans="19:22" x14ac:dyDescent="0.45">
      <c r="S5453" t="s">
        <v>755</v>
      </c>
      <c r="T5453" t="s">
        <v>169</v>
      </c>
      <c r="U5453">
        <v>4.6869559430689108E-3</v>
      </c>
      <c r="V5453" t="s">
        <v>157</v>
      </c>
    </row>
    <row r="5454" spans="19:22" x14ac:dyDescent="0.45">
      <c r="S5454" t="s">
        <v>755</v>
      </c>
      <c r="T5454" t="s">
        <v>170</v>
      </c>
      <c r="U5454">
        <v>4.8031760898112662E-3</v>
      </c>
      <c r="V5454" t="s">
        <v>157</v>
      </c>
    </row>
    <row r="5455" spans="19:22" x14ac:dyDescent="0.45">
      <c r="S5455" t="s">
        <v>755</v>
      </c>
      <c r="T5455" t="s">
        <v>171</v>
      </c>
      <c r="U5455">
        <v>2.3260048290181377E-2</v>
      </c>
      <c r="V5455" t="s">
        <v>157</v>
      </c>
    </row>
    <row r="5456" spans="19:22" x14ac:dyDescent="0.45">
      <c r="S5456" t="s">
        <v>756</v>
      </c>
      <c r="T5456" t="s">
        <v>156</v>
      </c>
      <c r="U5456">
        <v>0.15777845779220381</v>
      </c>
      <c r="V5456" t="s">
        <v>157</v>
      </c>
    </row>
    <row r="5457" spans="19:22" x14ac:dyDescent="0.45">
      <c r="S5457" t="s">
        <v>756</v>
      </c>
      <c r="T5457" t="s">
        <v>158</v>
      </c>
      <c r="U5457">
        <v>0.23220167034214351</v>
      </c>
      <c r="V5457" t="s">
        <v>157</v>
      </c>
    </row>
    <row r="5458" spans="19:22" x14ac:dyDescent="0.45">
      <c r="S5458" t="s">
        <v>756</v>
      </c>
      <c r="T5458" t="s">
        <v>159</v>
      </c>
      <c r="U5458">
        <v>2.4041589025024148E-2</v>
      </c>
      <c r="V5458" t="s">
        <v>157</v>
      </c>
    </row>
    <row r="5459" spans="19:22" x14ac:dyDescent="0.45">
      <c r="S5459" t="s">
        <v>756</v>
      </c>
      <c r="T5459" t="s">
        <v>160</v>
      </c>
      <c r="U5459">
        <v>2.387158368951384E-2</v>
      </c>
      <c r="V5459" t="s">
        <v>157</v>
      </c>
    </row>
    <row r="5460" spans="19:22" x14ac:dyDescent="0.45">
      <c r="S5460" t="s">
        <v>756</v>
      </c>
      <c r="T5460" t="s">
        <v>161</v>
      </c>
      <c r="U5460">
        <v>0.11451377059838518</v>
      </c>
      <c r="V5460" t="s">
        <v>157</v>
      </c>
    </row>
    <row r="5461" spans="19:22" x14ac:dyDescent="0.45">
      <c r="S5461" t="s">
        <v>756</v>
      </c>
      <c r="T5461" t="s">
        <v>162</v>
      </c>
      <c r="U5461">
        <v>9.6998858489406606E-2</v>
      </c>
      <c r="V5461" t="s">
        <v>157</v>
      </c>
    </row>
    <row r="5462" spans="19:22" x14ac:dyDescent="0.45">
      <c r="S5462" t="s">
        <v>756</v>
      </c>
      <c r="T5462" t="s">
        <v>163</v>
      </c>
      <c r="U5462">
        <v>0.14528055885979901</v>
      </c>
      <c r="V5462" t="s">
        <v>157</v>
      </c>
    </row>
    <row r="5463" spans="19:22" x14ac:dyDescent="0.45">
      <c r="S5463" t="s">
        <v>756</v>
      </c>
      <c r="T5463" t="s">
        <v>164</v>
      </c>
      <c r="U5463">
        <v>1.4347763009633944E-2</v>
      </c>
      <c r="V5463" t="s">
        <v>157</v>
      </c>
    </row>
    <row r="5464" spans="19:22" x14ac:dyDescent="0.45">
      <c r="S5464" t="s">
        <v>756</v>
      </c>
      <c r="T5464" t="s">
        <v>165</v>
      </c>
      <c r="U5464">
        <v>1.4102240680164921E-2</v>
      </c>
      <c r="V5464" t="s">
        <v>157</v>
      </c>
    </row>
    <row r="5465" spans="19:22" x14ac:dyDescent="0.45">
      <c r="S5465" t="s">
        <v>756</v>
      </c>
      <c r="T5465" t="s">
        <v>166</v>
      </c>
      <c r="U5465">
        <v>6.8297692791219444E-2</v>
      </c>
      <c r="V5465" t="s">
        <v>157</v>
      </c>
    </row>
    <row r="5466" spans="19:22" x14ac:dyDescent="0.45">
      <c r="S5466" t="s">
        <v>756</v>
      </c>
      <c r="T5466" t="s">
        <v>167</v>
      </c>
      <c r="U5466">
        <v>3.1928814012784926E-2</v>
      </c>
      <c r="V5466" t="s">
        <v>157</v>
      </c>
    </row>
    <row r="5467" spans="19:22" x14ac:dyDescent="0.45">
      <c r="S5467" t="s">
        <v>756</v>
      </c>
      <c r="T5467" t="s">
        <v>168</v>
      </c>
      <c r="U5467">
        <v>4.4445565301470466E-2</v>
      </c>
      <c r="V5467" t="s">
        <v>157</v>
      </c>
    </row>
    <row r="5468" spans="19:22" x14ac:dyDescent="0.45">
      <c r="S5468" t="s">
        <v>756</v>
      </c>
      <c r="T5468" t="s">
        <v>169</v>
      </c>
      <c r="U5468">
        <v>4.5947525648819317E-3</v>
      </c>
      <c r="V5468" t="s">
        <v>157</v>
      </c>
    </row>
    <row r="5469" spans="19:22" x14ac:dyDescent="0.45">
      <c r="S5469" t="s">
        <v>756</v>
      </c>
      <c r="T5469" t="s">
        <v>170</v>
      </c>
      <c r="U5469">
        <v>4.7117147761362357E-3</v>
      </c>
      <c r="V5469" t="s">
        <v>157</v>
      </c>
    </row>
    <row r="5470" spans="19:22" x14ac:dyDescent="0.45">
      <c r="S5470" t="s">
        <v>756</v>
      </c>
      <c r="T5470" t="s">
        <v>171</v>
      </c>
      <c r="U5470">
        <v>2.2884968067232083E-2</v>
      </c>
      <c r="V5470" t="s">
        <v>157</v>
      </c>
    </row>
    <row r="5471" spans="19:22" x14ac:dyDescent="0.45">
      <c r="S5471" t="s">
        <v>757</v>
      </c>
      <c r="T5471" t="s">
        <v>156</v>
      </c>
      <c r="U5471">
        <v>0.14495537805636288</v>
      </c>
      <c r="V5471" t="s">
        <v>157</v>
      </c>
    </row>
    <row r="5472" spans="19:22" x14ac:dyDescent="0.45">
      <c r="S5472" t="s">
        <v>757</v>
      </c>
      <c r="T5472" t="s">
        <v>158</v>
      </c>
      <c r="U5472">
        <v>0.20941195989084035</v>
      </c>
      <c r="V5472" t="s">
        <v>157</v>
      </c>
    </row>
    <row r="5473" spans="19:22" x14ac:dyDescent="0.45">
      <c r="S5473" t="s">
        <v>757</v>
      </c>
      <c r="T5473" t="s">
        <v>159</v>
      </c>
      <c r="U5473">
        <v>2.1181313968349252E-2</v>
      </c>
      <c r="V5473" t="s">
        <v>157</v>
      </c>
    </row>
    <row r="5474" spans="19:22" x14ac:dyDescent="0.45">
      <c r="S5474" t="s">
        <v>757</v>
      </c>
      <c r="T5474" t="s">
        <v>160</v>
      </c>
      <c r="U5474">
        <v>2.0982425065389086E-2</v>
      </c>
      <c r="V5474" t="s">
        <v>157</v>
      </c>
    </row>
    <row r="5475" spans="19:22" x14ac:dyDescent="0.45">
      <c r="S5475" t="s">
        <v>757</v>
      </c>
      <c r="T5475" t="s">
        <v>161</v>
      </c>
      <c r="U5475">
        <v>0.10303939875184999</v>
      </c>
      <c r="V5475" t="s">
        <v>157</v>
      </c>
    </row>
    <row r="5476" spans="19:22" x14ac:dyDescent="0.45">
      <c r="S5476" t="s">
        <v>757</v>
      </c>
      <c r="T5476" t="s">
        <v>162</v>
      </c>
      <c r="U5476">
        <v>9.8954313000400224E-2</v>
      </c>
      <c r="V5476" t="s">
        <v>157</v>
      </c>
    </row>
    <row r="5477" spans="19:22" x14ac:dyDescent="0.45">
      <c r="S5477" t="s">
        <v>757</v>
      </c>
      <c r="T5477" t="s">
        <v>163</v>
      </c>
      <c r="U5477">
        <v>0.14673571568684071</v>
      </c>
      <c r="V5477" t="s">
        <v>157</v>
      </c>
    </row>
    <row r="5478" spans="19:22" x14ac:dyDescent="0.45">
      <c r="S5478" t="s">
        <v>757</v>
      </c>
      <c r="T5478" t="s">
        <v>164</v>
      </c>
      <c r="U5478">
        <v>1.4775142430196958E-2</v>
      </c>
      <c r="V5478" t="s">
        <v>157</v>
      </c>
    </row>
    <row r="5479" spans="19:22" x14ac:dyDescent="0.45">
      <c r="S5479" t="s">
        <v>757</v>
      </c>
      <c r="T5479" t="s">
        <v>165</v>
      </c>
      <c r="U5479">
        <v>1.4748690600541592E-2</v>
      </c>
      <c r="V5479" t="s">
        <v>157</v>
      </c>
    </row>
    <row r="5480" spans="19:22" x14ac:dyDescent="0.45">
      <c r="S5480" t="s">
        <v>757</v>
      </c>
      <c r="T5480" t="s">
        <v>166</v>
      </c>
      <c r="U5480">
        <v>7.1371858844305386E-2</v>
      </c>
      <c r="V5480" t="s">
        <v>157</v>
      </c>
    </row>
    <row r="5481" spans="19:22" x14ac:dyDescent="0.45">
      <c r="S5481" t="s">
        <v>757</v>
      </c>
      <c r="T5481" t="s">
        <v>167</v>
      </c>
      <c r="U5481">
        <v>4.619146870365385E-2</v>
      </c>
      <c r="V5481" t="s">
        <v>157</v>
      </c>
    </row>
    <row r="5482" spans="19:22" x14ac:dyDescent="0.45">
      <c r="S5482" t="s">
        <v>757</v>
      </c>
      <c r="T5482" t="s">
        <v>168</v>
      </c>
      <c r="U5482">
        <v>6.4580319355992025E-2</v>
      </c>
      <c r="V5482" t="s">
        <v>157</v>
      </c>
    </row>
    <row r="5483" spans="19:22" x14ac:dyDescent="0.45">
      <c r="S5483" t="s">
        <v>757</v>
      </c>
      <c r="T5483" t="s">
        <v>169</v>
      </c>
      <c r="U5483">
        <v>6.0402339377842946E-3</v>
      </c>
      <c r="V5483" t="s">
        <v>157</v>
      </c>
    </row>
    <row r="5484" spans="19:22" x14ac:dyDescent="0.45">
      <c r="S5484" t="s">
        <v>757</v>
      </c>
      <c r="T5484" t="s">
        <v>170</v>
      </c>
      <c r="U5484">
        <v>6.0156439297307639E-3</v>
      </c>
      <c r="V5484" t="s">
        <v>157</v>
      </c>
    </row>
    <row r="5485" spans="19:22" x14ac:dyDescent="0.45">
      <c r="S5485" t="s">
        <v>757</v>
      </c>
      <c r="T5485" t="s">
        <v>171</v>
      </c>
      <c r="U5485">
        <v>3.1016137777762669E-2</v>
      </c>
      <c r="V5485" t="s">
        <v>157</v>
      </c>
    </row>
    <row r="5486" spans="19:22" x14ac:dyDescent="0.45">
      <c r="S5486" t="s">
        <v>758</v>
      </c>
      <c r="T5486" t="s">
        <v>156</v>
      </c>
      <c r="U5486">
        <v>0.14398072039831483</v>
      </c>
      <c r="V5486" t="s">
        <v>157</v>
      </c>
    </row>
    <row r="5487" spans="19:22" x14ac:dyDescent="0.45">
      <c r="S5487" t="s">
        <v>758</v>
      </c>
      <c r="T5487" t="s">
        <v>158</v>
      </c>
      <c r="U5487">
        <v>0.20888581357962929</v>
      </c>
      <c r="V5487" t="s">
        <v>157</v>
      </c>
    </row>
    <row r="5488" spans="19:22" x14ac:dyDescent="0.45">
      <c r="S5488" t="s">
        <v>758</v>
      </c>
      <c r="T5488" t="s">
        <v>159</v>
      </c>
      <c r="U5488">
        <v>2.1258757193974152E-2</v>
      </c>
      <c r="V5488" t="s">
        <v>157</v>
      </c>
    </row>
    <row r="5489" spans="19:22" x14ac:dyDescent="0.45">
      <c r="S5489" t="s">
        <v>758</v>
      </c>
      <c r="T5489" t="s">
        <v>160</v>
      </c>
      <c r="U5489">
        <v>2.0910674326587365E-2</v>
      </c>
      <c r="V5489" t="s">
        <v>157</v>
      </c>
    </row>
    <row r="5490" spans="19:22" x14ac:dyDescent="0.45">
      <c r="S5490" t="s">
        <v>758</v>
      </c>
      <c r="T5490" t="s">
        <v>161</v>
      </c>
      <c r="U5490">
        <v>0.10205414706334102</v>
      </c>
      <c r="V5490" t="s">
        <v>157</v>
      </c>
    </row>
    <row r="5491" spans="19:22" x14ac:dyDescent="0.45">
      <c r="S5491" t="s">
        <v>758</v>
      </c>
      <c r="T5491" t="s">
        <v>162</v>
      </c>
      <c r="U5491">
        <v>0.10083999759733882</v>
      </c>
      <c r="V5491" t="s">
        <v>157</v>
      </c>
    </row>
    <row r="5492" spans="19:22" x14ac:dyDescent="0.45">
      <c r="S5492" t="s">
        <v>758</v>
      </c>
      <c r="T5492" t="s">
        <v>163</v>
      </c>
      <c r="U5492">
        <v>0.14727367030703412</v>
      </c>
      <c r="V5492" t="s">
        <v>157</v>
      </c>
    </row>
    <row r="5493" spans="19:22" x14ac:dyDescent="0.45">
      <c r="S5493" t="s">
        <v>758</v>
      </c>
      <c r="T5493" t="s">
        <v>164</v>
      </c>
      <c r="U5493">
        <v>1.48354454471754E-2</v>
      </c>
      <c r="V5493" t="s">
        <v>157</v>
      </c>
    </row>
    <row r="5494" spans="19:22" x14ac:dyDescent="0.45">
      <c r="S5494" t="s">
        <v>758</v>
      </c>
      <c r="T5494" t="s">
        <v>165</v>
      </c>
      <c r="U5494">
        <v>1.4705570022801456E-2</v>
      </c>
      <c r="V5494" t="s">
        <v>157</v>
      </c>
    </row>
    <row r="5495" spans="19:22" x14ac:dyDescent="0.45">
      <c r="S5495" t="s">
        <v>758</v>
      </c>
      <c r="T5495" t="s">
        <v>166</v>
      </c>
      <c r="U5495">
        <v>7.184629524078319E-2</v>
      </c>
      <c r="V5495" t="s">
        <v>157</v>
      </c>
    </row>
    <row r="5496" spans="19:22" x14ac:dyDescent="0.45">
      <c r="S5496" t="s">
        <v>758</v>
      </c>
      <c r="T5496" t="s">
        <v>167</v>
      </c>
      <c r="U5496">
        <v>4.6300164684358956E-2</v>
      </c>
      <c r="V5496" t="s">
        <v>157</v>
      </c>
    </row>
    <row r="5497" spans="19:22" x14ac:dyDescent="0.45">
      <c r="S5497" t="s">
        <v>758</v>
      </c>
      <c r="T5497" t="s">
        <v>168</v>
      </c>
      <c r="U5497">
        <v>6.4563195385087577E-2</v>
      </c>
      <c r="V5497" t="s">
        <v>157</v>
      </c>
    </row>
    <row r="5498" spans="19:22" x14ac:dyDescent="0.45">
      <c r="S5498" t="s">
        <v>758</v>
      </c>
      <c r="T5498" t="s">
        <v>169</v>
      </c>
      <c r="U5498">
        <v>5.9456475161165463E-3</v>
      </c>
      <c r="V5498" t="s">
        <v>157</v>
      </c>
    </row>
    <row r="5499" spans="19:22" x14ac:dyDescent="0.45">
      <c r="S5499" t="s">
        <v>758</v>
      </c>
      <c r="T5499" t="s">
        <v>170</v>
      </c>
      <c r="U5499">
        <v>5.917907513298154E-3</v>
      </c>
      <c r="V5499" t="s">
        <v>157</v>
      </c>
    </row>
    <row r="5500" spans="19:22" x14ac:dyDescent="0.45">
      <c r="S5500" t="s">
        <v>758</v>
      </c>
      <c r="T5500" t="s">
        <v>171</v>
      </c>
      <c r="U5500">
        <v>3.0681993724159137E-2</v>
      </c>
      <c r="V5500" t="s">
        <v>157</v>
      </c>
    </row>
    <row r="5501" spans="19:22" x14ac:dyDescent="0.45">
      <c r="S5501" t="s">
        <v>759</v>
      </c>
      <c r="T5501" t="s">
        <v>156</v>
      </c>
      <c r="U5501">
        <v>0.14321018622512313</v>
      </c>
      <c r="V5501" t="s">
        <v>157</v>
      </c>
    </row>
    <row r="5502" spans="19:22" x14ac:dyDescent="0.45">
      <c r="S5502" t="s">
        <v>759</v>
      </c>
      <c r="T5502" t="s">
        <v>158</v>
      </c>
      <c r="U5502">
        <v>0.20733251494157875</v>
      </c>
      <c r="V5502" t="s">
        <v>157</v>
      </c>
    </row>
    <row r="5503" spans="19:22" x14ac:dyDescent="0.45">
      <c r="S5503" t="s">
        <v>759</v>
      </c>
      <c r="T5503" t="s">
        <v>159</v>
      </c>
      <c r="U5503">
        <v>2.1060941832263022E-2</v>
      </c>
      <c r="V5503" t="s">
        <v>157</v>
      </c>
    </row>
    <row r="5504" spans="19:22" x14ac:dyDescent="0.45">
      <c r="S5504" t="s">
        <v>759</v>
      </c>
      <c r="T5504" t="s">
        <v>160</v>
      </c>
      <c r="U5504">
        <v>2.0800875685993852E-2</v>
      </c>
      <c r="V5504" t="s">
        <v>157</v>
      </c>
    </row>
    <row r="5505" spans="19:22" x14ac:dyDescent="0.45">
      <c r="S5505" t="s">
        <v>759</v>
      </c>
      <c r="T5505" t="s">
        <v>161</v>
      </c>
      <c r="U5505">
        <v>0.10109239961778442</v>
      </c>
      <c r="V5505" t="s">
        <v>157</v>
      </c>
    </row>
    <row r="5506" spans="19:22" x14ac:dyDescent="0.45">
      <c r="S5506" t="s">
        <v>759</v>
      </c>
      <c r="T5506" t="s">
        <v>162</v>
      </c>
      <c r="U5506">
        <v>0.10213942346365994</v>
      </c>
      <c r="V5506" t="s">
        <v>157</v>
      </c>
    </row>
    <row r="5507" spans="19:22" x14ac:dyDescent="0.45">
      <c r="S5507" t="s">
        <v>759</v>
      </c>
      <c r="T5507" t="s">
        <v>163</v>
      </c>
      <c r="U5507">
        <v>0.14788663421717696</v>
      </c>
      <c r="V5507" t="s">
        <v>157</v>
      </c>
    </row>
    <row r="5508" spans="19:22" x14ac:dyDescent="0.45">
      <c r="S5508" t="s">
        <v>759</v>
      </c>
      <c r="T5508" t="s">
        <v>164</v>
      </c>
      <c r="U5508">
        <v>1.4734992482881433E-2</v>
      </c>
      <c r="V5508" t="s">
        <v>157</v>
      </c>
    </row>
    <row r="5509" spans="19:22" x14ac:dyDescent="0.45">
      <c r="S5509" t="s">
        <v>759</v>
      </c>
      <c r="T5509" t="s">
        <v>165</v>
      </c>
      <c r="U5509">
        <v>1.44687874449402E-2</v>
      </c>
      <c r="V5509" t="s">
        <v>157</v>
      </c>
    </row>
    <row r="5510" spans="19:22" x14ac:dyDescent="0.45">
      <c r="S5510" t="s">
        <v>759</v>
      </c>
      <c r="T5510" t="s">
        <v>166</v>
      </c>
      <c r="U5510">
        <v>7.2305733273246894E-2</v>
      </c>
      <c r="V5510" t="s">
        <v>157</v>
      </c>
    </row>
    <row r="5511" spans="19:22" x14ac:dyDescent="0.45">
      <c r="S5511" t="s">
        <v>759</v>
      </c>
      <c r="T5511" t="s">
        <v>167</v>
      </c>
      <c r="U5511">
        <v>4.61022039750177E-2</v>
      </c>
      <c r="V5511" t="s">
        <v>157</v>
      </c>
    </row>
    <row r="5512" spans="19:22" x14ac:dyDescent="0.45">
      <c r="S5512" t="s">
        <v>759</v>
      </c>
      <c r="T5512" t="s">
        <v>168</v>
      </c>
      <c r="U5512">
        <v>6.5734522843813842E-2</v>
      </c>
      <c r="V5512" t="s">
        <v>157</v>
      </c>
    </row>
    <row r="5513" spans="19:22" x14ac:dyDescent="0.45">
      <c r="S5513" t="s">
        <v>759</v>
      </c>
      <c r="T5513" t="s">
        <v>169</v>
      </c>
      <c r="U5513">
        <v>6.0878020499612381E-3</v>
      </c>
      <c r="V5513" t="s">
        <v>157</v>
      </c>
    </row>
    <row r="5514" spans="19:22" x14ac:dyDescent="0.45">
      <c r="S5514" t="s">
        <v>759</v>
      </c>
      <c r="T5514" t="s">
        <v>170</v>
      </c>
      <c r="U5514">
        <v>6.0827989166356931E-3</v>
      </c>
      <c r="V5514" t="s">
        <v>157</v>
      </c>
    </row>
    <row r="5515" spans="19:22" x14ac:dyDescent="0.45">
      <c r="S5515" t="s">
        <v>759</v>
      </c>
      <c r="T5515" t="s">
        <v>171</v>
      </c>
      <c r="U5515">
        <v>3.096018302992281E-2</v>
      </c>
      <c r="V5515" t="s">
        <v>157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3E5F3-CCD6-4ACA-8899-9398DDF8CBD3}">
  <dimension ref="A9:AM377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139</v>
      </c>
      <c r="D10" t="s">
        <v>140</v>
      </c>
      <c r="E10" t="s">
        <v>141</v>
      </c>
      <c r="F10" t="s">
        <v>142</v>
      </c>
      <c r="G10" t="s">
        <v>143</v>
      </c>
      <c r="I10" t="s">
        <v>13</v>
      </c>
      <c r="J10" t="s">
        <v>134</v>
      </c>
      <c r="K10" t="s">
        <v>154</v>
      </c>
      <c r="L10" t="s">
        <v>30</v>
      </c>
      <c r="N10" t="s">
        <v>13</v>
      </c>
      <c r="O10" t="s">
        <v>134</v>
      </c>
      <c r="P10" t="s">
        <v>154</v>
      </c>
      <c r="Q10" t="s">
        <v>30</v>
      </c>
      <c r="S10" t="s">
        <v>13</v>
      </c>
      <c r="T10" t="s">
        <v>134</v>
      </c>
      <c r="U10" t="s">
        <v>154</v>
      </c>
      <c r="V10" t="s">
        <v>30</v>
      </c>
      <c r="X10" t="s">
        <v>760</v>
      </c>
      <c r="Y10" t="s">
        <v>154</v>
      </c>
      <c r="Z10" t="s">
        <v>134</v>
      </c>
      <c r="AA10" t="s">
        <v>13</v>
      </c>
      <c r="AC10" t="s">
        <v>13</v>
      </c>
      <c r="AD10" t="s">
        <v>134</v>
      </c>
      <c r="AE10" t="s">
        <v>154</v>
      </c>
      <c r="AG10" t="s">
        <v>13</v>
      </c>
      <c r="AH10" t="s">
        <v>134</v>
      </c>
      <c r="AI10" t="s">
        <v>766</v>
      </c>
      <c r="AK10" t="s">
        <v>134</v>
      </c>
      <c r="AL10" t="s">
        <v>767</v>
      </c>
      <c r="AM10" t="s">
        <v>768</v>
      </c>
    </row>
    <row r="11" spans="1:39" x14ac:dyDescent="0.45">
      <c r="A11" t="str">
        <f>IFERROR(IF(Veda!D5=A10,"ok","x"),"")</f>
        <v>x</v>
      </c>
      <c r="C11" t="s">
        <v>770</v>
      </c>
      <c r="D11" t="s">
        <v>145</v>
      </c>
      <c r="E11" t="s">
        <v>771</v>
      </c>
      <c r="F11" t="s">
        <v>770</v>
      </c>
      <c r="G11" t="s">
        <v>145</v>
      </c>
      <c r="I11" t="s">
        <v>155</v>
      </c>
      <c r="J11" t="s">
        <v>772</v>
      </c>
      <c r="K11">
        <v>0.99999999999999989</v>
      </c>
      <c r="L11" t="s">
        <v>157</v>
      </c>
      <c r="N11" t="s">
        <v>282</v>
      </c>
      <c r="O11" t="s">
        <v>772</v>
      </c>
      <c r="P11">
        <v>1</v>
      </c>
      <c r="Q11" t="s">
        <v>157</v>
      </c>
      <c r="S11" t="s">
        <v>393</v>
      </c>
      <c r="T11" t="s">
        <v>772</v>
      </c>
      <c r="U11">
        <v>1</v>
      </c>
      <c r="V11" t="s">
        <v>157</v>
      </c>
      <c r="X11">
        <v>1</v>
      </c>
      <c r="Y11">
        <v>1.0000000000000002</v>
      </c>
      <c r="Z11" t="s">
        <v>772</v>
      </c>
      <c r="AA11" t="s">
        <v>25</v>
      </c>
      <c r="AC11" t="s">
        <v>22</v>
      </c>
      <c r="AD11" t="s">
        <v>772</v>
      </c>
      <c r="AE11">
        <v>1</v>
      </c>
      <c r="AG11" t="s">
        <v>98</v>
      </c>
      <c r="AH11" t="s">
        <v>772</v>
      </c>
      <c r="AI11">
        <v>0.37612616906334773</v>
      </c>
      <c r="AK11" t="s">
        <v>770</v>
      </c>
      <c r="AL11">
        <v>1.1999999999999997</v>
      </c>
      <c r="AM11" t="s">
        <v>769</v>
      </c>
    </row>
    <row r="12" spans="1:39" x14ac:dyDescent="0.45">
      <c r="I12" t="s">
        <v>172</v>
      </c>
      <c r="J12" t="s">
        <v>772</v>
      </c>
      <c r="K12">
        <v>0.99999999999999989</v>
      </c>
      <c r="L12" t="s">
        <v>157</v>
      </c>
      <c r="N12" t="s">
        <v>283</v>
      </c>
      <c r="O12" t="s">
        <v>772</v>
      </c>
      <c r="P12">
        <v>1</v>
      </c>
      <c r="Q12" t="s">
        <v>157</v>
      </c>
      <c r="S12" t="s">
        <v>394</v>
      </c>
      <c r="T12" t="s">
        <v>772</v>
      </c>
      <c r="U12">
        <v>1</v>
      </c>
      <c r="V12" t="s">
        <v>157</v>
      </c>
      <c r="AC12" t="s">
        <v>19</v>
      </c>
      <c r="AD12" t="s">
        <v>772</v>
      </c>
      <c r="AE12">
        <v>1</v>
      </c>
    </row>
    <row r="13" spans="1:39" x14ac:dyDescent="0.45">
      <c r="I13" t="s">
        <v>173</v>
      </c>
      <c r="J13" t="s">
        <v>772</v>
      </c>
      <c r="K13">
        <v>1</v>
      </c>
      <c r="L13" t="s">
        <v>157</v>
      </c>
      <c r="N13" t="s">
        <v>284</v>
      </c>
      <c r="O13" t="s">
        <v>772</v>
      </c>
      <c r="P13">
        <v>1</v>
      </c>
      <c r="Q13" t="s">
        <v>157</v>
      </c>
      <c r="S13" t="s">
        <v>395</v>
      </c>
      <c r="T13" t="s">
        <v>772</v>
      </c>
      <c r="U13">
        <v>1</v>
      </c>
      <c r="V13" t="s">
        <v>157</v>
      </c>
    </row>
    <row r="14" spans="1:39" x14ac:dyDescent="0.45">
      <c r="I14" t="s">
        <v>174</v>
      </c>
      <c r="J14" t="s">
        <v>772</v>
      </c>
      <c r="K14">
        <v>1</v>
      </c>
      <c r="L14" t="s">
        <v>157</v>
      </c>
      <c r="N14" t="s">
        <v>285</v>
      </c>
      <c r="O14" t="s">
        <v>772</v>
      </c>
      <c r="P14">
        <v>1</v>
      </c>
      <c r="Q14" t="s">
        <v>157</v>
      </c>
      <c r="S14" t="s">
        <v>396</v>
      </c>
      <c r="T14" t="s">
        <v>772</v>
      </c>
      <c r="U14">
        <v>1</v>
      </c>
      <c r="V14" t="s">
        <v>157</v>
      </c>
    </row>
    <row r="15" spans="1:39" x14ac:dyDescent="0.45">
      <c r="I15" t="s">
        <v>175</v>
      </c>
      <c r="J15" t="s">
        <v>772</v>
      </c>
      <c r="K15">
        <v>1</v>
      </c>
      <c r="L15" t="s">
        <v>157</v>
      </c>
      <c r="N15" t="s">
        <v>286</v>
      </c>
      <c r="O15" t="s">
        <v>772</v>
      </c>
      <c r="P15">
        <v>1</v>
      </c>
      <c r="Q15" t="s">
        <v>157</v>
      </c>
      <c r="S15" t="s">
        <v>397</v>
      </c>
      <c r="T15" t="s">
        <v>772</v>
      </c>
      <c r="U15">
        <v>1</v>
      </c>
      <c r="V15" t="s">
        <v>157</v>
      </c>
    </row>
    <row r="16" spans="1:39" x14ac:dyDescent="0.45">
      <c r="I16" t="s">
        <v>176</v>
      </c>
      <c r="J16" t="s">
        <v>772</v>
      </c>
      <c r="K16">
        <v>1</v>
      </c>
      <c r="L16" t="s">
        <v>157</v>
      </c>
      <c r="N16" t="s">
        <v>287</v>
      </c>
      <c r="O16" t="s">
        <v>772</v>
      </c>
      <c r="P16">
        <v>1</v>
      </c>
      <c r="Q16" t="s">
        <v>157</v>
      </c>
      <c r="S16" t="s">
        <v>398</v>
      </c>
      <c r="T16" t="s">
        <v>772</v>
      </c>
      <c r="U16">
        <v>0.99999999999999989</v>
      </c>
      <c r="V16" t="s">
        <v>157</v>
      </c>
    </row>
    <row r="17" spans="9:22" x14ac:dyDescent="0.45">
      <c r="I17" t="s">
        <v>177</v>
      </c>
      <c r="J17" t="s">
        <v>772</v>
      </c>
      <c r="K17">
        <v>1</v>
      </c>
      <c r="L17" t="s">
        <v>157</v>
      </c>
      <c r="N17" t="s">
        <v>288</v>
      </c>
      <c r="O17" t="s">
        <v>772</v>
      </c>
      <c r="P17">
        <v>1</v>
      </c>
      <c r="Q17" t="s">
        <v>157</v>
      </c>
      <c r="S17" t="s">
        <v>399</v>
      </c>
      <c r="T17" t="s">
        <v>772</v>
      </c>
      <c r="U17">
        <v>1</v>
      </c>
      <c r="V17" t="s">
        <v>157</v>
      </c>
    </row>
    <row r="18" spans="9:22" x14ac:dyDescent="0.45">
      <c r="I18" t="s">
        <v>178</v>
      </c>
      <c r="J18" t="s">
        <v>772</v>
      </c>
      <c r="K18">
        <v>1</v>
      </c>
      <c r="L18" t="s">
        <v>157</v>
      </c>
      <c r="N18" t="s">
        <v>289</v>
      </c>
      <c r="O18" t="s">
        <v>772</v>
      </c>
      <c r="P18">
        <v>1</v>
      </c>
      <c r="Q18" t="s">
        <v>157</v>
      </c>
      <c r="S18" t="s">
        <v>400</v>
      </c>
      <c r="T18" t="s">
        <v>772</v>
      </c>
      <c r="U18">
        <v>1</v>
      </c>
      <c r="V18" t="s">
        <v>157</v>
      </c>
    </row>
    <row r="19" spans="9:22" x14ac:dyDescent="0.45">
      <c r="I19" t="s">
        <v>179</v>
      </c>
      <c r="J19" t="s">
        <v>772</v>
      </c>
      <c r="K19">
        <v>1</v>
      </c>
      <c r="L19" t="s">
        <v>157</v>
      </c>
      <c r="N19" t="s">
        <v>290</v>
      </c>
      <c r="O19" t="s">
        <v>772</v>
      </c>
      <c r="P19">
        <v>1</v>
      </c>
      <c r="Q19" t="s">
        <v>157</v>
      </c>
      <c r="S19" t="s">
        <v>401</v>
      </c>
      <c r="T19" t="s">
        <v>772</v>
      </c>
      <c r="U19">
        <v>1</v>
      </c>
      <c r="V19" t="s">
        <v>157</v>
      </c>
    </row>
    <row r="20" spans="9:22" x14ac:dyDescent="0.45">
      <c r="I20" t="s">
        <v>180</v>
      </c>
      <c r="J20" t="s">
        <v>772</v>
      </c>
      <c r="K20">
        <v>1</v>
      </c>
      <c r="L20" t="s">
        <v>157</v>
      </c>
      <c r="N20" t="s">
        <v>291</v>
      </c>
      <c r="O20" t="s">
        <v>772</v>
      </c>
      <c r="P20">
        <v>1</v>
      </c>
      <c r="Q20" t="s">
        <v>157</v>
      </c>
      <c r="S20" t="s">
        <v>402</v>
      </c>
      <c r="T20" t="s">
        <v>772</v>
      </c>
      <c r="U20">
        <v>1</v>
      </c>
      <c r="V20" t="s">
        <v>157</v>
      </c>
    </row>
    <row r="21" spans="9:22" x14ac:dyDescent="0.45">
      <c r="I21" t="s">
        <v>181</v>
      </c>
      <c r="J21" t="s">
        <v>772</v>
      </c>
      <c r="K21">
        <v>1</v>
      </c>
      <c r="L21" t="s">
        <v>157</v>
      </c>
      <c r="N21" t="s">
        <v>292</v>
      </c>
      <c r="O21" t="s">
        <v>772</v>
      </c>
      <c r="P21">
        <v>1</v>
      </c>
      <c r="Q21" t="s">
        <v>157</v>
      </c>
      <c r="S21" t="s">
        <v>403</v>
      </c>
      <c r="T21" t="s">
        <v>772</v>
      </c>
      <c r="U21">
        <v>1</v>
      </c>
      <c r="V21" t="s">
        <v>157</v>
      </c>
    </row>
    <row r="22" spans="9:22" x14ac:dyDescent="0.45">
      <c r="I22" t="s">
        <v>182</v>
      </c>
      <c r="J22" t="s">
        <v>772</v>
      </c>
      <c r="K22">
        <v>1</v>
      </c>
      <c r="L22" t="s">
        <v>157</v>
      </c>
      <c r="N22" t="s">
        <v>293</v>
      </c>
      <c r="O22" t="s">
        <v>772</v>
      </c>
      <c r="P22">
        <v>1</v>
      </c>
      <c r="Q22" t="s">
        <v>157</v>
      </c>
      <c r="S22" t="s">
        <v>404</v>
      </c>
      <c r="T22" t="s">
        <v>772</v>
      </c>
      <c r="U22">
        <v>1</v>
      </c>
      <c r="V22" t="s">
        <v>157</v>
      </c>
    </row>
    <row r="23" spans="9:22" x14ac:dyDescent="0.45">
      <c r="I23" t="s">
        <v>183</v>
      </c>
      <c r="J23" t="s">
        <v>772</v>
      </c>
      <c r="K23">
        <v>1</v>
      </c>
      <c r="L23" t="s">
        <v>157</v>
      </c>
      <c r="N23" t="s">
        <v>294</v>
      </c>
      <c r="O23" t="s">
        <v>772</v>
      </c>
      <c r="P23">
        <v>1</v>
      </c>
      <c r="Q23" t="s">
        <v>157</v>
      </c>
      <c r="S23" t="s">
        <v>405</v>
      </c>
      <c r="T23" t="s">
        <v>772</v>
      </c>
      <c r="U23">
        <v>1</v>
      </c>
      <c r="V23" t="s">
        <v>157</v>
      </c>
    </row>
    <row r="24" spans="9:22" x14ac:dyDescent="0.45">
      <c r="I24" t="s">
        <v>184</v>
      </c>
      <c r="J24" t="s">
        <v>772</v>
      </c>
      <c r="K24">
        <v>1</v>
      </c>
      <c r="L24" t="s">
        <v>157</v>
      </c>
      <c r="N24" t="s">
        <v>295</v>
      </c>
      <c r="O24" t="s">
        <v>772</v>
      </c>
      <c r="P24">
        <v>0.99999999999999989</v>
      </c>
      <c r="Q24" t="s">
        <v>157</v>
      </c>
      <c r="S24" t="s">
        <v>406</v>
      </c>
      <c r="T24" t="s">
        <v>772</v>
      </c>
      <c r="U24">
        <v>1</v>
      </c>
      <c r="V24" t="s">
        <v>157</v>
      </c>
    </row>
    <row r="25" spans="9:22" x14ac:dyDescent="0.45">
      <c r="I25" t="s">
        <v>185</v>
      </c>
      <c r="J25" t="s">
        <v>772</v>
      </c>
      <c r="K25">
        <v>0.99999999999999989</v>
      </c>
      <c r="L25" t="s">
        <v>157</v>
      </c>
      <c r="N25" t="s">
        <v>296</v>
      </c>
      <c r="O25" t="s">
        <v>772</v>
      </c>
      <c r="P25">
        <v>1</v>
      </c>
      <c r="Q25" t="s">
        <v>157</v>
      </c>
      <c r="S25" t="s">
        <v>407</v>
      </c>
      <c r="T25" t="s">
        <v>772</v>
      </c>
      <c r="U25">
        <v>1</v>
      </c>
      <c r="V25" t="s">
        <v>157</v>
      </c>
    </row>
    <row r="26" spans="9:22" x14ac:dyDescent="0.45">
      <c r="I26" t="s">
        <v>186</v>
      </c>
      <c r="J26" t="s">
        <v>772</v>
      </c>
      <c r="K26">
        <v>1</v>
      </c>
      <c r="L26" t="s">
        <v>157</v>
      </c>
      <c r="N26" t="s">
        <v>297</v>
      </c>
      <c r="O26" t="s">
        <v>772</v>
      </c>
      <c r="P26">
        <v>0.99999999999999989</v>
      </c>
      <c r="Q26" t="s">
        <v>157</v>
      </c>
      <c r="S26" t="s">
        <v>408</v>
      </c>
      <c r="T26" t="s">
        <v>772</v>
      </c>
      <c r="U26">
        <v>1</v>
      </c>
      <c r="V26" t="s">
        <v>157</v>
      </c>
    </row>
    <row r="27" spans="9:22" x14ac:dyDescent="0.45">
      <c r="I27" t="s">
        <v>187</v>
      </c>
      <c r="J27" t="s">
        <v>772</v>
      </c>
      <c r="K27">
        <v>1</v>
      </c>
      <c r="L27" t="s">
        <v>157</v>
      </c>
      <c r="N27" t="s">
        <v>298</v>
      </c>
      <c r="O27" t="s">
        <v>772</v>
      </c>
      <c r="P27">
        <v>1</v>
      </c>
      <c r="Q27" t="s">
        <v>157</v>
      </c>
      <c r="S27" t="s">
        <v>409</v>
      </c>
      <c r="T27" t="s">
        <v>772</v>
      </c>
      <c r="U27">
        <v>1</v>
      </c>
      <c r="V27" t="s">
        <v>157</v>
      </c>
    </row>
    <row r="28" spans="9:22" x14ac:dyDescent="0.45">
      <c r="I28" t="s">
        <v>188</v>
      </c>
      <c r="J28" t="s">
        <v>772</v>
      </c>
      <c r="K28">
        <v>1</v>
      </c>
      <c r="L28" t="s">
        <v>157</v>
      </c>
      <c r="N28" t="s">
        <v>299</v>
      </c>
      <c r="O28" t="s">
        <v>772</v>
      </c>
      <c r="P28">
        <v>1</v>
      </c>
      <c r="Q28" t="s">
        <v>157</v>
      </c>
      <c r="S28" t="s">
        <v>410</v>
      </c>
      <c r="T28" t="s">
        <v>772</v>
      </c>
      <c r="U28">
        <v>1</v>
      </c>
      <c r="V28" t="s">
        <v>157</v>
      </c>
    </row>
    <row r="29" spans="9:22" x14ac:dyDescent="0.45">
      <c r="I29" t="s">
        <v>189</v>
      </c>
      <c r="J29" t="s">
        <v>772</v>
      </c>
      <c r="K29">
        <v>1</v>
      </c>
      <c r="L29" t="s">
        <v>157</v>
      </c>
      <c r="N29" t="s">
        <v>300</v>
      </c>
      <c r="O29" t="s">
        <v>772</v>
      </c>
      <c r="P29">
        <v>1</v>
      </c>
      <c r="Q29" t="s">
        <v>157</v>
      </c>
      <c r="S29" t="s">
        <v>411</v>
      </c>
      <c r="T29" t="s">
        <v>772</v>
      </c>
      <c r="U29">
        <v>1</v>
      </c>
      <c r="V29" t="s">
        <v>157</v>
      </c>
    </row>
    <row r="30" spans="9:22" x14ac:dyDescent="0.45">
      <c r="I30" t="s">
        <v>190</v>
      </c>
      <c r="J30" t="s">
        <v>772</v>
      </c>
      <c r="K30">
        <v>1</v>
      </c>
      <c r="L30" t="s">
        <v>157</v>
      </c>
      <c r="N30" t="s">
        <v>301</v>
      </c>
      <c r="O30" t="s">
        <v>772</v>
      </c>
      <c r="P30">
        <v>1</v>
      </c>
      <c r="Q30" t="s">
        <v>157</v>
      </c>
      <c r="S30" t="s">
        <v>412</v>
      </c>
      <c r="T30" t="s">
        <v>772</v>
      </c>
      <c r="U30">
        <v>1</v>
      </c>
      <c r="V30" t="s">
        <v>157</v>
      </c>
    </row>
    <row r="31" spans="9:22" x14ac:dyDescent="0.45">
      <c r="I31" t="s">
        <v>191</v>
      </c>
      <c r="J31" t="s">
        <v>772</v>
      </c>
      <c r="K31">
        <v>1</v>
      </c>
      <c r="L31" t="s">
        <v>157</v>
      </c>
      <c r="N31" t="s">
        <v>302</v>
      </c>
      <c r="O31" t="s">
        <v>772</v>
      </c>
      <c r="P31">
        <v>1</v>
      </c>
      <c r="Q31" t="s">
        <v>157</v>
      </c>
      <c r="S31" t="s">
        <v>413</v>
      </c>
      <c r="T31" t="s">
        <v>772</v>
      </c>
      <c r="U31">
        <v>1</v>
      </c>
      <c r="V31" t="s">
        <v>157</v>
      </c>
    </row>
    <row r="32" spans="9:22" x14ac:dyDescent="0.45">
      <c r="I32" t="s">
        <v>192</v>
      </c>
      <c r="J32" t="s">
        <v>772</v>
      </c>
      <c r="K32">
        <v>1</v>
      </c>
      <c r="L32" t="s">
        <v>157</v>
      </c>
      <c r="N32" t="s">
        <v>303</v>
      </c>
      <c r="O32" t="s">
        <v>772</v>
      </c>
      <c r="P32">
        <v>1</v>
      </c>
      <c r="Q32" t="s">
        <v>157</v>
      </c>
      <c r="S32" t="s">
        <v>414</v>
      </c>
      <c r="T32" t="s">
        <v>772</v>
      </c>
      <c r="U32">
        <v>1</v>
      </c>
      <c r="V32" t="s">
        <v>157</v>
      </c>
    </row>
    <row r="33" spans="9:22" x14ac:dyDescent="0.45">
      <c r="I33" t="s">
        <v>193</v>
      </c>
      <c r="J33" t="s">
        <v>772</v>
      </c>
      <c r="K33">
        <v>1</v>
      </c>
      <c r="L33" t="s">
        <v>157</v>
      </c>
      <c r="N33" t="s">
        <v>304</v>
      </c>
      <c r="O33" t="s">
        <v>772</v>
      </c>
      <c r="P33">
        <v>0.99999999999999989</v>
      </c>
      <c r="Q33" t="s">
        <v>157</v>
      </c>
      <c r="S33" t="s">
        <v>415</v>
      </c>
      <c r="T33" t="s">
        <v>772</v>
      </c>
      <c r="U33">
        <v>1</v>
      </c>
      <c r="V33" t="s">
        <v>157</v>
      </c>
    </row>
    <row r="34" spans="9:22" x14ac:dyDescent="0.45">
      <c r="I34" t="s">
        <v>194</v>
      </c>
      <c r="J34" t="s">
        <v>772</v>
      </c>
      <c r="K34">
        <v>0.99999999999999989</v>
      </c>
      <c r="L34" t="s">
        <v>157</v>
      </c>
      <c r="N34" t="s">
        <v>305</v>
      </c>
      <c r="O34" t="s">
        <v>772</v>
      </c>
      <c r="P34">
        <v>0.99999999999999989</v>
      </c>
      <c r="Q34" t="s">
        <v>157</v>
      </c>
      <c r="S34" t="s">
        <v>416</v>
      </c>
      <c r="T34" t="s">
        <v>772</v>
      </c>
      <c r="U34">
        <v>1</v>
      </c>
      <c r="V34" t="s">
        <v>157</v>
      </c>
    </row>
    <row r="35" spans="9:22" x14ac:dyDescent="0.45">
      <c r="I35" t="s">
        <v>195</v>
      </c>
      <c r="J35" t="s">
        <v>772</v>
      </c>
      <c r="K35">
        <v>0.99999999999999989</v>
      </c>
      <c r="L35" t="s">
        <v>157</v>
      </c>
      <c r="N35" t="s">
        <v>306</v>
      </c>
      <c r="O35" t="s">
        <v>772</v>
      </c>
      <c r="P35">
        <v>1</v>
      </c>
      <c r="Q35" t="s">
        <v>157</v>
      </c>
      <c r="S35" t="s">
        <v>417</v>
      </c>
      <c r="T35" t="s">
        <v>772</v>
      </c>
      <c r="U35">
        <v>1</v>
      </c>
      <c r="V35" t="s">
        <v>157</v>
      </c>
    </row>
    <row r="36" spans="9:22" x14ac:dyDescent="0.45">
      <c r="I36" t="s">
        <v>196</v>
      </c>
      <c r="J36" t="s">
        <v>772</v>
      </c>
      <c r="K36">
        <v>1</v>
      </c>
      <c r="L36" t="s">
        <v>157</v>
      </c>
      <c r="N36" t="s">
        <v>307</v>
      </c>
      <c r="O36" t="s">
        <v>772</v>
      </c>
      <c r="P36">
        <v>1</v>
      </c>
      <c r="Q36" t="s">
        <v>157</v>
      </c>
      <c r="S36" t="s">
        <v>418</v>
      </c>
      <c r="T36" t="s">
        <v>772</v>
      </c>
      <c r="U36">
        <v>1</v>
      </c>
      <c r="V36" t="s">
        <v>157</v>
      </c>
    </row>
    <row r="37" spans="9:22" x14ac:dyDescent="0.45">
      <c r="I37" t="s">
        <v>197</v>
      </c>
      <c r="J37" t="s">
        <v>772</v>
      </c>
      <c r="K37">
        <v>1</v>
      </c>
      <c r="L37" t="s">
        <v>157</v>
      </c>
      <c r="N37" t="s">
        <v>308</v>
      </c>
      <c r="O37" t="s">
        <v>772</v>
      </c>
      <c r="P37">
        <v>1</v>
      </c>
      <c r="Q37" t="s">
        <v>157</v>
      </c>
      <c r="S37" t="s">
        <v>419</v>
      </c>
      <c r="T37" t="s">
        <v>772</v>
      </c>
      <c r="U37">
        <v>1</v>
      </c>
      <c r="V37" t="s">
        <v>157</v>
      </c>
    </row>
    <row r="38" spans="9:22" x14ac:dyDescent="0.45">
      <c r="I38" t="s">
        <v>198</v>
      </c>
      <c r="J38" t="s">
        <v>772</v>
      </c>
      <c r="K38">
        <v>1</v>
      </c>
      <c r="L38" t="s">
        <v>157</v>
      </c>
      <c r="N38" t="s">
        <v>309</v>
      </c>
      <c r="O38" t="s">
        <v>772</v>
      </c>
      <c r="P38">
        <v>1</v>
      </c>
      <c r="Q38" t="s">
        <v>157</v>
      </c>
      <c r="S38" t="s">
        <v>420</v>
      </c>
      <c r="T38" t="s">
        <v>772</v>
      </c>
      <c r="U38">
        <v>1</v>
      </c>
      <c r="V38" t="s">
        <v>157</v>
      </c>
    </row>
    <row r="39" spans="9:22" x14ac:dyDescent="0.45">
      <c r="I39" t="s">
        <v>199</v>
      </c>
      <c r="J39" t="s">
        <v>772</v>
      </c>
      <c r="K39">
        <v>1</v>
      </c>
      <c r="L39" t="s">
        <v>157</v>
      </c>
      <c r="N39" t="s">
        <v>310</v>
      </c>
      <c r="O39" t="s">
        <v>772</v>
      </c>
      <c r="P39">
        <v>1</v>
      </c>
      <c r="Q39" t="s">
        <v>157</v>
      </c>
      <c r="S39" t="s">
        <v>421</v>
      </c>
      <c r="T39" t="s">
        <v>772</v>
      </c>
      <c r="U39">
        <v>1.0000000000000002</v>
      </c>
      <c r="V39" t="s">
        <v>157</v>
      </c>
    </row>
    <row r="40" spans="9:22" x14ac:dyDescent="0.45">
      <c r="I40" t="s">
        <v>200</v>
      </c>
      <c r="J40" t="s">
        <v>772</v>
      </c>
      <c r="K40">
        <v>1</v>
      </c>
      <c r="L40" t="s">
        <v>157</v>
      </c>
      <c r="N40" t="s">
        <v>311</v>
      </c>
      <c r="O40" t="s">
        <v>772</v>
      </c>
      <c r="P40">
        <v>1</v>
      </c>
      <c r="Q40" t="s">
        <v>157</v>
      </c>
      <c r="S40" t="s">
        <v>422</v>
      </c>
      <c r="T40" t="s">
        <v>772</v>
      </c>
      <c r="U40">
        <v>1</v>
      </c>
      <c r="V40" t="s">
        <v>157</v>
      </c>
    </row>
    <row r="41" spans="9:22" x14ac:dyDescent="0.45">
      <c r="I41" t="s">
        <v>201</v>
      </c>
      <c r="J41" t="s">
        <v>772</v>
      </c>
      <c r="K41">
        <v>1</v>
      </c>
      <c r="L41" t="s">
        <v>157</v>
      </c>
      <c r="N41" t="s">
        <v>312</v>
      </c>
      <c r="O41" t="s">
        <v>772</v>
      </c>
      <c r="P41">
        <v>1</v>
      </c>
      <c r="Q41" t="s">
        <v>157</v>
      </c>
      <c r="S41" t="s">
        <v>423</v>
      </c>
      <c r="T41" t="s">
        <v>772</v>
      </c>
      <c r="U41">
        <v>1</v>
      </c>
      <c r="V41" t="s">
        <v>157</v>
      </c>
    </row>
    <row r="42" spans="9:22" x14ac:dyDescent="0.45">
      <c r="I42" t="s">
        <v>202</v>
      </c>
      <c r="J42" t="s">
        <v>772</v>
      </c>
      <c r="K42">
        <v>1</v>
      </c>
      <c r="L42" t="s">
        <v>157</v>
      </c>
      <c r="N42" t="s">
        <v>313</v>
      </c>
      <c r="O42" t="s">
        <v>772</v>
      </c>
      <c r="P42">
        <v>1</v>
      </c>
      <c r="Q42" t="s">
        <v>157</v>
      </c>
      <c r="S42" t="s">
        <v>424</v>
      </c>
      <c r="T42" t="s">
        <v>772</v>
      </c>
      <c r="U42">
        <v>1</v>
      </c>
      <c r="V42" t="s">
        <v>157</v>
      </c>
    </row>
    <row r="43" spans="9:22" x14ac:dyDescent="0.45">
      <c r="I43" t="s">
        <v>203</v>
      </c>
      <c r="J43" t="s">
        <v>772</v>
      </c>
      <c r="K43">
        <v>1</v>
      </c>
      <c r="L43" t="s">
        <v>157</v>
      </c>
      <c r="N43" t="s">
        <v>314</v>
      </c>
      <c r="O43" t="s">
        <v>772</v>
      </c>
      <c r="P43">
        <v>1</v>
      </c>
      <c r="Q43" t="s">
        <v>157</v>
      </c>
      <c r="S43" t="s">
        <v>425</v>
      </c>
      <c r="T43" t="s">
        <v>772</v>
      </c>
      <c r="U43">
        <v>1</v>
      </c>
      <c r="V43" t="s">
        <v>157</v>
      </c>
    </row>
    <row r="44" spans="9:22" x14ac:dyDescent="0.45">
      <c r="I44" t="s">
        <v>204</v>
      </c>
      <c r="J44" t="s">
        <v>772</v>
      </c>
      <c r="K44">
        <v>1</v>
      </c>
      <c r="L44" t="s">
        <v>157</v>
      </c>
      <c r="N44" t="s">
        <v>315</v>
      </c>
      <c r="O44" t="s">
        <v>772</v>
      </c>
      <c r="P44">
        <v>1</v>
      </c>
      <c r="Q44" t="s">
        <v>157</v>
      </c>
      <c r="S44" t="s">
        <v>426</v>
      </c>
      <c r="T44" t="s">
        <v>772</v>
      </c>
      <c r="U44">
        <v>1</v>
      </c>
      <c r="V44" t="s">
        <v>157</v>
      </c>
    </row>
    <row r="45" spans="9:22" x14ac:dyDescent="0.45">
      <c r="I45" t="s">
        <v>205</v>
      </c>
      <c r="J45" t="s">
        <v>772</v>
      </c>
      <c r="K45">
        <v>0.99999999999999989</v>
      </c>
      <c r="L45" t="s">
        <v>157</v>
      </c>
      <c r="N45" t="s">
        <v>316</v>
      </c>
      <c r="O45" t="s">
        <v>772</v>
      </c>
      <c r="P45">
        <v>1</v>
      </c>
      <c r="Q45" t="s">
        <v>157</v>
      </c>
      <c r="S45" t="s">
        <v>427</v>
      </c>
      <c r="T45" t="s">
        <v>772</v>
      </c>
      <c r="U45">
        <v>1</v>
      </c>
      <c r="V45" t="s">
        <v>157</v>
      </c>
    </row>
    <row r="46" spans="9:22" x14ac:dyDescent="0.45">
      <c r="I46" t="s">
        <v>206</v>
      </c>
      <c r="J46" t="s">
        <v>772</v>
      </c>
      <c r="K46">
        <v>1</v>
      </c>
      <c r="L46" t="s">
        <v>157</v>
      </c>
      <c r="N46" t="s">
        <v>317</v>
      </c>
      <c r="O46" t="s">
        <v>772</v>
      </c>
      <c r="P46">
        <v>1</v>
      </c>
      <c r="Q46" t="s">
        <v>157</v>
      </c>
      <c r="S46" t="s">
        <v>428</v>
      </c>
      <c r="T46" t="s">
        <v>772</v>
      </c>
      <c r="U46">
        <v>1</v>
      </c>
      <c r="V46" t="s">
        <v>157</v>
      </c>
    </row>
    <row r="47" spans="9:22" x14ac:dyDescent="0.45">
      <c r="I47" t="s">
        <v>207</v>
      </c>
      <c r="J47" t="s">
        <v>772</v>
      </c>
      <c r="K47">
        <v>1</v>
      </c>
      <c r="L47" t="s">
        <v>157</v>
      </c>
      <c r="N47" t="s">
        <v>318</v>
      </c>
      <c r="O47" t="s">
        <v>772</v>
      </c>
      <c r="P47">
        <v>1</v>
      </c>
      <c r="Q47" t="s">
        <v>157</v>
      </c>
      <c r="S47" t="s">
        <v>429</v>
      </c>
      <c r="T47" t="s">
        <v>772</v>
      </c>
      <c r="U47">
        <v>1</v>
      </c>
      <c r="V47" t="s">
        <v>157</v>
      </c>
    </row>
    <row r="48" spans="9:22" x14ac:dyDescent="0.45">
      <c r="I48" t="s">
        <v>208</v>
      </c>
      <c r="J48" t="s">
        <v>772</v>
      </c>
      <c r="K48">
        <v>1</v>
      </c>
      <c r="L48" t="s">
        <v>157</v>
      </c>
      <c r="N48" t="s">
        <v>319</v>
      </c>
      <c r="O48" t="s">
        <v>772</v>
      </c>
      <c r="P48">
        <v>1</v>
      </c>
      <c r="Q48" t="s">
        <v>157</v>
      </c>
      <c r="S48" t="s">
        <v>430</v>
      </c>
      <c r="T48" t="s">
        <v>772</v>
      </c>
      <c r="U48">
        <v>0.99999999999999989</v>
      </c>
      <c r="V48" t="s">
        <v>157</v>
      </c>
    </row>
    <row r="49" spans="9:22" x14ac:dyDescent="0.45">
      <c r="I49" t="s">
        <v>209</v>
      </c>
      <c r="J49" t="s">
        <v>772</v>
      </c>
      <c r="K49">
        <v>1</v>
      </c>
      <c r="L49" t="s">
        <v>157</v>
      </c>
      <c r="N49" t="s">
        <v>320</v>
      </c>
      <c r="O49" t="s">
        <v>772</v>
      </c>
      <c r="P49">
        <v>1</v>
      </c>
      <c r="Q49" t="s">
        <v>157</v>
      </c>
      <c r="S49" t="s">
        <v>431</v>
      </c>
      <c r="T49" t="s">
        <v>772</v>
      </c>
      <c r="U49">
        <v>1</v>
      </c>
      <c r="V49" t="s">
        <v>157</v>
      </c>
    </row>
    <row r="50" spans="9:22" x14ac:dyDescent="0.45">
      <c r="I50" t="s">
        <v>210</v>
      </c>
      <c r="J50" t="s">
        <v>772</v>
      </c>
      <c r="K50">
        <v>1</v>
      </c>
      <c r="L50" t="s">
        <v>157</v>
      </c>
      <c r="N50" t="s">
        <v>321</v>
      </c>
      <c r="O50" t="s">
        <v>772</v>
      </c>
      <c r="P50">
        <v>1</v>
      </c>
      <c r="Q50" t="s">
        <v>157</v>
      </c>
      <c r="S50" t="s">
        <v>432</v>
      </c>
      <c r="T50" t="s">
        <v>772</v>
      </c>
      <c r="U50">
        <v>1</v>
      </c>
      <c r="V50" t="s">
        <v>157</v>
      </c>
    </row>
    <row r="51" spans="9:22" x14ac:dyDescent="0.45">
      <c r="I51" t="s">
        <v>211</v>
      </c>
      <c r="J51" t="s">
        <v>772</v>
      </c>
      <c r="K51">
        <v>1</v>
      </c>
      <c r="L51" t="s">
        <v>157</v>
      </c>
      <c r="N51" t="s">
        <v>322</v>
      </c>
      <c r="O51" t="s">
        <v>772</v>
      </c>
      <c r="P51">
        <v>1</v>
      </c>
      <c r="Q51" t="s">
        <v>157</v>
      </c>
      <c r="S51" t="s">
        <v>433</v>
      </c>
      <c r="T51" t="s">
        <v>772</v>
      </c>
      <c r="U51">
        <v>1</v>
      </c>
      <c r="V51" t="s">
        <v>157</v>
      </c>
    </row>
    <row r="52" spans="9:22" x14ac:dyDescent="0.45">
      <c r="I52" t="s">
        <v>212</v>
      </c>
      <c r="J52" t="s">
        <v>772</v>
      </c>
      <c r="K52">
        <v>1</v>
      </c>
      <c r="L52" t="s">
        <v>157</v>
      </c>
      <c r="N52" t="s">
        <v>323</v>
      </c>
      <c r="O52" t="s">
        <v>772</v>
      </c>
      <c r="P52">
        <v>1</v>
      </c>
      <c r="Q52" t="s">
        <v>157</v>
      </c>
      <c r="S52" t="s">
        <v>434</v>
      </c>
      <c r="T52" t="s">
        <v>772</v>
      </c>
      <c r="U52">
        <v>1</v>
      </c>
      <c r="V52" t="s">
        <v>157</v>
      </c>
    </row>
    <row r="53" spans="9:22" x14ac:dyDescent="0.45">
      <c r="I53" t="s">
        <v>213</v>
      </c>
      <c r="J53" t="s">
        <v>772</v>
      </c>
      <c r="K53">
        <v>0.99999999999999989</v>
      </c>
      <c r="L53" t="s">
        <v>157</v>
      </c>
      <c r="N53" t="s">
        <v>324</v>
      </c>
      <c r="O53" t="s">
        <v>772</v>
      </c>
      <c r="P53">
        <v>0.99999999999999989</v>
      </c>
      <c r="Q53" t="s">
        <v>157</v>
      </c>
      <c r="S53" t="s">
        <v>435</v>
      </c>
      <c r="T53" t="s">
        <v>772</v>
      </c>
      <c r="U53">
        <v>1</v>
      </c>
      <c r="V53" t="s">
        <v>157</v>
      </c>
    </row>
    <row r="54" spans="9:22" x14ac:dyDescent="0.45">
      <c r="I54" t="s">
        <v>214</v>
      </c>
      <c r="J54" t="s">
        <v>772</v>
      </c>
      <c r="K54">
        <v>1</v>
      </c>
      <c r="L54" t="s">
        <v>157</v>
      </c>
      <c r="N54" t="s">
        <v>325</v>
      </c>
      <c r="O54" t="s">
        <v>772</v>
      </c>
      <c r="P54">
        <v>1</v>
      </c>
      <c r="Q54" t="s">
        <v>157</v>
      </c>
      <c r="S54" t="s">
        <v>436</v>
      </c>
      <c r="T54" t="s">
        <v>772</v>
      </c>
      <c r="U54">
        <v>1.0000000000000002</v>
      </c>
      <c r="V54" t="s">
        <v>157</v>
      </c>
    </row>
    <row r="55" spans="9:22" x14ac:dyDescent="0.45">
      <c r="I55" t="s">
        <v>215</v>
      </c>
      <c r="J55" t="s">
        <v>772</v>
      </c>
      <c r="K55">
        <v>1</v>
      </c>
      <c r="L55" t="s">
        <v>157</v>
      </c>
      <c r="N55" t="s">
        <v>326</v>
      </c>
      <c r="O55" t="s">
        <v>772</v>
      </c>
      <c r="P55">
        <v>1</v>
      </c>
      <c r="Q55" t="s">
        <v>157</v>
      </c>
      <c r="S55" t="s">
        <v>437</v>
      </c>
      <c r="T55" t="s">
        <v>772</v>
      </c>
      <c r="U55">
        <v>1</v>
      </c>
      <c r="V55" t="s">
        <v>157</v>
      </c>
    </row>
    <row r="56" spans="9:22" x14ac:dyDescent="0.45">
      <c r="I56" t="s">
        <v>216</v>
      </c>
      <c r="J56" t="s">
        <v>772</v>
      </c>
      <c r="K56">
        <v>1</v>
      </c>
      <c r="L56" t="s">
        <v>157</v>
      </c>
      <c r="N56" t="s">
        <v>327</v>
      </c>
      <c r="O56" t="s">
        <v>772</v>
      </c>
      <c r="P56">
        <v>0.99999999999999989</v>
      </c>
      <c r="Q56" t="s">
        <v>157</v>
      </c>
      <c r="S56" t="s">
        <v>438</v>
      </c>
      <c r="T56" t="s">
        <v>772</v>
      </c>
      <c r="U56">
        <v>1</v>
      </c>
      <c r="V56" t="s">
        <v>157</v>
      </c>
    </row>
    <row r="57" spans="9:22" x14ac:dyDescent="0.45">
      <c r="I57" t="s">
        <v>217</v>
      </c>
      <c r="J57" t="s">
        <v>772</v>
      </c>
      <c r="K57">
        <v>1</v>
      </c>
      <c r="L57" t="s">
        <v>157</v>
      </c>
      <c r="N57" t="s">
        <v>328</v>
      </c>
      <c r="O57" t="s">
        <v>772</v>
      </c>
      <c r="P57">
        <v>1</v>
      </c>
      <c r="Q57" t="s">
        <v>157</v>
      </c>
      <c r="S57" t="s">
        <v>439</v>
      </c>
      <c r="T57" t="s">
        <v>772</v>
      </c>
      <c r="U57">
        <v>1</v>
      </c>
      <c r="V57" t="s">
        <v>157</v>
      </c>
    </row>
    <row r="58" spans="9:22" x14ac:dyDescent="0.45">
      <c r="I58" t="s">
        <v>218</v>
      </c>
      <c r="J58" t="s">
        <v>772</v>
      </c>
      <c r="K58">
        <v>1</v>
      </c>
      <c r="L58" t="s">
        <v>157</v>
      </c>
      <c r="N58" t="s">
        <v>329</v>
      </c>
      <c r="O58" t="s">
        <v>772</v>
      </c>
      <c r="P58">
        <v>1</v>
      </c>
      <c r="Q58" t="s">
        <v>157</v>
      </c>
      <c r="S58" t="s">
        <v>440</v>
      </c>
      <c r="T58" t="s">
        <v>772</v>
      </c>
      <c r="U58">
        <v>1</v>
      </c>
      <c r="V58" t="s">
        <v>157</v>
      </c>
    </row>
    <row r="59" spans="9:22" x14ac:dyDescent="0.45">
      <c r="I59" t="s">
        <v>219</v>
      </c>
      <c r="J59" t="s">
        <v>772</v>
      </c>
      <c r="K59">
        <v>1</v>
      </c>
      <c r="L59" t="s">
        <v>157</v>
      </c>
      <c r="N59" t="s">
        <v>330</v>
      </c>
      <c r="O59" t="s">
        <v>772</v>
      </c>
      <c r="P59">
        <v>1</v>
      </c>
      <c r="Q59" t="s">
        <v>157</v>
      </c>
      <c r="S59" t="s">
        <v>441</v>
      </c>
      <c r="T59" t="s">
        <v>772</v>
      </c>
      <c r="U59">
        <v>1</v>
      </c>
      <c r="V59" t="s">
        <v>157</v>
      </c>
    </row>
    <row r="60" spans="9:22" x14ac:dyDescent="0.45">
      <c r="I60" t="s">
        <v>220</v>
      </c>
      <c r="J60" t="s">
        <v>772</v>
      </c>
      <c r="K60">
        <v>1</v>
      </c>
      <c r="L60" t="s">
        <v>157</v>
      </c>
      <c r="N60" t="s">
        <v>331</v>
      </c>
      <c r="O60" t="s">
        <v>772</v>
      </c>
      <c r="P60">
        <v>1</v>
      </c>
      <c r="Q60" t="s">
        <v>157</v>
      </c>
      <c r="S60" t="s">
        <v>442</v>
      </c>
      <c r="T60" t="s">
        <v>772</v>
      </c>
      <c r="U60">
        <v>1</v>
      </c>
      <c r="V60" t="s">
        <v>157</v>
      </c>
    </row>
    <row r="61" spans="9:22" x14ac:dyDescent="0.45">
      <c r="I61" t="s">
        <v>221</v>
      </c>
      <c r="J61" t="s">
        <v>772</v>
      </c>
      <c r="K61">
        <v>1</v>
      </c>
      <c r="L61" t="s">
        <v>157</v>
      </c>
      <c r="N61" t="s">
        <v>332</v>
      </c>
      <c r="O61" t="s">
        <v>772</v>
      </c>
      <c r="P61">
        <v>1</v>
      </c>
      <c r="Q61" t="s">
        <v>157</v>
      </c>
      <c r="S61" t="s">
        <v>443</v>
      </c>
      <c r="T61" t="s">
        <v>772</v>
      </c>
      <c r="U61">
        <v>1</v>
      </c>
      <c r="V61" t="s">
        <v>157</v>
      </c>
    </row>
    <row r="62" spans="9:22" x14ac:dyDescent="0.45">
      <c r="I62" t="s">
        <v>222</v>
      </c>
      <c r="J62" t="s">
        <v>772</v>
      </c>
      <c r="K62">
        <v>1</v>
      </c>
      <c r="L62" t="s">
        <v>157</v>
      </c>
      <c r="N62" t="s">
        <v>333</v>
      </c>
      <c r="O62" t="s">
        <v>772</v>
      </c>
      <c r="P62">
        <v>0.99999999999999989</v>
      </c>
      <c r="Q62" t="s">
        <v>157</v>
      </c>
      <c r="S62" t="s">
        <v>444</v>
      </c>
      <c r="T62" t="s">
        <v>772</v>
      </c>
      <c r="U62">
        <v>1</v>
      </c>
      <c r="V62" t="s">
        <v>157</v>
      </c>
    </row>
    <row r="63" spans="9:22" x14ac:dyDescent="0.45">
      <c r="I63" t="s">
        <v>223</v>
      </c>
      <c r="J63" t="s">
        <v>772</v>
      </c>
      <c r="K63">
        <v>1</v>
      </c>
      <c r="L63" t="s">
        <v>157</v>
      </c>
      <c r="N63" t="s">
        <v>334</v>
      </c>
      <c r="O63" t="s">
        <v>772</v>
      </c>
      <c r="P63">
        <v>1</v>
      </c>
      <c r="Q63" t="s">
        <v>157</v>
      </c>
      <c r="S63" t="s">
        <v>445</v>
      </c>
      <c r="T63" t="s">
        <v>772</v>
      </c>
      <c r="U63">
        <v>1</v>
      </c>
      <c r="V63" t="s">
        <v>157</v>
      </c>
    </row>
    <row r="64" spans="9:22" x14ac:dyDescent="0.45">
      <c r="I64" t="s">
        <v>224</v>
      </c>
      <c r="J64" t="s">
        <v>772</v>
      </c>
      <c r="K64">
        <v>1</v>
      </c>
      <c r="L64" t="s">
        <v>157</v>
      </c>
      <c r="N64" t="s">
        <v>335</v>
      </c>
      <c r="O64" t="s">
        <v>772</v>
      </c>
      <c r="P64">
        <v>1</v>
      </c>
      <c r="Q64" t="s">
        <v>157</v>
      </c>
      <c r="S64" t="s">
        <v>446</v>
      </c>
      <c r="T64" t="s">
        <v>772</v>
      </c>
      <c r="U64">
        <v>0.99999999999999989</v>
      </c>
      <c r="V64" t="s">
        <v>157</v>
      </c>
    </row>
    <row r="65" spans="9:22" x14ac:dyDescent="0.45">
      <c r="I65" t="s">
        <v>225</v>
      </c>
      <c r="J65" t="s">
        <v>772</v>
      </c>
      <c r="K65">
        <v>1</v>
      </c>
      <c r="L65" t="s">
        <v>157</v>
      </c>
      <c r="N65" t="s">
        <v>336</v>
      </c>
      <c r="O65" t="s">
        <v>772</v>
      </c>
      <c r="P65">
        <v>1</v>
      </c>
      <c r="Q65" t="s">
        <v>157</v>
      </c>
      <c r="S65" t="s">
        <v>447</v>
      </c>
      <c r="T65" t="s">
        <v>772</v>
      </c>
      <c r="U65">
        <v>1</v>
      </c>
      <c r="V65" t="s">
        <v>157</v>
      </c>
    </row>
    <row r="66" spans="9:22" x14ac:dyDescent="0.45">
      <c r="I66" t="s">
        <v>226</v>
      </c>
      <c r="J66" t="s">
        <v>772</v>
      </c>
      <c r="K66">
        <v>0.99999999999999989</v>
      </c>
      <c r="L66" t="s">
        <v>157</v>
      </c>
      <c r="N66" t="s">
        <v>337</v>
      </c>
      <c r="O66" t="s">
        <v>772</v>
      </c>
      <c r="P66">
        <v>1</v>
      </c>
      <c r="Q66" t="s">
        <v>157</v>
      </c>
      <c r="S66" t="s">
        <v>448</v>
      </c>
      <c r="T66" t="s">
        <v>772</v>
      </c>
      <c r="U66">
        <v>1</v>
      </c>
      <c r="V66" t="s">
        <v>157</v>
      </c>
    </row>
    <row r="67" spans="9:22" x14ac:dyDescent="0.45">
      <c r="I67" t="s">
        <v>227</v>
      </c>
      <c r="J67" t="s">
        <v>772</v>
      </c>
      <c r="K67">
        <v>1</v>
      </c>
      <c r="L67" t="s">
        <v>157</v>
      </c>
      <c r="N67" t="s">
        <v>338</v>
      </c>
      <c r="O67" t="s">
        <v>772</v>
      </c>
      <c r="P67">
        <v>1</v>
      </c>
      <c r="Q67" t="s">
        <v>157</v>
      </c>
      <c r="S67" t="s">
        <v>449</v>
      </c>
      <c r="T67" t="s">
        <v>772</v>
      </c>
      <c r="U67">
        <v>1</v>
      </c>
      <c r="V67" t="s">
        <v>157</v>
      </c>
    </row>
    <row r="68" spans="9:22" x14ac:dyDescent="0.45">
      <c r="I68" t="s">
        <v>228</v>
      </c>
      <c r="J68" t="s">
        <v>772</v>
      </c>
      <c r="K68">
        <v>1</v>
      </c>
      <c r="L68" t="s">
        <v>157</v>
      </c>
      <c r="N68" t="s">
        <v>339</v>
      </c>
      <c r="O68" t="s">
        <v>772</v>
      </c>
      <c r="P68">
        <v>1</v>
      </c>
      <c r="Q68" t="s">
        <v>157</v>
      </c>
      <c r="S68" t="s">
        <v>450</v>
      </c>
      <c r="T68" t="s">
        <v>772</v>
      </c>
      <c r="U68">
        <v>1</v>
      </c>
      <c r="V68" t="s">
        <v>157</v>
      </c>
    </row>
    <row r="69" spans="9:22" x14ac:dyDescent="0.45">
      <c r="I69" t="s">
        <v>229</v>
      </c>
      <c r="J69" t="s">
        <v>772</v>
      </c>
      <c r="K69">
        <v>1</v>
      </c>
      <c r="L69" t="s">
        <v>157</v>
      </c>
      <c r="N69" t="s">
        <v>340</v>
      </c>
      <c r="O69" t="s">
        <v>772</v>
      </c>
      <c r="P69">
        <v>1</v>
      </c>
      <c r="Q69" t="s">
        <v>157</v>
      </c>
      <c r="S69" t="s">
        <v>451</v>
      </c>
      <c r="T69" t="s">
        <v>772</v>
      </c>
      <c r="U69">
        <v>1</v>
      </c>
      <c r="V69" t="s">
        <v>157</v>
      </c>
    </row>
    <row r="70" spans="9:22" x14ac:dyDescent="0.45">
      <c r="I70" t="s">
        <v>230</v>
      </c>
      <c r="J70" t="s">
        <v>772</v>
      </c>
      <c r="K70">
        <v>1</v>
      </c>
      <c r="L70" t="s">
        <v>157</v>
      </c>
      <c r="N70" t="s">
        <v>341</v>
      </c>
      <c r="O70" t="s">
        <v>772</v>
      </c>
      <c r="P70">
        <v>1</v>
      </c>
      <c r="Q70" t="s">
        <v>157</v>
      </c>
      <c r="S70" t="s">
        <v>452</v>
      </c>
      <c r="T70" t="s">
        <v>772</v>
      </c>
      <c r="U70">
        <v>1</v>
      </c>
      <c r="V70" t="s">
        <v>157</v>
      </c>
    </row>
    <row r="71" spans="9:22" x14ac:dyDescent="0.45">
      <c r="I71" t="s">
        <v>231</v>
      </c>
      <c r="J71" t="s">
        <v>772</v>
      </c>
      <c r="K71">
        <v>1</v>
      </c>
      <c r="L71" t="s">
        <v>157</v>
      </c>
      <c r="N71" t="s">
        <v>342</v>
      </c>
      <c r="O71" t="s">
        <v>772</v>
      </c>
      <c r="P71">
        <v>1</v>
      </c>
      <c r="Q71" t="s">
        <v>157</v>
      </c>
      <c r="S71" t="s">
        <v>453</v>
      </c>
      <c r="T71" t="s">
        <v>772</v>
      </c>
      <c r="U71">
        <v>1</v>
      </c>
      <c r="V71" t="s">
        <v>157</v>
      </c>
    </row>
    <row r="72" spans="9:22" x14ac:dyDescent="0.45">
      <c r="I72" t="s">
        <v>232</v>
      </c>
      <c r="J72" t="s">
        <v>772</v>
      </c>
      <c r="K72">
        <v>1</v>
      </c>
      <c r="L72" t="s">
        <v>157</v>
      </c>
      <c r="N72" t="s">
        <v>343</v>
      </c>
      <c r="O72" t="s">
        <v>772</v>
      </c>
      <c r="P72">
        <v>1</v>
      </c>
      <c r="Q72" t="s">
        <v>157</v>
      </c>
      <c r="S72" t="s">
        <v>454</v>
      </c>
      <c r="T72" t="s">
        <v>772</v>
      </c>
      <c r="U72">
        <v>1</v>
      </c>
      <c r="V72" t="s">
        <v>157</v>
      </c>
    </row>
    <row r="73" spans="9:22" x14ac:dyDescent="0.45">
      <c r="I73" t="s">
        <v>233</v>
      </c>
      <c r="J73" t="s">
        <v>772</v>
      </c>
      <c r="K73">
        <v>1</v>
      </c>
      <c r="L73" t="s">
        <v>157</v>
      </c>
      <c r="N73" t="s">
        <v>344</v>
      </c>
      <c r="O73" t="s">
        <v>772</v>
      </c>
      <c r="P73">
        <v>0.99999999999999989</v>
      </c>
      <c r="Q73" t="s">
        <v>157</v>
      </c>
      <c r="S73" t="s">
        <v>455</v>
      </c>
      <c r="T73" t="s">
        <v>772</v>
      </c>
      <c r="U73">
        <v>1</v>
      </c>
      <c r="V73" t="s">
        <v>157</v>
      </c>
    </row>
    <row r="74" spans="9:22" x14ac:dyDescent="0.45">
      <c r="I74" t="s">
        <v>234</v>
      </c>
      <c r="J74" t="s">
        <v>772</v>
      </c>
      <c r="K74">
        <v>1</v>
      </c>
      <c r="L74" t="s">
        <v>157</v>
      </c>
      <c r="N74" t="s">
        <v>345</v>
      </c>
      <c r="O74" t="s">
        <v>772</v>
      </c>
      <c r="P74">
        <v>0.99999999999999989</v>
      </c>
      <c r="Q74" t="s">
        <v>157</v>
      </c>
      <c r="S74" t="s">
        <v>456</v>
      </c>
      <c r="T74" t="s">
        <v>772</v>
      </c>
      <c r="U74">
        <v>1</v>
      </c>
      <c r="V74" t="s">
        <v>157</v>
      </c>
    </row>
    <row r="75" spans="9:22" x14ac:dyDescent="0.45">
      <c r="I75" t="s">
        <v>235</v>
      </c>
      <c r="J75" t="s">
        <v>772</v>
      </c>
      <c r="K75">
        <v>1</v>
      </c>
      <c r="L75" t="s">
        <v>157</v>
      </c>
      <c r="N75" t="s">
        <v>346</v>
      </c>
      <c r="O75" t="s">
        <v>772</v>
      </c>
      <c r="P75">
        <v>0.99999999999999989</v>
      </c>
      <c r="Q75" t="s">
        <v>157</v>
      </c>
      <c r="S75" t="s">
        <v>457</v>
      </c>
      <c r="T75" t="s">
        <v>772</v>
      </c>
      <c r="U75">
        <v>1</v>
      </c>
      <c r="V75" t="s">
        <v>157</v>
      </c>
    </row>
    <row r="76" spans="9:22" x14ac:dyDescent="0.45">
      <c r="I76" t="s">
        <v>236</v>
      </c>
      <c r="J76" t="s">
        <v>772</v>
      </c>
      <c r="K76">
        <v>1</v>
      </c>
      <c r="L76" t="s">
        <v>157</v>
      </c>
      <c r="N76" t="s">
        <v>347</v>
      </c>
      <c r="O76" t="s">
        <v>772</v>
      </c>
      <c r="P76">
        <v>1</v>
      </c>
      <c r="Q76" t="s">
        <v>157</v>
      </c>
      <c r="S76" t="s">
        <v>458</v>
      </c>
      <c r="T76" t="s">
        <v>772</v>
      </c>
      <c r="U76">
        <v>1</v>
      </c>
      <c r="V76" t="s">
        <v>157</v>
      </c>
    </row>
    <row r="77" spans="9:22" x14ac:dyDescent="0.45">
      <c r="I77" t="s">
        <v>237</v>
      </c>
      <c r="J77" t="s">
        <v>772</v>
      </c>
      <c r="K77">
        <v>1</v>
      </c>
      <c r="L77" t="s">
        <v>157</v>
      </c>
      <c r="N77" t="s">
        <v>348</v>
      </c>
      <c r="O77" t="s">
        <v>772</v>
      </c>
      <c r="P77">
        <v>1</v>
      </c>
      <c r="Q77" t="s">
        <v>157</v>
      </c>
      <c r="S77" t="s">
        <v>459</v>
      </c>
      <c r="T77" t="s">
        <v>772</v>
      </c>
      <c r="U77">
        <v>0.99999999999999989</v>
      </c>
      <c r="V77" t="s">
        <v>157</v>
      </c>
    </row>
    <row r="78" spans="9:22" x14ac:dyDescent="0.45">
      <c r="I78" t="s">
        <v>238</v>
      </c>
      <c r="J78" t="s">
        <v>772</v>
      </c>
      <c r="K78">
        <v>0.99999999999999989</v>
      </c>
      <c r="L78" t="s">
        <v>157</v>
      </c>
      <c r="N78" t="s">
        <v>349</v>
      </c>
      <c r="O78" t="s">
        <v>772</v>
      </c>
      <c r="P78">
        <v>1</v>
      </c>
      <c r="Q78" t="s">
        <v>157</v>
      </c>
      <c r="S78" t="s">
        <v>460</v>
      </c>
      <c r="T78" t="s">
        <v>772</v>
      </c>
      <c r="U78">
        <v>1</v>
      </c>
      <c r="V78" t="s">
        <v>157</v>
      </c>
    </row>
    <row r="79" spans="9:22" x14ac:dyDescent="0.45">
      <c r="I79" t="s">
        <v>239</v>
      </c>
      <c r="J79" t="s">
        <v>772</v>
      </c>
      <c r="K79">
        <v>1</v>
      </c>
      <c r="L79" t="s">
        <v>157</v>
      </c>
      <c r="N79" t="s">
        <v>350</v>
      </c>
      <c r="O79" t="s">
        <v>772</v>
      </c>
      <c r="P79">
        <v>1</v>
      </c>
      <c r="Q79" t="s">
        <v>157</v>
      </c>
      <c r="S79" t="s">
        <v>461</v>
      </c>
      <c r="T79" t="s">
        <v>772</v>
      </c>
      <c r="U79">
        <v>1</v>
      </c>
      <c r="V79" t="s">
        <v>157</v>
      </c>
    </row>
    <row r="80" spans="9:22" x14ac:dyDescent="0.45">
      <c r="I80" t="s">
        <v>240</v>
      </c>
      <c r="J80" t="s">
        <v>772</v>
      </c>
      <c r="K80">
        <v>1</v>
      </c>
      <c r="L80" t="s">
        <v>157</v>
      </c>
      <c r="N80" t="s">
        <v>351</v>
      </c>
      <c r="O80" t="s">
        <v>772</v>
      </c>
      <c r="P80">
        <v>1</v>
      </c>
      <c r="Q80" t="s">
        <v>157</v>
      </c>
      <c r="S80" t="s">
        <v>462</v>
      </c>
      <c r="T80" t="s">
        <v>772</v>
      </c>
      <c r="U80">
        <v>1</v>
      </c>
      <c r="V80" t="s">
        <v>157</v>
      </c>
    </row>
    <row r="81" spans="9:22" x14ac:dyDescent="0.45">
      <c r="I81" t="s">
        <v>241</v>
      </c>
      <c r="J81" t="s">
        <v>772</v>
      </c>
      <c r="K81">
        <v>1</v>
      </c>
      <c r="L81" t="s">
        <v>157</v>
      </c>
      <c r="N81" t="s">
        <v>352</v>
      </c>
      <c r="O81" t="s">
        <v>772</v>
      </c>
      <c r="P81">
        <v>1</v>
      </c>
      <c r="Q81" t="s">
        <v>157</v>
      </c>
      <c r="S81" t="s">
        <v>463</v>
      </c>
      <c r="T81" t="s">
        <v>772</v>
      </c>
      <c r="U81">
        <v>1</v>
      </c>
      <c r="V81" t="s">
        <v>157</v>
      </c>
    </row>
    <row r="82" spans="9:22" x14ac:dyDescent="0.45">
      <c r="I82" t="s">
        <v>242</v>
      </c>
      <c r="J82" t="s">
        <v>772</v>
      </c>
      <c r="K82">
        <v>0.99999999999999989</v>
      </c>
      <c r="L82" t="s">
        <v>157</v>
      </c>
      <c r="N82" t="s">
        <v>353</v>
      </c>
      <c r="O82" t="s">
        <v>772</v>
      </c>
      <c r="P82">
        <v>1</v>
      </c>
      <c r="Q82" t="s">
        <v>157</v>
      </c>
      <c r="S82" t="s">
        <v>464</v>
      </c>
      <c r="T82" t="s">
        <v>772</v>
      </c>
      <c r="U82">
        <v>1</v>
      </c>
      <c r="V82" t="s">
        <v>157</v>
      </c>
    </row>
    <row r="83" spans="9:22" x14ac:dyDescent="0.45">
      <c r="I83" t="s">
        <v>243</v>
      </c>
      <c r="J83" t="s">
        <v>772</v>
      </c>
      <c r="K83">
        <v>1</v>
      </c>
      <c r="L83" t="s">
        <v>157</v>
      </c>
      <c r="N83" t="s">
        <v>354</v>
      </c>
      <c r="O83" t="s">
        <v>772</v>
      </c>
      <c r="P83">
        <v>1</v>
      </c>
      <c r="Q83" t="s">
        <v>157</v>
      </c>
      <c r="S83" t="s">
        <v>465</v>
      </c>
      <c r="T83" t="s">
        <v>772</v>
      </c>
      <c r="U83">
        <v>1</v>
      </c>
      <c r="V83" t="s">
        <v>157</v>
      </c>
    </row>
    <row r="84" spans="9:22" x14ac:dyDescent="0.45">
      <c r="I84" t="s">
        <v>244</v>
      </c>
      <c r="J84" t="s">
        <v>772</v>
      </c>
      <c r="K84">
        <v>1</v>
      </c>
      <c r="L84" t="s">
        <v>157</v>
      </c>
      <c r="N84" t="s">
        <v>355</v>
      </c>
      <c r="O84" t="s">
        <v>772</v>
      </c>
      <c r="P84">
        <v>1</v>
      </c>
      <c r="Q84" t="s">
        <v>157</v>
      </c>
      <c r="S84" t="s">
        <v>466</v>
      </c>
      <c r="T84" t="s">
        <v>772</v>
      </c>
      <c r="U84">
        <v>1</v>
      </c>
      <c r="V84" t="s">
        <v>157</v>
      </c>
    </row>
    <row r="85" spans="9:22" x14ac:dyDescent="0.45">
      <c r="I85" t="s">
        <v>245</v>
      </c>
      <c r="J85" t="s">
        <v>772</v>
      </c>
      <c r="K85">
        <v>1</v>
      </c>
      <c r="L85" t="s">
        <v>157</v>
      </c>
      <c r="N85" t="s">
        <v>356</v>
      </c>
      <c r="O85" t="s">
        <v>772</v>
      </c>
      <c r="P85">
        <v>0.99999999999999989</v>
      </c>
      <c r="Q85" t="s">
        <v>157</v>
      </c>
      <c r="S85" t="s">
        <v>467</v>
      </c>
      <c r="T85" t="s">
        <v>772</v>
      </c>
      <c r="U85">
        <v>1</v>
      </c>
      <c r="V85" t="s">
        <v>157</v>
      </c>
    </row>
    <row r="86" spans="9:22" x14ac:dyDescent="0.45">
      <c r="I86" t="s">
        <v>246</v>
      </c>
      <c r="J86" t="s">
        <v>772</v>
      </c>
      <c r="K86">
        <v>1</v>
      </c>
      <c r="L86" t="s">
        <v>157</v>
      </c>
      <c r="N86" t="s">
        <v>357</v>
      </c>
      <c r="O86" t="s">
        <v>772</v>
      </c>
      <c r="P86">
        <v>1</v>
      </c>
      <c r="Q86" t="s">
        <v>157</v>
      </c>
      <c r="S86" t="s">
        <v>468</v>
      </c>
      <c r="T86" t="s">
        <v>772</v>
      </c>
      <c r="U86">
        <v>1</v>
      </c>
      <c r="V86" t="s">
        <v>157</v>
      </c>
    </row>
    <row r="87" spans="9:22" x14ac:dyDescent="0.45">
      <c r="I87" t="s">
        <v>247</v>
      </c>
      <c r="J87" t="s">
        <v>772</v>
      </c>
      <c r="K87">
        <v>0.99999999999999989</v>
      </c>
      <c r="L87" t="s">
        <v>157</v>
      </c>
      <c r="N87" t="s">
        <v>358</v>
      </c>
      <c r="O87" t="s">
        <v>772</v>
      </c>
      <c r="P87">
        <v>1</v>
      </c>
      <c r="Q87" t="s">
        <v>157</v>
      </c>
      <c r="S87" t="s">
        <v>469</v>
      </c>
      <c r="T87" t="s">
        <v>772</v>
      </c>
      <c r="U87">
        <v>1</v>
      </c>
      <c r="V87" t="s">
        <v>157</v>
      </c>
    </row>
    <row r="88" spans="9:22" x14ac:dyDescent="0.45">
      <c r="I88" t="s">
        <v>248</v>
      </c>
      <c r="J88" t="s">
        <v>772</v>
      </c>
      <c r="K88">
        <v>1</v>
      </c>
      <c r="L88" t="s">
        <v>157</v>
      </c>
      <c r="N88" t="s">
        <v>359</v>
      </c>
      <c r="O88" t="s">
        <v>772</v>
      </c>
      <c r="P88">
        <v>0.99999999999999989</v>
      </c>
      <c r="Q88" t="s">
        <v>157</v>
      </c>
      <c r="S88" t="s">
        <v>470</v>
      </c>
      <c r="T88" t="s">
        <v>772</v>
      </c>
      <c r="U88">
        <v>1</v>
      </c>
      <c r="V88" t="s">
        <v>157</v>
      </c>
    </row>
    <row r="89" spans="9:22" x14ac:dyDescent="0.45">
      <c r="I89" t="s">
        <v>249</v>
      </c>
      <c r="J89" t="s">
        <v>772</v>
      </c>
      <c r="K89">
        <v>1</v>
      </c>
      <c r="L89" t="s">
        <v>157</v>
      </c>
      <c r="N89" t="s">
        <v>360</v>
      </c>
      <c r="O89" t="s">
        <v>772</v>
      </c>
      <c r="P89">
        <v>1</v>
      </c>
      <c r="Q89" t="s">
        <v>157</v>
      </c>
      <c r="S89" t="s">
        <v>471</v>
      </c>
      <c r="T89" t="s">
        <v>772</v>
      </c>
      <c r="U89">
        <v>1</v>
      </c>
      <c r="V89" t="s">
        <v>157</v>
      </c>
    </row>
    <row r="90" spans="9:22" x14ac:dyDescent="0.45">
      <c r="I90" t="s">
        <v>250</v>
      </c>
      <c r="J90" t="s">
        <v>772</v>
      </c>
      <c r="K90">
        <v>0.99999999999999989</v>
      </c>
      <c r="L90" t="s">
        <v>157</v>
      </c>
      <c r="N90" t="s">
        <v>361</v>
      </c>
      <c r="O90" t="s">
        <v>772</v>
      </c>
      <c r="P90">
        <v>1</v>
      </c>
      <c r="Q90" t="s">
        <v>157</v>
      </c>
      <c r="S90" t="s">
        <v>472</v>
      </c>
      <c r="T90" t="s">
        <v>772</v>
      </c>
      <c r="U90">
        <v>1</v>
      </c>
      <c r="V90" t="s">
        <v>157</v>
      </c>
    </row>
    <row r="91" spans="9:22" x14ac:dyDescent="0.45">
      <c r="I91" t="s">
        <v>251</v>
      </c>
      <c r="J91" t="s">
        <v>772</v>
      </c>
      <c r="K91">
        <v>1</v>
      </c>
      <c r="L91" t="s">
        <v>157</v>
      </c>
      <c r="N91" t="s">
        <v>362</v>
      </c>
      <c r="O91" t="s">
        <v>772</v>
      </c>
      <c r="P91">
        <v>1</v>
      </c>
      <c r="Q91" t="s">
        <v>157</v>
      </c>
      <c r="S91" t="s">
        <v>473</v>
      </c>
      <c r="T91" t="s">
        <v>772</v>
      </c>
      <c r="U91">
        <v>1</v>
      </c>
      <c r="V91" t="s">
        <v>157</v>
      </c>
    </row>
    <row r="92" spans="9:22" x14ac:dyDescent="0.45">
      <c r="I92" t="s">
        <v>252</v>
      </c>
      <c r="J92" t="s">
        <v>772</v>
      </c>
      <c r="K92">
        <v>1</v>
      </c>
      <c r="L92" t="s">
        <v>157</v>
      </c>
      <c r="N92" t="s">
        <v>363</v>
      </c>
      <c r="O92" t="s">
        <v>772</v>
      </c>
      <c r="P92">
        <v>1</v>
      </c>
      <c r="Q92" t="s">
        <v>157</v>
      </c>
      <c r="S92" t="s">
        <v>474</v>
      </c>
      <c r="T92" t="s">
        <v>772</v>
      </c>
      <c r="U92">
        <v>1</v>
      </c>
      <c r="V92" t="s">
        <v>157</v>
      </c>
    </row>
    <row r="93" spans="9:22" x14ac:dyDescent="0.45">
      <c r="I93" t="s">
        <v>253</v>
      </c>
      <c r="J93" t="s">
        <v>772</v>
      </c>
      <c r="K93">
        <v>1</v>
      </c>
      <c r="L93" t="s">
        <v>157</v>
      </c>
      <c r="N93" t="s">
        <v>364</v>
      </c>
      <c r="O93" t="s">
        <v>772</v>
      </c>
      <c r="P93">
        <v>1</v>
      </c>
      <c r="Q93" t="s">
        <v>157</v>
      </c>
      <c r="S93" t="s">
        <v>475</v>
      </c>
      <c r="T93" t="s">
        <v>772</v>
      </c>
      <c r="U93">
        <v>1</v>
      </c>
      <c r="V93" t="s">
        <v>157</v>
      </c>
    </row>
    <row r="94" spans="9:22" x14ac:dyDescent="0.45">
      <c r="I94" t="s">
        <v>254</v>
      </c>
      <c r="J94" t="s">
        <v>772</v>
      </c>
      <c r="K94">
        <v>1</v>
      </c>
      <c r="L94" t="s">
        <v>157</v>
      </c>
      <c r="N94" t="s">
        <v>365</v>
      </c>
      <c r="O94" t="s">
        <v>772</v>
      </c>
      <c r="P94">
        <v>1</v>
      </c>
      <c r="Q94" t="s">
        <v>157</v>
      </c>
      <c r="S94" t="s">
        <v>476</v>
      </c>
      <c r="T94" t="s">
        <v>772</v>
      </c>
      <c r="U94">
        <v>0.99999999999999989</v>
      </c>
      <c r="V94" t="s">
        <v>157</v>
      </c>
    </row>
    <row r="95" spans="9:22" x14ac:dyDescent="0.45">
      <c r="I95" t="s">
        <v>255</v>
      </c>
      <c r="J95" t="s">
        <v>772</v>
      </c>
      <c r="K95">
        <v>1</v>
      </c>
      <c r="L95" t="s">
        <v>157</v>
      </c>
      <c r="N95" t="s">
        <v>366</v>
      </c>
      <c r="O95" t="s">
        <v>772</v>
      </c>
      <c r="P95">
        <v>0.99999999999999989</v>
      </c>
      <c r="Q95" t="s">
        <v>157</v>
      </c>
      <c r="S95" t="s">
        <v>477</v>
      </c>
      <c r="T95" t="s">
        <v>772</v>
      </c>
      <c r="U95">
        <v>1</v>
      </c>
      <c r="V95" t="s">
        <v>157</v>
      </c>
    </row>
    <row r="96" spans="9:22" x14ac:dyDescent="0.45">
      <c r="I96" t="s">
        <v>256</v>
      </c>
      <c r="J96" t="s">
        <v>772</v>
      </c>
      <c r="K96">
        <v>1</v>
      </c>
      <c r="L96" t="s">
        <v>157</v>
      </c>
      <c r="N96" t="s">
        <v>367</v>
      </c>
      <c r="O96" t="s">
        <v>772</v>
      </c>
      <c r="P96">
        <v>1</v>
      </c>
      <c r="Q96" t="s">
        <v>157</v>
      </c>
      <c r="S96" t="s">
        <v>478</v>
      </c>
      <c r="T96" t="s">
        <v>772</v>
      </c>
      <c r="U96">
        <v>0.99999999999999989</v>
      </c>
      <c r="V96" t="s">
        <v>157</v>
      </c>
    </row>
    <row r="97" spans="9:22" x14ac:dyDescent="0.45">
      <c r="I97" t="s">
        <v>257</v>
      </c>
      <c r="J97" t="s">
        <v>772</v>
      </c>
      <c r="K97">
        <v>1</v>
      </c>
      <c r="L97" t="s">
        <v>157</v>
      </c>
      <c r="N97" t="s">
        <v>368</v>
      </c>
      <c r="O97" t="s">
        <v>772</v>
      </c>
      <c r="P97">
        <v>0.99999999999999989</v>
      </c>
      <c r="Q97" t="s">
        <v>157</v>
      </c>
      <c r="S97" t="s">
        <v>479</v>
      </c>
      <c r="T97" t="s">
        <v>772</v>
      </c>
      <c r="U97">
        <v>1</v>
      </c>
      <c r="V97" t="s">
        <v>157</v>
      </c>
    </row>
    <row r="98" spans="9:22" x14ac:dyDescent="0.45">
      <c r="I98" t="s">
        <v>258</v>
      </c>
      <c r="J98" t="s">
        <v>772</v>
      </c>
      <c r="K98">
        <v>1</v>
      </c>
      <c r="L98" t="s">
        <v>157</v>
      </c>
      <c r="N98" t="s">
        <v>369</v>
      </c>
      <c r="O98" t="s">
        <v>772</v>
      </c>
      <c r="P98">
        <v>1</v>
      </c>
      <c r="Q98" t="s">
        <v>157</v>
      </c>
      <c r="S98" t="s">
        <v>480</v>
      </c>
      <c r="T98" t="s">
        <v>772</v>
      </c>
      <c r="U98">
        <v>1</v>
      </c>
      <c r="V98" t="s">
        <v>157</v>
      </c>
    </row>
    <row r="99" spans="9:22" x14ac:dyDescent="0.45">
      <c r="I99" t="s">
        <v>259</v>
      </c>
      <c r="J99" t="s">
        <v>772</v>
      </c>
      <c r="K99">
        <v>1</v>
      </c>
      <c r="L99" t="s">
        <v>157</v>
      </c>
      <c r="N99" t="s">
        <v>370</v>
      </c>
      <c r="O99" t="s">
        <v>772</v>
      </c>
      <c r="P99">
        <v>1</v>
      </c>
      <c r="Q99" t="s">
        <v>157</v>
      </c>
      <c r="S99" t="s">
        <v>481</v>
      </c>
      <c r="T99" t="s">
        <v>772</v>
      </c>
      <c r="U99">
        <v>1</v>
      </c>
      <c r="V99" t="s">
        <v>157</v>
      </c>
    </row>
    <row r="100" spans="9:22" x14ac:dyDescent="0.45">
      <c r="I100" t="s">
        <v>260</v>
      </c>
      <c r="J100" t="s">
        <v>772</v>
      </c>
      <c r="K100">
        <v>0.99999999999999989</v>
      </c>
      <c r="L100" t="s">
        <v>157</v>
      </c>
      <c r="N100" t="s">
        <v>371</v>
      </c>
      <c r="O100" t="s">
        <v>772</v>
      </c>
      <c r="P100">
        <v>1</v>
      </c>
      <c r="Q100" t="s">
        <v>157</v>
      </c>
      <c r="S100" t="s">
        <v>482</v>
      </c>
      <c r="T100" t="s">
        <v>772</v>
      </c>
      <c r="U100">
        <v>1</v>
      </c>
      <c r="V100" t="s">
        <v>157</v>
      </c>
    </row>
    <row r="101" spans="9:22" x14ac:dyDescent="0.45">
      <c r="I101" t="s">
        <v>261</v>
      </c>
      <c r="J101" t="s">
        <v>772</v>
      </c>
      <c r="K101">
        <v>1</v>
      </c>
      <c r="L101" t="s">
        <v>157</v>
      </c>
      <c r="N101" t="s">
        <v>372</v>
      </c>
      <c r="O101" t="s">
        <v>772</v>
      </c>
      <c r="P101">
        <v>1</v>
      </c>
      <c r="Q101" t="s">
        <v>157</v>
      </c>
      <c r="S101" t="s">
        <v>483</v>
      </c>
      <c r="T101" t="s">
        <v>772</v>
      </c>
      <c r="U101">
        <v>1</v>
      </c>
      <c r="V101" t="s">
        <v>157</v>
      </c>
    </row>
    <row r="102" spans="9:22" x14ac:dyDescent="0.45">
      <c r="I102" t="s">
        <v>262</v>
      </c>
      <c r="J102" t="s">
        <v>772</v>
      </c>
      <c r="K102">
        <v>1</v>
      </c>
      <c r="L102" t="s">
        <v>157</v>
      </c>
      <c r="N102" t="s">
        <v>373</v>
      </c>
      <c r="O102" t="s">
        <v>772</v>
      </c>
      <c r="P102">
        <v>1</v>
      </c>
      <c r="Q102" t="s">
        <v>157</v>
      </c>
      <c r="S102" t="s">
        <v>484</v>
      </c>
      <c r="T102" t="s">
        <v>772</v>
      </c>
      <c r="U102">
        <v>0.99999999999999989</v>
      </c>
      <c r="V102" t="s">
        <v>157</v>
      </c>
    </row>
    <row r="103" spans="9:22" x14ac:dyDescent="0.45">
      <c r="I103" t="s">
        <v>263</v>
      </c>
      <c r="J103" t="s">
        <v>772</v>
      </c>
      <c r="K103">
        <v>1</v>
      </c>
      <c r="L103" t="s">
        <v>157</v>
      </c>
      <c r="N103" t="s">
        <v>374</v>
      </c>
      <c r="O103" t="s">
        <v>772</v>
      </c>
      <c r="P103">
        <v>1</v>
      </c>
      <c r="Q103" t="s">
        <v>157</v>
      </c>
      <c r="S103" t="s">
        <v>485</v>
      </c>
      <c r="T103" t="s">
        <v>772</v>
      </c>
      <c r="U103">
        <v>1</v>
      </c>
      <c r="V103" t="s">
        <v>157</v>
      </c>
    </row>
    <row r="104" spans="9:22" x14ac:dyDescent="0.45">
      <c r="I104" t="s">
        <v>264</v>
      </c>
      <c r="J104" t="s">
        <v>772</v>
      </c>
      <c r="K104">
        <v>1</v>
      </c>
      <c r="L104" t="s">
        <v>157</v>
      </c>
      <c r="N104" t="s">
        <v>375</v>
      </c>
      <c r="O104" t="s">
        <v>772</v>
      </c>
      <c r="P104">
        <v>1</v>
      </c>
      <c r="Q104" t="s">
        <v>157</v>
      </c>
      <c r="S104" t="s">
        <v>486</v>
      </c>
      <c r="T104" t="s">
        <v>772</v>
      </c>
      <c r="U104">
        <v>1</v>
      </c>
      <c r="V104" t="s">
        <v>157</v>
      </c>
    </row>
    <row r="105" spans="9:22" x14ac:dyDescent="0.45">
      <c r="I105" t="s">
        <v>265</v>
      </c>
      <c r="J105" t="s">
        <v>772</v>
      </c>
      <c r="K105">
        <v>0.99999999999999989</v>
      </c>
      <c r="L105" t="s">
        <v>157</v>
      </c>
      <c r="N105" t="s">
        <v>376</v>
      </c>
      <c r="O105" t="s">
        <v>772</v>
      </c>
      <c r="P105">
        <v>1</v>
      </c>
      <c r="Q105" t="s">
        <v>157</v>
      </c>
      <c r="S105" t="s">
        <v>487</v>
      </c>
      <c r="T105" t="s">
        <v>772</v>
      </c>
      <c r="U105">
        <v>1</v>
      </c>
      <c r="V105" t="s">
        <v>157</v>
      </c>
    </row>
    <row r="106" spans="9:22" x14ac:dyDescent="0.45">
      <c r="I106" t="s">
        <v>266</v>
      </c>
      <c r="J106" t="s">
        <v>772</v>
      </c>
      <c r="K106">
        <v>1</v>
      </c>
      <c r="L106" t="s">
        <v>157</v>
      </c>
      <c r="N106" t="s">
        <v>377</v>
      </c>
      <c r="O106" t="s">
        <v>772</v>
      </c>
      <c r="P106">
        <v>1</v>
      </c>
      <c r="Q106" t="s">
        <v>157</v>
      </c>
      <c r="S106" t="s">
        <v>488</v>
      </c>
      <c r="T106" t="s">
        <v>772</v>
      </c>
      <c r="U106">
        <v>1</v>
      </c>
      <c r="V106" t="s">
        <v>157</v>
      </c>
    </row>
    <row r="107" spans="9:22" x14ac:dyDescent="0.45">
      <c r="I107" t="s">
        <v>267</v>
      </c>
      <c r="J107" t="s">
        <v>772</v>
      </c>
      <c r="K107">
        <v>1</v>
      </c>
      <c r="L107" t="s">
        <v>157</v>
      </c>
      <c r="N107" t="s">
        <v>378</v>
      </c>
      <c r="O107" t="s">
        <v>772</v>
      </c>
      <c r="P107">
        <v>1</v>
      </c>
      <c r="Q107" t="s">
        <v>157</v>
      </c>
      <c r="S107" t="s">
        <v>489</v>
      </c>
      <c r="T107" t="s">
        <v>772</v>
      </c>
      <c r="U107">
        <v>1</v>
      </c>
      <c r="V107" t="s">
        <v>157</v>
      </c>
    </row>
    <row r="108" spans="9:22" x14ac:dyDescent="0.45">
      <c r="I108" t="s">
        <v>268</v>
      </c>
      <c r="J108" t="s">
        <v>772</v>
      </c>
      <c r="K108">
        <v>1</v>
      </c>
      <c r="L108" t="s">
        <v>157</v>
      </c>
      <c r="N108" t="s">
        <v>379</v>
      </c>
      <c r="O108" t="s">
        <v>772</v>
      </c>
      <c r="P108">
        <v>1</v>
      </c>
      <c r="Q108" t="s">
        <v>157</v>
      </c>
      <c r="S108" t="s">
        <v>490</v>
      </c>
      <c r="T108" t="s">
        <v>772</v>
      </c>
      <c r="U108">
        <v>1</v>
      </c>
      <c r="V108" t="s">
        <v>157</v>
      </c>
    </row>
    <row r="109" spans="9:22" x14ac:dyDescent="0.45">
      <c r="I109" t="s">
        <v>269</v>
      </c>
      <c r="J109" t="s">
        <v>772</v>
      </c>
      <c r="K109">
        <v>0.99999999999999989</v>
      </c>
      <c r="L109" t="s">
        <v>157</v>
      </c>
      <c r="N109" t="s">
        <v>380</v>
      </c>
      <c r="O109" t="s">
        <v>772</v>
      </c>
      <c r="P109">
        <v>1</v>
      </c>
      <c r="Q109" t="s">
        <v>157</v>
      </c>
      <c r="S109" t="s">
        <v>491</v>
      </c>
      <c r="T109" t="s">
        <v>772</v>
      </c>
      <c r="U109">
        <v>0.99999999999999989</v>
      </c>
      <c r="V109" t="s">
        <v>157</v>
      </c>
    </row>
    <row r="110" spans="9:22" x14ac:dyDescent="0.45">
      <c r="I110" t="s">
        <v>270</v>
      </c>
      <c r="J110" t="s">
        <v>772</v>
      </c>
      <c r="K110">
        <v>0.99999999999999989</v>
      </c>
      <c r="L110" t="s">
        <v>157</v>
      </c>
      <c r="N110" t="s">
        <v>381</v>
      </c>
      <c r="O110" t="s">
        <v>772</v>
      </c>
      <c r="P110">
        <v>1</v>
      </c>
      <c r="Q110" t="s">
        <v>157</v>
      </c>
      <c r="S110" t="s">
        <v>492</v>
      </c>
      <c r="T110" t="s">
        <v>772</v>
      </c>
      <c r="U110">
        <v>1</v>
      </c>
      <c r="V110" t="s">
        <v>157</v>
      </c>
    </row>
    <row r="111" spans="9:22" x14ac:dyDescent="0.45">
      <c r="I111" t="s">
        <v>271</v>
      </c>
      <c r="J111" t="s">
        <v>772</v>
      </c>
      <c r="K111">
        <v>1</v>
      </c>
      <c r="L111" t="s">
        <v>157</v>
      </c>
      <c r="N111" t="s">
        <v>382</v>
      </c>
      <c r="O111" t="s">
        <v>772</v>
      </c>
      <c r="P111">
        <v>1</v>
      </c>
      <c r="Q111" t="s">
        <v>157</v>
      </c>
      <c r="S111" t="s">
        <v>493</v>
      </c>
      <c r="T111" t="s">
        <v>772</v>
      </c>
      <c r="U111">
        <v>1</v>
      </c>
      <c r="V111" t="s">
        <v>157</v>
      </c>
    </row>
    <row r="112" spans="9:22" x14ac:dyDescent="0.45">
      <c r="I112" t="s">
        <v>272</v>
      </c>
      <c r="J112" t="s">
        <v>772</v>
      </c>
      <c r="K112">
        <v>1</v>
      </c>
      <c r="L112" t="s">
        <v>157</v>
      </c>
      <c r="N112" t="s">
        <v>383</v>
      </c>
      <c r="O112" t="s">
        <v>772</v>
      </c>
      <c r="P112">
        <v>1</v>
      </c>
      <c r="Q112" t="s">
        <v>157</v>
      </c>
      <c r="S112" t="s">
        <v>494</v>
      </c>
      <c r="T112" t="s">
        <v>772</v>
      </c>
      <c r="U112">
        <v>1</v>
      </c>
      <c r="V112" t="s">
        <v>157</v>
      </c>
    </row>
    <row r="113" spans="9:22" x14ac:dyDescent="0.45">
      <c r="I113" t="s">
        <v>273</v>
      </c>
      <c r="J113" t="s">
        <v>772</v>
      </c>
      <c r="K113">
        <v>1</v>
      </c>
      <c r="L113" t="s">
        <v>157</v>
      </c>
      <c r="N113" t="s">
        <v>384</v>
      </c>
      <c r="O113" t="s">
        <v>772</v>
      </c>
      <c r="P113">
        <v>1</v>
      </c>
      <c r="Q113" t="s">
        <v>157</v>
      </c>
      <c r="S113" t="s">
        <v>495</v>
      </c>
      <c r="T113" t="s">
        <v>772</v>
      </c>
      <c r="U113">
        <v>0.99999999999999989</v>
      </c>
      <c r="V113" t="s">
        <v>157</v>
      </c>
    </row>
    <row r="114" spans="9:22" x14ac:dyDescent="0.45">
      <c r="I114" t="s">
        <v>274</v>
      </c>
      <c r="J114" t="s">
        <v>772</v>
      </c>
      <c r="K114">
        <v>1</v>
      </c>
      <c r="L114" t="s">
        <v>157</v>
      </c>
      <c r="N114" t="s">
        <v>385</v>
      </c>
      <c r="O114" t="s">
        <v>772</v>
      </c>
      <c r="P114">
        <v>1</v>
      </c>
      <c r="Q114" t="s">
        <v>157</v>
      </c>
      <c r="S114" t="s">
        <v>496</v>
      </c>
      <c r="T114" t="s">
        <v>772</v>
      </c>
      <c r="U114">
        <v>1</v>
      </c>
      <c r="V114" t="s">
        <v>157</v>
      </c>
    </row>
    <row r="115" spans="9:22" x14ac:dyDescent="0.45">
      <c r="I115" t="s">
        <v>275</v>
      </c>
      <c r="J115" t="s">
        <v>772</v>
      </c>
      <c r="K115">
        <v>1</v>
      </c>
      <c r="L115" t="s">
        <v>157</v>
      </c>
      <c r="N115" t="s">
        <v>386</v>
      </c>
      <c r="O115" t="s">
        <v>772</v>
      </c>
      <c r="P115">
        <v>1</v>
      </c>
      <c r="Q115" t="s">
        <v>157</v>
      </c>
      <c r="S115" t="s">
        <v>497</v>
      </c>
      <c r="T115" t="s">
        <v>772</v>
      </c>
      <c r="U115">
        <v>1</v>
      </c>
      <c r="V115" t="s">
        <v>157</v>
      </c>
    </row>
    <row r="116" spans="9:22" x14ac:dyDescent="0.45">
      <c r="I116" t="s">
        <v>276</v>
      </c>
      <c r="J116" t="s">
        <v>772</v>
      </c>
      <c r="K116">
        <v>1</v>
      </c>
      <c r="L116" t="s">
        <v>157</v>
      </c>
      <c r="N116" t="s">
        <v>387</v>
      </c>
      <c r="O116" t="s">
        <v>772</v>
      </c>
      <c r="P116">
        <v>1</v>
      </c>
      <c r="Q116" t="s">
        <v>157</v>
      </c>
      <c r="S116" t="s">
        <v>498</v>
      </c>
      <c r="T116" t="s">
        <v>772</v>
      </c>
      <c r="U116">
        <v>1</v>
      </c>
      <c r="V116" t="s">
        <v>157</v>
      </c>
    </row>
    <row r="117" spans="9:22" x14ac:dyDescent="0.45">
      <c r="I117" t="s">
        <v>277</v>
      </c>
      <c r="J117" t="s">
        <v>772</v>
      </c>
      <c r="K117">
        <v>1</v>
      </c>
      <c r="L117" t="s">
        <v>157</v>
      </c>
      <c r="N117" t="s">
        <v>388</v>
      </c>
      <c r="O117" t="s">
        <v>772</v>
      </c>
      <c r="P117">
        <v>1</v>
      </c>
      <c r="Q117" t="s">
        <v>157</v>
      </c>
      <c r="S117" t="s">
        <v>499</v>
      </c>
      <c r="T117" t="s">
        <v>772</v>
      </c>
      <c r="U117">
        <v>1</v>
      </c>
      <c r="V117" t="s">
        <v>157</v>
      </c>
    </row>
    <row r="118" spans="9:22" x14ac:dyDescent="0.45">
      <c r="I118" t="s">
        <v>278</v>
      </c>
      <c r="J118" t="s">
        <v>772</v>
      </c>
      <c r="K118">
        <v>1</v>
      </c>
      <c r="L118" t="s">
        <v>157</v>
      </c>
      <c r="N118" t="s">
        <v>389</v>
      </c>
      <c r="O118" t="s">
        <v>772</v>
      </c>
      <c r="P118">
        <v>1</v>
      </c>
      <c r="Q118" t="s">
        <v>157</v>
      </c>
      <c r="S118" t="s">
        <v>500</v>
      </c>
      <c r="T118" t="s">
        <v>772</v>
      </c>
      <c r="U118">
        <v>1</v>
      </c>
      <c r="V118" t="s">
        <v>157</v>
      </c>
    </row>
    <row r="119" spans="9:22" x14ac:dyDescent="0.45">
      <c r="I119" t="s">
        <v>279</v>
      </c>
      <c r="J119" t="s">
        <v>772</v>
      </c>
      <c r="K119">
        <v>0.99999999999999989</v>
      </c>
      <c r="L119" t="s">
        <v>157</v>
      </c>
      <c r="N119" t="s">
        <v>390</v>
      </c>
      <c r="O119" t="s">
        <v>772</v>
      </c>
      <c r="P119">
        <v>1</v>
      </c>
      <c r="Q119" t="s">
        <v>157</v>
      </c>
      <c r="S119" t="s">
        <v>501</v>
      </c>
      <c r="T119" t="s">
        <v>772</v>
      </c>
      <c r="U119">
        <v>0.99999999999999989</v>
      </c>
      <c r="V119" t="s">
        <v>157</v>
      </c>
    </row>
    <row r="120" spans="9:22" x14ac:dyDescent="0.45">
      <c r="I120" t="s">
        <v>280</v>
      </c>
      <c r="J120" t="s">
        <v>772</v>
      </c>
      <c r="K120">
        <v>0.99999999999999989</v>
      </c>
      <c r="L120" t="s">
        <v>157</v>
      </c>
      <c r="N120" t="s">
        <v>391</v>
      </c>
      <c r="O120" t="s">
        <v>772</v>
      </c>
      <c r="P120">
        <v>1</v>
      </c>
      <c r="Q120" t="s">
        <v>157</v>
      </c>
      <c r="S120" t="s">
        <v>502</v>
      </c>
      <c r="T120" t="s">
        <v>772</v>
      </c>
      <c r="U120">
        <v>1</v>
      </c>
      <c r="V120" t="s">
        <v>157</v>
      </c>
    </row>
    <row r="121" spans="9:22" x14ac:dyDescent="0.45">
      <c r="I121" t="s">
        <v>281</v>
      </c>
      <c r="J121" t="s">
        <v>772</v>
      </c>
      <c r="K121">
        <v>1</v>
      </c>
      <c r="L121" t="s">
        <v>157</v>
      </c>
      <c r="N121" t="s">
        <v>392</v>
      </c>
      <c r="O121" t="s">
        <v>772</v>
      </c>
      <c r="P121">
        <v>0.99999999999999989</v>
      </c>
      <c r="Q121" t="s">
        <v>157</v>
      </c>
      <c r="S121" t="s">
        <v>503</v>
      </c>
      <c r="T121" t="s">
        <v>772</v>
      </c>
      <c r="U121">
        <v>1</v>
      </c>
      <c r="V121" t="s">
        <v>157</v>
      </c>
    </row>
    <row r="122" spans="9:22" x14ac:dyDescent="0.45">
      <c r="S122" t="s">
        <v>504</v>
      </c>
      <c r="T122" t="s">
        <v>772</v>
      </c>
      <c r="U122">
        <v>1</v>
      </c>
      <c r="V122" t="s">
        <v>157</v>
      </c>
    </row>
    <row r="123" spans="9:22" x14ac:dyDescent="0.45">
      <c r="S123" t="s">
        <v>505</v>
      </c>
      <c r="T123" t="s">
        <v>772</v>
      </c>
      <c r="U123">
        <v>1</v>
      </c>
      <c r="V123" t="s">
        <v>157</v>
      </c>
    </row>
    <row r="124" spans="9:22" x14ac:dyDescent="0.45">
      <c r="S124" t="s">
        <v>506</v>
      </c>
      <c r="T124" t="s">
        <v>772</v>
      </c>
      <c r="U124">
        <v>1</v>
      </c>
      <c r="V124" t="s">
        <v>157</v>
      </c>
    </row>
    <row r="125" spans="9:22" x14ac:dyDescent="0.45">
      <c r="S125" t="s">
        <v>507</v>
      </c>
      <c r="T125" t="s">
        <v>772</v>
      </c>
      <c r="U125">
        <v>1</v>
      </c>
      <c r="V125" t="s">
        <v>157</v>
      </c>
    </row>
    <row r="126" spans="9:22" x14ac:dyDescent="0.45">
      <c r="S126" t="s">
        <v>508</v>
      </c>
      <c r="T126" t="s">
        <v>772</v>
      </c>
      <c r="U126">
        <v>1</v>
      </c>
      <c r="V126" t="s">
        <v>157</v>
      </c>
    </row>
    <row r="127" spans="9:22" x14ac:dyDescent="0.45">
      <c r="S127" t="s">
        <v>509</v>
      </c>
      <c r="T127" t="s">
        <v>772</v>
      </c>
      <c r="U127">
        <v>1</v>
      </c>
      <c r="V127" t="s">
        <v>157</v>
      </c>
    </row>
    <row r="128" spans="9:22" x14ac:dyDescent="0.45">
      <c r="S128" t="s">
        <v>510</v>
      </c>
      <c r="T128" t="s">
        <v>772</v>
      </c>
      <c r="U128">
        <v>1</v>
      </c>
      <c r="V128" t="s">
        <v>157</v>
      </c>
    </row>
    <row r="129" spans="19:22" x14ac:dyDescent="0.45">
      <c r="S129" t="s">
        <v>511</v>
      </c>
      <c r="T129" t="s">
        <v>772</v>
      </c>
      <c r="U129">
        <v>0.99999999999999989</v>
      </c>
      <c r="V129" t="s">
        <v>157</v>
      </c>
    </row>
    <row r="130" spans="19:22" x14ac:dyDescent="0.45">
      <c r="S130" t="s">
        <v>512</v>
      </c>
      <c r="T130" t="s">
        <v>772</v>
      </c>
      <c r="U130">
        <v>0.99999999999999989</v>
      </c>
      <c r="V130" t="s">
        <v>157</v>
      </c>
    </row>
    <row r="131" spans="19:22" x14ac:dyDescent="0.45">
      <c r="S131" t="s">
        <v>513</v>
      </c>
      <c r="T131" t="s">
        <v>772</v>
      </c>
      <c r="U131">
        <v>1</v>
      </c>
      <c r="V131" t="s">
        <v>157</v>
      </c>
    </row>
    <row r="132" spans="19:22" x14ac:dyDescent="0.45">
      <c r="S132" t="s">
        <v>514</v>
      </c>
      <c r="T132" t="s">
        <v>772</v>
      </c>
      <c r="U132">
        <v>1</v>
      </c>
      <c r="V132" t="s">
        <v>157</v>
      </c>
    </row>
    <row r="133" spans="19:22" x14ac:dyDescent="0.45">
      <c r="S133" t="s">
        <v>515</v>
      </c>
      <c r="T133" t="s">
        <v>772</v>
      </c>
      <c r="U133">
        <v>1</v>
      </c>
      <c r="V133" t="s">
        <v>157</v>
      </c>
    </row>
    <row r="134" spans="19:22" x14ac:dyDescent="0.45">
      <c r="S134" t="s">
        <v>516</v>
      </c>
      <c r="T134" t="s">
        <v>772</v>
      </c>
      <c r="U134">
        <v>1</v>
      </c>
      <c r="V134" t="s">
        <v>157</v>
      </c>
    </row>
    <row r="135" spans="19:22" x14ac:dyDescent="0.45">
      <c r="S135" t="s">
        <v>517</v>
      </c>
      <c r="T135" t="s">
        <v>772</v>
      </c>
      <c r="U135">
        <v>1</v>
      </c>
      <c r="V135" t="s">
        <v>157</v>
      </c>
    </row>
    <row r="136" spans="19:22" x14ac:dyDescent="0.45">
      <c r="S136" t="s">
        <v>518</v>
      </c>
      <c r="T136" t="s">
        <v>772</v>
      </c>
      <c r="U136">
        <v>1</v>
      </c>
      <c r="V136" t="s">
        <v>157</v>
      </c>
    </row>
    <row r="137" spans="19:22" x14ac:dyDescent="0.45">
      <c r="S137" t="s">
        <v>519</v>
      </c>
      <c r="T137" t="s">
        <v>772</v>
      </c>
      <c r="U137">
        <v>1</v>
      </c>
      <c r="V137" t="s">
        <v>157</v>
      </c>
    </row>
    <row r="138" spans="19:22" x14ac:dyDescent="0.45">
      <c r="S138" t="s">
        <v>520</v>
      </c>
      <c r="T138" t="s">
        <v>772</v>
      </c>
      <c r="U138">
        <v>1</v>
      </c>
      <c r="V138" t="s">
        <v>157</v>
      </c>
    </row>
    <row r="139" spans="19:22" x14ac:dyDescent="0.45">
      <c r="S139" t="s">
        <v>521</v>
      </c>
      <c r="T139" t="s">
        <v>772</v>
      </c>
      <c r="U139">
        <v>1</v>
      </c>
      <c r="V139" t="s">
        <v>157</v>
      </c>
    </row>
    <row r="140" spans="19:22" x14ac:dyDescent="0.45">
      <c r="S140" t="s">
        <v>522</v>
      </c>
      <c r="T140" t="s">
        <v>772</v>
      </c>
      <c r="U140">
        <v>1</v>
      </c>
      <c r="V140" t="s">
        <v>157</v>
      </c>
    </row>
    <row r="141" spans="19:22" x14ac:dyDescent="0.45">
      <c r="S141" t="s">
        <v>523</v>
      </c>
      <c r="T141" t="s">
        <v>772</v>
      </c>
      <c r="U141">
        <v>1</v>
      </c>
      <c r="V141" t="s">
        <v>157</v>
      </c>
    </row>
    <row r="142" spans="19:22" x14ac:dyDescent="0.45">
      <c r="S142" t="s">
        <v>524</v>
      </c>
      <c r="T142" t="s">
        <v>772</v>
      </c>
      <c r="U142">
        <v>0.99999999999999989</v>
      </c>
      <c r="V142" t="s">
        <v>157</v>
      </c>
    </row>
    <row r="143" spans="19:22" x14ac:dyDescent="0.45">
      <c r="S143" t="s">
        <v>525</v>
      </c>
      <c r="T143" t="s">
        <v>772</v>
      </c>
      <c r="U143">
        <v>0.99999999999999989</v>
      </c>
      <c r="V143" t="s">
        <v>157</v>
      </c>
    </row>
    <row r="144" spans="19:22" x14ac:dyDescent="0.45">
      <c r="S144" t="s">
        <v>526</v>
      </c>
      <c r="T144" t="s">
        <v>772</v>
      </c>
      <c r="U144">
        <v>1</v>
      </c>
      <c r="V144" t="s">
        <v>157</v>
      </c>
    </row>
    <row r="145" spans="19:22" x14ac:dyDescent="0.45">
      <c r="S145" t="s">
        <v>527</v>
      </c>
      <c r="T145" t="s">
        <v>772</v>
      </c>
      <c r="U145">
        <v>1</v>
      </c>
      <c r="V145" t="s">
        <v>157</v>
      </c>
    </row>
    <row r="146" spans="19:22" x14ac:dyDescent="0.45">
      <c r="S146" t="s">
        <v>528</v>
      </c>
      <c r="T146" t="s">
        <v>772</v>
      </c>
      <c r="U146">
        <v>0.99999999999999989</v>
      </c>
      <c r="V146" t="s">
        <v>157</v>
      </c>
    </row>
    <row r="147" spans="19:22" x14ac:dyDescent="0.45">
      <c r="S147" t="s">
        <v>529</v>
      </c>
      <c r="T147" t="s">
        <v>772</v>
      </c>
      <c r="U147">
        <v>1</v>
      </c>
      <c r="V147" t="s">
        <v>157</v>
      </c>
    </row>
    <row r="148" spans="19:22" x14ac:dyDescent="0.45">
      <c r="S148" t="s">
        <v>530</v>
      </c>
      <c r="T148" t="s">
        <v>772</v>
      </c>
      <c r="U148">
        <v>1</v>
      </c>
      <c r="V148" t="s">
        <v>157</v>
      </c>
    </row>
    <row r="149" spans="19:22" x14ac:dyDescent="0.45">
      <c r="S149" t="s">
        <v>531</v>
      </c>
      <c r="T149" t="s">
        <v>772</v>
      </c>
      <c r="U149">
        <v>1</v>
      </c>
      <c r="V149" t="s">
        <v>157</v>
      </c>
    </row>
    <row r="150" spans="19:22" x14ac:dyDescent="0.45">
      <c r="S150" t="s">
        <v>532</v>
      </c>
      <c r="T150" t="s">
        <v>772</v>
      </c>
      <c r="U150">
        <v>0.99999999999999989</v>
      </c>
      <c r="V150" t="s">
        <v>157</v>
      </c>
    </row>
    <row r="151" spans="19:22" x14ac:dyDescent="0.45">
      <c r="S151" t="s">
        <v>533</v>
      </c>
      <c r="T151" t="s">
        <v>772</v>
      </c>
      <c r="U151">
        <v>1</v>
      </c>
      <c r="V151" t="s">
        <v>157</v>
      </c>
    </row>
    <row r="152" spans="19:22" x14ac:dyDescent="0.45">
      <c r="S152" t="s">
        <v>534</v>
      </c>
      <c r="T152" t="s">
        <v>772</v>
      </c>
      <c r="U152">
        <v>1</v>
      </c>
      <c r="V152" t="s">
        <v>157</v>
      </c>
    </row>
    <row r="153" spans="19:22" x14ac:dyDescent="0.45">
      <c r="S153" t="s">
        <v>535</v>
      </c>
      <c r="T153" t="s">
        <v>772</v>
      </c>
      <c r="U153">
        <v>1</v>
      </c>
      <c r="V153" t="s">
        <v>157</v>
      </c>
    </row>
    <row r="154" spans="19:22" x14ac:dyDescent="0.45">
      <c r="S154" t="s">
        <v>536</v>
      </c>
      <c r="T154" t="s">
        <v>772</v>
      </c>
      <c r="U154">
        <v>1</v>
      </c>
      <c r="V154" t="s">
        <v>157</v>
      </c>
    </row>
    <row r="155" spans="19:22" x14ac:dyDescent="0.45">
      <c r="S155" t="s">
        <v>537</v>
      </c>
      <c r="T155" t="s">
        <v>772</v>
      </c>
      <c r="U155">
        <v>1</v>
      </c>
      <c r="V155" t="s">
        <v>157</v>
      </c>
    </row>
    <row r="156" spans="19:22" x14ac:dyDescent="0.45">
      <c r="S156" t="s">
        <v>538</v>
      </c>
      <c r="T156" t="s">
        <v>772</v>
      </c>
      <c r="U156">
        <v>1</v>
      </c>
      <c r="V156" t="s">
        <v>157</v>
      </c>
    </row>
    <row r="157" spans="19:22" x14ac:dyDescent="0.45">
      <c r="S157" t="s">
        <v>539</v>
      </c>
      <c r="T157" t="s">
        <v>772</v>
      </c>
      <c r="U157">
        <v>1</v>
      </c>
      <c r="V157" t="s">
        <v>157</v>
      </c>
    </row>
    <row r="158" spans="19:22" x14ac:dyDescent="0.45">
      <c r="S158" t="s">
        <v>540</v>
      </c>
      <c r="T158" t="s">
        <v>772</v>
      </c>
      <c r="U158">
        <v>0.99999999999999989</v>
      </c>
      <c r="V158" t="s">
        <v>157</v>
      </c>
    </row>
    <row r="159" spans="19:22" x14ac:dyDescent="0.45">
      <c r="S159" t="s">
        <v>541</v>
      </c>
      <c r="T159" t="s">
        <v>772</v>
      </c>
      <c r="U159">
        <v>1</v>
      </c>
      <c r="V159" t="s">
        <v>157</v>
      </c>
    </row>
    <row r="160" spans="19:22" x14ac:dyDescent="0.45">
      <c r="S160" t="s">
        <v>542</v>
      </c>
      <c r="T160" t="s">
        <v>772</v>
      </c>
      <c r="U160">
        <v>1</v>
      </c>
      <c r="V160" t="s">
        <v>157</v>
      </c>
    </row>
    <row r="161" spans="19:22" x14ac:dyDescent="0.45">
      <c r="S161" t="s">
        <v>543</v>
      </c>
      <c r="T161" t="s">
        <v>772</v>
      </c>
      <c r="U161">
        <v>1</v>
      </c>
      <c r="V161" t="s">
        <v>157</v>
      </c>
    </row>
    <row r="162" spans="19:22" x14ac:dyDescent="0.45">
      <c r="S162" t="s">
        <v>544</v>
      </c>
      <c r="T162" t="s">
        <v>772</v>
      </c>
      <c r="U162">
        <v>1</v>
      </c>
      <c r="V162" t="s">
        <v>157</v>
      </c>
    </row>
    <row r="163" spans="19:22" x14ac:dyDescent="0.45">
      <c r="S163" t="s">
        <v>545</v>
      </c>
      <c r="T163" t="s">
        <v>772</v>
      </c>
      <c r="U163">
        <v>1</v>
      </c>
      <c r="V163" t="s">
        <v>157</v>
      </c>
    </row>
    <row r="164" spans="19:22" x14ac:dyDescent="0.45">
      <c r="S164" t="s">
        <v>546</v>
      </c>
      <c r="T164" t="s">
        <v>772</v>
      </c>
      <c r="U164">
        <v>1</v>
      </c>
      <c r="V164" t="s">
        <v>157</v>
      </c>
    </row>
    <row r="165" spans="19:22" x14ac:dyDescent="0.45">
      <c r="S165" t="s">
        <v>547</v>
      </c>
      <c r="T165" t="s">
        <v>772</v>
      </c>
      <c r="U165">
        <v>1</v>
      </c>
      <c r="V165" t="s">
        <v>157</v>
      </c>
    </row>
    <row r="166" spans="19:22" x14ac:dyDescent="0.45">
      <c r="S166" t="s">
        <v>548</v>
      </c>
      <c r="T166" t="s">
        <v>772</v>
      </c>
      <c r="U166">
        <v>0.99999999999999989</v>
      </c>
      <c r="V166" t="s">
        <v>157</v>
      </c>
    </row>
    <row r="167" spans="19:22" x14ac:dyDescent="0.45">
      <c r="S167" t="s">
        <v>549</v>
      </c>
      <c r="T167" t="s">
        <v>772</v>
      </c>
      <c r="U167">
        <v>1</v>
      </c>
      <c r="V167" t="s">
        <v>157</v>
      </c>
    </row>
    <row r="168" spans="19:22" x14ac:dyDescent="0.45">
      <c r="S168" t="s">
        <v>550</v>
      </c>
      <c r="T168" t="s">
        <v>772</v>
      </c>
      <c r="U168">
        <v>1</v>
      </c>
      <c r="V168" t="s">
        <v>157</v>
      </c>
    </row>
    <row r="169" spans="19:22" x14ac:dyDescent="0.45">
      <c r="S169" t="s">
        <v>551</v>
      </c>
      <c r="T169" t="s">
        <v>772</v>
      </c>
      <c r="U169">
        <v>1</v>
      </c>
      <c r="V169" t="s">
        <v>157</v>
      </c>
    </row>
    <row r="170" spans="19:22" x14ac:dyDescent="0.45">
      <c r="S170" t="s">
        <v>552</v>
      </c>
      <c r="T170" t="s">
        <v>772</v>
      </c>
      <c r="U170">
        <v>1</v>
      </c>
      <c r="V170" t="s">
        <v>157</v>
      </c>
    </row>
    <row r="171" spans="19:22" x14ac:dyDescent="0.45">
      <c r="S171" t="s">
        <v>553</v>
      </c>
      <c r="T171" t="s">
        <v>772</v>
      </c>
      <c r="U171">
        <v>1</v>
      </c>
      <c r="V171" t="s">
        <v>157</v>
      </c>
    </row>
    <row r="172" spans="19:22" x14ac:dyDescent="0.45">
      <c r="S172" t="s">
        <v>554</v>
      </c>
      <c r="T172" t="s">
        <v>772</v>
      </c>
      <c r="U172">
        <v>1</v>
      </c>
      <c r="V172" t="s">
        <v>157</v>
      </c>
    </row>
    <row r="173" spans="19:22" x14ac:dyDescent="0.45">
      <c r="S173" t="s">
        <v>555</v>
      </c>
      <c r="T173" t="s">
        <v>772</v>
      </c>
      <c r="U173">
        <v>1</v>
      </c>
      <c r="V173" t="s">
        <v>157</v>
      </c>
    </row>
    <row r="174" spans="19:22" x14ac:dyDescent="0.45">
      <c r="S174" t="s">
        <v>556</v>
      </c>
      <c r="T174" t="s">
        <v>772</v>
      </c>
      <c r="U174">
        <v>1</v>
      </c>
      <c r="V174" t="s">
        <v>157</v>
      </c>
    </row>
    <row r="175" spans="19:22" x14ac:dyDescent="0.45">
      <c r="S175" t="s">
        <v>557</v>
      </c>
      <c r="T175" t="s">
        <v>772</v>
      </c>
      <c r="U175">
        <v>1</v>
      </c>
      <c r="V175" t="s">
        <v>157</v>
      </c>
    </row>
    <row r="176" spans="19:22" x14ac:dyDescent="0.45">
      <c r="S176" t="s">
        <v>558</v>
      </c>
      <c r="T176" t="s">
        <v>772</v>
      </c>
      <c r="U176">
        <v>1</v>
      </c>
      <c r="V176" t="s">
        <v>157</v>
      </c>
    </row>
    <row r="177" spans="19:22" x14ac:dyDescent="0.45">
      <c r="S177" t="s">
        <v>559</v>
      </c>
      <c r="T177" t="s">
        <v>772</v>
      </c>
      <c r="U177">
        <v>1</v>
      </c>
      <c r="V177" t="s">
        <v>157</v>
      </c>
    </row>
    <row r="178" spans="19:22" x14ac:dyDescent="0.45">
      <c r="S178" t="s">
        <v>560</v>
      </c>
      <c r="T178" t="s">
        <v>772</v>
      </c>
      <c r="U178">
        <v>1</v>
      </c>
      <c r="V178" t="s">
        <v>157</v>
      </c>
    </row>
    <row r="179" spans="19:22" x14ac:dyDescent="0.45">
      <c r="S179" t="s">
        <v>561</v>
      </c>
      <c r="T179" t="s">
        <v>772</v>
      </c>
      <c r="U179">
        <v>1</v>
      </c>
      <c r="V179" t="s">
        <v>157</v>
      </c>
    </row>
    <row r="180" spans="19:22" x14ac:dyDescent="0.45">
      <c r="S180" t="s">
        <v>562</v>
      </c>
      <c r="T180" t="s">
        <v>772</v>
      </c>
      <c r="U180">
        <v>1</v>
      </c>
      <c r="V180" t="s">
        <v>157</v>
      </c>
    </row>
    <row r="181" spans="19:22" x14ac:dyDescent="0.45">
      <c r="S181" t="s">
        <v>563</v>
      </c>
      <c r="T181" t="s">
        <v>772</v>
      </c>
      <c r="U181">
        <v>0.99999999999999989</v>
      </c>
      <c r="V181" t="s">
        <v>157</v>
      </c>
    </row>
    <row r="182" spans="19:22" x14ac:dyDescent="0.45">
      <c r="S182" t="s">
        <v>564</v>
      </c>
      <c r="T182" t="s">
        <v>772</v>
      </c>
      <c r="U182">
        <v>1</v>
      </c>
      <c r="V182" t="s">
        <v>157</v>
      </c>
    </row>
    <row r="183" spans="19:22" x14ac:dyDescent="0.45">
      <c r="S183" t="s">
        <v>565</v>
      </c>
      <c r="T183" t="s">
        <v>772</v>
      </c>
      <c r="U183">
        <v>1</v>
      </c>
      <c r="V183" t="s">
        <v>157</v>
      </c>
    </row>
    <row r="184" spans="19:22" x14ac:dyDescent="0.45">
      <c r="S184" t="s">
        <v>566</v>
      </c>
      <c r="T184" t="s">
        <v>772</v>
      </c>
      <c r="U184">
        <v>1</v>
      </c>
      <c r="V184" t="s">
        <v>157</v>
      </c>
    </row>
    <row r="185" spans="19:22" x14ac:dyDescent="0.45">
      <c r="S185" t="s">
        <v>567</v>
      </c>
      <c r="T185" t="s">
        <v>772</v>
      </c>
      <c r="U185">
        <v>1</v>
      </c>
      <c r="V185" t="s">
        <v>157</v>
      </c>
    </row>
    <row r="186" spans="19:22" x14ac:dyDescent="0.45">
      <c r="S186" t="s">
        <v>568</v>
      </c>
      <c r="T186" t="s">
        <v>772</v>
      </c>
      <c r="U186">
        <v>1</v>
      </c>
      <c r="V186" t="s">
        <v>157</v>
      </c>
    </row>
    <row r="187" spans="19:22" x14ac:dyDescent="0.45">
      <c r="S187" t="s">
        <v>569</v>
      </c>
      <c r="T187" t="s">
        <v>772</v>
      </c>
      <c r="U187">
        <v>0.99999999999999989</v>
      </c>
      <c r="V187" t="s">
        <v>157</v>
      </c>
    </row>
    <row r="188" spans="19:22" x14ac:dyDescent="0.45">
      <c r="S188" t="s">
        <v>570</v>
      </c>
      <c r="T188" t="s">
        <v>772</v>
      </c>
      <c r="U188">
        <v>1</v>
      </c>
      <c r="V188" t="s">
        <v>157</v>
      </c>
    </row>
    <row r="189" spans="19:22" x14ac:dyDescent="0.45">
      <c r="S189" t="s">
        <v>571</v>
      </c>
      <c r="T189" t="s">
        <v>772</v>
      </c>
      <c r="U189">
        <v>0.99999999999999989</v>
      </c>
      <c r="V189" t="s">
        <v>157</v>
      </c>
    </row>
    <row r="190" spans="19:22" x14ac:dyDescent="0.45">
      <c r="S190" t="s">
        <v>572</v>
      </c>
      <c r="T190" t="s">
        <v>772</v>
      </c>
      <c r="U190">
        <v>1</v>
      </c>
      <c r="V190" t="s">
        <v>157</v>
      </c>
    </row>
    <row r="191" spans="19:22" x14ac:dyDescent="0.45">
      <c r="S191" t="s">
        <v>573</v>
      </c>
      <c r="T191" t="s">
        <v>772</v>
      </c>
      <c r="U191">
        <v>0.99999999999999989</v>
      </c>
      <c r="V191" t="s">
        <v>157</v>
      </c>
    </row>
    <row r="192" spans="19:22" x14ac:dyDescent="0.45">
      <c r="S192" t="s">
        <v>574</v>
      </c>
      <c r="T192" t="s">
        <v>772</v>
      </c>
      <c r="U192">
        <v>1</v>
      </c>
      <c r="V192" t="s">
        <v>157</v>
      </c>
    </row>
    <row r="193" spans="19:22" x14ac:dyDescent="0.45">
      <c r="S193" t="s">
        <v>575</v>
      </c>
      <c r="T193" t="s">
        <v>772</v>
      </c>
      <c r="U193">
        <v>1</v>
      </c>
      <c r="V193" t="s">
        <v>157</v>
      </c>
    </row>
    <row r="194" spans="19:22" x14ac:dyDescent="0.45">
      <c r="S194" t="s">
        <v>576</v>
      </c>
      <c r="T194" t="s">
        <v>772</v>
      </c>
      <c r="U194">
        <v>1.0000000000000002</v>
      </c>
      <c r="V194" t="s">
        <v>157</v>
      </c>
    </row>
    <row r="195" spans="19:22" x14ac:dyDescent="0.45">
      <c r="S195" t="s">
        <v>577</v>
      </c>
      <c r="T195" t="s">
        <v>772</v>
      </c>
      <c r="U195">
        <v>1</v>
      </c>
      <c r="V195" t="s">
        <v>157</v>
      </c>
    </row>
    <row r="196" spans="19:22" x14ac:dyDescent="0.45">
      <c r="S196" t="s">
        <v>578</v>
      </c>
      <c r="T196" t="s">
        <v>772</v>
      </c>
      <c r="U196">
        <v>1</v>
      </c>
      <c r="V196" t="s">
        <v>157</v>
      </c>
    </row>
    <row r="197" spans="19:22" x14ac:dyDescent="0.45">
      <c r="S197" t="s">
        <v>579</v>
      </c>
      <c r="T197" t="s">
        <v>772</v>
      </c>
      <c r="U197">
        <v>1</v>
      </c>
      <c r="V197" t="s">
        <v>157</v>
      </c>
    </row>
    <row r="198" spans="19:22" x14ac:dyDescent="0.45">
      <c r="S198" t="s">
        <v>580</v>
      </c>
      <c r="T198" t="s">
        <v>772</v>
      </c>
      <c r="U198">
        <v>1</v>
      </c>
      <c r="V198" t="s">
        <v>157</v>
      </c>
    </row>
    <row r="199" spans="19:22" x14ac:dyDescent="0.45">
      <c r="S199" t="s">
        <v>581</v>
      </c>
      <c r="T199" t="s">
        <v>772</v>
      </c>
      <c r="U199">
        <v>1</v>
      </c>
      <c r="V199" t="s">
        <v>157</v>
      </c>
    </row>
    <row r="200" spans="19:22" x14ac:dyDescent="0.45">
      <c r="S200" t="s">
        <v>582</v>
      </c>
      <c r="T200" t="s">
        <v>772</v>
      </c>
      <c r="U200">
        <v>1</v>
      </c>
      <c r="V200" t="s">
        <v>157</v>
      </c>
    </row>
    <row r="201" spans="19:22" x14ac:dyDescent="0.45">
      <c r="S201" t="s">
        <v>583</v>
      </c>
      <c r="T201" t="s">
        <v>772</v>
      </c>
      <c r="U201">
        <v>0.99999999999999989</v>
      </c>
      <c r="V201" t="s">
        <v>157</v>
      </c>
    </row>
    <row r="202" spans="19:22" x14ac:dyDescent="0.45">
      <c r="S202" t="s">
        <v>584</v>
      </c>
      <c r="T202" t="s">
        <v>772</v>
      </c>
      <c r="U202">
        <v>1</v>
      </c>
      <c r="V202" t="s">
        <v>157</v>
      </c>
    </row>
    <row r="203" spans="19:22" x14ac:dyDescent="0.45">
      <c r="S203" t="s">
        <v>585</v>
      </c>
      <c r="T203" t="s">
        <v>772</v>
      </c>
      <c r="U203">
        <v>0.99999999999999989</v>
      </c>
      <c r="V203" t="s">
        <v>157</v>
      </c>
    </row>
    <row r="204" spans="19:22" x14ac:dyDescent="0.45">
      <c r="S204" t="s">
        <v>586</v>
      </c>
      <c r="T204" t="s">
        <v>772</v>
      </c>
      <c r="U204">
        <v>1</v>
      </c>
      <c r="V204" t="s">
        <v>157</v>
      </c>
    </row>
    <row r="205" spans="19:22" x14ac:dyDescent="0.45">
      <c r="S205" t="s">
        <v>587</v>
      </c>
      <c r="T205" t="s">
        <v>772</v>
      </c>
      <c r="U205">
        <v>1</v>
      </c>
      <c r="V205" t="s">
        <v>157</v>
      </c>
    </row>
    <row r="206" spans="19:22" x14ac:dyDescent="0.45">
      <c r="S206" t="s">
        <v>588</v>
      </c>
      <c r="T206" t="s">
        <v>772</v>
      </c>
      <c r="U206">
        <v>1</v>
      </c>
      <c r="V206" t="s">
        <v>157</v>
      </c>
    </row>
    <row r="207" spans="19:22" x14ac:dyDescent="0.45">
      <c r="S207" t="s">
        <v>589</v>
      </c>
      <c r="T207" t="s">
        <v>772</v>
      </c>
      <c r="U207">
        <v>1</v>
      </c>
      <c r="V207" t="s">
        <v>157</v>
      </c>
    </row>
    <row r="208" spans="19:22" x14ac:dyDescent="0.45">
      <c r="S208" t="s">
        <v>590</v>
      </c>
      <c r="T208" t="s">
        <v>772</v>
      </c>
      <c r="U208">
        <v>1</v>
      </c>
      <c r="V208" t="s">
        <v>157</v>
      </c>
    </row>
    <row r="209" spans="19:22" x14ac:dyDescent="0.45">
      <c r="S209" t="s">
        <v>591</v>
      </c>
      <c r="T209" t="s">
        <v>772</v>
      </c>
      <c r="U209">
        <v>1</v>
      </c>
      <c r="V209" t="s">
        <v>157</v>
      </c>
    </row>
    <row r="210" spans="19:22" x14ac:dyDescent="0.45">
      <c r="S210" t="s">
        <v>592</v>
      </c>
      <c r="T210" t="s">
        <v>772</v>
      </c>
      <c r="U210">
        <v>1</v>
      </c>
      <c r="V210" t="s">
        <v>157</v>
      </c>
    </row>
    <row r="211" spans="19:22" x14ac:dyDescent="0.45">
      <c r="S211" t="s">
        <v>593</v>
      </c>
      <c r="T211" t="s">
        <v>772</v>
      </c>
      <c r="U211">
        <v>1</v>
      </c>
      <c r="V211" t="s">
        <v>157</v>
      </c>
    </row>
    <row r="212" spans="19:22" x14ac:dyDescent="0.45">
      <c r="S212" t="s">
        <v>594</v>
      </c>
      <c r="T212" t="s">
        <v>772</v>
      </c>
      <c r="U212">
        <v>1</v>
      </c>
      <c r="V212" t="s">
        <v>157</v>
      </c>
    </row>
    <row r="213" spans="19:22" x14ac:dyDescent="0.45">
      <c r="S213" t="s">
        <v>595</v>
      </c>
      <c r="T213" t="s">
        <v>772</v>
      </c>
      <c r="U213">
        <v>1</v>
      </c>
      <c r="V213" t="s">
        <v>157</v>
      </c>
    </row>
    <row r="214" spans="19:22" x14ac:dyDescent="0.45">
      <c r="S214" t="s">
        <v>596</v>
      </c>
      <c r="T214" t="s">
        <v>772</v>
      </c>
      <c r="U214">
        <v>1</v>
      </c>
      <c r="V214" t="s">
        <v>157</v>
      </c>
    </row>
    <row r="215" spans="19:22" x14ac:dyDescent="0.45">
      <c r="S215" t="s">
        <v>597</v>
      </c>
      <c r="T215" t="s">
        <v>772</v>
      </c>
      <c r="U215">
        <v>1</v>
      </c>
      <c r="V215" t="s">
        <v>157</v>
      </c>
    </row>
    <row r="216" spans="19:22" x14ac:dyDescent="0.45">
      <c r="S216" t="s">
        <v>598</v>
      </c>
      <c r="T216" t="s">
        <v>772</v>
      </c>
      <c r="U216">
        <v>1</v>
      </c>
      <c r="V216" t="s">
        <v>157</v>
      </c>
    </row>
    <row r="217" spans="19:22" x14ac:dyDescent="0.45">
      <c r="S217" t="s">
        <v>599</v>
      </c>
      <c r="T217" t="s">
        <v>772</v>
      </c>
      <c r="U217">
        <v>1</v>
      </c>
      <c r="V217" t="s">
        <v>157</v>
      </c>
    </row>
    <row r="218" spans="19:22" x14ac:dyDescent="0.45">
      <c r="S218" t="s">
        <v>600</v>
      </c>
      <c r="T218" t="s">
        <v>772</v>
      </c>
      <c r="U218">
        <v>1</v>
      </c>
      <c r="V218" t="s">
        <v>157</v>
      </c>
    </row>
    <row r="219" spans="19:22" x14ac:dyDescent="0.45">
      <c r="S219" t="s">
        <v>601</v>
      </c>
      <c r="T219" t="s">
        <v>772</v>
      </c>
      <c r="U219">
        <v>1</v>
      </c>
      <c r="V219" t="s">
        <v>157</v>
      </c>
    </row>
    <row r="220" spans="19:22" x14ac:dyDescent="0.45">
      <c r="S220" t="s">
        <v>602</v>
      </c>
      <c r="T220" t="s">
        <v>772</v>
      </c>
      <c r="U220">
        <v>1</v>
      </c>
      <c r="V220" t="s">
        <v>157</v>
      </c>
    </row>
    <row r="221" spans="19:22" x14ac:dyDescent="0.45">
      <c r="S221" t="s">
        <v>603</v>
      </c>
      <c r="T221" t="s">
        <v>772</v>
      </c>
      <c r="U221">
        <v>1</v>
      </c>
      <c r="V221" t="s">
        <v>157</v>
      </c>
    </row>
    <row r="222" spans="19:22" x14ac:dyDescent="0.45">
      <c r="S222" t="s">
        <v>604</v>
      </c>
      <c r="T222" t="s">
        <v>772</v>
      </c>
      <c r="U222">
        <v>1</v>
      </c>
      <c r="V222" t="s">
        <v>157</v>
      </c>
    </row>
    <row r="223" spans="19:22" x14ac:dyDescent="0.45">
      <c r="S223" t="s">
        <v>605</v>
      </c>
      <c r="T223" t="s">
        <v>772</v>
      </c>
      <c r="U223">
        <v>1</v>
      </c>
      <c r="V223" t="s">
        <v>157</v>
      </c>
    </row>
    <row r="224" spans="19:22" x14ac:dyDescent="0.45">
      <c r="S224" t="s">
        <v>606</v>
      </c>
      <c r="T224" t="s">
        <v>772</v>
      </c>
      <c r="U224">
        <v>1</v>
      </c>
      <c r="V224" t="s">
        <v>157</v>
      </c>
    </row>
    <row r="225" spans="19:22" x14ac:dyDescent="0.45">
      <c r="S225" t="s">
        <v>607</v>
      </c>
      <c r="T225" t="s">
        <v>772</v>
      </c>
      <c r="U225">
        <v>0.99999999999999989</v>
      </c>
      <c r="V225" t="s">
        <v>157</v>
      </c>
    </row>
    <row r="226" spans="19:22" x14ac:dyDescent="0.45">
      <c r="S226" t="s">
        <v>608</v>
      </c>
      <c r="T226" t="s">
        <v>772</v>
      </c>
      <c r="U226">
        <v>1</v>
      </c>
      <c r="V226" t="s">
        <v>157</v>
      </c>
    </row>
    <row r="227" spans="19:22" x14ac:dyDescent="0.45">
      <c r="S227" t="s">
        <v>609</v>
      </c>
      <c r="T227" t="s">
        <v>772</v>
      </c>
      <c r="U227">
        <v>1</v>
      </c>
      <c r="V227" t="s">
        <v>157</v>
      </c>
    </row>
    <row r="228" spans="19:22" x14ac:dyDescent="0.45">
      <c r="S228" t="s">
        <v>610</v>
      </c>
      <c r="T228" t="s">
        <v>772</v>
      </c>
      <c r="U228">
        <v>0.99999999999999989</v>
      </c>
      <c r="V228" t="s">
        <v>157</v>
      </c>
    </row>
    <row r="229" spans="19:22" x14ac:dyDescent="0.45">
      <c r="S229" t="s">
        <v>611</v>
      </c>
      <c r="T229" t="s">
        <v>772</v>
      </c>
      <c r="U229">
        <v>1</v>
      </c>
      <c r="V229" t="s">
        <v>157</v>
      </c>
    </row>
    <row r="230" spans="19:22" x14ac:dyDescent="0.45">
      <c r="S230" t="s">
        <v>612</v>
      </c>
      <c r="T230" t="s">
        <v>772</v>
      </c>
      <c r="U230">
        <v>1</v>
      </c>
      <c r="V230" t="s">
        <v>157</v>
      </c>
    </row>
    <row r="231" spans="19:22" x14ac:dyDescent="0.45">
      <c r="S231" t="s">
        <v>613</v>
      </c>
      <c r="T231" t="s">
        <v>772</v>
      </c>
      <c r="U231">
        <v>1</v>
      </c>
      <c r="V231" t="s">
        <v>157</v>
      </c>
    </row>
    <row r="232" spans="19:22" x14ac:dyDescent="0.45">
      <c r="S232" t="s">
        <v>614</v>
      </c>
      <c r="T232" t="s">
        <v>772</v>
      </c>
      <c r="U232">
        <v>1</v>
      </c>
      <c r="V232" t="s">
        <v>157</v>
      </c>
    </row>
    <row r="233" spans="19:22" x14ac:dyDescent="0.45">
      <c r="S233" t="s">
        <v>615</v>
      </c>
      <c r="T233" t="s">
        <v>772</v>
      </c>
      <c r="U233">
        <v>1</v>
      </c>
      <c r="V233" t="s">
        <v>157</v>
      </c>
    </row>
    <row r="234" spans="19:22" x14ac:dyDescent="0.45">
      <c r="S234" t="s">
        <v>616</v>
      </c>
      <c r="T234" t="s">
        <v>772</v>
      </c>
      <c r="U234">
        <v>1</v>
      </c>
      <c r="V234" t="s">
        <v>157</v>
      </c>
    </row>
    <row r="235" spans="19:22" x14ac:dyDescent="0.45">
      <c r="S235" t="s">
        <v>617</v>
      </c>
      <c r="T235" t="s">
        <v>772</v>
      </c>
      <c r="U235">
        <v>1</v>
      </c>
      <c r="V235" t="s">
        <v>157</v>
      </c>
    </row>
    <row r="236" spans="19:22" x14ac:dyDescent="0.45">
      <c r="S236" t="s">
        <v>618</v>
      </c>
      <c r="T236" t="s">
        <v>772</v>
      </c>
      <c r="U236">
        <v>1</v>
      </c>
      <c r="V236" t="s">
        <v>157</v>
      </c>
    </row>
    <row r="237" spans="19:22" x14ac:dyDescent="0.45">
      <c r="S237" t="s">
        <v>619</v>
      </c>
      <c r="T237" t="s">
        <v>772</v>
      </c>
      <c r="U237">
        <v>1</v>
      </c>
      <c r="V237" t="s">
        <v>157</v>
      </c>
    </row>
    <row r="238" spans="19:22" x14ac:dyDescent="0.45">
      <c r="S238" t="s">
        <v>620</v>
      </c>
      <c r="T238" t="s">
        <v>772</v>
      </c>
      <c r="U238">
        <v>1</v>
      </c>
      <c r="V238" t="s">
        <v>157</v>
      </c>
    </row>
    <row r="239" spans="19:22" x14ac:dyDescent="0.45">
      <c r="S239" t="s">
        <v>621</v>
      </c>
      <c r="T239" t="s">
        <v>772</v>
      </c>
      <c r="U239">
        <v>1</v>
      </c>
      <c r="V239" t="s">
        <v>157</v>
      </c>
    </row>
    <row r="240" spans="19:22" x14ac:dyDescent="0.45">
      <c r="S240" t="s">
        <v>622</v>
      </c>
      <c r="T240" t="s">
        <v>772</v>
      </c>
      <c r="U240">
        <v>1</v>
      </c>
      <c r="V240" t="s">
        <v>157</v>
      </c>
    </row>
    <row r="241" spans="19:22" x14ac:dyDescent="0.45">
      <c r="S241" t="s">
        <v>623</v>
      </c>
      <c r="T241" t="s">
        <v>772</v>
      </c>
      <c r="U241">
        <v>1</v>
      </c>
      <c r="V241" t="s">
        <v>157</v>
      </c>
    </row>
    <row r="242" spans="19:22" x14ac:dyDescent="0.45">
      <c r="S242" t="s">
        <v>624</v>
      </c>
      <c r="T242" t="s">
        <v>772</v>
      </c>
      <c r="U242">
        <v>1</v>
      </c>
      <c r="V242" t="s">
        <v>157</v>
      </c>
    </row>
    <row r="243" spans="19:22" x14ac:dyDescent="0.45">
      <c r="S243" t="s">
        <v>625</v>
      </c>
      <c r="T243" t="s">
        <v>772</v>
      </c>
      <c r="U243">
        <v>0.99999999999999989</v>
      </c>
      <c r="V243" t="s">
        <v>157</v>
      </c>
    </row>
    <row r="244" spans="19:22" x14ac:dyDescent="0.45">
      <c r="S244" t="s">
        <v>626</v>
      </c>
      <c r="T244" t="s">
        <v>772</v>
      </c>
      <c r="U244">
        <v>1</v>
      </c>
      <c r="V244" t="s">
        <v>157</v>
      </c>
    </row>
    <row r="245" spans="19:22" x14ac:dyDescent="0.45">
      <c r="S245" t="s">
        <v>627</v>
      </c>
      <c r="T245" t="s">
        <v>772</v>
      </c>
      <c r="U245">
        <v>1</v>
      </c>
      <c r="V245" t="s">
        <v>157</v>
      </c>
    </row>
    <row r="246" spans="19:22" x14ac:dyDescent="0.45">
      <c r="S246" t="s">
        <v>628</v>
      </c>
      <c r="T246" t="s">
        <v>772</v>
      </c>
      <c r="U246">
        <v>1</v>
      </c>
      <c r="V246" t="s">
        <v>157</v>
      </c>
    </row>
    <row r="247" spans="19:22" x14ac:dyDescent="0.45">
      <c r="S247" t="s">
        <v>629</v>
      </c>
      <c r="T247" t="s">
        <v>772</v>
      </c>
      <c r="U247">
        <v>1</v>
      </c>
      <c r="V247" t="s">
        <v>157</v>
      </c>
    </row>
    <row r="248" spans="19:22" x14ac:dyDescent="0.45">
      <c r="S248" t="s">
        <v>630</v>
      </c>
      <c r="T248" t="s">
        <v>772</v>
      </c>
      <c r="U248">
        <v>1</v>
      </c>
      <c r="V248" t="s">
        <v>157</v>
      </c>
    </row>
    <row r="249" spans="19:22" x14ac:dyDescent="0.45">
      <c r="S249" t="s">
        <v>631</v>
      </c>
      <c r="T249" t="s">
        <v>772</v>
      </c>
      <c r="U249">
        <v>1</v>
      </c>
      <c r="V249" t="s">
        <v>157</v>
      </c>
    </row>
    <row r="250" spans="19:22" x14ac:dyDescent="0.45">
      <c r="S250" t="s">
        <v>632</v>
      </c>
      <c r="T250" t="s">
        <v>772</v>
      </c>
      <c r="U250">
        <v>1</v>
      </c>
      <c r="V250" t="s">
        <v>157</v>
      </c>
    </row>
    <row r="251" spans="19:22" x14ac:dyDescent="0.45">
      <c r="S251" t="s">
        <v>633</v>
      </c>
      <c r="T251" t="s">
        <v>772</v>
      </c>
      <c r="U251">
        <v>1</v>
      </c>
      <c r="V251" t="s">
        <v>157</v>
      </c>
    </row>
    <row r="252" spans="19:22" x14ac:dyDescent="0.45">
      <c r="S252" t="s">
        <v>634</v>
      </c>
      <c r="T252" t="s">
        <v>772</v>
      </c>
      <c r="U252">
        <v>1</v>
      </c>
      <c r="V252" t="s">
        <v>157</v>
      </c>
    </row>
    <row r="253" spans="19:22" x14ac:dyDescent="0.45">
      <c r="S253" t="s">
        <v>635</v>
      </c>
      <c r="T253" t="s">
        <v>772</v>
      </c>
      <c r="U253">
        <v>1</v>
      </c>
      <c r="V253" t="s">
        <v>157</v>
      </c>
    </row>
    <row r="254" spans="19:22" x14ac:dyDescent="0.45">
      <c r="S254" t="s">
        <v>636</v>
      </c>
      <c r="T254" t="s">
        <v>772</v>
      </c>
      <c r="U254">
        <v>1</v>
      </c>
      <c r="V254" t="s">
        <v>157</v>
      </c>
    </row>
    <row r="255" spans="19:22" x14ac:dyDescent="0.45">
      <c r="S255" t="s">
        <v>637</v>
      </c>
      <c r="T255" t="s">
        <v>772</v>
      </c>
      <c r="U255">
        <v>1</v>
      </c>
      <c r="V255" t="s">
        <v>157</v>
      </c>
    </row>
    <row r="256" spans="19:22" x14ac:dyDescent="0.45">
      <c r="S256" t="s">
        <v>638</v>
      </c>
      <c r="T256" t="s">
        <v>772</v>
      </c>
      <c r="U256">
        <v>1</v>
      </c>
      <c r="V256" t="s">
        <v>157</v>
      </c>
    </row>
    <row r="257" spans="19:22" x14ac:dyDescent="0.45">
      <c r="S257" t="s">
        <v>639</v>
      </c>
      <c r="T257" t="s">
        <v>772</v>
      </c>
      <c r="U257">
        <v>1</v>
      </c>
      <c r="V257" t="s">
        <v>157</v>
      </c>
    </row>
    <row r="258" spans="19:22" x14ac:dyDescent="0.45">
      <c r="S258" t="s">
        <v>640</v>
      </c>
      <c r="T258" t="s">
        <v>772</v>
      </c>
      <c r="U258">
        <v>1</v>
      </c>
      <c r="V258" t="s">
        <v>157</v>
      </c>
    </row>
    <row r="259" spans="19:22" x14ac:dyDescent="0.45">
      <c r="S259" t="s">
        <v>641</v>
      </c>
      <c r="T259" t="s">
        <v>772</v>
      </c>
      <c r="U259">
        <v>1</v>
      </c>
      <c r="V259" t="s">
        <v>157</v>
      </c>
    </row>
    <row r="260" spans="19:22" x14ac:dyDescent="0.45">
      <c r="S260" t="s">
        <v>642</v>
      </c>
      <c r="T260" t="s">
        <v>772</v>
      </c>
      <c r="U260">
        <v>1</v>
      </c>
      <c r="V260" t="s">
        <v>157</v>
      </c>
    </row>
    <row r="261" spans="19:22" x14ac:dyDescent="0.45">
      <c r="S261" t="s">
        <v>643</v>
      </c>
      <c r="T261" t="s">
        <v>772</v>
      </c>
      <c r="U261">
        <v>1</v>
      </c>
      <c r="V261" t="s">
        <v>157</v>
      </c>
    </row>
    <row r="262" spans="19:22" x14ac:dyDescent="0.45">
      <c r="S262" t="s">
        <v>644</v>
      </c>
      <c r="T262" t="s">
        <v>772</v>
      </c>
      <c r="U262">
        <v>0.99999999999999989</v>
      </c>
      <c r="V262" t="s">
        <v>157</v>
      </c>
    </row>
    <row r="263" spans="19:22" x14ac:dyDescent="0.45">
      <c r="S263" t="s">
        <v>645</v>
      </c>
      <c r="T263" t="s">
        <v>772</v>
      </c>
      <c r="U263">
        <v>0.99999999999999989</v>
      </c>
      <c r="V263" t="s">
        <v>157</v>
      </c>
    </row>
    <row r="264" spans="19:22" x14ac:dyDescent="0.45">
      <c r="S264" t="s">
        <v>646</v>
      </c>
      <c r="T264" t="s">
        <v>772</v>
      </c>
      <c r="U264">
        <v>1</v>
      </c>
      <c r="V264" t="s">
        <v>157</v>
      </c>
    </row>
    <row r="265" spans="19:22" x14ac:dyDescent="0.45">
      <c r="S265" t="s">
        <v>647</v>
      </c>
      <c r="T265" t="s">
        <v>772</v>
      </c>
      <c r="U265">
        <v>1</v>
      </c>
      <c r="V265" t="s">
        <v>157</v>
      </c>
    </row>
    <row r="266" spans="19:22" x14ac:dyDescent="0.45">
      <c r="S266" t="s">
        <v>648</v>
      </c>
      <c r="T266" t="s">
        <v>772</v>
      </c>
      <c r="U266">
        <v>1</v>
      </c>
      <c r="V266" t="s">
        <v>157</v>
      </c>
    </row>
    <row r="267" spans="19:22" x14ac:dyDescent="0.45">
      <c r="S267" t="s">
        <v>649</v>
      </c>
      <c r="T267" t="s">
        <v>772</v>
      </c>
      <c r="U267">
        <v>0.99999999999999989</v>
      </c>
      <c r="V267" t="s">
        <v>157</v>
      </c>
    </row>
    <row r="268" spans="19:22" x14ac:dyDescent="0.45">
      <c r="S268" t="s">
        <v>650</v>
      </c>
      <c r="T268" t="s">
        <v>772</v>
      </c>
      <c r="U268">
        <v>1</v>
      </c>
      <c r="V268" t="s">
        <v>157</v>
      </c>
    </row>
    <row r="269" spans="19:22" x14ac:dyDescent="0.45">
      <c r="S269" t="s">
        <v>651</v>
      </c>
      <c r="T269" t="s">
        <v>772</v>
      </c>
      <c r="U269">
        <v>1</v>
      </c>
      <c r="V269" t="s">
        <v>157</v>
      </c>
    </row>
    <row r="270" spans="19:22" x14ac:dyDescent="0.45">
      <c r="S270" t="s">
        <v>652</v>
      </c>
      <c r="T270" t="s">
        <v>772</v>
      </c>
      <c r="U270">
        <v>0.99999999999999989</v>
      </c>
      <c r="V270" t="s">
        <v>157</v>
      </c>
    </row>
    <row r="271" spans="19:22" x14ac:dyDescent="0.45">
      <c r="S271" t="s">
        <v>653</v>
      </c>
      <c r="T271" t="s">
        <v>772</v>
      </c>
      <c r="U271">
        <v>1</v>
      </c>
      <c r="V271" t="s">
        <v>157</v>
      </c>
    </row>
    <row r="272" spans="19:22" x14ac:dyDescent="0.45">
      <c r="S272" t="s">
        <v>654</v>
      </c>
      <c r="T272" t="s">
        <v>772</v>
      </c>
      <c r="U272">
        <v>1</v>
      </c>
      <c r="V272" t="s">
        <v>157</v>
      </c>
    </row>
    <row r="273" spans="19:22" x14ac:dyDescent="0.45">
      <c r="S273" t="s">
        <v>655</v>
      </c>
      <c r="T273" t="s">
        <v>772</v>
      </c>
      <c r="U273">
        <v>1</v>
      </c>
      <c r="V273" t="s">
        <v>157</v>
      </c>
    </row>
    <row r="274" spans="19:22" x14ac:dyDescent="0.45">
      <c r="S274" t="s">
        <v>656</v>
      </c>
      <c r="T274" t="s">
        <v>772</v>
      </c>
      <c r="U274">
        <v>1</v>
      </c>
      <c r="V274" t="s">
        <v>157</v>
      </c>
    </row>
    <row r="275" spans="19:22" x14ac:dyDescent="0.45">
      <c r="S275" t="s">
        <v>657</v>
      </c>
      <c r="T275" t="s">
        <v>772</v>
      </c>
      <c r="U275">
        <v>1</v>
      </c>
      <c r="V275" t="s">
        <v>157</v>
      </c>
    </row>
    <row r="276" spans="19:22" x14ac:dyDescent="0.45">
      <c r="S276" t="s">
        <v>658</v>
      </c>
      <c r="T276" t="s">
        <v>772</v>
      </c>
      <c r="U276">
        <v>1</v>
      </c>
      <c r="V276" t="s">
        <v>157</v>
      </c>
    </row>
    <row r="277" spans="19:22" x14ac:dyDescent="0.45">
      <c r="S277" t="s">
        <v>659</v>
      </c>
      <c r="T277" t="s">
        <v>772</v>
      </c>
      <c r="U277">
        <v>1</v>
      </c>
      <c r="V277" t="s">
        <v>157</v>
      </c>
    </row>
    <row r="278" spans="19:22" x14ac:dyDescent="0.45">
      <c r="S278" t="s">
        <v>660</v>
      </c>
      <c r="T278" t="s">
        <v>772</v>
      </c>
      <c r="U278">
        <v>1</v>
      </c>
      <c r="V278" t="s">
        <v>157</v>
      </c>
    </row>
    <row r="279" spans="19:22" x14ac:dyDescent="0.45">
      <c r="S279" t="s">
        <v>661</v>
      </c>
      <c r="T279" t="s">
        <v>772</v>
      </c>
      <c r="U279">
        <v>1</v>
      </c>
      <c r="V279" t="s">
        <v>157</v>
      </c>
    </row>
    <row r="280" spans="19:22" x14ac:dyDescent="0.45">
      <c r="S280" t="s">
        <v>662</v>
      </c>
      <c r="T280" t="s">
        <v>772</v>
      </c>
      <c r="U280">
        <v>1</v>
      </c>
      <c r="V280" t="s">
        <v>157</v>
      </c>
    </row>
    <row r="281" spans="19:22" x14ac:dyDescent="0.45">
      <c r="S281" t="s">
        <v>663</v>
      </c>
      <c r="T281" t="s">
        <v>772</v>
      </c>
      <c r="U281">
        <v>1</v>
      </c>
      <c r="V281" t="s">
        <v>157</v>
      </c>
    </row>
    <row r="282" spans="19:22" x14ac:dyDescent="0.45">
      <c r="S282" t="s">
        <v>664</v>
      </c>
      <c r="T282" t="s">
        <v>772</v>
      </c>
      <c r="U282">
        <v>1</v>
      </c>
      <c r="V282" t="s">
        <v>157</v>
      </c>
    </row>
    <row r="283" spans="19:22" x14ac:dyDescent="0.45">
      <c r="S283" t="s">
        <v>665</v>
      </c>
      <c r="T283" t="s">
        <v>772</v>
      </c>
      <c r="U283">
        <v>1</v>
      </c>
      <c r="V283" t="s">
        <v>157</v>
      </c>
    </row>
    <row r="284" spans="19:22" x14ac:dyDescent="0.45">
      <c r="S284" t="s">
        <v>666</v>
      </c>
      <c r="T284" t="s">
        <v>772</v>
      </c>
      <c r="U284">
        <v>0.99999999999999989</v>
      </c>
      <c r="V284" t="s">
        <v>157</v>
      </c>
    </row>
    <row r="285" spans="19:22" x14ac:dyDescent="0.45">
      <c r="S285" t="s">
        <v>667</v>
      </c>
      <c r="T285" t="s">
        <v>772</v>
      </c>
      <c r="U285">
        <v>1</v>
      </c>
      <c r="V285" t="s">
        <v>157</v>
      </c>
    </row>
    <row r="286" spans="19:22" x14ac:dyDescent="0.45">
      <c r="S286" t="s">
        <v>668</v>
      </c>
      <c r="T286" t="s">
        <v>772</v>
      </c>
      <c r="U286">
        <v>1</v>
      </c>
      <c r="V286" t="s">
        <v>157</v>
      </c>
    </row>
    <row r="287" spans="19:22" x14ac:dyDescent="0.45">
      <c r="S287" t="s">
        <v>669</v>
      </c>
      <c r="T287" t="s">
        <v>772</v>
      </c>
      <c r="U287">
        <v>1</v>
      </c>
      <c r="V287" t="s">
        <v>157</v>
      </c>
    </row>
    <row r="288" spans="19:22" x14ac:dyDescent="0.45">
      <c r="S288" t="s">
        <v>670</v>
      </c>
      <c r="T288" t="s">
        <v>772</v>
      </c>
      <c r="U288">
        <v>1</v>
      </c>
      <c r="V288" t="s">
        <v>157</v>
      </c>
    </row>
    <row r="289" spans="19:22" x14ac:dyDescent="0.45">
      <c r="S289" t="s">
        <v>671</v>
      </c>
      <c r="T289" t="s">
        <v>772</v>
      </c>
      <c r="U289">
        <v>1</v>
      </c>
      <c r="V289" t="s">
        <v>157</v>
      </c>
    </row>
    <row r="290" spans="19:22" x14ac:dyDescent="0.45">
      <c r="S290" t="s">
        <v>672</v>
      </c>
      <c r="T290" t="s">
        <v>772</v>
      </c>
      <c r="U290">
        <v>1</v>
      </c>
      <c r="V290" t="s">
        <v>157</v>
      </c>
    </row>
    <row r="291" spans="19:22" x14ac:dyDescent="0.45">
      <c r="S291" t="s">
        <v>673</v>
      </c>
      <c r="T291" t="s">
        <v>772</v>
      </c>
      <c r="U291">
        <v>1</v>
      </c>
      <c r="V291" t="s">
        <v>157</v>
      </c>
    </row>
    <row r="292" spans="19:22" x14ac:dyDescent="0.45">
      <c r="S292" t="s">
        <v>674</v>
      </c>
      <c r="T292" t="s">
        <v>772</v>
      </c>
      <c r="U292">
        <v>1</v>
      </c>
      <c r="V292" t="s">
        <v>157</v>
      </c>
    </row>
    <row r="293" spans="19:22" x14ac:dyDescent="0.45">
      <c r="S293" t="s">
        <v>675</v>
      </c>
      <c r="T293" t="s">
        <v>772</v>
      </c>
      <c r="U293">
        <v>1</v>
      </c>
      <c r="V293" t="s">
        <v>157</v>
      </c>
    </row>
    <row r="294" spans="19:22" x14ac:dyDescent="0.45">
      <c r="S294" t="s">
        <v>676</v>
      </c>
      <c r="T294" t="s">
        <v>772</v>
      </c>
      <c r="U294">
        <v>1</v>
      </c>
      <c r="V294" t="s">
        <v>157</v>
      </c>
    </row>
    <row r="295" spans="19:22" x14ac:dyDescent="0.45">
      <c r="S295" t="s">
        <v>677</v>
      </c>
      <c r="T295" t="s">
        <v>772</v>
      </c>
      <c r="U295">
        <v>0.99999999999999989</v>
      </c>
      <c r="V295" t="s">
        <v>157</v>
      </c>
    </row>
    <row r="296" spans="19:22" x14ac:dyDescent="0.45">
      <c r="S296" t="s">
        <v>678</v>
      </c>
      <c r="T296" t="s">
        <v>772</v>
      </c>
      <c r="U296">
        <v>1</v>
      </c>
      <c r="V296" t="s">
        <v>157</v>
      </c>
    </row>
    <row r="297" spans="19:22" x14ac:dyDescent="0.45">
      <c r="S297" t="s">
        <v>679</v>
      </c>
      <c r="T297" t="s">
        <v>772</v>
      </c>
      <c r="U297">
        <v>1</v>
      </c>
      <c r="V297" t="s">
        <v>157</v>
      </c>
    </row>
    <row r="298" spans="19:22" x14ac:dyDescent="0.45">
      <c r="S298" t="s">
        <v>680</v>
      </c>
      <c r="T298" t="s">
        <v>772</v>
      </c>
      <c r="U298">
        <v>1</v>
      </c>
      <c r="V298" t="s">
        <v>157</v>
      </c>
    </row>
    <row r="299" spans="19:22" x14ac:dyDescent="0.45">
      <c r="S299" t="s">
        <v>681</v>
      </c>
      <c r="T299" t="s">
        <v>772</v>
      </c>
      <c r="U299">
        <v>1</v>
      </c>
      <c r="V299" t="s">
        <v>157</v>
      </c>
    </row>
    <row r="300" spans="19:22" x14ac:dyDescent="0.45">
      <c r="S300" t="s">
        <v>682</v>
      </c>
      <c r="T300" t="s">
        <v>772</v>
      </c>
      <c r="U300">
        <v>1</v>
      </c>
      <c r="V300" t="s">
        <v>157</v>
      </c>
    </row>
    <row r="301" spans="19:22" x14ac:dyDescent="0.45">
      <c r="S301" t="s">
        <v>683</v>
      </c>
      <c r="T301" t="s">
        <v>772</v>
      </c>
      <c r="U301">
        <v>1</v>
      </c>
      <c r="V301" t="s">
        <v>157</v>
      </c>
    </row>
    <row r="302" spans="19:22" x14ac:dyDescent="0.45">
      <c r="S302" t="s">
        <v>684</v>
      </c>
      <c r="T302" t="s">
        <v>772</v>
      </c>
      <c r="U302">
        <v>1</v>
      </c>
      <c r="V302" t="s">
        <v>157</v>
      </c>
    </row>
    <row r="303" spans="19:22" x14ac:dyDescent="0.45">
      <c r="S303" t="s">
        <v>685</v>
      </c>
      <c r="T303" t="s">
        <v>772</v>
      </c>
      <c r="U303">
        <v>0.99999999999999989</v>
      </c>
      <c r="V303" t="s">
        <v>157</v>
      </c>
    </row>
    <row r="304" spans="19:22" x14ac:dyDescent="0.45">
      <c r="S304" t="s">
        <v>686</v>
      </c>
      <c r="T304" t="s">
        <v>772</v>
      </c>
      <c r="U304">
        <v>1</v>
      </c>
      <c r="V304" t="s">
        <v>157</v>
      </c>
    </row>
    <row r="305" spans="19:22" x14ac:dyDescent="0.45">
      <c r="S305" t="s">
        <v>687</v>
      </c>
      <c r="T305" t="s">
        <v>772</v>
      </c>
      <c r="U305">
        <v>1</v>
      </c>
      <c r="V305" t="s">
        <v>157</v>
      </c>
    </row>
    <row r="306" spans="19:22" x14ac:dyDescent="0.45">
      <c r="S306" t="s">
        <v>688</v>
      </c>
      <c r="T306" t="s">
        <v>772</v>
      </c>
      <c r="U306">
        <v>1</v>
      </c>
      <c r="V306" t="s">
        <v>157</v>
      </c>
    </row>
    <row r="307" spans="19:22" x14ac:dyDescent="0.45">
      <c r="S307" t="s">
        <v>689</v>
      </c>
      <c r="T307" t="s">
        <v>772</v>
      </c>
      <c r="U307">
        <v>1</v>
      </c>
      <c r="V307" t="s">
        <v>157</v>
      </c>
    </row>
    <row r="308" spans="19:22" x14ac:dyDescent="0.45">
      <c r="S308" t="s">
        <v>690</v>
      </c>
      <c r="T308" t="s">
        <v>772</v>
      </c>
      <c r="U308">
        <v>1</v>
      </c>
      <c r="V308" t="s">
        <v>157</v>
      </c>
    </row>
    <row r="309" spans="19:22" x14ac:dyDescent="0.45">
      <c r="S309" t="s">
        <v>691</v>
      </c>
      <c r="T309" t="s">
        <v>772</v>
      </c>
      <c r="U309">
        <v>1</v>
      </c>
      <c r="V309" t="s">
        <v>157</v>
      </c>
    </row>
    <row r="310" spans="19:22" x14ac:dyDescent="0.45">
      <c r="S310" t="s">
        <v>692</v>
      </c>
      <c r="T310" t="s">
        <v>772</v>
      </c>
      <c r="U310">
        <v>0.99999999999999989</v>
      </c>
      <c r="V310" t="s">
        <v>157</v>
      </c>
    </row>
    <row r="311" spans="19:22" x14ac:dyDescent="0.45">
      <c r="S311" t="s">
        <v>693</v>
      </c>
      <c r="T311" t="s">
        <v>772</v>
      </c>
      <c r="U311">
        <v>1</v>
      </c>
      <c r="V311" t="s">
        <v>157</v>
      </c>
    </row>
    <row r="312" spans="19:22" x14ac:dyDescent="0.45">
      <c r="S312" t="s">
        <v>694</v>
      </c>
      <c r="T312" t="s">
        <v>772</v>
      </c>
      <c r="U312">
        <v>1</v>
      </c>
      <c r="V312" t="s">
        <v>157</v>
      </c>
    </row>
    <row r="313" spans="19:22" x14ac:dyDescent="0.45">
      <c r="S313" t="s">
        <v>695</v>
      </c>
      <c r="T313" t="s">
        <v>772</v>
      </c>
      <c r="U313">
        <v>1</v>
      </c>
      <c r="V313" t="s">
        <v>157</v>
      </c>
    </row>
    <row r="314" spans="19:22" x14ac:dyDescent="0.45">
      <c r="S314" t="s">
        <v>696</v>
      </c>
      <c r="T314" t="s">
        <v>772</v>
      </c>
      <c r="U314">
        <v>1</v>
      </c>
      <c r="V314" t="s">
        <v>157</v>
      </c>
    </row>
    <row r="315" spans="19:22" x14ac:dyDescent="0.45">
      <c r="S315" t="s">
        <v>697</v>
      </c>
      <c r="T315" t="s">
        <v>772</v>
      </c>
      <c r="U315">
        <v>1</v>
      </c>
      <c r="V315" t="s">
        <v>157</v>
      </c>
    </row>
    <row r="316" spans="19:22" x14ac:dyDescent="0.45">
      <c r="S316" t="s">
        <v>698</v>
      </c>
      <c r="T316" t="s">
        <v>772</v>
      </c>
      <c r="U316">
        <v>1</v>
      </c>
      <c r="V316" t="s">
        <v>157</v>
      </c>
    </row>
    <row r="317" spans="19:22" x14ac:dyDescent="0.45">
      <c r="S317" t="s">
        <v>699</v>
      </c>
      <c r="T317" t="s">
        <v>772</v>
      </c>
      <c r="U317">
        <v>1</v>
      </c>
      <c r="V317" t="s">
        <v>157</v>
      </c>
    </row>
    <row r="318" spans="19:22" x14ac:dyDescent="0.45">
      <c r="S318" t="s">
        <v>700</v>
      </c>
      <c r="T318" t="s">
        <v>772</v>
      </c>
      <c r="U318">
        <v>1</v>
      </c>
      <c r="V318" t="s">
        <v>157</v>
      </c>
    </row>
    <row r="319" spans="19:22" x14ac:dyDescent="0.45">
      <c r="S319" t="s">
        <v>701</v>
      </c>
      <c r="T319" t="s">
        <v>772</v>
      </c>
      <c r="U319">
        <v>1</v>
      </c>
      <c r="V319" t="s">
        <v>157</v>
      </c>
    </row>
    <row r="320" spans="19:22" x14ac:dyDescent="0.45">
      <c r="S320" t="s">
        <v>702</v>
      </c>
      <c r="T320" t="s">
        <v>772</v>
      </c>
      <c r="U320">
        <v>1</v>
      </c>
      <c r="V320" t="s">
        <v>157</v>
      </c>
    </row>
    <row r="321" spans="19:22" x14ac:dyDescent="0.45">
      <c r="S321" t="s">
        <v>703</v>
      </c>
      <c r="T321" t="s">
        <v>772</v>
      </c>
      <c r="U321">
        <v>0.99999999999999989</v>
      </c>
      <c r="V321" t="s">
        <v>157</v>
      </c>
    </row>
    <row r="322" spans="19:22" x14ac:dyDescent="0.45">
      <c r="S322" t="s">
        <v>704</v>
      </c>
      <c r="T322" t="s">
        <v>772</v>
      </c>
      <c r="U322">
        <v>1</v>
      </c>
      <c r="V322" t="s">
        <v>157</v>
      </c>
    </row>
    <row r="323" spans="19:22" x14ac:dyDescent="0.45">
      <c r="S323" t="s">
        <v>705</v>
      </c>
      <c r="T323" t="s">
        <v>772</v>
      </c>
      <c r="U323">
        <v>1</v>
      </c>
      <c r="V323" t="s">
        <v>157</v>
      </c>
    </row>
    <row r="324" spans="19:22" x14ac:dyDescent="0.45">
      <c r="S324" t="s">
        <v>706</v>
      </c>
      <c r="T324" t="s">
        <v>772</v>
      </c>
      <c r="U324">
        <v>1</v>
      </c>
      <c r="V324" t="s">
        <v>157</v>
      </c>
    </row>
    <row r="325" spans="19:22" x14ac:dyDescent="0.45">
      <c r="S325" t="s">
        <v>707</v>
      </c>
      <c r="T325" t="s">
        <v>772</v>
      </c>
      <c r="U325">
        <v>1</v>
      </c>
      <c r="V325" t="s">
        <v>157</v>
      </c>
    </row>
    <row r="326" spans="19:22" x14ac:dyDescent="0.45">
      <c r="S326" t="s">
        <v>708</v>
      </c>
      <c r="T326" t="s">
        <v>772</v>
      </c>
      <c r="U326">
        <v>1</v>
      </c>
      <c r="V326" t="s">
        <v>157</v>
      </c>
    </row>
    <row r="327" spans="19:22" x14ac:dyDescent="0.45">
      <c r="S327" t="s">
        <v>709</v>
      </c>
      <c r="T327" t="s">
        <v>772</v>
      </c>
      <c r="U327">
        <v>1</v>
      </c>
      <c r="V327" t="s">
        <v>157</v>
      </c>
    </row>
    <row r="328" spans="19:22" x14ac:dyDescent="0.45">
      <c r="S328" t="s">
        <v>710</v>
      </c>
      <c r="T328" t="s">
        <v>772</v>
      </c>
      <c r="U328">
        <v>1</v>
      </c>
      <c r="V328" t="s">
        <v>157</v>
      </c>
    </row>
    <row r="329" spans="19:22" x14ac:dyDescent="0.45">
      <c r="S329" t="s">
        <v>711</v>
      </c>
      <c r="T329" t="s">
        <v>772</v>
      </c>
      <c r="U329">
        <v>1</v>
      </c>
      <c r="V329" t="s">
        <v>157</v>
      </c>
    </row>
    <row r="330" spans="19:22" x14ac:dyDescent="0.45">
      <c r="S330" t="s">
        <v>712</v>
      </c>
      <c r="T330" t="s">
        <v>772</v>
      </c>
      <c r="U330">
        <v>1</v>
      </c>
      <c r="V330" t="s">
        <v>157</v>
      </c>
    </row>
    <row r="331" spans="19:22" x14ac:dyDescent="0.45">
      <c r="S331" t="s">
        <v>713</v>
      </c>
      <c r="T331" t="s">
        <v>772</v>
      </c>
      <c r="U331">
        <v>1</v>
      </c>
      <c r="V331" t="s">
        <v>157</v>
      </c>
    </row>
    <row r="332" spans="19:22" x14ac:dyDescent="0.45">
      <c r="S332" t="s">
        <v>714</v>
      </c>
      <c r="T332" t="s">
        <v>772</v>
      </c>
      <c r="U332">
        <v>1</v>
      </c>
      <c r="V332" t="s">
        <v>157</v>
      </c>
    </row>
    <row r="333" spans="19:22" x14ac:dyDescent="0.45">
      <c r="S333" t="s">
        <v>715</v>
      </c>
      <c r="T333" t="s">
        <v>772</v>
      </c>
      <c r="U333">
        <v>1</v>
      </c>
      <c r="V333" t="s">
        <v>157</v>
      </c>
    </row>
    <row r="334" spans="19:22" x14ac:dyDescent="0.45">
      <c r="S334" t="s">
        <v>716</v>
      </c>
      <c r="T334" t="s">
        <v>772</v>
      </c>
      <c r="U334">
        <v>0.99999999999999989</v>
      </c>
      <c r="V334" t="s">
        <v>157</v>
      </c>
    </row>
    <row r="335" spans="19:22" x14ac:dyDescent="0.45">
      <c r="S335" t="s">
        <v>717</v>
      </c>
      <c r="T335" t="s">
        <v>772</v>
      </c>
      <c r="U335">
        <v>1</v>
      </c>
      <c r="V335" t="s">
        <v>157</v>
      </c>
    </row>
    <row r="336" spans="19:22" x14ac:dyDescent="0.45">
      <c r="S336" t="s">
        <v>718</v>
      </c>
      <c r="T336" t="s">
        <v>772</v>
      </c>
      <c r="U336">
        <v>1</v>
      </c>
      <c r="V336" t="s">
        <v>157</v>
      </c>
    </row>
    <row r="337" spans="19:22" x14ac:dyDescent="0.45">
      <c r="S337" t="s">
        <v>719</v>
      </c>
      <c r="T337" t="s">
        <v>772</v>
      </c>
      <c r="U337">
        <v>1</v>
      </c>
      <c r="V337" t="s">
        <v>157</v>
      </c>
    </row>
    <row r="338" spans="19:22" x14ac:dyDescent="0.45">
      <c r="S338" t="s">
        <v>720</v>
      </c>
      <c r="T338" t="s">
        <v>772</v>
      </c>
      <c r="U338">
        <v>1</v>
      </c>
      <c r="V338" t="s">
        <v>157</v>
      </c>
    </row>
    <row r="339" spans="19:22" x14ac:dyDescent="0.45">
      <c r="S339" t="s">
        <v>721</v>
      </c>
      <c r="T339" t="s">
        <v>772</v>
      </c>
      <c r="U339">
        <v>1</v>
      </c>
      <c r="V339" t="s">
        <v>157</v>
      </c>
    </row>
    <row r="340" spans="19:22" x14ac:dyDescent="0.45">
      <c r="S340" t="s">
        <v>722</v>
      </c>
      <c r="T340" t="s">
        <v>772</v>
      </c>
      <c r="U340">
        <v>1</v>
      </c>
      <c r="V340" t="s">
        <v>157</v>
      </c>
    </row>
    <row r="341" spans="19:22" x14ac:dyDescent="0.45">
      <c r="S341" t="s">
        <v>723</v>
      </c>
      <c r="T341" t="s">
        <v>772</v>
      </c>
      <c r="U341">
        <v>0.99999999999999989</v>
      </c>
      <c r="V341" t="s">
        <v>157</v>
      </c>
    </row>
    <row r="342" spans="19:22" x14ac:dyDescent="0.45">
      <c r="S342" t="s">
        <v>724</v>
      </c>
      <c r="T342" t="s">
        <v>772</v>
      </c>
      <c r="U342">
        <v>1</v>
      </c>
      <c r="V342" t="s">
        <v>157</v>
      </c>
    </row>
    <row r="343" spans="19:22" x14ac:dyDescent="0.45">
      <c r="S343" t="s">
        <v>725</v>
      </c>
      <c r="T343" t="s">
        <v>772</v>
      </c>
      <c r="U343">
        <v>1</v>
      </c>
      <c r="V343" t="s">
        <v>157</v>
      </c>
    </row>
    <row r="344" spans="19:22" x14ac:dyDescent="0.45">
      <c r="S344" t="s">
        <v>726</v>
      </c>
      <c r="T344" t="s">
        <v>772</v>
      </c>
      <c r="U344">
        <v>1</v>
      </c>
      <c r="V344" t="s">
        <v>157</v>
      </c>
    </row>
    <row r="345" spans="19:22" x14ac:dyDescent="0.45">
      <c r="S345" t="s">
        <v>727</v>
      </c>
      <c r="T345" t="s">
        <v>772</v>
      </c>
      <c r="U345">
        <v>1</v>
      </c>
      <c r="V345" t="s">
        <v>157</v>
      </c>
    </row>
    <row r="346" spans="19:22" x14ac:dyDescent="0.45">
      <c r="S346" t="s">
        <v>728</v>
      </c>
      <c r="T346" t="s">
        <v>772</v>
      </c>
      <c r="U346">
        <v>1</v>
      </c>
      <c r="V346" t="s">
        <v>157</v>
      </c>
    </row>
    <row r="347" spans="19:22" x14ac:dyDescent="0.45">
      <c r="S347" t="s">
        <v>729</v>
      </c>
      <c r="T347" t="s">
        <v>772</v>
      </c>
      <c r="U347">
        <v>1</v>
      </c>
      <c r="V347" t="s">
        <v>157</v>
      </c>
    </row>
    <row r="348" spans="19:22" x14ac:dyDescent="0.45">
      <c r="S348" t="s">
        <v>730</v>
      </c>
      <c r="T348" t="s">
        <v>772</v>
      </c>
      <c r="U348">
        <v>1</v>
      </c>
      <c r="V348" t="s">
        <v>157</v>
      </c>
    </row>
    <row r="349" spans="19:22" x14ac:dyDescent="0.45">
      <c r="S349" t="s">
        <v>731</v>
      </c>
      <c r="T349" t="s">
        <v>772</v>
      </c>
      <c r="U349">
        <v>1</v>
      </c>
      <c r="V349" t="s">
        <v>157</v>
      </c>
    </row>
    <row r="350" spans="19:22" x14ac:dyDescent="0.45">
      <c r="S350" t="s">
        <v>732</v>
      </c>
      <c r="T350" t="s">
        <v>772</v>
      </c>
      <c r="U350">
        <v>1</v>
      </c>
      <c r="V350" t="s">
        <v>157</v>
      </c>
    </row>
    <row r="351" spans="19:22" x14ac:dyDescent="0.45">
      <c r="S351" t="s">
        <v>733</v>
      </c>
      <c r="T351" t="s">
        <v>772</v>
      </c>
      <c r="U351">
        <v>1</v>
      </c>
      <c r="V351" t="s">
        <v>157</v>
      </c>
    </row>
    <row r="352" spans="19:22" x14ac:dyDescent="0.45">
      <c r="S352" t="s">
        <v>734</v>
      </c>
      <c r="T352" t="s">
        <v>772</v>
      </c>
      <c r="U352">
        <v>1</v>
      </c>
      <c r="V352" t="s">
        <v>157</v>
      </c>
    </row>
    <row r="353" spans="19:22" x14ac:dyDescent="0.45">
      <c r="S353" t="s">
        <v>735</v>
      </c>
      <c r="T353" t="s">
        <v>772</v>
      </c>
      <c r="U353">
        <v>1</v>
      </c>
      <c r="V353" t="s">
        <v>157</v>
      </c>
    </row>
    <row r="354" spans="19:22" x14ac:dyDescent="0.45">
      <c r="S354" t="s">
        <v>736</v>
      </c>
      <c r="T354" t="s">
        <v>772</v>
      </c>
      <c r="U354">
        <v>1</v>
      </c>
      <c r="V354" t="s">
        <v>157</v>
      </c>
    </row>
    <row r="355" spans="19:22" x14ac:dyDescent="0.45">
      <c r="S355" t="s">
        <v>737</v>
      </c>
      <c r="T355" t="s">
        <v>772</v>
      </c>
      <c r="U355">
        <v>0.99999999999999989</v>
      </c>
      <c r="V355" t="s">
        <v>157</v>
      </c>
    </row>
    <row r="356" spans="19:22" x14ac:dyDescent="0.45">
      <c r="S356" t="s">
        <v>738</v>
      </c>
      <c r="T356" t="s">
        <v>772</v>
      </c>
      <c r="U356">
        <v>1</v>
      </c>
      <c r="V356" t="s">
        <v>157</v>
      </c>
    </row>
    <row r="357" spans="19:22" x14ac:dyDescent="0.45">
      <c r="S357" t="s">
        <v>739</v>
      </c>
      <c r="T357" t="s">
        <v>772</v>
      </c>
      <c r="U357">
        <v>1</v>
      </c>
      <c r="V357" t="s">
        <v>157</v>
      </c>
    </row>
    <row r="358" spans="19:22" x14ac:dyDescent="0.45">
      <c r="S358" t="s">
        <v>740</v>
      </c>
      <c r="T358" t="s">
        <v>772</v>
      </c>
      <c r="U358">
        <v>1</v>
      </c>
      <c r="V358" t="s">
        <v>157</v>
      </c>
    </row>
    <row r="359" spans="19:22" x14ac:dyDescent="0.45">
      <c r="S359" t="s">
        <v>741</v>
      </c>
      <c r="T359" t="s">
        <v>772</v>
      </c>
      <c r="U359">
        <v>1</v>
      </c>
      <c r="V359" t="s">
        <v>157</v>
      </c>
    </row>
    <row r="360" spans="19:22" x14ac:dyDescent="0.45">
      <c r="S360" t="s">
        <v>742</v>
      </c>
      <c r="T360" t="s">
        <v>772</v>
      </c>
      <c r="U360">
        <v>1</v>
      </c>
      <c r="V360" t="s">
        <v>157</v>
      </c>
    </row>
    <row r="361" spans="19:22" x14ac:dyDescent="0.45">
      <c r="S361" t="s">
        <v>743</v>
      </c>
      <c r="T361" t="s">
        <v>772</v>
      </c>
      <c r="U361">
        <v>1</v>
      </c>
      <c r="V361" t="s">
        <v>157</v>
      </c>
    </row>
    <row r="362" spans="19:22" x14ac:dyDescent="0.45">
      <c r="S362" t="s">
        <v>744</v>
      </c>
      <c r="T362" t="s">
        <v>772</v>
      </c>
      <c r="U362">
        <v>0.99999999999999989</v>
      </c>
      <c r="V362" t="s">
        <v>157</v>
      </c>
    </row>
    <row r="363" spans="19:22" x14ac:dyDescent="0.45">
      <c r="S363" t="s">
        <v>745</v>
      </c>
      <c r="T363" t="s">
        <v>772</v>
      </c>
      <c r="U363">
        <v>0.99999999999999989</v>
      </c>
      <c r="V363" t="s">
        <v>157</v>
      </c>
    </row>
    <row r="364" spans="19:22" x14ac:dyDescent="0.45">
      <c r="S364" t="s">
        <v>746</v>
      </c>
      <c r="T364" t="s">
        <v>772</v>
      </c>
      <c r="U364">
        <v>1</v>
      </c>
      <c r="V364" t="s">
        <v>157</v>
      </c>
    </row>
    <row r="365" spans="19:22" x14ac:dyDescent="0.45">
      <c r="S365" t="s">
        <v>747</v>
      </c>
      <c r="T365" t="s">
        <v>772</v>
      </c>
      <c r="U365">
        <v>1</v>
      </c>
      <c r="V365" t="s">
        <v>157</v>
      </c>
    </row>
    <row r="366" spans="19:22" x14ac:dyDescent="0.45">
      <c r="S366" t="s">
        <v>748</v>
      </c>
      <c r="T366" t="s">
        <v>772</v>
      </c>
      <c r="U366">
        <v>1</v>
      </c>
      <c r="V366" t="s">
        <v>157</v>
      </c>
    </row>
    <row r="367" spans="19:22" x14ac:dyDescent="0.45">
      <c r="S367" t="s">
        <v>749</v>
      </c>
      <c r="T367" t="s">
        <v>772</v>
      </c>
      <c r="U367">
        <v>1</v>
      </c>
      <c r="V367" t="s">
        <v>157</v>
      </c>
    </row>
    <row r="368" spans="19:22" x14ac:dyDescent="0.45">
      <c r="S368" t="s">
        <v>750</v>
      </c>
      <c r="T368" t="s">
        <v>772</v>
      </c>
      <c r="U368">
        <v>1</v>
      </c>
      <c r="V368" t="s">
        <v>157</v>
      </c>
    </row>
    <row r="369" spans="19:22" x14ac:dyDescent="0.45">
      <c r="S369" t="s">
        <v>751</v>
      </c>
      <c r="T369" t="s">
        <v>772</v>
      </c>
      <c r="U369">
        <v>1</v>
      </c>
      <c r="V369" t="s">
        <v>157</v>
      </c>
    </row>
    <row r="370" spans="19:22" x14ac:dyDescent="0.45">
      <c r="S370" t="s">
        <v>752</v>
      </c>
      <c r="T370" t="s">
        <v>772</v>
      </c>
      <c r="U370">
        <v>1</v>
      </c>
      <c r="V370" t="s">
        <v>157</v>
      </c>
    </row>
    <row r="371" spans="19:22" x14ac:dyDescent="0.45">
      <c r="S371" t="s">
        <v>753</v>
      </c>
      <c r="T371" t="s">
        <v>772</v>
      </c>
      <c r="U371">
        <v>1</v>
      </c>
      <c r="V371" t="s">
        <v>157</v>
      </c>
    </row>
    <row r="372" spans="19:22" x14ac:dyDescent="0.45">
      <c r="S372" t="s">
        <v>754</v>
      </c>
      <c r="T372" t="s">
        <v>772</v>
      </c>
      <c r="U372">
        <v>1</v>
      </c>
      <c r="V372" t="s">
        <v>157</v>
      </c>
    </row>
    <row r="373" spans="19:22" x14ac:dyDescent="0.45">
      <c r="S373" t="s">
        <v>755</v>
      </c>
      <c r="T373" t="s">
        <v>772</v>
      </c>
      <c r="U373">
        <v>1</v>
      </c>
      <c r="V373" t="s">
        <v>157</v>
      </c>
    </row>
    <row r="374" spans="19:22" x14ac:dyDescent="0.45">
      <c r="S374" t="s">
        <v>756</v>
      </c>
      <c r="T374" t="s">
        <v>772</v>
      </c>
      <c r="U374">
        <v>1</v>
      </c>
      <c r="V374" t="s">
        <v>157</v>
      </c>
    </row>
    <row r="375" spans="19:22" x14ac:dyDescent="0.45">
      <c r="S375" t="s">
        <v>757</v>
      </c>
      <c r="T375" t="s">
        <v>772</v>
      </c>
      <c r="U375">
        <v>1</v>
      </c>
      <c r="V375" t="s">
        <v>157</v>
      </c>
    </row>
    <row r="376" spans="19:22" x14ac:dyDescent="0.45">
      <c r="S376" t="s">
        <v>758</v>
      </c>
      <c r="T376" t="s">
        <v>772</v>
      </c>
      <c r="U376">
        <v>1</v>
      </c>
      <c r="V376" t="s">
        <v>157</v>
      </c>
    </row>
    <row r="377" spans="19:22" x14ac:dyDescent="0.45">
      <c r="S377" t="s">
        <v>759</v>
      </c>
      <c r="T377" t="s">
        <v>772</v>
      </c>
      <c r="U377">
        <v>0.99999999999999989</v>
      </c>
      <c r="V377" t="s">
        <v>157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48F27-C9B8-484E-B9A9-73986D2E736C}">
  <dimension ref="A9:AM4414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113</v>
      </c>
      <c r="C10" t="s">
        <v>139</v>
      </c>
      <c r="D10" t="s">
        <v>140</v>
      </c>
      <c r="E10" t="s">
        <v>141</v>
      </c>
      <c r="F10" t="s">
        <v>142</v>
      </c>
      <c r="G10" t="s">
        <v>143</v>
      </c>
      <c r="I10" t="s">
        <v>13</v>
      </c>
      <c r="J10" t="s">
        <v>134</v>
      </c>
      <c r="K10" t="s">
        <v>154</v>
      </c>
      <c r="L10" t="s">
        <v>30</v>
      </c>
      <c r="N10" t="s">
        <v>13</v>
      </c>
      <c r="O10" t="s">
        <v>134</v>
      </c>
      <c r="P10" t="s">
        <v>154</v>
      </c>
      <c r="Q10" t="s">
        <v>30</v>
      </c>
      <c r="S10" t="s">
        <v>13</v>
      </c>
      <c r="T10" t="s">
        <v>134</v>
      </c>
      <c r="U10" t="s">
        <v>154</v>
      </c>
      <c r="V10" t="s">
        <v>30</v>
      </c>
      <c r="X10" t="s">
        <v>760</v>
      </c>
      <c r="Y10" t="s">
        <v>154</v>
      </c>
      <c r="Z10" t="s">
        <v>134</v>
      </c>
      <c r="AA10" t="s">
        <v>13</v>
      </c>
      <c r="AC10" t="s">
        <v>13</v>
      </c>
      <c r="AD10" t="s">
        <v>134</v>
      </c>
      <c r="AE10" t="s">
        <v>154</v>
      </c>
      <c r="AG10" t="s">
        <v>13</v>
      </c>
      <c r="AH10" t="s">
        <v>134</v>
      </c>
      <c r="AI10" t="s">
        <v>766</v>
      </c>
      <c r="AK10" t="s">
        <v>134</v>
      </c>
      <c r="AL10" t="s">
        <v>767</v>
      </c>
      <c r="AM10" t="s">
        <v>768</v>
      </c>
    </row>
    <row r="11" spans="1:39" x14ac:dyDescent="0.45">
      <c r="A11" t="str">
        <f>IFERROR(IF(Veda!D5=A10,"ok","x"),"")</f>
        <v>x</v>
      </c>
      <c r="C11" t="s">
        <v>773</v>
      </c>
      <c r="D11" t="s">
        <v>145</v>
      </c>
      <c r="E11" t="s">
        <v>762</v>
      </c>
      <c r="F11" t="s">
        <v>774</v>
      </c>
      <c r="G11" t="s">
        <v>145</v>
      </c>
      <c r="I11" t="s">
        <v>155</v>
      </c>
      <c r="J11" t="s">
        <v>779</v>
      </c>
      <c r="K11">
        <v>0.28454098257094496</v>
      </c>
      <c r="L11" t="s">
        <v>157</v>
      </c>
      <c r="N11" t="s">
        <v>282</v>
      </c>
      <c r="O11" t="s">
        <v>779</v>
      </c>
      <c r="P11">
        <v>0.12281515066697281</v>
      </c>
      <c r="Q11" t="s">
        <v>157</v>
      </c>
      <c r="S11" t="s">
        <v>393</v>
      </c>
      <c r="T11" t="s">
        <v>779</v>
      </c>
      <c r="U11">
        <v>0.11578895015980971</v>
      </c>
      <c r="V11" t="s">
        <v>157</v>
      </c>
      <c r="X11">
        <v>0.11426940639269406</v>
      </c>
      <c r="Y11">
        <v>0.16087081189037786</v>
      </c>
      <c r="Z11" t="s">
        <v>779</v>
      </c>
      <c r="AA11" t="s">
        <v>25</v>
      </c>
      <c r="AC11" t="s">
        <v>22</v>
      </c>
      <c r="AD11" t="s">
        <v>779</v>
      </c>
      <c r="AE11">
        <v>0.10093429089532406</v>
      </c>
      <c r="AG11" t="s">
        <v>98</v>
      </c>
      <c r="AH11" t="s">
        <v>779</v>
      </c>
      <c r="AI11">
        <v>0.35998850027571061</v>
      </c>
      <c r="AK11" t="s">
        <v>776</v>
      </c>
      <c r="AL11">
        <v>0.32952699068700991</v>
      </c>
      <c r="AM11" t="s">
        <v>769</v>
      </c>
    </row>
    <row r="12" spans="1:39" x14ac:dyDescent="0.45">
      <c r="C12" t="s">
        <v>775</v>
      </c>
      <c r="E12" t="s">
        <v>764</v>
      </c>
      <c r="G12" t="s">
        <v>145</v>
      </c>
      <c r="I12" t="s">
        <v>155</v>
      </c>
      <c r="J12" t="s">
        <v>780</v>
      </c>
      <c r="K12">
        <v>7.2023003757712067E-3</v>
      </c>
      <c r="L12" t="s">
        <v>157</v>
      </c>
      <c r="N12" t="s">
        <v>282</v>
      </c>
      <c r="O12" t="s">
        <v>780</v>
      </c>
      <c r="P12">
        <v>0.11072715933343233</v>
      </c>
      <c r="Q12" t="s">
        <v>157</v>
      </c>
      <c r="S12" t="s">
        <v>393</v>
      </c>
      <c r="T12" t="s">
        <v>780</v>
      </c>
      <c r="U12">
        <v>0.11425752195468673</v>
      </c>
      <c r="V12" t="s">
        <v>157</v>
      </c>
      <c r="X12">
        <v>0.11426940639269406</v>
      </c>
      <c r="Y12">
        <v>5.2547713165767528E-2</v>
      </c>
      <c r="Z12" t="s">
        <v>780</v>
      </c>
      <c r="AA12" t="s">
        <v>25</v>
      </c>
      <c r="AC12" t="s">
        <v>22</v>
      </c>
      <c r="AD12" t="s">
        <v>780</v>
      </c>
      <c r="AE12">
        <v>0.1272073915286048</v>
      </c>
      <c r="AG12" t="s">
        <v>98</v>
      </c>
      <c r="AH12" t="s">
        <v>780</v>
      </c>
      <c r="AI12">
        <v>0.17305801594904824</v>
      </c>
      <c r="AK12" t="s">
        <v>773</v>
      </c>
      <c r="AL12">
        <v>0.30041611232201998</v>
      </c>
      <c r="AM12" t="s">
        <v>769</v>
      </c>
    </row>
    <row r="13" spans="1:39" x14ac:dyDescent="0.45">
      <c r="C13" t="s">
        <v>776</v>
      </c>
      <c r="E13" t="s">
        <v>777</v>
      </c>
      <c r="G13" t="s">
        <v>145</v>
      </c>
      <c r="I13" t="s">
        <v>155</v>
      </c>
      <c r="J13" t="s">
        <v>781</v>
      </c>
      <c r="K13">
        <v>3.5738126639460778E-2</v>
      </c>
      <c r="L13" t="s">
        <v>157</v>
      </c>
      <c r="N13" t="s">
        <v>282</v>
      </c>
      <c r="O13" t="s">
        <v>781</v>
      </c>
      <c r="P13">
        <v>2.1746966538337662E-2</v>
      </c>
      <c r="Q13" t="s">
        <v>157</v>
      </c>
      <c r="S13" t="s">
        <v>393</v>
      </c>
      <c r="T13" t="s">
        <v>781</v>
      </c>
      <c r="U13">
        <v>2.0318057179742284E-2</v>
      </c>
      <c r="V13" t="s">
        <v>157</v>
      </c>
      <c r="X13">
        <v>2.0776255707762557E-2</v>
      </c>
      <c r="Y13">
        <v>3.5896543437005365E-2</v>
      </c>
      <c r="Z13" t="s">
        <v>781</v>
      </c>
      <c r="AA13" t="s">
        <v>25</v>
      </c>
      <c r="AC13" t="s">
        <v>22</v>
      </c>
      <c r="AD13" t="s">
        <v>781</v>
      </c>
      <c r="AE13">
        <v>1.8718359963351857E-2</v>
      </c>
      <c r="AG13" t="s">
        <v>98</v>
      </c>
      <c r="AH13" t="s">
        <v>781</v>
      </c>
      <c r="AI13">
        <v>0.24560594736682795</v>
      </c>
      <c r="AK13" t="s">
        <v>778</v>
      </c>
      <c r="AL13">
        <v>0.28625130919693159</v>
      </c>
      <c r="AM13" t="s">
        <v>769</v>
      </c>
    </row>
    <row r="14" spans="1:39" x14ac:dyDescent="0.45">
      <c r="C14" t="s">
        <v>778</v>
      </c>
      <c r="I14" t="s">
        <v>155</v>
      </c>
      <c r="J14" t="s">
        <v>782</v>
      </c>
      <c r="K14">
        <v>0.1493759608472385</v>
      </c>
      <c r="L14" t="s">
        <v>157</v>
      </c>
      <c r="N14" t="s">
        <v>282</v>
      </c>
      <c r="O14" t="s">
        <v>782</v>
      </c>
      <c r="P14">
        <v>0.11116745864576572</v>
      </c>
      <c r="Q14" t="s">
        <v>157</v>
      </c>
      <c r="S14" t="s">
        <v>393</v>
      </c>
      <c r="T14" t="s">
        <v>782</v>
      </c>
      <c r="U14">
        <v>0.11126080900261545</v>
      </c>
      <c r="V14" t="s">
        <v>157</v>
      </c>
      <c r="X14">
        <v>0.11552511415525114</v>
      </c>
      <c r="Y14">
        <v>0.16263862301005233</v>
      </c>
      <c r="Z14" t="s">
        <v>782</v>
      </c>
      <c r="AA14" t="s">
        <v>25</v>
      </c>
      <c r="AC14" t="s">
        <v>22</v>
      </c>
      <c r="AD14" t="s">
        <v>782</v>
      </c>
      <c r="AE14">
        <v>0.10078018080767256</v>
      </c>
      <c r="AG14" t="s">
        <v>98</v>
      </c>
      <c r="AH14" t="s">
        <v>782</v>
      </c>
      <c r="AI14">
        <v>0.39515618482074943</v>
      </c>
      <c r="AK14" t="s">
        <v>775</v>
      </c>
      <c r="AL14">
        <v>0.28380558779403864</v>
      </c>
      <c r="AM14" t="s">
        <v>769</v>
      </c>
    </row>
    <row r="15" spans="1:39" x14ac:dyDescent="0.45">
      <c r="I15" t="s">
        <v>155</v>
      </c>
      <c r="J15" t="s">
        <v>783</v>
      </c>
      <c r="K15">
        <v>9.8780844256419659E-7</v>
      </c>
      <c r="L15" t="s">
        <v>157</v>
      </c>
      <c r="N15" t="s">
        <v>282</v>
      </c>
      <c r="O15" t="s">
        <v>783</v>
      </c>
      <c r="P15">
        <v>0.11304255613157103</v>
      </c>
      <c r="Q15" t="s">
        <v>157</v>
      </c>
      <c r="S15" t="s">
        <v>393</v>
      </c>
      <c r="T15" t="s">
        <v>783</v>
      </c>
      <c r="U15">
        <v>0.10767676450461004</v>
      </c>
      <c r="V15" t="s">
        <v>157</v>
      </c>
      <c r="X15">
        <v>0.11552511415525114</v>
      </c>
      <c r="Y15">
        <v>5.3125160563193538E-2</v>
      </c>
      <c r="Z15" t="s">
        <v>783</v>
      </c>
      <c r="AA15" t="s">
        <v>25</v>
      </c>
      <c r="AC15" t="s">
        <v>22</v>
      </c>
      <c r="AD15" t="s">
        <v>783</v>
      </c>
      <c r="AE15">
        <v>0.12522570279593356</v>
      </c>
      <c r="AG15" t="s">
        <v>98</v>
      </c>
      <c r="AH15" t="s">
        <v>783</v>
      </c>
      <c r="AI15">
        <v>0.21556391233558636</v>
      </c>
    </row>
    <row r="16" spans="1:39" x14ac:dyDescent="0.45">
      <c r="I16" t="s">
        <v>155</v>
      </c>
      <c r="J16" t="s">
        <v>784</v>
      </c>
      <c r="K16">
        <v>1.5771154956129668E-2</v>
      </c>
      <c r="L16" t="s">
        <v>157</v>
      </c>
      <c r="N16" t="s">
        <v>282</v>
      </c>
      <c r="O16" t="s">
        <v>784</v>
      </c>
      <c r="P16">
        <v>2.1851223207596346E-2</v>
      </c>
      <c r="Q16" t="s">
        <v>157</v>
      </c>
      <c r="S16" t="s">
        <v>393</v>
      </c>
      <c r="T16" t="s">
        <v>784</v>
      </c>
      <c r="U16">
        <v>2.0123616103895552E-2</v>
      </c>
      <c r="V16" t="s">
        <v>157</v>
      </c>
      <c r="X16">
        <v>2.1004566210045664E-2</v>
      </c>
      <c r="Y16">
        <v>3.6291010947302131E-2</v>
      </c>
      <c r="Z16" t="s">
        <v>784</v>
      </c>
      <c r="AA16" t="s">
        <v>25</v>
      </c>
      <c r="AC16" t="s">
        <v>22</v>
      </c>
      <c r="AD16" t="s">
        <v>784</v>
      </c>
      <c r="AE16">
        <v>1.7370162062054217E-2</v>
      </c>
      <c r="AG16" t="s">
        <v>98</v>
      </c>
      <c r="AH16" t="s">
        <v>784</v>
      </c>
      <c r="AI16">
        <v>0.18511195114858991</v>
      </c>
    </row>
    <row r="17" spans="9:35" x14ac:dyDescent="0.45">
      <c r="I17" t="s">
        <v>155</v>
      </c>
      <c r="J17" t="s">
        <v>785</v>
      </c>
      <c r="K17">
        <v>8.4372732291804128E-2</v>
      </c>
      <c r="L17" t="s">
        <v>157</v>
      </c>
      <c r="N17" t="s">
        <v>282</v>
      </c>
      <c r="O17" t="s">
        <v>785</v>
      </c>
      <c r="P17">
        <v>0.11557947458078617</v>
      </c>
      <c r="Q17" t="s">
        <v>157</v>
      </c>
      <c r="S17" t="s">
        <v>393</v>
      </c>
      <c r="T17" t="s">
        <v>785</v>
      </c>
      <c r="U17">
        <v>0.11709210214883888</v>
      </c>
      <c r="V17" t="s">
        <v>157</v>
      </c>
      <c r="X17">
        <v>0.11552511415525114</v>
      </c>
      <c r="Y17">
        <v>0.16263862301005233</v>
      </c>
      <c r="Z17" t="s">
        <v>785</v>
      </c>
      <c r="AA17" t="s">
        <v>25</v>
      </c>
      <c r="AC17" t="s">
        <v>22</v>
      </c>
      <c r="AD17" t="s">
        <v>785</v>
      </c>
      <c r="AE17">
        <v>0.11587542479796292</v>
      </c>
      <c r="AG17" t="s">
        <v>98</v>
      </c>
      <c r="AH17" t="s">
        <v>785</v>
      </c>
      <c r="AI17">
        <v>0.32459355126395217</v>
      </c>
    </row>
    <row r="18" spans="9:35" x14ac:dyDescent="0.45">
      <c r="I18" t="s">
        <v>155</v>
      </c>
      <c r="J18" t="s">
        <v>786</v>
      </c>
      <c r="K18">
        <v>0</v>
      </c>
      <c r="L18" t="s">
        <v>157</v>
      </c>
      <c r="N18" t="s">
        <v>282</v>
      </c>
      <c r="O18" t="s">
        <v>786</v>
      </c>
      <c r="P18">
        <v>0.11247619477768024</v>
      </c>
      <c r="Q18" t="s">
        <v>157</v>
      </c>
      <c r="S18" t="s">
        <v>393</v>
      </c>
      <c r="T18" t="s">
        <v>786</v>
      </c>
      <c r="U18">
        <v>0.11775800800144916</v>
      </c>
      <c r="V18" t="s">
        <v>157</v>
      </c>
      <c r="X18">
        <v>0.11552511415525114</v>
      </c>
      <c r="Y18">
        <v>5.3125160563193538E-2</v>
      </c>
      <c r="Z18" t="s">
        <v>786</v>
      </c>
      <c r="AA18" t="s">
        <v>25</v>
      </c>
      <c r="AC18" t="s">
        <v>22</v>
      </c>
      <c r="AD18" t="s">
        <v>786</v>
      </c>
      <c r="AE18">
        <v>0.14095344128373866</v>
      </c>
      <c r="AG18" t="s">
        <v>98</v>
      </c>
      <c r="AH18" t="s">
        <v>786</v>
      </c>
      <c r="AI18">
        <v>0.20944327214456826</v>
      </c>
    </row>
    <row r="19" spans="9:35" x14ac:dyDescent="0.45">
      <c r="I19" t="s">
        <v>155</v>
      </c>
      <c r="J19" t="s">
        <v>787</v>
      </c>
      <c r="K19">
        <v>3.6395232203341563E-3</v>
      </c>
      <c r="L19" t="s">
        <v>157</v>
      </c>
      <c r="N19" t="s">
        <v>282</v>
      </c>
      <c r="O19" t="s">
        <v>787</v>
      </c>
      <c r="P19">
        <v>2.0691644637761394E-2</v>
      </c>
      <c r="Q19" t="s">
        <v>157</v>
      </c>
      <c r="S19" t="s">
        <v>393</v>
      </c>
      <c r="T19" t="s">
        <v>787</v>
      </c>
      <c r="U19">
        <v>2.1520188775712972E-2</v>
      </c>
      <c r="V19" t="s">
        <v>157</v>
      </c>
      <c r="X19">
        <v>2.1004566210045664E-2</v>
      </c>
      <c r="Y19">
        <v>3.6291010947302131E-2</v>
      </c>
      <c r="Z19" t="s">
        <v>787</v>
      </c>
      <c r="AA19" t="s">
        <v>25</v>
      </c>
      <c r="AC19" t="s">
        <v>22</v>
      </c>
      <c r="AD19" t="s">
        <v>787</v>
      </c>
      <c r="AE19">
        <v>1.9499468666719314E-2</v>
      </c>
      <c r="AG19" t="s">
        <v>98</v>
      </c>
      <c r="AH19" t="s">
        <v>787</v>
      </c>
      <c r="AI19">
        <v>0.2127844276767763</v>
      </c>
    </row>
    <row r="20" spans="9:35" x14ac:dyDescent="0.45">
      <c r="I20" t="s">
        <v>155</v>
      </c>
      <c r="J20" t="s">
        <v>788</v>
      </c>
      <c r="K20">
        <v>0.34700834755988746</v>
      </c>
      <c r="L20" t="s">
        <v>157</v>
      </c>
      <c r="N20" t="s">
        <v>282</v>
      </c>
      <c r="O20" t="s">
        <v>788</v>
      </c>
      <c r="P20">
        <v>0.12054656540024997</v>
      </c>
      <c r="Q20" t="s">
        <v>157</v>
      </c>
      <c r="S20" t="s">
        <v>393</v>
      </c>
      <c r="T20" t="s">
        <v>788</v>
      </c>
      <c r="U20">
        <v>0.11467639726924983</v>
      </c>
      <c r="V20" t="s">
        <v>157</v>
      </c>
      <c r="X20">
        <v>0.11301369863013698</v>
      </c>
      <c r="Y20">
        <v>0.15910300077070333</v>
      </c>
      <c r="Z20" t="s">
        <v>788</v>
      </c>
      <c r="AA20" t="s">
        <v>25</v>
      </c>
      <c r="AC20" t="s">
        <v>22</v>
      </c>
      <c r="AD20" t="s">
        <v>788</v>
      </c>
      <c r="AE20">
        <v>9.4110631049900001E-2</v>
      </c>
      <c r="AG20" t="s">
        <v>98</v>
      </c>
      <c r="AH20" t="s">
        <v>788</v>
      </c>
      <c r="AI20">
        <v>0.24183427011941916</v>
      </c>
    </row>
    <row r="21" spans="9:35" x14ac:dyDescent="0.45">
      <c r="I21" t="s">
        <v>155</v>
      </c>
      <c r="J21" t="s">
        <v>789</v>
      </c>
      <c r="K21">
        <v>2.1182643243249262E-2</v>
      </c>
      <c r="L21" t="s">
        <v>157</v>
      </c>
      <c r="N21" t="s">
        <v>282</v>
      </c>
      <c r="O21" t="s">
        <v>789</v>
      </c>
      <c r="P21">
        <v>0.10715055173530411</v>
      </c>
      <c r="Q21" t="s">
        <v>157</v>
      </c>
      <c r="S21" t="s">
        <v>393</v>
      </c>
      <c r="T21" t="s">
        <v>789</v>
      </c>
      <c r="U21">
        <v>0.11827455167682191</v>
      </c>
      <c r="V21" t="s">
        <v>157</v>
      </c>
      <c r="X21">
        <v>0.11301369863013698</v>
      </c>
      <c r="Y21">
        <v>5.197026576834151E-2</v>
      </c>
      <c r="Z21" t="s">
        <v>789</v>
      </c>
      <c r="AA21" t="s">
        <v>25</v>
      </c>
      <c r="AC21" t="s">
        <v>22</v>
      </c>
      <c r="AD21" t="s">
        <v>789</v>
      </c>
      <c r="AE21">
        <v>0.12119064964777208</v>
      </c>
      <c r="AG21" t="s">
        <v>98</v>
      </c>
      <c r="AH21" t="s">
        <v>789</v>
      </c>
      <c r="AI21">
        <v>6.6070848820160011E-2</v>
      </c>
    </row>
    <row r="22" spans="9:35" x14ac:dyDescent="0.45">
      <c r="I22" t="s">
        <v>155</v>
      </c>
      <c r="J22" t="s">
        <v>790</v>
      </c>
      <c r="K22">
        <v>5.1167240486737216E-2</v>
      </c>
      <c r="L22" t="s">
        <v>157</v>
      </c>
      <c r="N22" t="s">
        <v>282</v>
      </c>
      <c r="O22" t="s">
        <v>790</v>
      </c>
      <c r="P22">
        <v>2.2205054344542185E-2</v>
      </c>
      <c r="Q22" t="s">
        <v>157</v>
      </c>
      <c r="S22" t="s">
        <v>393</v>
      </c>
      <c r="T22" t="s">
        <v>790</v>
      </c>
      <c r="U22">
        <v>2.1253033222567486E-2</v>
      </c>
      <c r="V22" t="s">
        <v>157</v>
      </c>
      <c r="X22">
        <v>2.0547945205479451E-2</v>
      </c>
      <c r="Y22">
        <v>3.5502075926708607E-2</v>
      </c>
      <c r="Z22" t="s">
        <v>790</v>
      </c>
      <c r="AA22" t="s">
        <v>25</v>
      </c>
      <c r="AC22" t="s">
        <v>22</v>
      </c>
      <c r="AD22" t="s">
        <v>790</v>
      </c>
      <c r="AE22">
        <v>1.813429650096586E-2</v>
      </c>
      <c r="AG22" t="s">
        <v>98</v>
      </c>
      <c r="AH22" t="s">
        <v>790</v>
      </c>
      <c r="AI22">
        <v>0.14087646518096575</v>
      </c>
    </row>
    <row r="23" spans="9:35" x14ac:dyDescent="0.45">
      <c r="I23" t="s">
        <v>172</v>
      </c>
      <c r="J23" t="s">
        <v>779</v>
      </c>
      <c r="K23">
        <v>0.28552662108057181</v>
      </c>
      <c r="L23" t="s">
        <v>157</v>
      </c>
      <c r="N23" t="s">
        <v>283</v>
      </c>
      <c r="O23" t="s">
        <v>779</v>
      </c>
      <c r="P23">
        <v>0.14888271324742647</v>
      </c>
      <c r="Q23" t="s">
        <v>157</v>
      </c>
      <c r="S23" t="s">
        <v>394</v>
      </c>
      <c r="T23" t="s">
        <v>779</v>
      </c>
      <c r="U23">
        <v>0.11472348578077028</v>
      </c>
      <c r="V23" t="s">
        <v>157</v>
      </c>
      <c r="AC23" t="s">
        <v>19</v>
      </c>
      <c r="AD23" t="s">
        <v>779</v>
      </c>
      <c r="AE23">
        <v>0.11348607094128318</v>
      </c>
    </row>
    <row r="24" spans="9:35" x14ac:dyDescent="0.45">
      <c r="I24" t="s">
        <v>172</v>
      </c>
      <c r="J24" t="s">
        <v>780</v>
      </c>
      <c r="K24">
        <v>6.4071602932645622E-3</v>
      </c>
      <c r="L24" t="s">
        <v>157</v>
      </c>
      <c r="N24" t="s">
        <v>283</v>
      </c>
      <c r="O24" t="s">
        <v>780</v>
      </c>
      <c r="P24">
        <v>0.11831156845236385</v>
      </c>
      <c r="Q24" t="s">
        <v>157</v>
      </c>
      <c r="S24" t="s">
        <v>394</v>
      </c>
      <c r="T24" t="s">
        <v>780</v>
      </c>
      <c r="U24">
        <v>0.11235967150395357</v>
      </c>
      <c r="V24" t="s">
        <v>157</v>
      </c>
      <c r="AC24" t="s">
        <v>19</v>
      </c>
      <c r="AD24" t="s">
        <v>780</v>
      </c>
      <c r="AE24">
        <v>0.11515678660020072</v>
      </c>
    </row>
    <row r="25" spans="9:35" x14ac:dyDescent="0.45">
      <c r="I25" t="s">
        <v>172</v>
      </c>
      <c r="J25" t="s">
        <v>781</v>
      </c>
      <c r="K25">
        <v>3.4732583317283162E-2</v>
      </c>
      <c r="L25" t="s">
        <v>157</v>
      </c>
      <c r="N25" t="s">
        <v>283</v>
      </c>
      <c r="O25" t="s">
        <v>781</v>
      </c>
      <c r="P25">
        <v>2.7951622287323112E-2</v>
      </c>
      <c r="Q25" t="s">
        <v>157</v>
      </c>
      <c r="S25" t="s">
        <v>394</v>
      </c>
      <c r="T25" t="s">
        <v>781</v>
      </c>
      <c r="U25">
        <v>2.0275015209263218E-2</v>
      </c>
      <c r="V25" t="s">
        <v>157</v>
      </c>
      <c r="AC25" t="s">
        <v>19</v>
      </c>
      <c r="AD25" t="s">
        <v>781</v>
      </c>
      <c r="AE25">
        <v>2.0657147798912246E-2</v>
      </c>
    </row>
    <row r="26" spans="9:35" x14ac:dyDescent="0.45">
      <c r="I26" t="s">
        <v>172</v>
      </c>
      <c r="J26" t="s">
        <v>782</v>
      </c>
      <c r="K26">
        <v>0.15319334609192281</v>
      </c>
      <c r="L26" t="s">
        <v>157</v>
      </c>
      <c r="N26" t="s">
        <v>283</v>
      </c>
      <c r="O26" t="s">
        <v>782</v>
      </c>
      <c r="P26">
        <v>0.10845260165009861</v>
      </c>
      <c r="Q26" t="s">
        <v>157</v>
      </c>
      <c r="S26" t="s">
        <v>394</v>
      </c>
      <c r="T26" t="s">
        <v>782</v>
      </c>
      <c r="U26">
        <v>0.11131875383144268</v>
      </c>
      <c r="V26" t="s">
        <v>157</v>
      </c>
      <c r="AC26" t="s">
        <v>19</v>
      </c>
      <c r="AD26" t="s">
        <v>782</v>
      </c>
      <c r="AE26">
        <v>0.11481601973228781</v>
      </c>
    </row>
    <row r="27" spans="9:35" x14ac:dyDescent="0.45">
      <c r="I27" t="s">
        <v>172</v>
      </c>
      <c r="J27" t="s">
        <v>783</v>
      </c>
      <c r="K27">
        <v>0</v>
      </c>
      <c r="L27" t="s">
        <v>157</v>
      </c>
      <c r="N27" t="s">
        <v>283</v>
      </c>
      <c r="O27" t="s">
        <v>783</v>
      </c>
      <c r="P27">
        <v>0.10447424428438438</v>
      </c>
      <c r="Q27" t="s">
        <v>157</v>
      </c>
      <c r="S27" t="s">
        <v>394</v>
      </c>
      <c r="T27" t="s">
        <v>783</v>
      </c>
      <c r="U27">
        <v>0.1072489337491203</v>
      </c>
      <c r="V27" t="s">
        <v>157</v>
      </c>
      <c r="AC27" t="s">
        <v>19</v>
      </c>
      <c r="AD27" t="s">
        <v>783</v>
      </c>
      <c r="AE27">
        <v>0.11637051902592906</v>
      </c>
    </row>
    <row r="28" spans="9:35" x14ac:dyDescent="0.45">
      <c r="I28" t="s">
        <v>172</v>
      </c>
      <c r="J28" t="s">
        <v>784</v>
      </c>
      <c r="K28">
        <v>1.5624054023078806E-2</v>
      </c>
      <c r="L28" t="s">
        <v>157</v>
      </c>
      <c r="N28" t="s">
        <v>283</v>
      </c>
      <c r="O28" t="s">
        <v>784</v>
      </c>
      <c r="P28">
        <v>2.1582297171014963E-2</v>
      </c>
      <c r="Q28" t="s">
        <v>157</v>
      </c>
      <c r="S28" t="s">
        <v>394</v>
      </c>
      <c r="T28" t="s">
        <v>784</v>
      </c>
      <c r="U28">
        <v>2.0272492712324723E-2</v>
      </c>
      <c r="V28" t="s">
        <v>157</v>
      </c>
      <c r="AC28" t="s">
        <v>19</v>
      </c>
      <c r="AD28" t="s">
        <v>784</v>
      </c>
      <c r="AE28">
        <v>2.0815006096510005E-2</v>
      </c>
    </row>
    <row r="29" spans="9:35" x14ac:dyDescent="0.45">
      <c r="I29" t="s">
        <v>172</v>
      </c>
      <c r="J29" t="s">
        <v>785</v>
      </c>
      <c r="K29">
        <v>9.4372906411291563E-2</v>
      </c>
      <c r="L29" t="s">
        <v>157</v>
      </c>
      <c r="N29" t="s">
        <v>283</v>
      </c>
      <c r="O29" t="s">
        <v>785</v>
      </c>
      <c r="P29">
        <v>0.10492011618990911</v>
      </c>
      <c r="Q29" t="s">
        <v>157</v>
      </c>
      <c r="S29" t="s">
        <v>394</v>
      </c>
      <c r="T29" t="s">
        <v>785</v>
      </c>
      <c r="U29">
        <v>0.11894741955084118</v>
      </c>
      <c r="V29" t="s">
        <v>157</v>
      </c>
      <c r="AC29" t="s">
        <v>19</v>
      </c>
      <c r="AD29" t="s">
        <v>785</v>
      </c>
      <c r="AE29">
        <v>0.11490818546102288</v>
      </c>
    </row>
    <row r="30" spans="9:35" x14ac:dyDescent="0.45">
      <c r="I30" t="s">
        <v>172</v>
      </c>
      <c r="J30" t="s">
        <v>786</v>
      </c>
      <c r="K30">
        <v>0</v>
      </c>
      <c r="L30" t="s">
        <v>157</v>
      </c>
      <c r="N30" t="s">
        <v>283</v>
      </c>
      <c r="O30" t="s">
        <v>786</v>
      </c>
      <c r="P30">
        <v>0.11591931798833371</v>
      </c>
      <c r="Q30" t="s">
        <v>157</v>
      </c>
      <c r="S30" t="s">
        <v>394</v>
      </c>
      <c r="T30" t="s">
        <v>786</v>
      </c>
      <c r="U30">
        <v>0.11883125398727577</v>
      </c>
      <c r="V30" t="s">
        <v>157</v>
      </c>
      <c r="AC30" t="s">
        <v>19</v>
      </c>
      <c r="AD30" t="s">
        <v>786</v>
      </c>
      <c r="AE30">
        <v>0.11650290530099121</v>
      </c>
    </row>
    <row r="31" spans="9:35" x14ac:dyDescent="0.45">
      <c r="I31" t="s">
        <v>172</v>
      </c>
      <c r="J31" t="s">
        <v>787</v>
      </c>
      <c r="K31">
        <v>4.0976323693473326E-3</v>
      </c>
      <c r="L31" t="s">
        <v>157</v>
      </c>
      <c r="N31" t="s">
        <v>283</v>
      </c>
      <c r="O31" t="s">
        <v>787</v>
      </c>
      <c r="P31">
        <v>1.9640335243560774E-2</v>
      </c>
      <c r="Q31" t="s">
        <v>157</v>
      </c>
      <c r="S31" t="s">
        <v>394</v>
      </c>
      <c r="T31" t="s">
        <v>787</v>
      </c>
      <c r="U31">
        <v>2.1766351501008595E-2</v>
      </c>
      <c r="V31" t="s">
        <v>157</v>
      </c>
      <c r="AC31" t="s">
        <v>19</v>
      </c>
      <c r="AD31" t="s">
        <v>787</v>
      </c>
      <c r="AE31">
        <v>2.0792637427089235E-2</v>
      </c>
    </row>
    <row r="32" spans="9:35" x14ac:dyDescent="0.45">
      <c r="I32" t="s">
        <v>172</v>
      </c>
      <c r="J32" t="s">
        <v>788</v>
      </c>
      <c r="K32">
        <v>0.33713928408701987</v>
      </c>
      <c r="L32" t="s">
        <v>157</v>
      </c>
      <c r="N32" t="s">
        <v>283</v>
      </c>
      <c r="O32" t="s">
        <v>788</v>
      </c>
      <c r="P32">
        <v>0.11351582703249888</v>
      </c>
      <c r="Q32" t="s">
        <v>157</v>
      </c>
      <c r="S32" t="s">
        <v>394</v>
      </c>
      <c r="T32" t="s">
        <v>788</v>
      </c>
      <c r="U32">
        <v>0.11473677674231524</v>
      </c>
      <c r="V32" t="s">
        <v>157</v>
      </c>
      <c r="AC32" t="s">
        <v>19</v>
      </c>
      <c r="AD32" t="s">
        <v>788</v>
      </c>
      <c r="AE32">
        <v>0.1121576607680895</v>
      </c>
    </row>
    <row r="33" spans="9:31" x14ac:dyDescent="0.45">
      <c r="I33" t="s">
        <v>172</v>
      </c>
      <c r="J33" t="s">
        <v>789</v>
      </c>
      <c r="K33">
        <v>2.0282431120394691E-2</v>
      </c>
      <c r="L33" t="s">
        <v>157</v>
      </c>
      <c r="N33" t="s">
        <v>283</v>
      </c>
      <c r="O33" t="s">
        <v>789</v>
      </c>
      <c r="P33">
        <v>9.5248406201636868E-2</v>
      </c>
      <c r="Q33" t="s">
        <v>157</v>
      </c>
      <c r="S33" t="s">
        <v>394</v>
      </c>
      <c r="T33" t="s">
        <v>789</v>
      </c>
      <c r="U33">
        <v>0.11822281572724158</v>
      </c>
      <c r="V33" t="s">
        <v>157</v>
      </c>
      <c r="AC33" t="s">
        <v>19</v>
      </c>
      <c r="AD33" t="s">
        <v>789</v>
      </c>
      <c r="AE33">
        <v>0.1138796886226143</v>
      </c>
    </row>
    <row r="34" spans="9:31" x14ac:dyDescent="0.45">
      <c r="I34" t="s">
        <v>172</v>
      </c>
      <c r="J34" t="s">
        <v>790</v>
      </c>
      <c r="K34">
        <v>4.862398120582534E-2</v>
      </c>
      <c r="L34" t="s">
        <v>157</v>
      </c>
      <c r="N34" t="s">
        <v>283</v>
      </c>
      <c r="O34" t="s">
        <v>790</v>
      </c>
      <c r="P34">
        <v>2.1100950251449306E-2</v>
      </c>
      <c r="Q34" t="s">
        <v>157</v>
      </c>
      <c r="S34" t="s">
        <v>394</v>
      </c>
      <c r="T34" t="s">
        <v>790</v>
      </c>
      <c r="U34">
        <v>2.1297029704442947E-2</v>
      </c>
      <c r="V34" t="s">
        <v>157</v>
      </c>
      <c r="AC34" t="s">
        <v>19</v>
      </c>
      <c r="AD34" t="s">
        <v>790</v>
      </c>
      <c r="AE34">
        <v>2.0457372225069922E-2</v>
      </c>
    </row>
    <row r="35" spans="9:31" x14ac:dyDescent="0.45">
      <c r="I35" t="s">
        <v>173</v>
      </c>
      <c r="J35" t="s">
        <v>779</v>
      </c>
      <c r="K35">
        <v>0.27960810780534007</v>
      </c>
      <c r="L35" t="s">
        <v>157</v>
      </c>
      <c r="N35" t="s">
        <v>284</v>
      </c>
      <c r="O35" t="s">
        <v>779</v>
      </c>
      <c r="P35">
        <v>0.13013802004368394</v>
      </c>
      <c r="Q35" t="s">
        <v>157</v>
      </c>
      <c r="S35" t="s">
        <v>395</v>
      </c>
      <c r="T35" t="s">
        <v>779</v>
      </c>
      <c r="U35">
        <v>0.11487838871288035</v>
      </c>
      <c r="V35" t="s">
        <v>157</v>
      </c>
    </row>
    <row r="36" spans="9:31" x14ac:dyDescent="0.45">
      <c r="I36" t="s">
        <v>173</v>
      </c>
      <c r="J36" t="s">
        <v>780</v>
      </c>
      <c r="K36">
        <v>5.3672228980570016E-3</v>
      </c>
      <c r="L36" t="s">
        <v>157</v>
      </c>
      <c r="N36" t="s">
        <v>284</v>
      </c>
      <c r="O36" t="s">
        <v>780</v>
      </c>
      <c r="P36">
        <v>0.13607199387451097</v>
      </c>
      <c r="Q36" t="s">
        <v>157</v>
      </c>
      <c r="S36" t="s">
        <v>395</v>
      </c>
      <c r="T36" t="s">
        <v>780</v>
      </c>
      <c r="U36">
        <v>0.11076756405712838</v>
      </c>
      <c r="V36" t="s">
        <v>157</v>
      </c>
    </row>
    <row r="37" spans="9:31" x14ac:dyDescent="0.45">
      <c r="I37" t="s">
        <v>173</v>
      </c>
      <c r="J37" t="s">
        <v>781</v>
      </c>
      <c r="K37">
        <v>2.2010313780769342E-2</v>
      </c>
      <c r="L37" t="s">
        <v>157</v>
      </c>
      <c r="N37" t="s">
        <v>284</v>
      </c>
      <c r="O37" t="s">
        <v>781</v>
      </c>
      <c r="P37">
        <v>2.5053146152997939E-2</v>
      </c>
      <c r="Q37" t="s">
        <v>157</v>
      </c>
      <c r="S37" t="s">
        <v>395</v>
      </c>
      <c r="T37" t="s">
        <v>781</v>
      </c>
      <c r="U37">
        <v>2.0158325309927411E-2</v>
      </c>
      <c r="V37" t="s">
        <v>157</v>
      </c>
    </row>
    <row r="38" spans="9:31" x14ac:dyDescent="0.45">
      <c r="I38" t="s">
        <v>173</v>
      </c>
      <c r="J38" t="s">
        <v>782</v>
      </c>
      <c r="K38">
        <v>0.18907177811471573</v>
      </c>
      <c r="L38" t="s">
        <v>157</v>
      </c>
      <c r="N38" t="s">
        <v>284</v>
      </c>
      <c r="O38" t="s">
        <v>782</v>
      </c>
      <c r="P38">
        <v>9.1461176780027298E-2</v>
      </c>
      <c r="Q38" t="s">
        <v>157</v>
      </c>
      <c r="S38" t="s">
        <v>395</v>
      </c>
      <c r="T38" t="s">
        <v>782</v>
      </c>
      <c r="U38">
        <v>0.11159753423055764</v>
      </c>
      <c r="V38" t="s">
        <v>157</v>
      </c>
    </row>
    <row r="39" spans="9:31" x14ac:dyDescent="0.45">
      <c r="I39" t="s">
        <v>173</v>
      </c>
      <c r="J39" t="s">
        <v>783</v>
      </c>
      <c r="K39">
        <v>0</v>
      </c>
      <c r="L39" t="s">
        <v>157</v>
      </c>
      <c r="N39" t="s">
        <v>284</v>
      </c>
      <c r="O39" t="s">
        <v>783</v>
      </c>
      <c r="P39">
        <v>0.10456008367157277</v>
      </c>
      <c r="Q39" t="s">
        <v>157</v>
      </c>
      <c r="S39" t="s">
        <v>395</v>
      </c>
      <c r="T39" t="s">
        <v>783</v>
      </c>
      <c r="U39">
        <v>0.10759609485155772</v>
      </c>
      <c r="V39" t="s">
        <v>157</v>
      </c>
    </row>
    <row r="40" spans="9:31" x14ac:dyDescent="0.45">
      <c r="I40" t="s">
        <v>173</v>
      </c>
      <c r="J40" t="s">
        <v>784</v>
      </c>
      <c r="K40">
        <v>1.1696662126264424E-2</v>
      </c>
      <c r="L40" t="s">
        <v>157</v>
      </c>
      <c r="N40" t="s">
        <v>284</v>
      </c>
      <c r="O40" t="s">
        <v>784</v>
      </c>
      <c r="P40">
        <v>1.8237055396336001E-2</v>
      </c>
      <c r="Q40" t="s">
        <v>157</v>
      </c>
      <c r="S40" t="s">
        <v>395</v>
      </c>
      <c r="T40" t="s">
        <v>784</v>
      </c>
      <c r="U40">
        <v>2.0427965763937683E-2</v>
      </c>
      <c r="V40" t="s">
        <v>157</v>
      </c>
    </row>
    <row r="41" spans="9:31" x14ac:dyDescent="0.45">
      <c r="I41" t="s">
        <v>173</v>
      </c>
      <c r="J41" t="s">
        <v>785</v>
      </c>
      <c r="K41">
        <v>0.11758993366849475</v>
      </c>
      <c r="L41" t="s">
        <v>157</v>
      </c>
      <c r="N41" t="s">
        <v>284</v>
      </c>
      <c r="O41" t="s">
        <v>785</v>
      </c>
      <c r="P41">
        <v>0.11850934691373287</v>
      </c>
      <c r="Q41" t="s">
        <v>157</v>
      </c>
      <c r="S41" t="s">
        <v>395</v>
      </c>
      <c r="T41" t="s">
        <v>785</v>
      </c>
      <c r="U41">
        <v>0.11938411693806808</v>
      </c>
      <c r="V41" t="s">
        <v>157</v>
      </c>
    </row>
    <row r="42" spans="9:31" x14ac:dyDescent="0.45">
      <c r="I42" t="s">
        <v>173</v>
      </c>
      <c r="J42" t="s">
        <v>786</v>
      </c>
      <c r="K42">
        <v>0</v>
      </c>
      <c r="L42" t="s">
        <v>157</v>
      </c>
      <c r="N42" t="s">
        <v>284</v>
      </c>
      <c r="O42" t="s">
        <v>786</v>
      </c>
      <c r="P42">
        <v>0.12046075140591736</v>
      </c>
      <c r="Q42" t="s">
        <v>157</v>
      </c>
      <c r="S42" t="s">
        <v>395</v>
      </c>
      <c r="T42" t="s">
        <v>786</v>
      </c>
      <c r="U42">
        <v>0.1192403636783145</v>
      </c>
      <c r="V42" t="s">
        <v>157</v>
      </c>
    </row>
    <row r="43" spans="9:31" x14ac:dyDescent="0.45">
      <c r="I43" t="s">
        <v>173</v>
      </c>
      <c r="J43" t="s">
        <v>787</v>
      </c>
      <c r="K43">
        <v>2.1036153715656698E-3</v>
      </c>
      <c r="L43" t="s">
        <v>157</v>
      </c>
      <c r="N43" t="s">
        <v>284</v>
      </c>
      <c r="O43" t="s">
        <v>787</v>
      </c>
      <c r="P43">
        <v>2.2646604028501261E-2</v>
      </c>
      <c r="Q43" t="s">
        <v>157</v>
      </c>
      <c r="S43" t="s">
        <v>395</v>
      </c>
      <c r="T43" t="s">
        <v>787</v>
      </c>
      <c r="U43">
        <v>2.203360614797524E-2</v>
      </c>
      <c r="V43" t="s">
        <v>157</v>
      </c>
    </row>
    <row r="44" spans="9:31" x14ac:dyDescent="0.45">
      <c r="I44" t="s">
        <v>173</v>
      </c>
      <c r="J44" t="s">
        <v>788</v>
      </c>
      <c r="K44">
        <v>0.32464958366598978</v>
      </c>
      <c r="L44" t="s">
        <v>157</v>
      </c>
      <c r="N44" t="s">
        <v>284</v>
      </c>
      <c r="O44" t="s">
        <v>788</v>
      </c>
      <c r="P44">
        <v>9.873143925835634E-2</v>
      </c>
      <c r="Q44" t="s">
        <v>157</v>
      </c>
      <c r="S44" t="s">
        <v>395</v>
      </c>
      <c r="T44" t="s">
        <v>788</v>
      </c>
      <c r="U44">
        <v>0.11491222076487859</v>
      </c>
      <c r="V44" t="s">
        <v>157</v>
      </c>
    </row>
    <row r="45" spans="9:31" x14ac:dyDescent="0.45">
      <c r="I45" t="s">
        <v>173</v>
      </c>
      <c r="J45" t="s">
        <v>789</v>
      </c>
      <c r="K45">
        <v>6.6798385058160449E-3</v>
      </c>
      <c r="L45" t="s">
        <v>157</v>
      </c>
      <c r="N45" t="s">
        <v>284</v>
      </c>
      <c r="O45" t="s">
        <v>789</v>
      </c>
      <c r="P45">
        <v>0.11339302643930424</v>
      </c>
      <c r="Q45" t="s">
        <v>157</v>
      </c>
      <c r="S45" t="s">
        <v>395</v>
      </c>
      <c r="T45" t="s">
        <v>789</v>
      </c>
      <c r="U45">
        <v>0.11770562727688864</v>
      </c>
      <c r="V45" t="s">
        <v>157</v>
      </c>
    </row>
    <row r="46" spans="9:31" x14ac:dyDescent="0.45">
      <c r="I46" t="s">
        <v>173</v>
      </c>
      <c r="J46" t="s">
        <v>790</v>
      </c>
      <c r="K46">
        <v>4.1222944062987182E-2</v>
      </c>
      <c r="L46" t="s">
        <v>157</v>
      </c>
      <c r="N46" t="s">
        <v>284</v>
      </c>
      <c r="O46" t="s">
        <v>790</v>
      </c>
      <c r="P46">
        <v>2.0737356035059041E-2</v>
      </c>
      <c r="Q46" t="s">
        <v>157</v>
      </c>
      <c r="S46" t="s">
        <v>395</v>
      </c>
      <c r="T46" t="s">
        <v>790</v>
      </c>
      <c r="U46">
        <v>2.1298192267885749E-2</v>
      </c>
      <c r="V46" t="s">
        <v>157</v>
      </c>
    </row>
    <row r="47" spans="9:31" x14ac:dyDescent="0.45">
      <c r="I47" t="s">
        <v>174</v>
      </c>
      <c r="J47" t="s">
        <v>779</v>
      </c>
      <c r="K47">
        <v>0.25064262247576546</v>
      </c>
      <c r="L47" t="s">
        <v>157</v>
      </c>
      <c r="N47" t="s">
        <v>285</v>
      </c>
      <c r="O47" t="s">
        <v>779</v>
      </c>
      <c r="P47">
        <v>0.13165181850408</v>
      </c>
      <c r="Q47" t="s">
        <v>157</v>
      </c>
      <c r="S47" t="s">
        <v>396</v>
      </c>
      <c r="T47" t="s">
        <v>779</v>
      </c>
      <c r="U47">
        <v>0.11433505836008509</v>
      </c>
      <c r="V47" t="s">
        <v>157</v>
      </c>
    </row>
    <row r="48" spans="9:31" x14ac:dyDescent="0.45">
      <c r="I48" t="s">
        <v>174</v>
      </c>
      <c r="J48" t="s">
        <v>780</v>
      </c>
      <c r="K48">
        <v>5.3475625079465513E-3</v>
      </c>
      <c r="L48" t="s">
        <v>157</v>
      </c>
      <c r="N48" t="s">
        <v>285</v>
      </c>
      <c r="O48" t="s">
        <v>780</v>
      </c>
      <c r="P48">
        <v>0.13147846225327209</v>
      </c>
      <c r="Q48" t="s">
        <v>157</v>
      </c>
      <c r="S48" t="s">
        <v>396</v>
      </c>
      <c r="T48" t="s">
        <v>780</v>
      </c>
      <c r="U48">
        <v>0.10951138663216209</v>
      </c>
      <c r="V48" t="s">
        <v>157</v>
      </c>
    </row>
    <row r="49" spans="9:22" x14ac:dyDescent="0.45">
      <c r="I49" t="s">
        <v>174</v>
      </c>
      <c r="J49" t="s">
        <v>781</v>
      </c>
      <c r="K49">
        <v>3.8844527389948293E-2</v>
      </c>
      <c r="L49" t="s">
        <v>157</v>
      </c>
      <c r="N49" t="s">
        <v>285</v>
      </c>
      <c r="O49" t="s">
        <v>781</v>
      </c>
      <c r="P49">
        <v>2.3106438075085417E-2</v>
      </c>
      <c r="Q49" t="s">
        <v>157</v>
      </c>
      <c r="S49" t="s">
        <v>396</v>
      </c>
      <c r="T49" t="s">
        <v>781</v>
      </c>
      <c r="U49">
        <v>2.0018535713256898E-2</v>
      </c>
      <c r="V49" t="s">
        <v>157</v>
      </c>
    </row>
    <row r="50" spans="9:22" x14ac:dyDescent="0.45">
      <c r="I50" t="s">
        <v>174</v>
      </c>
      <c r="J50" t="s">
        <v>782</v>
      </c>
      <c r="K50">
        <v>0.16904241566900707</v>
      </c>
      <c r="L50" t="s">
        <v>157</v>
      </c>
      <c r="N50" t="s">
        <v>285</v>
      </c>
      <c r="O50" t="s">
        <v>782</v>
      </c>
      <c r="P50">
        <v>0.10430203411277791</v>
      </c>
      <c r="Q50" t="s">
        <v>157</v>
      </c>
      <c r="S50" t="s">
        <v>396</v>
      </c>
      <c r="T50" t="s">
        <v>782</v>
      </c>
      <c r="U50">
        <v>0.11210877090101287</v>
      </c>
      <c r="V50" t="s">
        <v>157</v>
      </c>
    </row>
    <row r="51" spans="9:22" x14ac:dyDescent="0.45">
      <c r="I51" t="s">
        <v>174</v>
      </c>
      <c r="J51" t="s">
        <v>783</v>
      </c>
      <c r="K51">
        <v>1.5904051728096544E-3</v>
      </c>
      <c r="L51" t="s">
        <v>157</v>
      </c>
      <c r="N51" t="s">
        <v>285</v>
      </c>
      <c r="O51" t="s">
        <v>783</v>
      </c>
      <c r="P51">
        <v>0.10055072118702668</v>
      </c>
      <c r="Q51" t="s">
        <v>157</v>
      </c>
      <c r="S51" t="s">
        <v>396</v>
      </c>
      <c r="T51" t="s">
        <v>783</v>
      </c>
      <c r="U51">
        <v>0.10963091693676855</v>
      </c>
      <c r="V51" t="s">
        <v>157</v>
      </c>
    </row>
    <row r="52" spans="9:22" x14ac:dyDescent="0.45">
      <c r="I52" t="s">
        <v>174</v>
      </c>
      <c r="J52" t="s">
        <v>784</v>
      </c>
      <c r="K52">
        <v>2.3013147276451613E-2</v>
      </c>
      <c r="L52" t="s">
        <v>157</v>
      </c>
      <c r="N52" t="s">
        <v>285</v>
      </c>
      <c r="O52" t="s">
        <v>784</v>
      </c>
      <c r="P52">
        <v>2.0915629156745188E-2</v>
      </c>
      <c r="Q52" t="s">
        <v>157</v>
      </c>
      <c r="S52" t="s">
        <v>396</v>
      </c>
      <c r="T52" t="s">
        <v>784</v>
      </c>
      <c r="U52">
        <v>2.1531052205638591E-2</v>
      </c>
      <c r="V52" t="s">
        <v>157</v>
      </c>
    </row>
    <row r="53" spans="9:22" x14ac:dyDescent="0.45">
      <c r="I53" t="s">
        <v>174</v>
      </c>
      <c r="J53" t="s">
        <v>785</v>
      </c>
      <c r="K53">
        <v>0.10038085697738373</v>
      </c>
      <c r="L53" t="s">
        <v>157</v>
      </c>
      <c r="N53" t="s">
        <v>285</v>
      </c>
      <c r="O53" t="s">
        <v>785</v>
      </c>
      <c r="P53">
        <v>0.12950495560151065</v>
      </c>
      <c r="Q53" t="s">
        <v>157</v>
      </c>
      <c r="S53" t="s">
        <v>396</v>
      </c>
      <c r="T53" t="s">
        <v>785</v>
      </c>
      <c r="U53">
        <v>0.11723900156111777</v>
      </c>
      <c r="V53" t="s">
        <v>157</v>
      </c>
    </row>
    <row r="54" spans="9:22" x14ac:dyDescent="0.45">
      <c r="I54" t="s">
        <v>174</v>
      </c>
      <c r="J54" t="s">
        <v>786</v>
      </c>
      <c r="K54">
        <v>0</v>
      </c>
      <c r="L54" t="s">
        <v>157</v>
      </c>
      <c r="N54" t="s">
        <v>285</v>
      </c>
      <c r="O54" t="s">
        <v>786</v>
      </c>
      <c r="P54">
        <v>0.12922248770330047</v>
      </c>
      <c r="Q54" t="s">
        <v>157</v>
      </c>
      <c r="S54" t="s">
        <v>396</v>
      </c>
      <c r="T54" t="s">
        <v>786</v>
      </c>
      <c r="U54">
        <v>0.11875179575705722</v>
      </c>
      <c r="V54" t="s">
        <v>157</v>
      </c>
    </row>
    <row r="55" spans="9:22" x14ac:dyDescent="0.45">
      <c r="I55" t="s">
        <v>174</v>
      </c>
      <c r="J55" t="s">
        <v>787</v>
      </c>
      <c r="K55">
        <v>1.1342280198275533E-2</v>
      </c>
      <c r="L55" t="s">
        <v>157</v>
      </c>
      <c r="N55" t="s">
        <v>285</v>
      </c>
      <c r="O55" t="s">
        <v>787</v>
      </c>
      <c r="P55">
        <v>2.3982168401167701E-2</v>
      </c>
      <c r="Q55" t="s">
        <v>157</v>
      </c>
      <c r="S55" t="s">
        <v>396</v>
      </c>
      <c r="T55" t="s">
        <v>787</v>
      </c>
      <c r="U55">
        <v>2.1931711105004647E-2</v>
      </c>
      <c r="V55" t="s">
        <v>157</v>
      </c>
    </row>
    <row r="56" spans="9:22" x14ac:dyDescent="0.45">
      <c r="I56" t="s">
        <v>174</v>
      </c>
      <c r="J56" t="s">
        <v>788</v>
      </c>
      <c r="K56">
        <v>0.32228079211491839</v>
      </c>
      <c r="L56" t="s">
        <v>157</v>
      </c>
      <c r="N56" t="s">
        <v>285</v>
      </c>
      <c r="O56" t="s">
        <v>788</v>
      </c>
      <c r="P56">
        <v>9.3012527371798728E-2</v>
      </c>
      <c r="Q56" t="s">
        <v>157</v>
      </c>
      <c r="S56" t="s">
        <v>396</v>
      </c>
      <c r="T56" t="s">
        <v>788</v>
      </c>
      <c r="U56">
        <v>0.11544442834392681</v>
      </c>
      <c r="V56" t="s">
        <v>157</v>
      </c>
    </row>
    <row r="57" spans="9:22" x14ac:dyDescent="0.45">
      <c r="I57" t="s">
        <v>174</v>
      </c>
      <c r="J57" t="s">
        <v>789</v>
      </c>
      <c r="K57">
        <v>2.2768157631160506E-2</v>
      </c>
      <c r="L57" t="s">
        <v>157</v>
      </c>
      <c r="N57" t="s">
        <v>285</v>
      </c>
      <c r="O57" t="s">
        <v>789</v>
      </c>
      <c r="P57">
        <v>9.2728384743846107E-2</v>
      </c>
      <c r="Q57" t="s">
        <v>157</v>
      </c>
      <c r="S57" t="s">
        <v>396</v>
      </c>
      <c r="T57" t="s">
        <v>789</v>
      </c>
      <c r="U57">
        <v>0.11791143975614164</v>
      </c>
      <c r="V57" t="s">
        <v>157</v>
      </c>
    </row>
    <row r="58" spans="9:22" x14ac:dyDescent="0.45">
      <c r="I58" t="s">
        <v>174</v>
      </c>
      <c r="J58" t="s">
        <v>790</v>
      </c>
      <c r="K58">
        <v>5.474723258633319E-2</v>
      </c>
      <c r="L58" t="s">
        <v>157</v>
      </c>
      <c r="N58" t="s">
        <v>285</v>
      </c>
      <c r="O58" t="s">
        <v>790</v>
      </c>
      <c r="P58">
        <v>1.9544372889389119E-2</v>
      </c>
      <c r="Q58" t="s">
        <v>157</v>
      </c>
      <c r="S58" t="s">
        <v>396</v>
      </c>
      <c r="T58" t="s">
        <v>790</v>
      </c>
      <c r="U58">
        <v>2.1585902727827854E-2</v>
      </c>
      <c r="V58" t="s">
        <v>157</v>
      </c>
    </row>
    <row r="59" spans="9:22" x14ac:dyDescent="0.45">
      <c r="I59" t="s">
        <v>175</v>
      </c>
      <c r="J59" t="s">
        <v>779</v>
      </c>
      <c r="K59">
        <v>0.25037576231568481</v>
      </c>
      <c r="L59" t="s">
        <v>157</v>
      </c>
      <c r="N59" t="s">
        <v>286</v>
      </c>
      <c r="O59" t="s">
        <v>779</v>
      </c>
      <c r="P59">
        <v>0.14796142761980222</v>
      </c>
      <c r="Q59" t="s">
        <v>157</v>
      </c>
      <c r="S59" t="s">
        <v>397</v>
      </c>
      <c r="T59" t="s">
        <v>779</v>
      </c>
      <c r="U59">
        <v>0.11324150580031088</v>
      </c>
      <c r="V59" t="s">
        <v>157</v>
      </c>
    </row>
    <row r="60" spans="9:22" x14ac:dyDescent="0.45">
      <c r="I60" t="s">
        <v>175</v>
      </c>
      <c r="J60" t="s">
        <v>780</v>
      </c>
      <c r="K60">
        <v>5.1020213606693815E-3</v>
      </c>
      <c r="L60" t="s">
        <v>157</v>
      </c>
      <c r="N60" t="s">
        <v>286</v>
      </c>
      <c r="O60" t="s">
        <v>780</v>
      </c>
      <c r="P60">
        <v>0.13969629177608475</v>
      </c>
      <c r="Q60" t="s">
        <v>157</v>
      </c>
      <c r="S60" t="s">
        <v>397</v>
      </c>
      <c r="T60" t="s">
        <v>780</v>
      </c>
      <c r="U60">
        <v>0.10969931886822495</v>
      </c>
      <c r="V60" t="s">
        <v>157</v>
      </c>
    </row>
    <row r="61" spans="9:22" x14ac:dyDescent="0.45">
      <c r="I61" t="s">
        <v>175</v>
      </c>
      <c r="J61" t="s">
        <v>781</v>
      </c>
      <c r="K61">
        <v>3.860917414048215E-2</v>
      </c>
      <c r="L61" t="s">
        <v>157</v>
      </c>
      <c r="N61" t="s">
        <v>286</v>
      </c>
      <c r="O61" t="s">
        <v>781</v>
      </c>
      <c r="P61">
        <v>2.5883223924864893E-2</v>
      </c>
      <c r="Q61" t="s">
        <v>157</v>
      </c>
      <c r="S61" t="s">
        <v>397</v>
      </c>
      <c r="T61" t="s">
        <v>781</v>
      </c>
      <c r="U61">
        <v>2.03057493001483E-2</v>
      </c>
      <c r="V61" t="s">
        <v>157</v>
      </c>
    </row>
    <row r="62" spans="9:22" x14ac:dyDescent="0.45">
      <c r="I62" t="s">
        <v>175</v>
      </c>
      <c r="J62" t="s">
        <v>782</v>
      </c>
      <c r="K62">
        <v>0.17321087684766942</v>
      </c>
      <c r="L62" t="s">
        <v>157</v>
      </c>
      <c r="N62" t="s">
        <v>286</v>
      </c>
      <c r="O62" t="s">
        <v>782</v>
      </c>
      <c r="P62">
        <v>0.10015465423417733</v>
      </c>
      <c r="Q62" t="s">
        <v>157</v>
      </c>
      <c r="S62" t="s">
        <v>397</v>
      </c>
      <c r="T62" t="s">
        <v>782</v>
      </c>
      <c r="U62">
        <v>0.11152141844275089</v>
      </c>
      <c r="V62" t="s">
        <v>157</v>
      </c>
    </row>
    <row r="63" spans="9:22" x14ac:dyDescent="0.45">
      <c r="I63" t="s">
        <v>175</v>
      </c>
      <c r="J63" t="s">
        <v>783</v>
      </c>
      <c r="K63">
        <v>1.6690156510373597E-3</v>
      </c>
      <c r="L63" t="s">
        <v>157</v>
      </c>
      <c r="N63" t="s">
        <v>286</v>
      </c>
      <c r="O63" t="s">
        <v>783</v>
      </c>
      <c r="P63">
        <v>9.4655851205193486E-2</v>
      </c>
      <c r="Q63" t="s">
        <v>157</v>
      </c>
      <c r="S63" t="s">
        <v>397</v>
      </c>
      <c r="T63" t="s">
        <v>783</v>
      </c>
      <c r="U63">
        <v>0.1098967975592893</v>
      </c>
      <c r="V63" t="s">
        <v>157</v>
      </c>
    </row>
    <row r="64" spans="9:22" x14ac:dyDescent="0.45">
      <c r="I64" t="s">
        <v>175</v>
      </c>
      <c r="J64" t="s">
        <v>784</v>
      </c>
      <c r="K64">
        <v>2.3515698920981418E-2</v>
      </c>
      <c r="L64" t="s">
        <v>157</v>
      </c>
      <c r="N64" t="s">
        <v>286</v>
      </c>
      <c r="O64" t="s">
        <v>784</v>
      </c>
      <c r="P64">
        <v>2.1244989861404735E-2</v>
      </c>
      <c r="Q64" t="s">
        <v>157</v>
      </c>
      <c r="S64" t="s">
        <v>397</v>
      </c>
      <c r="T64" t="s">
        <v>784</v>
      </c>
      <c r="U64">
        <v>2.1480606947238304E-2</v>
      </c>
      <c r="V64" t="s">
        <v>157</v>
      </c>
    </row>
    <row r="65" spans="9:22" x14ac:dyDescent="0.45">
      <c r="I65" t="s">
        <v>175</v>
      </c>
      <c r="J65" t="s">
        <v>785</v>
      </c>
      <c r="K65">
        <v>0.10214397930806804</v>
      </c>
      <c r="L65" t="s">
        <v>157</v>
      </c>
      <c r="N65" t="s">
        <v>286</v>
      </c>
      <c r="O65" t="s">
        <v>785</v>
      </c>
      <c r="P65">
        <v>0.12884566894806765</v>
      </c>
      <c r="Q65" t="s">
        <v>157</v>
      </c>
      <c r="S65" t="s">
        <v>397</v>
      </c>
      <c r="T65" t="s">
        <v>785</v>
      </c>
      <c r="U65">
        <v>0.11882216172424581</v>
      </c>
      <c r="V65" t="s">
        <v>157</v>
      </c>
    </row>
    <row r="66" spans="9:22" x14ac:dyDescent="0.45">
      <c r="I66" t="s">
        <v>175</v>
      </c>
      <c r="J66" t="s">
        <v>786</v>
      </c>
      <c r="K66">
        <v>0</v>
      </c>
      <c r="L66" t="s">
        <v>157</v>
      </c>
      <c r="N66" t="s">
        <v>286</v>
      </c>
      <c r="O66" t="s">
        <v>786</v>
      </c>
      <c r="P66">
        <v>0.12762513723807983</v>
      </c>
      <c r="Q66" t="s">
        <v>157</v>
      </c>
      <c r="S66" t="s">
        <v>397</v>
      </c>
      <c r="T66" t="s">
        <v>786</v>
      </c>
      <c r="U66">
        <v>0.12016953659903083</v>
      </c>
      <c r="V66" t="s">
        <v>157</v>
      </c>
    </row>
    <row r="67" spans="9:22" x14ac:dyDescent="0.45">
      <c r="I67" t="s">
        <v>175</v>
      </c>
      <c r="J67" t="s">
        <v>787</v>
      </c>
      <c r="K67">
        <v>1.1628930055944148E-2</v>
      </c>
      <c r="L67" t="s">
        <v>157</v>
      </c>
      <c r="N67" t="s">
        <v>286</v>
      </c>
      <c r="O67" t="s">
        <v>787</v>
      </c>
      <c r="P67">
        <v>2.440389644069061E-2</v>
      </c>
      <c r="Q67" t="s">
        <v>157</v>
      </c>
      <c r="S67" t="s">
        <v>397</v>
      </c>
      <c r="T67" t="s">
        <v>787</v>
      </c>
      <c r="U67">
        <v>2.162218815475965E-2</v>
      </c>
      <c r="V67" t="s">
        <v>157</v>
      </c>
    </row>
    <row r="68" spans="9:22" x14ac:dyDescent="0.45">
      <c r="I68" t="s">
        <v>175</v>
      </c>
      <c r="J68" t="s">
        <v>788</v>
      </c>
      <c r="K68">
        <v>0.3180657401282424</v>
      </c>
      <c r="L68" t="s">
        <v>157</v>
      </c>
      <c r="N68" t="s">
        <v>286</v>
      </c>
      <c r="O68" t="s">
        <v>788</v>
      </c>
      <c r="P68">
        <v>8.9036093722492854E-2</v>
      </c>
      <c r="Q68" t="s">
        <v>157</v>
      </c>
      <c r="S68" t="s">
        <v>397</v>
      </c>
      <c r="T68" t="s">
        <v>788</v>
      </c>
      <c r="U68">
        <v>0.11449574165781973</v>
      </c>
      <c r="V68" t="s">
        <v>157</v>
      </c>
    </row>
    <row r="69" spans="9:22" x14ac:dyDescent="0.45">
      <c r="I69" t="s">
        <v>175</v>
      </c>
      <c r="J69" t="s">
        <v>789</v>
      </c>
      <c r="K69">
        <v>2.1891869366264294E-2</v>
      </c>
      <c r="L69" t="s">
        <v>157</v>
      </c>
      <c r="N69" t="s">
        <v>286</v>
      </c>
      <c r="O69" t="s">
        <v>789</v>
      </c>
      <c r="P69">
        <v>7.9554243915541778E-2</v>
      </c>
      <c r="Q69" t="s">
        <v>157</v>
      </c>
      <c r="S69" t="s">
        <v>397</v>
      </c>
      <c r="T69" t="s">
        <v>789</v>
      </c>
      <c r="U69">
        <v>0.11743482339000492</v>
      </c>
      <c r="V69" t="s">
        <v>157</v>
      </c>
    </row>
    <row r="70" spans="9:22" x14ac:dyDescent="0.45">
      <c r="I70" t="s">
        <v>175</v>
      </c>
      <c r="J70" t="s">
        <v>790</v>
      </c>
      <c r="K70">
        <v>5.3786931904956543E-2</v>
      </c>
      <c r="L70" t="s">
        <v>157</v>
      </c>
      <c r="N70" t="s">
        <v>286</v>
      </c>
      <c r="O70" t="s">
        <v>790</v>
      </c>
      <c r="P70">
        <v>2.0938521113599871E-2</v>
      </c>
      <c r="Q70" t="s">
        <v>157</v>
      </c>
      <c r="S70" t="s">
        <v>397</v>
      </c>
      <c r="T70" t="s">
        <v>790</v>
      </c>
      <c r="U70">
        <v>2.1310151556176431E-2</v>
      </c>
      <c r="V70" t="s">
        <v>157</v>
      </c>
    </row>
    <row r="71" spans="9:22" x14ac:dyDescent="0.45">
      <c r="I71" t="s">
        <v>176</v>
      </c>
      <c r="J71" t="s">
        <v>779</v>
      </c>
      <c r="K71">
        <v>0.24919071501614989</v>
      </c>
      <c r="L71" t="s">
        <v>157</v>
      </c>
      <c r="N71" t="s">
        <v>287</v>
      </c>
      <c r="O71" t="s">
        <v>779</v>
      </c>
      <c r="P71">
        <v>0.15318582302315098</v>
      </c>
      <c r="Q71" t="s">
        <v>157</v>
      </c>
      <c r="S71" t="s">
        <v>398</v>
      </c>
      <c r="T71" t="s">
        <v>779</v>
      </c>
      <c r="U71">
        <v>0.11450414357622546</v>
      </c>
      <c r="V71" t="s">
        <v>157</v>
      </c>
    </row>
    <row r="72" spans="9:22" x14ac:dyDescent="0.45">
      <c r="I72" t="s">
        <v>176</v>
      </c>
      <c r="J72" t="s">
        <v>780</v>
      </c>
      <c r="K72">
        <v>5.0255549732497653E-3</v>
      </c>
      <c r="L72" t="s">
        <v>157</v>
      </c>
      <c r="N72" t="s">
        <v>287</v>
      </c>
      <c r="O72" t="s">
        <v>780</v>
      </c>
      <c r="P72">
        <v>0.15046930681953316</v>
      </c>
      <c r="Q72" t="s">
        <v>157</v>
      </c>
      <c r="S72" t="s">
        <v>398</v>
      </c>
      <c r="T72" t="s">
        <v>780</v>
      </c>
      <c r="U72">
        <v>0.11153031352177219</v>
      </c>
      <c r="V72" t="s">
        <v>157</v>
      </c>
    </row>
    <row r="73" spans="9:22" x14ac:dyDescent="0.45">
      <c r="I73" t="s">
        <v>176</v>
      </c>
      <c r="J73" t="s">
        <v>781</v>
      </c>
      <c r="K73">
        <v>3.7813286827807019E-2</v>
      </c>
      <c r="L73" t="s">
        <v>157</v>
      </c>
      <c r="N73" t="s">
        <v>287</v>
      </c>
      <c r="O73" t="s">
        <v>781</v>
      </c>
      <c r="P73">
        <v>2.6724331340888675E-2</v>
      </c>
      <c r="Q73" t="s">
        <v>157</v>
      </c>
      <c r="S73" t="s">
        <v>398</v>
      </c>
      <c r="T73" t="s">
        <v>781</v>
      </c>
      <c r="U73">
        <v>2.0444021878206795E-2</v>
      </c>
      <c r="V73" t="s">
        <v>157</v>
      </c>
    </row>
    <row r="74" spans="9:22" x14ac:dyDescent="0.45">
      <c r="I74" t="s">
        <v>176</v>
      </c>
      <c r="J74" t="s">
        <v>782</v>
      </c>
      <c r="K74">
        <v>0.1745765020642232</v>
      </c>
      <c r="L74" t="s">
        <v>157</v>
      </c>
      <c r="N74" t="s">
        <v>287</v>
      </c>
      <c r="O74" t="s">
        <v>782</v>
      </c>
      <c r="P74">
        <v>9.3664754071384596E-2</v>
      </c>
      <c r="Q74" t="s">
        <v>157</v>
      </c>
      <c r="S74" t="s">
        <v>398</v>
      </c>
      <c r="T74" t="s">
        <v>782</v>
      </c>
      <c r="U74">
        <v>0.12010638404992935</v>
      </c>
      <c r="V74" t="s">
        <v>157</v>
      </c>
    </row>
    <row r="75" spans="9:22" x14ac:dyDescent="0.45">
      <c r="I75" t="s">
        <v>176</v>
      </c>
      <c r="J75" t="s">
        <v>783</v>
      </c>
      <c r="K75">
        <v>1.7178535763000984E-3</v>
      </c>
      <c r="L75" t="s">
        <v>157</v>
      </c>
      <c r="N75" t="s">
        <v>287</v>
      </c>
      <c r="O75" t="s">
        <v>783</v>
      </c>
      <c r="P75">
        <v>9.1681143257440201E-2</v>
      </c>
      <c r="Q75" t="s">
        <v>157</v>
      </c>
      <c r="S75" t="s">
        <v>398</v>
      </c>
      <c r="T75" t="s">
        <v>783</v>
      </c>
      <c r="U75">
        <v>0.11562024897629615</v>
      </c>
      <c r="V75" t="s">
        <v>157</v>
      </c>
    </row>
    <row r="76" spans="9:22" x14ac:dyDescent="0.45">
      <c r="I76" t="s">
        <v>176</v>
      </c>
      <c r="J76" t="s">
        <v>784</v>
      </c>
      <c r="K76">
        <v>2.4193478852682235E-2</v>
      </c>
      <c r="L76" t="s">
        <v>157</v>
      </c>
      <c r="N76" t="s">
        <v>287</v>
      </c>
      <c r="O76" t="s">
        <v>784</v>
      </c>
      <c r="P76">
        <v>1.8748059228841808E-2</v>
      </c>
      <c r="Q76" t="s">
        <v>157</v>
      </c>
      <c r="S76" t="s">
        <v>398</v>
      </c>
      <c r="T76" t="s">
        <v>784</v>
      </c>
      <c r="U76">
        <v>2.1619131664722964E-2</v>
      </c>
      <c r="V76" t="s">
        <v>157</v>
      </c>
    </row>
    <row r="77" spans="9:22" x14ac:dyDescent="0.45">
      <c r="I77" t="s">
        <v>176</v>
      </c>
      <c r="J77" t="s">
        <v>785</v>
      </c>
      <c r="K77">
        <v>0.10264717175354036</v>
      </c>
      <c r="L77" t="s">
        <v>157</v>
      </c>
      <c r="N77" t="s">
        <v>287</v>
      </c>
      <c r="O77" t="s">
        <v>785</v>
      </c>
      <c r="P77">
        <v>0.12373718132666674</v>
      </c>
      <c r="Q77" t="s">
        <v>157</v>
      </c>
      <c r="S77" t="s">
        <v>398</v>
      </c>
      <c r="T77" t="s">
        <v>785</v>
      </c>
      <c r="U77">
        <v>0.11429370853499356</v>
      </c>
      <c r="V77" t="s">
        <v>157</v>
      </c>
    </row>
    <row r="78" spans="9:22" x14ac:dyDescent="0.45">
      <c r="I78" t="s">
        <v>176</v>
      </c>
      <c r="J78" t="s">
        <v>786</v>
      </c>
      <c r="K78">
        <v>0</v>
      </c>
      <c r="L78" t="s">
        <v>157</v>
      </c>
      <c r="N78" t="s">
        <v>287</v>
      </c>
      <c r="O78" t="s">
        <v>786</v>
      </c>
      <c r="P78">
        <v>0.12747450200242164</v>
      </c>
      <c r="Q78" t="s">
        <v>157</v>
      </c>
      <c r="S78" t="s">
        <v>398</v>
      </c>
      <c r="T78" t="s">
        <v>786</v>
      </c>
      <c r="U78">
        <v>0.11622875794625361</v>
      </c>
      <c r="V78" t="s">
        <v>157</v>
      </c>
    </row>
    <row r="79" spans="9:22" x14ac:dyDescent="0.45">
      <c r="I79" t="s">
        <v>176</v>
      </c>
      <c r="J79" t="s">
        <v>787</v>
      </c>
      <c r="K79">
        <v>1.2059307344597299E-2</v>
      </c>
      <c r="L79" t="s">
        <v>157</v>
      </c>
      <c r="N79" t="s">
        <v>287</v>
      </c>
      <c r="O79" t="s">
        <v>787</v>
      </c>
      <c r="P79">
        <v>2.3156212992914944E-2</v>
      </c>
      <c r="Q79" t="s">
        <v>157</v>
      </c>
      <c r="S79" t="s">
        <v>398</v>
      </c>
      <c r="T79" t="s">
        <v>787</v>
      </c>
      <c r="U79">
        <v>2.1290328302461282E-2</v>
      </c>
      <c r="V79" t="s">
        <v>157</v>
      </c>
    </row>
    <row r="80" spans="9:22" x14ac:dyDescent="0.45">
      <c r="I80" t="s">
        <v>176</v>
      </c>
      <c r="J80" t="s">
        <v>788</v>
      </c>
      <c r="K80">
        <v>0.31724567841122531</v>
      </c>
      <c r="L80" t="s">
        <v>157</v>
      </c>
      <c r="N80" t="s">
        <v>287</v>
      </c>
      <c r="O80" t="s">
        <v>788</v>
      </c>
      <c r="P80">
        <v>8.5156189038387772E-2</v>
      </c>
      <c r="Q80" t="s">
        <v>157</v>
      </c>
      <c r="S80" t="s">
        <v>398</v>
      </c>
      <c r="T80" t="s">
        <v>788</v>
      </c>
      <c r="U80">
        <v>0.11337060123886793</v>
      </c>
      <c r="V80" t="s">
        <v>157</v>
      </c>
    </row>
    <row r="81" spans="9:22" x14ac:dyDescent="0.45">
      <c r="I81" t="s">
        <v>176</v>
      </c>
      <c r="J81" t="s">
        <v>789</v>
      </c>
      <c r="K81">
        <v>2.1232472478808388E-2</v>
      </c>
      <c r="L81" t="s">
        <v>157</v>
      </c>
      <c r="N81" t="s">
        <v>287</v>
      </c>
      <c r="O81" t="s">
        <v>789</v>
      </c>
      <c r="P81">
        <v>8.4823675410154772E-2</v>
      </c>
      <c r="Q81" t="s">
        <v>157</v>
      </c>
      <c r="S81" t="s">
        <v>398</v>
      </c>
      <c r="T81" t="s">
        <v>789</v>
      </c>
      <c r="U81">
        <v>0.11074513916735299</v>
      </c>
      <c r="V81" t="s">
        <v>157</v>
      </c>
    </row>
    <row r="82" spans="9:22" x14ac:dyDescent="0.45">
      <c r="I82" t="s">
        <v>176</v>
      </c>
      <c r="J82" t="s">
        <v>790</v>
      </c>
      <c r="K82">
        <v>5.4297978701416443E-2</v>
      </c>
      <c r="L82" t="s">
        <v>157</v>
      </c>
      <c r="N82" t="s">
        <v>287</v>
      </c>
      <c r="O82" t="s">
        <v>790</v>
      </c>
      <c r="P82">
        <v>2.117882148821473E-2</v>
      </c>
      <c r="Q82" t="s">
        <v>157</v>
      </c>
      <c r="S82" t="s">
        <v>398</v>
      </c>
      <c r="T82" t="s">
        <v>790</v>
      </c>
      <c r="U82">
        <v>2.024722114291766E-2</v>
      </c>
      <c r="V82" t="s">
        <v>157</v>
      </c>
    </row>
    <row r="83" spans="9:22" x14ac:dyDescent="0.45">
      <c r="I83" t="s">
        <v>177</v>
      </c>
      <c r="J83" t="s">
        <v>779</v>
      </c>
      <c r="K83">
        <v>0.24764525693344899</v>
      </c>
      <c r="L83" t="s">
        <v>157</v>
      </c>
      <c r="N83" t="s">
        <v>288</v>
      </c>
      <c r="O83" t="s">
        <v>779</v>
      </c>
      <c r="P83">
        <v>0.14892310907831099</v>
      </c>
      <c r="Q83" t="s">
        <v>157</v>
      </c>
      <c r="S83" t="s">
        <v>399</v>
      </c>
      <c r="T83" t="s">
        <v>779</v>
      </c>
      <c r="U83">
        <v>0.1156715039749352</v>
      </c>
      <c r="V83" t="s">
        <v>157</v>
      </c>
    </row>
    <row r="84" spans="9:22" x14ac:dyDescent="0.45">
      <c r="I84" t="s">
        <v>177</v>
      </c>
      <c r="J84" t="s">
        <v>780</v>
      </c>
      <c r="K84">
        <v>5.1590466259467584E-3</v>
      </c>
      <c r="L84" t="s">
        <v>157</v>
      </c>
      <c r="N84" t="s">
        <v>288</v>
      </c>
      <c r="O84" t="s">
        <v>780</v>
      </c>
      <c r="P84">
        <v>0.14563667045270132</v>
      </c>
      <c r="Q84" t="s">
        <v>157</v>
      </c>
      <c r="S84" t="s">
        <v>399</v>
      </c>
      <c r="T84" t="s">
        <v>780</v>
      </c>
      <c r="U84">
        <v>0.11196564105669445</v>
      </c>
      <c r="V84" t="s">
        <v>157</v>
      </c>
    </row>
    <row r="85" spans="9:22" x14ac:dyDescent="0.45">
      <c r="I85" t="s">
        <v>177</v>
      </c>
      <c r="J85" t="s">
        <v>781</v>
      </c>
      <c r="K85">
        <v>3.702408186229314E-2</v>
      </c>
      <c r="L85" t="s">
        <v>157</v>
      </c>
      <c r="N85" t="s">
        <v>288</v>
      </c>
      <c r="O85" t="s">
        <v>781</v>
      </c>
      <c r="P85">
        <v>2.6185576083437197E-2</v>
      </c>
      <c r="Q85" t="s">
        <v>157</v>
      </c>
      <c r="S85" t="s">
        <v>399</v>
      </c>
      <c r="T85" t="s">
        <v>781</v>
      </c>
      <c r="U85">
        <v>2.0517052850059191E-2</v>
      </c>
      <c r="V85" t="s">
        <v>157</v>
      </c>
    </row>
    <row r="86" spans="9:22" x14ac:dyDescent="0.45">
      <c r="I86" t="s">
        <v>177</v>
      </c>
      <c r="J86" t="s">
        <v>782</v>
      </c>
      <c r="K86">
        <v>0.1722651474067344</v>
      </c>
      <c r="L86" t="s">
        <v>157</v>
      </c>
      <c r="N86" t="s">
        <v>288</v>
      </c>
      <c r="O86" t="s">
        <v>782</v>
      </c>
      <c r="P86">
        <v>9.6324232164713086E-2</v>
      </c>
      <c r="Q86" t="s">
        <v>157</v>
      </c>
      <c r="S86" t="s">
        <v>399</v>
      </c>
      <c r="T86" t="s">
        <v>782</v>
      </c>
      <c r="U86">
        <v>0.11800876962808486</v>
      </c>
      <c r="V86" t="s">
        <v>157</v>
      </c>
    </row>
    <row r="87" spans="9:22" x14ac:dyDescent="0.45">
      <c r="I87" t="s">
        <v>177</v>
      </c>
      <c r="J87" t="s">
        <v>783</v>
      </c>
      <c r="K87">
        <v>1.722244883931825E-3</v>
      </c>
      <c r="L87" t="s">
        <v>157</v>
      </c>
      <c r="N87" t="s">
        <v>288</v>
      </c>
      <c r="O87" t="s">
        <v>783</v>
      </c>
      <c r="P87">
        <v>9.8946699708511679E-2</v>
      </c>
      <c r="Q87" t="s">
        <v>157</v>
      </c>
      <c r="S87" t="s">
        <v>399</v>
      </c>
      <c r="T87" t="s">
        <v>783</v>
      </c>
      <c r="U87">
        <v>0.11465624976908562</v>
      </c>
      <c r="V87" t="s">
        <v>157</v>
      </c>
    </row>
    <row r="88" spans="9:22" x14ac:dyDescent="0.45">
      <c r="I88" t="s">
        <v>177</v>
      </c>
      <c r="J88" t="s">
        <v>784</v>
      </c>
      <c r="K88">
        <v>2.4770625138746928E-2</v>
      </c>
      <c r="L88" t="s">
        <v>157</v>
      </c>
      <c r="N88" t="s">
        <v>288</v>
      </c>
      <c r="O88" t="s">
        <v>784</v>
      </c>
      <c r="P88">
        <v>1.6386022635931131E-2</v>
      </c>
      <c r="Q88" t="s">
        <v>157</v>
      </c>
      <c r="S88" t="s">
        <v>399</v>
      </c>
      <c r="T88" t="s">
        <v>784</v>
      </c>
      <c r="U88">
        <v>2.1448887502781011E-2</v>
      </c>
      <c r="V88" t="s">
        <v>157</v>
      </c>
    </row>
    <row r="89" spans="9:22" x14ac:dyDescent="0.45">
      <c r="I89" t="s">
        <v>177</v>
      </c>
      <c r="J89" t="s">
        <v>785</v>
      </c>
      <c r="K89">
        <v>0.10288591918652228</v>
      </c>
      <c r="L89" t="s">
        <v>157</v>
      </c>
      <c r="N89" t="s">
        <v>288</v>
      </c>
      <c r="O89" t="s">
        <v>785</v>
      </c>
      <c r="P89">
        <v>0.12200983996353353</v>
      </c>
      <c r="Q89" t="s">
        <v>157</v>
      </c>
      <c r="S89" t="s">
        <v>399</v>
      </c>
      <c r="T89" t="s">
        <v>785</v>
      </c>
      <c r="U89">
        <v>0.11459164403849609</v>
      </c>
      <c r="V89" t="s">
        <v>157</v>
      </c>
    </row>
    <row r="90" spans="9:22" x14ac:dyDescent="0.45">
      <c r="I90" t="s">
        <v>177</v>
      </c>
      <c r="J90" t="s">
        <v>786</v>
      </c>
      <c r="K90">
        <v>0</v>
      </c>
      <c r="L90" t="s">
        <v>157</v>
      </c>
      <c r="N90" t="s">
        <v>288</v>
      </c>
      <c r="O90" t="s">
        <v>786</v>
      </c>
      <c r="P90">
        <v>0.12172085916462831</v>
      </c>
      <c r="Q90" t="s">
        <v>157</v>
      </c>
      <c r="S90" t="s">
        <v>399</v>
      </c>
      <c r="T90" t="s">
        <v>786</v>
      </c>
      <c r="U90">
        <v>0.11525834336382626</v>
      </c>
      <c r="V90" t="s">
        <v>157</v>
      </c>
    </row>
    <row r="91" spans="9:22" x14ac:dyDescent="0.45">
      <c r="I91" t="s">
        <v>177</v>
      </c>
      <c r="J91" t="s">
        <v>787</v>
      </c>
      <c r="K91">
        <v>1.2338618900065004E-2</v>
      </c>
      <c r="L91" t="s">
        <v>157</v>
      </c>
      <c r="N91" t="s">
        <v>288</v>
      </c>
      <c r="O91" t="s">
        <v>787</v>
      </c>
      <c r="P91">
        <v>2.1626575086784203E-2</v>
      </c>
      <c r="Q91" t="s">
        <v>157</v>
      </c>
      <c r="S91" t="s">
        <v>399</v>
      </c>
      <c r="T91" t="s">
        <v>787</v>
      </c>
      <c r="U91">
        <v>2.1361092265065485E-2</v>
      </c>
      <c r="V91" t="s">
        <v>157</v>
      </c>
    </row>
    <row r="92" spans="9:22" x14ac:dyDescent="0.45">
      <c r="I92" t="s">
        <v>177</v>
      </c>
      <c r="J92" t="s">
        <v>788</v>
      </c>
      <c r="K92">
        <v>0.31920567463749028</v>
      </c>
      <c r="L92" t="s">
        <v>157</v>
      </c>
      <c r="N92" t="s">
        <v>288</v>
      </c>
      <c r="O92" t="s">
        <v>788</v>
      </c>
      <c r="P92">
        <v>9.024936793789963E-2</v>
      </c>
      <c r="Q92" t="s">
        <v>157</v>
      </c>
      <c r="S92" t="s">
        <v>399</v>
      </c>
      <c r="T92" t="s">
        <v>788</v>
      </c>
      <c r="U92">
        <v>0.11434699277687553</v>
      </c>
      <c r="V92" t="s">
        <v>157</v>
      </c>
    </row>
    <row r="93" spans="9:22" x14ac:dyDescent="0.45">
      <c r="I93" t="s">
        <v>177</v>
      </c>
      <c r="J93" t="s">
        <v>789</v>
      </c>
      <c r="K93">
        <v>2.0874283763641522E-2</v>
      </c>
      <c r="L93" t="s">
        <v>157</v>
      </c>
      <c r="N93" t="s">
        <v>288</v>
      </c>
      <c r="O93" t="s">
        <v>789</v>
      </c>
      <c r="P93">
        <v>9.2633212955623753E-2</v>
      </c>
      <c r="Q93" t="s">
        <v>157</v>
      </c>
      <c r="S93" t="s">
        <v>399</v>
      </c>
      <c r="T93" t="s">
        <v>789</v>
      </c>
      <c r="U93">
        <v>0.11168478620981542</v>
      </c>
      <c r="V93" t="s">
        <v>157</v>
      </c>
    </row>
    <row r="94" spans="9:22" x14ac:dyDescent="0.45">
      <c r="I94" t="s">
        <v>177</v>
      </c>
      <c r="J94" t="s">
        <v>790</v>
      </c>
      <c r="K94">
        <v>5.6109100661178843E-2</v>
      </c>
      <c r="L94" t="s">
        <v>157</v>
      </c>
      <c r="N94" t="s">
        <v>288</v>
      </c>
      <c r="O94" t="s">
        <v>790</v>
      </c>
      <c r="P94">
        <v>1.9357834767925124E-2</v>
      </c>
      <c r="Q94" t="s">
        <v>157</v>
      </c>
      <c r="S94" t="s">
        <v>399</v>
      </c>
      <c r="T94" t="s">
        <v>790</v>
      </c>
      <c r="U94">
        <v>2.0489036564280957E-2</v>
      </c>
      <c r="V94" t="s">
        <v>157</v>
      </c>
    </row>
    <row r="95" spans="9:22" x14ac:dyDescent="0.45">
      <c r="I95" t="s">
        <v>178</v>
      </c>
      <c r="J95" t="s">
        <v>779</v>
      </c>
      <c r="K95">
        <v>0.24997407503579158</v>
      </c>
      <c r="L95" t="s">
        <v>157</v>
      </c>
      <c r="N95" t="s">
        <v>289</v>
      </c>
      <c r="O95" t="s">
        <v>779</v>
      </c>
      <c r="P95">
        <v>0.17216407998463878</v>
      </c>
      <c r="Q95" t="s">
        <v>157</v>
      </c>
      <c r="S95" t="s">
        <v>400</v>
      </c>
      <c r="T95" t="s">
        <v>779</v>
      </c>
      <c r="U95">
        <v>0.11670844020971904</v>
      </c>
      <c r="V95" t="s">
        <v>157</v>
      </c>
    </row>
    <row r="96" spans="9:22" x14ac:dyDescent="0.45">
      <c r="I96" t="s">
        <v>178</v>
      </c>
      <c r="J96" t="s">
        <v>780</v>
      </c>
      <c r="K96">
        <v>5.3551185955533157E-3</v>
      </c>
      <c r="L96" t="s">
        <v>157</v>
      </c>
      <c r="N96" t="s">
        <v>289</v>
      </c>
      <c r="O96" t="s">
        <v>780</v>
      </c>
      <c r="P96">
        <v>0.13595875518509154</v>
      </c>
      <c r="Q96" t="s">
        <v>157</v>
      </c>
      <c r="S96" t="s">
        <v>400</v>
      </c>
      <c r="T96" t="s">
        <v>780</v>
      </c>
      <c r="U96">
        <v>0.11322588353162498</v>
      </c>
      <c r="V96" t="s">
        <v>157</v>
      </c>
    </row>
    <row r="97" spans="9:22" x14ac:dyDescent="0.45">
      <c r="I97" t="s">
        <v>178</v>
      </c>
      <c r="J97" t="s">
        <v>781</v>
      </c>
      <c r="K97">
        <v>3.7547944728546952E-2</v>
      </c>
      <c r="L97" t="s">
        <v>157</v>
      </c>
      <c r="N97" t="s">
        <v>289</v>
      </c>
      <c r="O97" t="s">
        <v>781</v>
      </c>
      <c r="P97">
        <v>3.0022217146296343E-2</v>
      </c>
      <c r="Q97" t="s">
        <v>157</v>
      </c>
      <c r="S97" t="s">
        <v>400</v>
      </c>
      <c r="T97" t="s">
        <v>781</v>
      </c>
      <c r="U97">
        <v>2.0448344354901615E-2</v>
      </c>
      <c r="V97" t="s">
        <v>157</v>
      </c>
    </row>
    <row r="98" spans="9:22" x14ac:dyDescent="0.45">
      <c r="I98" t="s">
        <v>178</v>
      </c>
      <c r="J98" t="s">
        <v>782</v>
      </c>
      <c r="K98">
        <v>0.17271872794087648</v>
      </c>
      <c r="L98" t="s">
        <v>157</v>
      </c>
      <c r="N98" t="s">
        <v>289</v>
      </c>
      <c r="O98" t="s">
        <v>782</v>
      </c>
      <c r="P98">
        <v>9.629896085993718E-2</v>
      </c>
      <c r="Q98" t="s">
        <v>157</v>
      </c>
      <c r="S98" t="s">
        <v>400</v>
      </c>
      <c r="T98" t="s">
        <v>782</v>
      </c>
      <c r="U98">
        <v>0.11532137754421599</v>
      </c>
      <c r="V98" t="s">
        <v>157</v>
      </c>
    </row>
    <row r="99" spans="9:22" x14ac:dyDescent="0.45">
      <c r="I99" t="s">
        <v>178</v>
      </c>
      <c r="J99" t="s">
        <v>783</v>
      </c>
      <c r="K99">
        <v>1.7380970592162526E-3</v>
      </c>
      <c r="L99" t="s">
        <v>157</v>
      </c>
      <c r="N99" t="s">
        <v>289</v>
      </c>
      <c r="O99" t="s">
        <v>783</v>
      </c>
      <c r="P99">
        <v>9.5327929692448507E-2</v>
      </c>
      <c r="Q99" t="s">
        <v>157</v>
      </c>
      <c r="S99" t="s">
        <v>400</v>
      </c>
      <c r="T99" t="s">
        <v>783</v>
      </c>
      <c r="U99">
        <v>0.11351128789382132</v>
      </c>
      <c r="V99" t="s">
        <v>157</v>
      </c>
    </row>
    <row r="100" spans="9:22" x14ac:dyDescent="0.45">
      <c r="I100" t="s">
        <v>178</v>
      </c>
      <c r="J100" t="s">
        <v>784</v>
      </c>
      <c r="K100">
        <v>2.4380736731925878E-2</v>
      </c>
      <c r="L100" t="s">
        <v>157</v>
      </c>
      <c r="N100" t="s">
        <v>289</v>
      </c>
      <c r="O100" t="s">
        <v>784</v>
      </c>
      <c r="P100">
        <v>1.7093842813904553E-2</v>
      </c>
      <c r="Q100" t="s">
        <v>157</v>
      </c>
      <c r="S100" t="s">
        <v>400</v>
      </c>
      <c r="T100" t="s">
        <v>784</v>
      </c>
      <c r="U100">
        <v>2.1360361253627991E-2</v>
      </c>
      <c r="V100" t="s">
        <v>157</v>
      </c>
    </row>
    <row r="101" spans="9:22" x14ac:dyDescent="0.45">
      <c r="I101" t="s">
        <v>178</v>
      </c>
      <c r="J101" t="s">
        <v>785</v>
      </c>
      <c r="K101">
        <v>0.10543074532235105</v>
      </c>
      <c r="L101" t="s">
        <v>157</v>
      </c>
      <c r="N101" t="s">
        <v>289</v>
      </c>
      <c r="O101" t="s">
        <v>785</v>
      </c>
      <c r="P101">
        <v>0.11926929234614185</v>
      </c>
      <c r="Q101" t="s">
        <v>157</v>
      </c>
      <c r="S101" t="s">
        <v>400</v>
      </c>
      <c r="T101" t="s">
        <v>785</v>
      </c>
      <c r="U101">
        <v>0.11477917851601596</v>
      </c>
      <c r="V101" t="s">
        <v>157</v>
      </c>
    </row>
    <row r="102" spans="9:22" x14ac:dyDescent="0.45">
      <c r="I102" t="s">
        <v>178</v>
      </c>
      <c r="J102" t="s">
        <v>786</v>
      </c>
      <c r="K102">
        <v>0</v>
      </c>
      <c r="L102" t="s">
        <v>157</v>
      </c>
      <c r="N102" t="s">
        <v>289</v>
      </c>
      <c r="O102" t="s">
        <v>786</v>
      </c>
      <c r="P102">
        <v>0.11027341433302994</v>
      </c>
      <c r="Q102" t="s">
        <v>157</v>
      </c>
      <c r="S102" t="s">
        <v>400</v>
      </c>
      <c r="T102" t="s">
        <v>786</v>
      </c>
      <c r="U102">
        <v>0.11474677010004652</v>
      </c>
      <c r="V102" t="s">
        <v>157</v>
      </c>
    </row>
    <row r="103" spans="9:22" x14ac:dyDescent="0.45">
      <c r="I103" t="s">
        <v>178</v>
      </c>
      <c r="J103" t="s">
        <v>787</v>
      </c>
      <c r="K103">
        <v>1.2130054731942223E-2</v>
      </c>
      <c r="L103" t="s">
        <v>157</v>
      </c>
      <c r="N103" t="s">
        <v>289</v>
      </c>
      <c r="O103" t="s">
        <v>787</v>
      </c>
      <c r="P103">
        <v>2.0867408261179304E-2</v>
      </c>
      <c r="Q103" t="s">
        <v>157</v>
      </c>
      <c r="S103" t="s">
        <v>400</v>
      </c>
      <c r="T103" t="s">
        <v>787</v>
      </c>
      <c r="U103">
        <v>2.1457927329374873E-2</v>
      </c>
      <c r="V103" t="s">
        <v>157</v>
      </c>
    </row>
    <row r="104" spans="9:22" x14ac:dyDescent="0.45">
      <c r="I104" t="s">
        <v>178</v>
      </c>
      <c r="J104" t="s">
        <v>788</v>
      </c>
      <c r="K104">
        <v>0.31581687806310305</v>
      </c>
      <c r="L104" t="s">
        <v>157</v>
      </c>
      <c r="N104" t="s">
        <v>289</v>
      </c>
      <c r="O104" t="s">
        <v>788</v>
      </c>
      <c r="P104">
        <v>9.5140190178576542E-2</v>
      </c>
      <c r="Q104" t="s">
        <v>157</v>
      </c>
      <c r="S104" t="s">
        <v>400</v>
      </c>
      <c r="T104" t="s">
        <v>788</v>
      </c>
      <c r="U104">
        <v>0.1156263077327626</v>
      </c>
      <c r="V104" t="s">
        <v>157</v>
      </c>
    </row>
    <row r="105" spans="9:22" x14ac:dyDescent="0.45">
      <c r="I105" t="s">
        <v>178</v>
      </c>
      <c r="J105" t="s">
        <v>789</v>
      </c>
      <c r="K105">
        <v>1.9760011703181563E-2</v>
      </c>
      <c r="L105" t="s">
        <v>157</v>
      </c>
      <c r="N105" t="s">
        <v>289</v>
      </c>
      <c r="O105" t="s">
        <v>789</v>
      </c>
      <c r="P105">
        <v>8.6188044625117088E-2</v>
      </c>
      <c r="Q105" t="s">
        <v>157</v>
      </c>
      <c r="S105" t="s">
        <v>400</v>
      </c>
      <c r="T105" t="s">
        <v>789</v>
      </c>
      <c r="U105">
        <v>0.11219316512254407</v>
      </c>
      <c r="V105" t="s">
        <v>157</v>
      </c>
    </row>
    <row r="106" spans="9:22" x14ac:dyDescent="0.45">
      <c r="I106" t="s">
        <v>178</v>
      </c>
      <c r="J106" t="s">
        <v>790</v>
      </c>
      <c r="K106">
        <v>5.514761008751163E-2</v>
      </c>
      <c r="L106" t="s">
        <v>157</v>
      </c>
      <c r="N106" t="s">
        <v>289</v>
      </c>
      <c r="O106" t="s">
        <v>790</v>
      </c>
      <c r="P106">
        <v>2.1395864573638332E-2</v>
      </c>
      <c r="Q106" t="s">
        <v>157</v>
      </c>
      <c r="S106" t="s">
        <v>400</v>
      </c>
      <c r="T106" t="s">
        <v>790</v>
      </c>
      <c r="U106">
        <v>2.062095641134503E-2</v>
      </c>
      <c r="V106" t="s">
        <v>157</v>
      </c>
    </row>
    <row r="107" spans="9:22" x14ac:dyDescent="0.45">
      <c r="I107" t="s">
        <v>179</v>
      </c>
      <c r="J107" t="s">
        <v>779</v>
      </c>
      <c r="K107">
        <v>0.2552902561496963</v>
      </c>
      <c r="L107" t="s">
        <v>157</v>
      </c>
      <c r="N107" t="s">
        <v>290</v>
      </c>
      <c r="O107" t="s">
        <v>779</v>
      </c>
      <c r="P107">
        <v>0.16931612130715459</v>
      </c>
      <c r="Q107" t="s">
        <v>157</v>
      </c>
      <c r="S107" t="s">
        <v>401</v>
      </c>
      <c r="T107" t="s">
        <v>779</v>
      </c>
      <c r="U107">
        <v>0.11703271944612986</v>
      </c>
      <c r="V107" t="s">
        <v>157</v>
      </c>
    </row>
    <row r="108" spans="9:22" x14ac:dyDescent="0.45">
      <c r="I108" t="s">
        <v>179</v>
      </c>
      <c r="J108" t="s">
        <v>780</v>
      </c>
      <c r="K108">
        <v>5.2566508715639337E-3</v>
      </c>
      <c r="L108" t="s">
        <v>157</v>
      </c>
      <c r="N108" t="s">
        <v>290</v>
      </c>
      <c r="O108" t="s">
        <v>780</v>
      </c>
      <c r="P108">
        <v>0.13687215366222796</v>
      </c>
      <c r="Q108" t="s">
        <v>157</v>
      </c>
      <c r="S108" t="s">
        <v>401</v>
      </c>
      <c r="T108" t="s">
        <v>780</v>
      </c>
      <c r="U108">
        <v>0.11383888843587986</v>
      </c>
      <c r="V108" t="s">
        <v>157</v>
      </c>
    </row>
    <row r="109" spans="9:22" x14ac:dyDescent="0.45">
      <c r="I109" t="s">
        <v>179</v>
      </c>
      <c r="J109" t="s">
        <v>781</v>
      </c>
      <c r="K109">
        <v>3.8571335288116293E-2</v>
      </c>
      <c r="L109" t="s">
        <v>157</v>
      </c>
      <c r="N109" t="s">
        <v>290</v>
      </c>
      <c r="O109" t="s">
        <v>781</v>
      </c>
      <c r="P109">
        <v>3.1069887753554643E-2</v>
      </c>
      <c r="Q109" t="s">
        <v>157</v>
      </c>
      <c r="S109" t="s">
        <v>401</v>
      </c>
      <c r="T109" t="s">
        <v>781</v>
      </c>
      <c r="U109">
        <v>2.0135208864023139E-2</v>
      </c>
      <c r="V109" t="s">
        <v>157</v>
      </c>
    </row>
    <row r="110" spans="9:22" x14ac:dyDescent="0.45">
      <c r="I110" t="s">
        <v>179</v>
      </c>
      <c r="J110" t="s">
        <v>782</v>
      </c>
      <c r="K110">
        <v>0.17293798779727523</v>
      </c>
      <c r="L110" t="s">
        <v>157</v>
      </c>
      <c r="N110" t="s">
        <v>290</v>
      </c>
      <c r="O110" t="s">
        <v>782</v>
      </c>
      <c r="P110">
        <v>8.72728384341976E-2</v>
      </c>
      <c r="Q110" t="s">
        <v>157</v>
      </c>
      <c r="S110" t="s">
        <v>401</v>
      </c>
      <c r="T110" t="s">
        <v>782</v>
      </c>
      <c r="U110">
        <v>0.11328748335951939</v>
      </c>
      <c r="V110" t="s">
        <v>157</v>
      </c>
    </row>
    <row r="111" spans="9:22" x14ac:dyDescent="0.45">
      <c r="I111" t="s">
        <v>179</v>
      </c>
      <c r="J111" t="s">
        <v>783</v>
      </c>
      <c r="K111">
        <v>1.8011560182675389E-3</v>
      </c>
      <c r="L111" t="s">
        <v>157</v>
      </c>
      <c r="N111" t="s">
        <v>290</v>
      </c>
      <c r="O111" t="s">
        <v>783</v>
      </c>
      <c r="P111">
        <v>0.1011156868798142</v>
      </c>
      <c r="Q111" t="s">
        <v>157</v>
      </c>
      <c r="S111" t="s">
        <v>401</v>
      </c>
      <c r="T111" t="s">
        <v>783</v>
      </c>
      <c r="U111">
        <v>0.11305819894211437</v>
      </c>
      <c r="V111" t="s">
        <v>157</v>
      </c>
    </row>
    <row r="112" spans="9:22" x14ac:dyDescent="0.45">
      <c r="I112" t="s">
        <v>179</v>
      </c>
      <c r="J112" t="s">
        <v>784</v>
      </c>
      <c r="K112">
        <v>2.3684278442891563E-2</v>
      </c>
      <c r="L112" t="s">
        <v>157</v>
      </c>
      <c r="N112" t="s">
        <v>290</v>
      </c>
      <c r="O112" t="s">
        <v>784</v>
      </c>
      <c r="P112">
        <v>1.6090561672674957E-2</v>
      </c>
      <c r="Q112" t="s">
        <v>157</v>
      </c>
      <c r="S112" t="s">
        <v>401</v>
      </c>
      <c r="T112" t="s">
        <v>784</v>
      </c>
      <c r="U112">
        <v>2.1037595938557425E-2</v>
      </c>
      <c r="V112" t="s">
        <v>157</v>
      </c>
    </row>
    <row r="113" spans="9:22" x14ac:dyDescent="0.45">
      <c r="I113" t="s">
        <v>179</v>
      </c>
      <c r="J113" t="s">
        <v>785</v>
      </c>
      <c r="K113">
        <v>0.10825536672843646</v>
      </c>
      <c r="L113" t="s">
        <v>157</v>
      </c>
      <c r="N113" t="s">
        <v>290</v>
      </c>
      <c r="O113" t="s">
        <v>785</v>
      </c>
      <c r="P113">
        <v>0.11639800594322729</v>
      </c>
      <c r="Q113" t="s">
        <v>157</v>
      </c>
      <c r="S113" t="s">
        <v>401</v>
      </c>
      <c r="T113" t="s">
        <v>785</v>
      </c>
      <c r="U113">
        <v>0.11448319240451924</v>
      </c>
      <c r="V113" t="s">
        <v>157</v>
      </c>
    </row>
    <row r="114" spans="9:22" x14ac:dyDescent="0.45">
      <c r="I114" t="s">
        <v>179</v>
      </c>
      <c r="J114" t="s">
        <v>786</v>
      </c>
      <c r="K114">
        <v>0</v>
      </c>
      <c r="L114" t="s">
        <v>157</v>
      </c>
      <c r="N114" t="s">
        <v>290</v>
      </c>
      <c r="O114" t="s">
        <v>786</v>
      </c>
      <c r="P114">
        <v>0.11712739085948005</v>
      </c>
      <c r="Q114" t="s">
        <v>157</v>
      </c>
      <c r="S114" t="s">
        <v>401</v>
      </c>
      <c r="T114" t="s">
        <v>786</v>
      </c>
      <c r="U114">
        <v>0.11465376401582204</v>
      </c>
      <c r="V114" t="s">
        <v>157</v>
      </c>
    </row>
    <row r="115" spans="9:22" x14ac:dyDescent="0.45">
      <c r="I115" t="s">
        <v>179</v>
      </c>
      <c r="J115" t="s">
        <v>787</v>
      </c>
      <c r="K115">
        <v>1.1553562529318993E-2</v>
      </c>
      <c r="L115" t="s">
        <v>157</v>
      </c>
      <c r="N115" t="s">
        <v>290</v>
      </c>
      <c r="O115" t="s">
        <v>787</v>
      </c>
      <c r="P115">
        <v>2.168943839571906E-2</v>
      </c>
      <c r="Q115" t="s">
        <v>157</v>
      </c>
      <c r="S115" t="s">
        <v>401</v>
      </c>
      <c r="T115" t="s">
        <v>787</v>
      </c>
      <c r="U115">
        <v>2.1152651901151062E-2</v>
      </c>
      <c r="V115" t="s">
        <v>157</v>
      </c>
    </row>
    <row r="116" spans="9:22" x14ac:dyDescent="0.45">
      <c r="I116" t="s">
        <v>179</v>
      </c>
      <c r="J116" t="s">
        <v>788</v>
      </c>
      <c r="K116">
        <v>0.31190372306137565</v>
      </c>
      <c r="L116" t="s">
        <v>157</v>
      </c>
      <c r="N116" t="s">
        <v>290</v>
      </c>
      <c r="O116" t="s">
        <v>788</v>
      </c>
      <c r="P116">
        <v>8.8719749689418856E-2</v>
      </c>
      <c r="Q116" t="s">
        <v>157</v>
      </c>
      <c r="S116" t="s">
        <v>401</v>
      </c>
      <c r="T116" t="s">
        <v>788</v>
      </c>
      <c r="U116">
        <v>0.1168391353740721</v>
      </c>
      <c r="V116" t="s">
        <v>157</v>
      </c>
    </row>
    <row r="117" spans="9:22" x14ac:dyDescent="0.45">
      <c r="I117" t="s">
        <v>179</v>
      </c>
      <c r="J117" t="s">
        <v>789</v>
      </c>
      <c r="K117">
        <v>1.7172253621996345E-2</v>
      </c>
      <c r="L117" t="s">
        <v>157</v>
      </c>
      <c r="N117" t="s">
        <v>290</v>
      </c>
      <c r="O117" t="s">
        <v>789</v>
      </c>
      <c r="P117">
        <v>9.2734932305476553E-2</v>
      </c>
      <c r="Q117" t="s">
        <v>157</v>
      </c>
      <c r="S117" t="s">
        <v>401</v>
      </c>
      <c r="T117" t="s">
        <v>789</v>
      </c>
      <c r="U117">
        <v>0.11336240843769943</v>
      </c>
      <c r="V117" t="s">
        <v>157</v>
      </c>
    </row>
    <row r="118" spans="9:22" x14ac:dyDescent="0.45">
      <c r="I118" t="s">
        <v>179</v>
      </c>
      <c r="J118" t="s">
        <v>790</v>
      </c>
      <c r="K118">
        <v>5.3573429491061655E-2</v>
      </c>
      <c r="L118" t="s">
        <v>157</v>
      </c>
      <c r="N118" t="s">
        <v>290</v>
      </c>
      <c r="O118" t="s">
        <v>790</v>
      </c>
      <c r="P118">
        <v>2.1593233097054191E-2</v>
      </c>
      <c r="Q118" t="s">
        <v>157</v>
      </c>
      <c r="S118" t="s">
        <v>401</v>
      </c>
      <c r="T118" t="s">
        <v>790</v>
      </c>
      <c r="U118">
        <v>2.1118752880512025E-2</v>
      </c>
      <c r="V118" t="s">
        <v>157</v>
      </c>
    </row>
    <row r="119" spans="9:22" x14ac:dyDescent="0.45">
      <c r="I119" t="s">
        <v>180</v>
      </c>
      <c r="J119" t="s">
        <v>779</v>
      </c>
      <c r="K119">
        <v>0.25670174367692228</v>
      </c>
      <c r="L119" t="s">
        <v>157</v>
      </c>
      <c r="N119" t="s">
        <v>291</v>
      </c>
      <c r="O119" t="s">
        <v>779</v>
      </c>
      <c r="P119">
        <v>0.13604877652617914</v>
      </c>
      <c r="Q119" t="s">
        <v>157</v>
      </c>
      <c r="S119" t="s">
        <v>402</v>
      </c>
      <c r="T119" t="s">
        <v>779</v>
      </c>
      <c r="U119">
        <v>0.11693650989370633</v>
      </c>
      <c r="V119" t="s">
        <v>157</v>
      </c>
    </row>
    <row r="120" spans="9:22" x14ac:dyDescent="0.45">
      <c r="I120" t="s">
        <v>180</v>
      </c>
      <c r="J120" t="s">
        <v>780</v>
      </c>
      <c r="K120">
        <v>4.6524220086428579E-3</v>
      </c>
      <c r="L120" t="s">
        <v>157</v>
      </c>
      <c r="N120" t="s">
        <v>291</v>
      </c>
      <c r="O120" t="s">
        <v>780</v>
      </c>
      <c r="P120">
        <v>0.14608553536657182</v>
      </c>
      <c r="Q120" t="s">
        <v>157</v>
      </c>
      <c r="S120" t="s">
        <v>402</v>
      </c>
      <c r="T120" t="s">
        <v>780</v>
      </c>
      <c r="U120">
        <v>0.11453903174881751</v>
      </c>
      <c r="V120" t="s">
        <v>157</v>
      </c>
    </row>
    <row r="121" spans="9:22" x14ac:dyDescent="0.45">
      <c r="I121" t="s">
        <v>180</v>
      </c>
      <c r="J121" t="s">
        <v>781</v>
      </c>
      <c r="K121">
        <v>3.7103445666077664E-2</v>
      </c>
      <c r="L121" t="s">
        <v>157</v>
      </c>
      <c r="N121" t="s">
        <v>291</v>
      </c>
      <c r="O121" t="s">
        <v>781</v>
      </c>
      <c r="P121">
        <v>2.4511603282345029E-2</v>
      </c>
      <c r="Q121" t="s">
        <v>157</v>
      </c>
      <c r="S121" t="s">
        <v>402</v>
      </c>
      <c r="T121" t="s">
        <v>781</v>
      </c>
      <c r="U121">
        <v>2.0303218395195183E-2</v>
      </c>
      <c r="V121" t="s">
        <v>157</v>
      </c>
    </row>
    <row r="122" spans="9:22" x14ac:dyDescent="0.45">
      <c r="I122" t="s">
        <v>180</v>
      </c>
      <c r="J122" t="s">
        <v>782</v>
      </c>
      <c r="K122">
        <v>0.17458065823862212</v>
      </c>
      <c r="L122" t="s">
        <v>157</v>
      </c>
      <c r="N122" t="s">
        <v>291</v>
      </c>
      <c r="O122" t="s">
        <v>782</v>
      </c>
      <c r="P122">
        <v>9.6855859099999886E-2</v>
      </c>
      <c r="Q122" t="s">
        <v>157</v>
      </c>
      <c r="S122" t="s">
        <v>402</v>
      </c>
      <c r="T122" t="s">
        <v>782</v>
      </c>
      <c r="U122">
        <v>0.11230722869008915</v>
      </c>
      <c r="V122" t="s">
        <v>157</v>
      </c>
    </row>
    <row r="123" spans="9:22" x14ac:dyDescent="0.45">
      <c r="I123" t="s">
        <v>180</v>
      </c>
      <c r="J123" t="s">
        <v>783</v>
      </c>
      <c r="K123">
        <v>1.1753455134131657E-3</v>
      </c>
      <c r="L123" t="s">
        <v>157</v>
      </c>
      <c r="N123" t="s">
        <v>291</v>
      </c>
      <c r="O123" t="s">
        <v>783</v>
      </c>
      <c r="P123">
        <v>0.10376913072567676</v>
      </c>
      <c r="Q123" t="s">
        <v>157</v>
      </c>
      <c r="S123" t="s">
        <v>402</v>
      </c>
      <c r="T123" t="s">
        <v>783</v>
      </c>
      <c r="U123">
        <v>0.11185033135665358</v>
      </c>
      <c r="V123" t="s">
        <v>157</v>
      </c>
    </row>
    <row r="124" spans="9:22" x14ac:dyDescent="0.45">
      <c r="I124" t="s">
        <v>180</v>
      </c>
      <c r="J124" t="s">
        <v>784</v>
      </c>
      <c r="K124">
        <v>2.4368122286936529E-2</v>
      </c>
      <c r="L124" t="s">
        <v>157</v>
      </c>
      <c r="N124" t="s">
        <v>291</v>
      </c>
      <c r="O124" t="s">
        <v>784</v>
      </c>
      <c r="P124">
        <v>1.8477841209804825E-2</v>
      </c>
      <c r="Q124" t="s">
        <v>157</v>
      </c>
      <c r="S124" t="s">
        <v>402</v>
      </c>
      <c r="T124" t="s">
        <v>784</v>
      </c>
      <c r="U124">
        <v>2.0699786101516283E-2</v>
      </c>
      <c r="V124" t="s">
        <v>157</v>
      </c>
    </row>
    <row r="125" spans="9:22" x14ac:dyDescent="0.45">
      <c r="I125" t="s">
        <v>180</v>
      </c>
      <c r="J125" t="s">
        <v>785</v>
      </c>
      <c r="K125">
        <v>0.10917873705207834</v>
      </c>
      <c r="L125" t="s">
        <v>157</v>
      </c>
      <c r="N125" t="s">
        <v>291</v>
      </c>
      <c r="O125" t="s">
        <v>785</v>
      </c>
      <c r="P125">
        <v>0.11746844404622886</v>
      </c>
      <c r="Q125" t="s">
        <v>157</v>
      </c>
      <c r="S125" t="s">
        <v>402</v>
      </c>
      <c r="T125" t="s">
        <v>785</v>
      </c>
      <c r="U125">
        <v>0.11456120433429211</v>
      </c>
      <c r="V125" t="s">
        <v>157</v>
      </c>
    </row>
    <row r="126" spans="9:22" x14ac:dyDescent="0.45">
      <c r="I126" t="s">
        <v>180</v>
      </c>
      <c r="J126" t="s">
        <v>786</v>
      </c>
      <c r="K126">
        <v>0</v>
      </c>
      <c r="L126" t="s">
        <v>157</v>
      </c>
      <c r="N126" t="s">
        <v>291</v>
      </c>
      <c r="O126" t="s">
        <v>786</v>
      </c>
      <c r="P126">
        <v>0.12723155170354422</v>
      </c>
      <c r="Q126" t="s">
        <v>157</v>
      </c>
      <c r="S126" t="s">
        <v>402</v>
      </c>
      <c r="T126" t="s">
        <v>786</v>
      </c>
      <c r="U126">
        <v>0.11457686214713915</v>
      </c>
      <c r="V126" t="s">
        <v>157</v>
      </c>
    </row>
    <row r="127" spans="9:22" x14ac:dyDescent="0.45">
      <c r="I127" t="s">
        <v>180</v>
      </c>
      <c r="J127" t="s">
        <v>787</v>
      </c>
      <c r="K127">
        <v>1.1788255965377262E-2</v>
      </c>
      <c r="L127" t="s">
        <v>157</v>
      </c>
      <c r="N127" t="s">
        <v>291</v>
      </c>
      <c r="O127" t="s">
        <v>787</v>
      </c>
      <c r="P127">
        <v>2.2479469515731969E-2</v>
      </c>
      <c r="Q127" t="s">
        <v>157</v>
      </c>
      <c r="S127" t="s">
        <v>402</v>
      </c>
      <c r="T127" t="s">
        <v>787</v>
      </c>
      <c r="U127">
        <v>2.1063681594806382E-2</v>
      </c>
      <c r="V127" t="s">
        <v>157</v>
      </c>
    </row>
    <row r="128" spans="9:22" x14ac:dyDescent="0.45">
      <c r="I128" t="s">
        <v>180</v>
      </c>
      <c r="J128" t="s">
        <v>788</v>
      </c>
      <c r="K128">
        <v>0.31195795912134588</v>
      </c>
      <c r="L128" t="s">
        <v>157</v>
      </c>
      <c r="N128" t="s">
        <v>291</v>
      </c>
      <c r="O128" t="s">
        <v>788</v>
      </c>
      <c r="P128">
        <v>8.6876006752808654E-2</v>
      </c>
      <c r="Q128" t="s">
        <v>157</v>
      </c>
      <c r="S128" t="s">
        <v>402</v>
      </c>
      <c r="T128" t="s">
        <v>788</v>
      </c>
      <c r="U128">
        <v>0.11657271233740342</v>
      </c>
      <c r="V128" t="s">
        <v>157</v>
      </c>
    </row>
    <row r="129" spans="9:22" x14ac:dyDescent="0.45">
      <c r="I129" t="s">
        <v>180</v>
      </c>
      <c r="J129" t="s">
        <v>789</v>
      </c>
      <c r="K129">
        <v>1.6872297836715539E-2</v>
      </c>
      <c r="L129" t="s">
        <v>157</v>
      </c>
      <c r="N129" t="s">
        <v>291</v>
      </c>
      <c r="O129" t="s">
        <v>789</v>
      </c>
      <c r="P129">
        <v>9.9526297348918741E-2</v>
      </c>
      <c r="Q129" t="s">
        <v>157</v>
      </c>
      <c r="S129" t="s">
        <v>402</v>
      </c>
      <c r="T129" t="s">
        <v>789</v>
      </c>
      <c r="U129">
        <v>0.1154069792560526</v>
      </c>
      <c r="V129" t="s">
        <v>157</v>
      </c>
    </row>
    <row r="130" spans="9:22" x14ac:dyDescent="0.45">
      <c r="I130" t="s">
        <v>180</v>
      </c>
      <c r="J130" t="s">
        <v>790</v>
      </c>
      <c r="K130">
        <v>5.1621012633868382E-2</v>
      </c>
      <c r="L130" t="s">
        <v>157</v>
      </c>
      <c r="N130" t="s">
        <v>291</v>
      </c>
      <c r="O130" t="s">
        <v>790</v>
      </c>
      <c r="P130">
        <v>2.0669484422190205E-2</v>
      </c>
      <c r="Q130" t="s">
        <v>157</v>
      </c>
      <c r="S130" t="s">
        <v>402</v>
      </c>
      <c r="T130" t="s">
        <v>790</v>
      </c>
      <c r="U130">
        <v>2.1182454144328379E-2</v>
      </c>
      <c r="V130" t="s">
        <v>157</v>
      </c>
    </row>
    <row r="131" spans="9:22" x14ac:dyDescent="0.45">
      <c r="I131" t="s">
        <v>181</v>
      </c>
      <c r="J131" t="s">
        <v>779</v>
      </c>
      <c r="K131">
        <v>0.25296353192772181</v>
      </c>
      <c r="L131" t="s">
        <v>157</v>
      </c>
      <c r="N131" t="s">
        <v>292</v>
      </c>
      <c r="O131" t="s">
        <v>779</v>
      </c>
      <c r="P131">
        <v>0.15487375587870933</v>
      </c>
      <c r="Q131" t="s">
        <v>157</v>
      </c>
      <c r="S131" t="s">
        <v>403</v>
      </c>
      <c r="T131" t="s">
        <v>779</v>
      </c>
      <c r="U131">
        <v>0.11741983715221081</v>
      </c>
      <c r="V131" t="s">
        <v>157</v>
      </c>
    </row>
    <row r="132" spans="9:22" x14ac:dyDescent="0.45">
      <c r="I132" t="s">
        <v>181</v>
      </c>
      <c r="J132" t="s">
        <v>780</v>
      </c>
      <c r="K132">
        <v>4.4816619712882283E-3</v>
      </c>
      <c r="L132" t="s">
        <v>157</v>
      </c>
      <c r="N132" t="s">
        <v>292</v>
      </c>
      <c r="O132" t="s">
        <v>780</v>
      </c>
      <c r="P132">
        <v>0.14312010456113897</v>
      </c>
      <c r="Q132" t="s">
        <v>157</v>
      </c>
      <c r="S132" t="s">
        <v>403</v>
      </c>
      <c r="T132" t="s">
        <v>780</v>
      </c>
      <c r="U132">
        <v>0.11555664151414378</v>
      </c>
      <c r="V132" t="s">
        <v>157</v>
      </c>
    </row>
    <row r="133" spans="9:22" x14ac:dyDescent="0.45">
      <c r="I133" t="s">
        <v>181</v>
      </c>
      <c r="J133" t="s">
        <v>781</v>
      </c>
      <c r="K133">
        <v>3.6455080247992884E-2</v>
      </c>
      <c r="L133" t="s">
        <v>157</v>
      </c>
      <c r="N133" t="s">
        <v>292</v>
      </c>
      <c r="O133" t="s">
        <v>781</v>
      </c>
      <c r="P133">
        <v>2.7327112841951797E-2</v>
      </c>
      <c r="Q133" t="s">
        <v>157</v>
      </c>
      <c r="S133" t="s">
        <v>403</v>
      </c>
      <c r="T133" t="s">
        <v>781</v>
      </c>
      <c r="U133">
        <v>2.0588754516446359E-2</v>
      </c>
      <c r="V133" t="s">
        <v>157</v>
      </c>
    </row>
    <row r="134" spans="9:22" x14ac:dyDescent="0.45">
      <c r="I134" t="s">
        <v>181</v>
      </c>
      <c r="J134" t="s">
        <v>782</v>
      </c>
      <c r="K134">
        <v>0.17479102381295644</v>
      </c>
      <c r="L134" t="s">
        <v>157</v>
      </c>
      <c r="N134" t="s">
        <v>292</v>
      </c>
      <c r="O134" t="s">
        <v>782</v>
      </c>
      <c r="P134">
        <v>0.10293992158702631</v>
      </c>
      <c r="Q134" t="s">
        <v>157</v>
      </c>
      <c r="S134" t="s">
        <v>403</v>
      </c>
      <c r="T134" t="s">
        <v>782</v>
      </c>
      <c r="U134">
        <v>0.11153817562861974</v>
      </c>
      <c r="V134" t="s">
        <v>157</v>
      </c>
    </row>
    <row r="135" spans="9:22" x14ac:dyDescent="0.45">
      <c r="I135" t="s">
        <v>181</v>
      </c>
      <c r="J135" t="s">
        <v>783</v>
      </c>
      <c r="K135">
        <v>1.1188948343649684E-3</v>
      </c>
      <c r="L135" t="s">
        <v>157</v>
      </c>
      <c r="N135" t="s">
        <v>292</v>
      </c>
      <c r="O135" t="s">
        <v>783</v>
      </c>
      <c r="P135">
        <v>9.6448001763089514E-2</v>
      </c>
      <c r="Q135" t="s">
        <v>157</v>
      </c>
      <c r="S135" t="s">
        <v>403</v>
      </c>
      <c r="T135" t="s">
        <v>783</v>
      </c>
      <c r="U135">
        <v>0.11019734414573729</v>
      </c>
      <c r="V135" t="s">
        <v>157</v>
      </c>
    </row>
    <row r="136" spans="9:22" x14ac:dyDescent="0.45">
      <c r="I136" t="s">
        <v>181</v>
      </c>
      <c r="J136" t="s">
        <v>784</v>
      </c>
      <c r="K136">
        <v>2.4459784282426837E-2</v>
      </c>
      <c r="L136" t="s">
        <v>157</v>
      </c>
      <c r="N136" t="s">
        <v>292</v>
      </c>
      <c r="O136" t="s">
        <v>784</v>
      </c>
      <c r="P136">
        <v>1.6960035962990019E-2</v>
      </c>
      <c r="Q136" t="s">
        <v>157</v>
      </c>
      <c r="S136" t="s">
        <v>403</v>
      </c>
      <c r="T136" t="s">
        <v>784</v>
      </c>
      <c r="U136">
        <v>2.0383261617123397E-2</v>
      </c>
      <c r="V136" t="s">
        <v>157</v>
      </c>
    </row>
    <row r="137" spans="9:22" x14ac:dyDescent="0.45">
      <c r="I137" t="s">
        <v>181</v>
      </c>
      <c r="J137" t="s">
        <v>785</v>
      </c>
      <c r="K137">
        <v>0.11093875414894039</v>
      </c>
      <c r="L137" t="s">
        <v>157</v>
      </c>
      <c r="N137" t="s">
        <v>292</v>
      </c>
      <c r="O137" t="s">
        <v>785</v>
      </c>
      <c r="P137">
        <v>0.11444940903454197</v>
      </c>
      <c r="Q137" t="s">
        <v>157</v>
      </c>
      <c r="S137" t="s">
        <v>403</v>
      </c>
      <c r="T137" t="s">
        <v>785</v>
      </c>
      <c r="U137">
        <v>0.11428189853537955</v>
      </c>
      <c r="V137" t="s">
        <v>157</v>
      </c>
    </row>
    <row r="138" spans="9:22" x14ac:dyDescent="0.45">
      <c r="I138" t="s">
        <v>181</v>
      </c>
      <c r="J138" t="s">
        <v>786</v>
      </c>
      <c r="K138">
        <v>0</v>
      </c>
      <c r="L138" t="s">
        <v>157</v>
      </c>
      <c r="N138" t="s">
        <v>292</v>
      </c>
      <c r="O138" t="s">
        <v>786</v>
      </c>
      <c r="P138">
        <v>0.10911993754351625</v>
      </c>
      <c r="Q138" t="s">
        <v>157</v>
      </c>
      <c r="S138" t="s">
        <v>403</v>
      </c>
      <c r="T138" t="s">
        <v>786</v>
      </c>
      <c r="U138">
        <v>0.11522550100404572</v>
      </c>
      <c r="V138" t="s">
        <v>157</v>
      </c>
    </row>
    <row r="139" spans="9:22" x14ac:dyDescent="0.45">
      <c r="I139" t="s">
        <v>181</v>
      </c>
      <c r="J139" t="s">
        <v>787</v>
      </c>
      <c r="K139">
        <v>1.1668688486640025E-2</v>
      </c>
      <c r="L139" t="s">
        <v>157</v>
      </c>
      <c r="N139" t="s">
        <v>292</v>
      </c>
      <c r="O139" t="s">
        <v>787</v>
      </c>
      <c r="P139">
        <v>2.1076573191396417E-2</v>
      </c>
      <c r="Q139" t="s">
        <v>157</v>
      </c>
      <c r="S139" t="s">
        <v>403</v>
      </c>
      <c r="T139" t="s">
        <v>787</v>
      </c>
      <c r="U139">
        <v>2.1046824999734363E-2</v>
      </c>
      <c r="V139" t="s">
        <v>157</v>
      </c>
    </row>
    <row r="140" spans="9:22" x14ac:dyDescent="0.45">
      <c r="I140" t="s">
        <v>181</v>
      </c>
      <c r="J140" t="s">
        <v>788</v>
      </c>
      <c r="K140">
        <v>0.3143246230975057</v>
      </c>
      <c r="L140" t="s">
        <v>157</v>
      </c>
      <c r="N140" t="s">
        <v>292</v>
      </c>
      <c r="O140" t="s">
        <v>788</v>
      </c>
      <c r="P140">
        <v>0.10181332842327957</v>
      </c>
      <c r="Q140" t="s">
        <v>157</v>
      </c>
      <c r="S140" t="s">
        <v>403</v>
      </c>
      <c r="T140" t="s">
        <v>788</v>
      </c>
      <c r="U140">
        <v>0.11558626883673968</v>
      </c>
      <c r="V140" t="s">
        <v>157</v>
      </c>
    </row>
    <row r="141" spans="9:22" x14ac:dyDescent="0.45">
      <c r="I141" t="s">
        <v>181</v>
      </c>
      <c r="J141" t="s">
        <v>789</v>
      </c>
      <c r="K141">
        <v>1.6628325786604951E-2</v>
      </c>
      <c r="L141" t="s">
        <v>157</v>
      </c>
      <c r="N141" t="s">
        <v>292</v>
      </c>
      <c r="O141" t="s">
        <v>789</v>
      </c>
      <c r="P141">
        <v>9.1601454655777861E-2</v>
      </c>
      <c r="Q141" t="s">
        <v>157</v>
      </c>
      <c r="S141" t="s">
        <v>403</v>
      </c>
      <c r="T141" t="s">
        <v>789</v>
      </c>
      <c r="U141">
        <v>0.11695956076515308</v>
      </c>
      <c r="V141" t="s">
        <v>157</v>
      </c>
    </row>
    <row r="142" spans="9:22" x14ac:dyDescent="0.45">
      <c r="I142" t="s">
        <v>181</v>
      </c>
      <c r="J142" t="s">
        <v>790</v>
      </c>
      <c r="K142">
        <v>5.2169631403557716E-2</v>
      </c>
      <c r="L142" t="s">
        <v>157</v>
      </c>
      <c r="N142" t="s">
        <v>292</v>
      </c>
      <c r="O142" t="s">
        <v>790</v>
      </c>
      <c r="P142">
        <v>2.0270364556582009E-2</v>
      </c>
      <c r="Q142" t="s">
        <v>157</v>
      </c>
      <c r="S142" t="s">
        <v>403</v>
      </c>
      <c r="T142" t="s">
        <v>790</v>
      </c>
      <c r="U142">
        <v>2.1215931284666277E-2</v>
      </c>
      <c r="V142" t="s">
        <v>157</v>
      </c>
    </row>
    <row r="143" spans="9:22" x14ac:dyDescent="0.45">
      <c r="I143" t="s">
        <v>182</v>
      </c>
      <c r="J143" t="s">
        <v>779</v>
      </c>
      <c r="K143">
        <v>0.25533673144098468</v>
      </c>
      <c r="L143" t="s">
        <v>157</v>
      </c>
      <c r="N143" t="s">
        <v>293</v>
      </c>
      <c r="O143" t="s">
        <v>779</v>
      </c>
      <c r="P143">
        <v>0.16658145479466491</v>
      </c>
      <c r="Q143" t="s">
        <v>157</v>
      </c>
      <c r="S143" t="s">
        <v>404</v>
      </c>
      <c r="T143" t="s">
        <v>779</v>
      </c>
      <c r="U143">
        <v>0.11758036612795097</v>
      </c>
      <c r="V143" t="s">
        <v>157</v>
      </c>
    </row>
    <row r="144" spans="9:22" x14ac:dyDescent="0.45">
      <c r="I144" t="s">
        <v>182</v>
      </c>
      <c r="J144" t="s">
        <v>780</v>
      </c>
      <c r="K144">
        <v>4.6579273098867249E-3</v>
      </c>
      <c r="L144" t="s">
        <v>157</v>
      </c>
      <c r="N144" t="s">
        <v>293</v>
      </c>
      <c r="O144" t="s">
        <v>780</v>
      </c>
      <c r="P144">
        <v>0.1360187228623945</v>
      </c>
      <c r="Q144" t="s">
        <v>157</v>
      </c>
      <c r="S144" t="s">
        <v>404</v>
      </c>
      <c r="T144" t="s">
        <v>780</v>
      </c>
      <c r="U144">
        <v>0.11662185949202576</v>
      </c>
      <c r="V144" t="s">
        <v>157</v>
      </c>
    </row>
    <row r="145" spans="9:22" x14ac:dyDescent="0.45">
      <c r="I145" t="s">
        <v>182</v>
      </c>
      <c r="J145" t="s">
        <v>781</v>
      </c>
      <c r="K145">
        <v>3.7710502414872754E-2</v>
      </c>
      <c r="L145" t="s">
        <v>157</v>
      </c>
      <c r="N145" t="s">
        <v>293</v>
      </c>
      <c r="O145" t="s">
        <v>781</v>
      </c>
      <c r="P145">
        <v>3.1291164178311189E-2</v>
      </c>
      <c r="Q145" t="s">
        <v>157</v>
      </c>
      <c r="S145" t="s">
        <v>404</v>
      </c>
      <c r="T145" t="s">
        <v>781</v>
      </c>
      <c r="U145">
        <v>2.0679109562503444E-2</v>
      </c>
      <c r="V145" t="s">
        <v>157</v>
      </c>
    </row>
    <row r="146" spans="9:22" x14ac:dyDescent="0.45">
      <c r="I146" t="s">
        <v>182</v>
      </c>
      <c r="J146" t="s">
        <v>782</v>
      </c>
      <c r="K146">
        <v>0.1731094591364771</v>
      </c>
      <c r="L146" t="s">
        <v>157</v>
      </c>
      <c r="N146" t="s">
        <v>293</v>
      </c>
      <c r="O146" t="s">
        <v>782</v>
      </c>
      <c r="P146">
        <v>9.9663723173857494E-2</v>
      </c>
      <c r="Q146" t="s">
        <v>157</v>
      </c>
      <c r="S146" t="s">
        <v>404</v>
      </c>
      <c r="T146" t="s">
        <v>782</v>
      </c>
      <c r="U146">
        <v>0.11100248071585155</v>
      </c>
      <c r="V146" t="s">
        <v>157</v>
      </c>
    </row>
    <row r="147" spans="9:22" x14ac:dyDescent="0.45">
      <c r="I147" t="s">
        <v>182</v>
      </c>
      <c r="J147" t="s">
        <v>783</v>
      </c>
      <c r="K147">
        <v>1.2683187837735442E-3</v>
      </c>
      <c r="L147" t="s">
        <v>157</v>
      </c>
      <c r="N147" t="s">
        <v>293</v>
      </c>
      <c r="O147" t="s">
        <v>783</v>
      </c>
      <c r="P147">
        <v>0.10795528608059905</v>
      </c>
      <c r="Q147" t="s">
        <v>157</v>
      </c>
      <c r="S147" t="s">
        <v>404</v>
      </c>
      <c r="T147" t="s">
        <v>783</v>
      </c>
      <c r="U147">
        <v>0.10843867435870722</v>
      </c>
      <c r="V147" t="s">
        <v>157</v>
      </c>
    </row>
    <row r="148" spans="9:22" x14ac:dyDescent="0.45">
      <c r="I148" t="s">
        <v>182</v>
      </c>
      <c r="J148" t="s">
        <v>784</v>
      </c>
      <c r="K148">
        <v>2.3565074819653961E-2</v>
      </c>
      <c r="L148" t="s">
        <v>157</v>
      </c>
      <c r="N148" t="s">
        <v>293</v>
      </c>
      <c r="O148" t="s">
        <v>784</v>
      </c>
      <c r="P148">
        <v>1.6828955014709265E-2</v>
      </c>
      <c r="Q148" t="s">
        <v>157</v>
      </c>
      <c r="S148" t="s">
        <v>404</v>
      </c>
      <c r="T148" t="s">
        <v>784</v>
      </c>
      <c r="U148">
        <v>2.0155554651252072E-2</v>
      </c>
      <c r="V148" t="s">
        <v>157</v>
      </c>
    </row>
    <row r="149" spans="9:22" x14ac:dyDescent="0.45">
      <c r="I149" t="s">
        <v>182</v>
      </c>
      <c r="J149" t="s">
        <v>785</v>
      </c>
      <c r="K149">
        <v>0.11044580929803295</v>
      </c>
      <c r="L149" t="s">
        <v>157</v>
      </c>
      <c r="N149" t="s">
        <v>293</v>
      </c>
      <c r="O149" t="s">
        <v>785</v>
      </c>
      <c r="P149">
        <v>0.10612890595579362</v>
      </c>
      <c r="Q149" t="s">
        <v>157</v>
      </c>
      <c r="S149" t="s">
        <v>404</v>
      </c>
      <c r="T149" t="s">
        <v>785</v>
      </c>
      <c r="U149">
        <v>0.11414085355732369</v>
      </c>
      <c r="V149" t="s">
        <v>157</v>
      </c>
    </row>
    <row r="150" spans="9:22" x14ac:dyDescent="0.45">
      <c r="I150" t="s">
        <v>182</v>
      </c>
      <c r="J150" t="s">
        <v>786</v>
      </c>
      <c r="K150">
        <v>0</v>
      </c>
      <c r="L150" t="s">
        <v>157</v>
      </c>
      <c r="N150" t="s">
        <v>293</v>
      </c>
      <c r="O150" t="s">
        <v>786</v>
      </c>
      <c r="P150">
        <v>0.10344022910287493</v>
      </c>
      <c r="Q150" t="s">
        <v>157</v>
      </c>
      <c r="S150" t="s">
        <v>404</v>
      </c>
      <c r="T150" t="s">
        <v>786</v>
      </c>
      <c r="U150">
        <v>0.11625677942606097</v>
      </c>
      <c r="V150" t="s">
        <v>157</v>
      </c>
    </row>
    <row r="151" spans="9:22" x14ac:dyDescent="0.45">
      <c r="I151" t="s">
        <v>182</v>
      </c>
      <c r="J151" t="s">
        <v>787</v>
      </c>
      <c r="K151">
        <v>1.1407480589158067E-2</v>
      </c>
      <c r="L151" t="s">
        <v>157</v>
      </c>
      <c r="N151" t="s">
        <v>293</v>
      </c>
      <c r="O151" t="s">
        <v>787</v>
      </c>
      <c r="P151">
        <v>2.096784935754319E-2</v>
      </c>
      <c r="Q151" t="s">
        <v>157</v>
      </c>
      <c r="S151" t="s">
        <v>404</v>
      </c>
      <c r="T151" t="s">
        <v>787</v>
      </c>
      <c r="U151">
        <v>2.1225777120823047E-2</v>
      </c>
      <c r="V151" t="s">
        <v>157</v>
      </c>
    </row>
    <row r="152" spans="9:22" x14ac:dyDescent="0.45">
      <c r="I152" t="s">
        <v>182</v>
      </c>
      <c r="J152" t="s">
        <v>788</v>
      </c>
      <c r="K152">
        <v>0.31405769396393235</v>
      </c>
      <c r="L152" t="s">
        <v>157</v>
      </c>
      <c r="N152" t="s">
        <v>293</v>
      </c>
      <c r="O152" t="s">
        <v>788</v>
      </c>
      <c r="P152">
        <v>9.8341601908169568E-2</v>
      </c>
      <c r="Q152" t="s">
        <v>157</v>
      </c>
      <c r="S152" t="s">
        <v>404</v>
      </c>
      <c r="T152" t="s">
        <v>788</v>
      </c>
      <c r="U152">
        <v>0.1151646858704532</v>
      </c>
      <c r="V152" t="s">
        <v>157</v>
      </c>
    </row>
    <row r="153" spans="9:22" x14ac:dyDescent="0.45">
      <c r="I153" t="s">
        <v>182</v>
      </c>
      <c r="J153" t="s">
        <v>789</v>
      </c>
      <c r="K153">
        <v>1.6118611787108297E-2</v>
      </c>
      <c r="L153" t="s">
        <v>157</v>
      </c>
      <c r="N153" t="s">
        <v>293</v>
      </c>
      <c r="O153" t="s">
        <v>789</v>
      </c>
      <c r="P153">
        <v>9.0514367271303686E-2</v>
      </c>
      <c r="Q153" t="s">
        <v>157</v>
      </c>
      <c r="S153" t="s">
        <v>404</v>
      </c>
      <c r="T153" t="s">
        <v>789</v>
      </c>
      <c r="U153">
        <v>0.11757308706960477</v>
      </c>
      <c r="V153" t="s">
        <v>157</v>
      </c>
    </row>
    <row r="154" spans="9:22" x14ac:dyDescent="0.45">
      <c r="I154" t="s">
        <v>182</v>
      </c>
      <c r="J154" t="s">
        <v>790</v>
      </c>
      <c r="K154">
        <v>5.2322390456119548E-2</v>
      </c>
      <c r="L154" t="s">
        <v>157</v>
      </c>
      <c r="N154" t="s">
        <v>293</v>
      </c>
      <c r="O154" t="s">
        <v>790</v>
      </c>
      <c r="P154">
        <v>2.2267740299778589E-2</v>
      </c>
      <c r="Q154" t="s">
        <v>157</v>
      </c>
      <c r="S154" t="s">
        <v>404</v>
      </c>
      <c r="T154" t="s">
        <v>790</v>
      </c>
      <c r="U154">
        <v>2.1160772047443346E-2</v>
      </c>
      <c r="V154" t="s">
        <v>157</v>
      </c>
    </row>
    <row r="155" spans="9:22" x14ac:dyDescent="0.45">
      <c r="I155" t="s">
        <v>183</v>
      </c>
      <c r="J155" t="s">
        <v>779</v>
      </c>
      <c r="K155">
        <v>0.28562531958464393</v>
      </c>
      <c r="L155" t="s">
        <v>157</v>
      </c>
      <c r="N155" t="s">
        <v>294</v>
      </c>
      <c r="O155" t="s">
        <v>779</v>
      </c>
      <c r="P155">
        <v>0.16344135495913872</v>
      </c>
      <c r="Q155" t="s">
        <v>157</v>
      </c>
      <c r="S155" t="s">
        <v>405</v>
      </c>
      <c r="T155" t="s">
        <v>779</v>
      </c>
      <c r="U155">
        <v>0.11678963193716568</v>
      </c>
      <c r="V155" t="s">
        <v>157</v>
      </c>
    </row>
    <row r="156" spans="9:22" x14ac:dyDescent="0.45">
      <c r="I156" t="s">
        <v>183</v>
      </c>
      <c r="J156" t="s">
        <v>780</v>
      </c>
      <c r="K156">
        <v>6.2020665684129278E-3</v>
      </c>
      <c r="L156" t="s">
        <v>157</v>
      </c>
      <c r="N156" t="s">
        <v>294</v>
      </c>
      <c r="O156" t="s">
        <v>780</v>
      </c>
      <c r="P156">
        <v>0.12229066455552288</v>
      </c>
      <c r="Q156" t="s">
        <v>157</v>
      </c>
      <c r="S156" t="s">
        <v>405</v>
      </c>
      <c r="T156" t="s">
        <v>780</v>
      </c>
      <c r="U156">
        <v>0.11645117890645997</v>
      </c>
      <c r="V156" t="s">
        <v>157</v>
      </c>
    </row>
    <row r="157" spans="9:22" x14ac:dyDescent="0.45">
      <c r="I157" t="s">
        <v>183</v>
      </c>
      <c r="J157" t="s">
        <v>781</v>
      </c>
      <c r="K157">
        <v>3.3617900893293681E-2</v>
      </c>
      <c r="L157" t="s">
        <v>157</v>
      </c>
      <c r="N157" t="s">
        <v>294</v>
      </c>
      <c r="O157" t="s">
        <v>781</v>
      </c>
      <c r="P157">
        <v>2.9010646575432314E-2</v>
      </c>
      <c r="Q157" t="s">
        <v>157</v>
      </c>
      <c r="S157" t="s">
        <v>405</v>
      </c>
      <c r="T157" t="s">
        <v>781</v>
      </c>
      <c r="U157">
        <v>2.0556079490113097E-2</v>
      </c>
      <c r="V157" t="s">
        <v>157</v>
      </c>
    </row>
    <row r="158" spans="9:22" x14ac:dyDescent="0.45">
      <c r="I158" t="s">
        <v>183</v>
      </c>
      <c r="J158" t="s">
        <v>782</v>
      </c>
      <c r="K158">
        <v>0.15543638014857875</v>
      </c>
      <c r="L158" t="s">
        <v>157</v>
      </c>
      <c r="N158" t="s">
        <v>294</v>
      </c>
      <c r="O158" t="s">
        <v>782</v>
      </c>
      <c r="P158">
        <v>0.10921837292946182</v>
      </c>
      <c r="Q158" t="s">
        <v>157</v>
      </c>
      <c r="S158" t="s">
        <v>405</v>
      </c>
      <c r="T158" t="s">
        <v>782</v>
      </c>
      <c r="U158">
        <v>0.11019714900408749</v>
      </c>
      <c r="V158" t="s">
        <v>157</v>
      </c>
    </row>
    <row r="159" spans="9:22" x14ac:dyDescent="0.45">
      <c r="I159" t="s">
        <v>183</v>
      </c>
      <c r="J159" t="s">
        <v>783</v>
      </c>
      <c r="K159">
        <v>0</v>
      </c>
      <c r="L159" t="s">
        <v>157</v>
      </c>
      <c r="N159" t="s">
        <v>294</v>
      </c>
      <c r="O159" t="s">
        <v>783</v>
      </c>
      <c r="P159">
        <v>9.488048079844133E-2</v>
      </c>
      <c r="Q159" t="s">
        <v>157</v>
      </c>
      <c r="S159" t="s">
        <v>405</v>
      </c>
      <c r="T159" t="s">
        <v>783</v>
      </c>
      <c r="U159">
        <v>0.10735298458216382</v>
      </c>
      <c r="V159" t="s">
        <v>157</v>
      </c>
    </row>
    <row r="160" spans="9:22" x14ac:dyDescent="0.45">
      <c r="I160" t="s">
        <v>183</v>
      </c>
      <c r="J160" t="s">
        <v>784</v>
      </c>
      <c r="K160">
        <v>1.7073592292219476E-2</v>
      </c>
      <c r="L160" t="s">
        <v>157</v>
      </c>
      <c r="N160" t="s">
        <v>294</v>
      </c>
      <c r="O160" t="s">
        <v>784</v>
      </c>
      <c r="P160">
        <v>1.9640270001025775E-2</v>
      </c>
      <c r="Q160" t="s">
        <v>157</v>
      </c>
      <c r="S160" t="s">
        <v>405</v>
      </c>
      <c r="T160" t="s">
        <v>784</v>
      </c>
      <c r="U160">
        <v>2.0010206366951284E-2</v>
      </c>
      <c r="V160" t="s">
        <v>157</v>
      </c>
    </row>
    <row r="161" spans="9:22" x14ac:dyDescent="0.45">
      <c r="I161" t="s">
        <v>183</v>
      </c>
      <c r="J161" t="s">
        <v>785</v>
      </c>
      <c r="K161">
        <v>9.0209076456840301E-2</v>
      </c>
      <c r="L161" t="s">
        <v>157</v>
      </c>
      <c r="N161" t="s">
        <v>294</v>
      </c>
      <c r="O161" t="s">
        <v>785</v>
      </c>
      <c r="P161">
        <v>0.10487633079460357</v>
      </c>
      <c r="Q161" t="s">
        <v>157</v>
      </c>
      <c r="S161" t="s">
        <v>405</v>
      </c>
      <c r="T161" t="s">
        <v>785</v>
      </c>
      <c r="U161">
        <v>0.11498909446946683</v>
      </c>
      <c r="V161" t="s">
        <v>157</v>
      </c>
    </row>
    <row r="162" spans="9:22" x14ac:dyDescent="0.45">
      <c r="I162" t="s">
        <v>183</v>
      </c>
      <c r="J162" t="s">
        <v>786</v>
      </c>
      <c r="K162">
        <v>0</v>
      </c>
      <c r="L162" t="s">
        <v>157</v>
      </c>
      <c r="N162" t="s">
        <v>294</v>
      </c>
      <c r="O162" t="s">
        <v>786</v>
      </c>
      <c r="P162">
        <v>0.11111212935282637</v>
      </c>
      <c r="Q162" t="s">
        <v>157</v>
      </c>
      <c r="S162" t="s">
        <v>405</v>
      </c>
      <c r="T162" t="s">
        <v>786</v>
      </c>
      <c r="U162">
        <v>0.1171230875748189</v>
      </c>
      <c r="V162" t="s">
        <v>157</v>
      </c>
    </row>
    <row r="163" spans="9:22" x14ac:dyDescent="0.45">
      <c r="I163" t="s">
        <v>183</v>
      </c>
      <c r="J163" t="s">
        <v>787</v>
      </c>
      <c r="K163">
        <v>3.7590133047991246E-3</v>
      </c>
      <c r="L163" t="s">
        <v>157</v>
      </c>
      <c r="N163" t="s">
        <v>294</v>
      </c>
      <c r="O163" t="s">
        <v>787</v>
      </c>
      <c r="P163">
        <v>1.8241920735132151E-2</v>
      </c>
      <c r="Q163" t="s">
        <v>157</v>
      </c>
      <c r="S163" t="s">
        <v>405</v>
      </c>
      <c r="T163" t="s">
        <v>787</v>
      </c>
      <c r="U163">
        <v>2.153572607931778E-2</v>
      </c>
      <c r="V163" t="s">
        <v>157</v>
      </c>
    </row>
    <row r="164" spans="9:22" x14ac:dyDescent="0.45">
      <c r="I164" t="s">
        <v>183</v>
      </c>
      <c r="J164" t="s">
        <v>788</v>
      </c>
      <c r="K164">
        <v>0.33655467643874348</v>
      </c>
      <c r="L164" t="s">
        <v>157</v>
      </c>
      <c r="N164" t="s">
        <v>294</v>
      </c>
      <c r="O164" t="s">
        <v>788</v>
      </c>
      <c r="P164">
        <v>0.11952148928946653</v>
      </c>
      <c r="Q164" t="s">
        <v>157</v>
      </c>
      <c r="S164" t="s">
        <v>405</v>
      </c>
      <c r="T164" t="s">
        <v>788</v>
      </c>
      <c r="U164">
        <v>0.11596131010356145</v>
      </c>
      <c r="V164" t="s">
        <v>157</v>
      </c>
    </row>
    <row r="165" spans="9:22" x14ac:dyDescent="0.45">
      <c r="I165" t="s">
        <v>183</v>
      </c>
      <c r="J165" t="s">
        <v>789</v>
      </c>
      <c r="K165">
        <v>2.0796655582039025E-2</v>
      </c>
      <c r="L165" t="s">
        <v>157</v>
      </c>
      <c r="N165" t="s">
        <v>294</v>
      </c>
      <c r="O165" t="s">
        <v>789</v>
      </c>
      <c r="P165">
        <v>8.5978967284241967E-2</v>
      </c>
      <c r="Q165" t="s">
        <v>157</v>
      </c>
      <c r="S165" t="s">
        <v>405</v>
      </c>
      <c r="T165" t="s">
        <v>789</v>
      </c>
      <c r="U165">
        <v>0.11803424397540765</v>
      </c>
      <c r="V165" t="s">
        <v>157</v>
      </c>
    </row>
    <row r="166" spans="9:22" x14ac:dyDescent="0.45">
      <c r="I166" t="s">
        <v>183</v>
      </c>
      <c r="J166" t="s">
        <v>790</v>
      </c>
      <c r="K166">
        <v>5.0725318730429271E-2</v>
      </c>
      <c r="L166" t="s">
        <v>157</v>
      </c>
      <c r="N166" t="s">
        <v>294</v>
      </c>
      <c r="O166" t="s">
        <v>790</v>
      </c>
      <c r="P166">
        <v>2.1787372724706617E-2</v>
      </c>
      <c r="Q166" t="s">
        <v>157</v>
      </c>
      <c r="S166" t="s">
        <v>405</v>
      </c>
      <c r="T166" t="s">
        <v>790</v>
      </c>
      <c r="U166">
        <v>2.0999307510486051E-2</v>
      </c>
      <c r="V166" t="s">
        <v>157</v>
      </c>
    </row>
    <row r="167" spans="9:22" x14ac:dyDescent="0.45">
      <c r="I167" t="s">
        <v>184</v>
      </c>
      <c r="J167" t="s">
        <v>779</v>
      </c>
      <c r="K167">
        <v>0.2642656276767632</v>
      </c>
      <c r="L167" t="s">
        <v>157</v>
      </c>
      <c r="N167" t="s">
        <v>295</v>
      </c>
      <c r="O167" t="s">
        <v>779</v>
      </c>
      <c r="P167">
        <v>0.13180611765014555</v>
      </c>
      <c r="Q167" t="s">
        <v>157</v>
      </c>
      <c r="S167" t="s">
        <v>406</v>
      </c>
      <c r="T167" t="s">
        <v>779</v>
      </c>
      <c r="U167">
        <v>0.11552309642981097</v>
      </c>
      <c r="V167" t="s">
        <v>157</v>
      </c>
    </row>
    <row r="168" spans="9:22" x14ac:dyDescent="0.45">
      <c r="I168" t="s">
        <v>184</v>
      </c>
      <c r="J168" t="s">
        <v>780</v>
      </c>
      <c r="K168">
        <v>4.1427317931498567E-3</v>
      </c>
      <c r="L168" t="s">
        <v>157</v>
      </c>
      <c r="N168" t="s">
        <v>295</v>
      </c>
      <c r="O168" t="s">
        <v>780</v>
      </c>
      <c r="P168">
        <v>0.13261600812650862</v>
      </c>
      <c r="Q168" t="s">
        <v>157</v>
      </c>
      <c r="S168" t="s">
        <v>406</v>
      </c>
      <c r="T168" t="s">
        <v>780</v>
      </c>
      <c r="U168">
        <v>0.11467551974288234</v>
      </c>
      <c r="V168" t="s">
        <v>157</v>
      </c>
    </row>
    <row r="169" spans="9:22" x14ac:dyDescent="0.45">
      <c r="I169" t="s">
        <v>184</v>
      </c>
      <c r="J169" t="s">
        <v>781</v>
      </c>
      <c r="K169">
        <v>3.6095968112019525E-2</v>
      </c>
      <c r="L169" t="s">
        <v>157</v>
      </c>
      <c r="N169" t="s">
        <v>295</v>
      </c>
      <c r="O169" t="s">
        <v>781</v>
      </c>
      <c r="P169">
        <v>2.4424733757875107E-2</v>
      </c>
      <c r="Q169" t="s">
        <v>157</v>
      </c>
      <c r="S169" t="s">
        <v>406</v>
      </c>
      <c r="T169" t="s">
        <v>781</v>
      </c>
      <c r="U169">
        <v>2.0321155338599881E-2</v>
      </c>
      <c r="V169" t="s">
        <v>157</v>
      </c>
    </row>
    <row r="170" spans="9:22" x14ac:dyDescent="0.45">
      <c r="I170" t="s">
        <v>184</v>
      </c>
      <c r="J170" t="s">
        <v>782</v>
      </c>
      <c r="K170">
        <v>0.17337120140161871</v>
      </c>
      <c r="L170" t="s">
        <v>157</v>
      </c>
      <c r="N170" t="s">
        <v>295</v>
      </c>
      <c r="O170" t="s">
        <v>782</v>
      </c>
      <c r="P170">
        <v>0.1055949785220129</v>
      </c>
      <c r="Q170" t="s">
        <v>157</v>
      </c>
      <c r="S170" t="s">
        <v>406</v>
      </c>
      <c r="T170" t="s">
        <v>782</v>
      </c>
      <c r="U170">
        <v>0.10963648341093526</v>
      </c>
      <c r="V170" t="s">
        <v>157</v>
      </c>
    </row>
    <row r="171" spans="9:22" x14ac:dyDescent="0.45">
      <c r="I171" t="s">
        <v>184</v>
      </c>
      <c r="J171" t="s">
        <v>783</v>
      </c>
      <c r="K171">
        <v>6.9581420991617657E-4</v>
      </c>
      <c r="L171" t="s">
        <v>157</v>
      </c>
      <c r="N171" t="s">
        <v>295</v>
      </c>
      <c r="O171" t="s">
        <v>783</v>
      </c>
      <c r="P171">
        <v>0.10555687580553676</v>
      </c>
      <c r="Q171" t="s">
        <v>157</v>
      </c>
      <c r="S171" t="s">
        <v>406</v>
      </c>
      <c r="T171" t="s">
        <v>783</v>
      </c>
      <c r="U171">
        <v>0.10689744328383345</v>
      </c>
      <c r="V171" t="s">
        <v>157</v>
      </c>
    </row>
    <row r="172" spans="9:22" x14ac:dyDescent="0.45">
      <c r="I172" t="s">
        <v>184</v>
      </c>
      <c r="J172" t="s">
        <v>784</v>
      </c>
      <c r="K172">
        <v>2.3624955447776444E-2</v>
      </c>
      <c r="L172" t="s">
        <v>157</v>
      </c>
      <c r="N172" t="s">
        <v>295</v>
      </c>
      <c r="O172" t="s">
        <v>784</v>
      </c>
      <c r="P172">
        <v>2.1561272515020651E-2</v>
      </c>
      <c r="Q172" t="s">
        <v>157</v>
      </c>
      <c r="S172" t="s">
        <v>406</v>
      </c>
      <c r="T172" t="s">
        <v>784</v>
      </c>
      <c r="U172">
        <v>2.0009408902165616E-2</v>
      </c>
      <c r="V172" t="s">
        <v>157</v>
      </c>
    </row>
    <row r="173" spans="9:22" x14ac:dyDescent="0.45">
      <c r="I173" t="s">
        <v>184</v>
      </c>
      <c r="J173" t="s">
        <v>785</v>
      </c>
      <c r="K173">
        <v>0.1145801139604908</v>
      </c>
      <c r="L173" t="s">
        <v>157</v>
      </c>
      <c r="N173" t="s">
        <v>295</v>
      </c>
      <c r="O173" t="s">
        <v>785</v>
      </c>
      <c r="P173">
        <v>0.11435921471267163</v>
      </c>
      <c r="Q173" t="s">
        <v>157</v>
      </c>
      <c r="S173" t="s">
        <v>406</v>
      </c>
      <c r="T173" t="s">
        <v>785</v>
      </c>
      <c r="U173">
        <v>0.11680014996049203</v>
      </c>
      <c r="V173" t="s">
        <v>157</v>
      </c>
    </row>
    <row r="174" spans="9:22" x14ac:dyDescent="0.45">
      <c r="I174" t="s">
        <v>184</v>
      </c>
      <c r="J174" t="s">
        <v>786</v>
      </c>
      <c r="K174">
        <v>0</v>
      </c>
      <c r="L174" t="s">
        <v>157</v>
      </c>
      <c r="N174" t="s">
        <v>295</v>
      </c>
      <c r="O174" t="s">
        <v>786</v>
      </c>
      <c r="P174">
        <v>0.11389983014987283</v>
      </c>
      <c r="Q174" t="s">
        <v>157</v>
      </c>
      <c r="S174" t="s">
        <v>406</v>
      </c>
      <c r="T174" t="s">
        <v>786</v>
      </c>
      <c r="U174">
        <v>0.11793191756889919</v>
      </c>
      <c r="V174" t="s">
        <v>157</v>
      </c>
    </row>
    <row r="175" spans="9:22" x14ac:dyDescent="0.45">
      <c r="I175" t="s">
        <v>184</v>
      </c>
      <c r="J175" t="s">
        <v>787</v>
      </c>
      <c r="K175">
        <v>1.1191900108385323E-2</v>
      </c>
      <c r="L175" t="s">
        <v>157</v>
      </c>
      <c r="N175" t="s">
        <v>295</v>
      </c>
      <c r="O175" t="s">
        <v>787</v>
      </c>
      <c r="P175">
        <v>2.262475705919206E-2</v>
      </c>
      <c r="Q175" t="s">
        <v>157</v>
      </c>
      <c r="S175" t="s">
        <v>406</v>
      </c>
      <c r="T175" t="s">
        <v>787</v>
      </c>
      <c r="U175">
        <v>2.1742936174892574E-2</v>
      </c>
      <c r="V175" t="s">
        <v>157</v>
      </c>
    </row>
    <row r="176" spans="9:22" x14ac:dyDescent="0.45">
      <c r="I176" t="s">
        <v>184</v>
      </c>
      <c r="J176" t="s">
        <v>788</v>
      </c>
      <c r="K176">
        <v>0.30895217294651167</v>
      </c>
      <c r="L176" t="s">
        <v>157</v>
      </c>
      <c r="N176" t="s">
        <v>295</v>
      </c>
      <c r="O176" t="s">
        <v>788</v>
      </c>
      <c r="P176">
        <v>0.10491470517859022</v>
      </c>
      <c r="Q176" t="s">
        <v>157</v>
      </c>
      <c r="S176" t="s">
        <v>406</v>
      </c>
      <c r="T176" t="s">
        <v>788</v>
      </c>
      <c r="U176">
        <v>0.11690565500502256</v>
      </c>
      <c r="V176" t="s">
        <v>157</v>
      </c>
    </row>
    <row r="177" spans="9:22" x14ac:dyDescent="0.45">
      <c r="I177" t="s">
        <v>184</v>
      </c>
      <c r="J177" t="s">
        <v>789</v>
      </c>
      <c r="K177">
        <v>1.4664466711247898E-2</v>
      </c>
      <c r="L177" t="s">
        <v>157</v>
      </c>
      <c r="N177" t="s">
        <v>295</v>
      </c>
      <c r="O177" t="s">
        <v>789</v>
      </c>
      <c r="P177">
        <v>9.7831585789182954E-2</v>
      </c>
      <c r="Q177" t="s">
        <v>157</v>
      </c>
      <c r="S177" t="s">
        <v>406</v>
      </c>
      <c r="T177" t="s">
        <v>789</v>
      </c>
      <c r="U177">
        <v>0.11841625682677029</v>
      </c>
      <c r="V177" t="s">
        <v>157</v>
      </c>
    </row>
    <row r="178" spans="9:22" x14ac:dyDescent="0.45">
      <c r="I178" t="s">
        <v>184</v>
      </c>
      <c r="J178" t="s">
        <v>790</v>
      </c>
      <c r="K178">
        <v>4.8415047632120373E-2</v>
      </c>
      <c r="L178" t="s">
        <v>157</v>
      </c>
      <c r="N178" t="s">
        <v>295</v>
      </c>
      <c r="O178" t="s">
        <v>790</v>
      </c>
      <c r="P178">
        <v>2.4809920733390653E-2</v>
      </c>
      <c r="Q178" t="s">
        <v>157</v>
      </c>
      <c r="S178" t="s">
        <v>406</v>
      </c>
      <c r="T178" t="s">
        <v>790</v>
      </c>
      <c r="U178">
        <v>2.1139977355695935E-2</v>
      </c>
      <c r="V178" t="s">
        <v>157</v>
      </c>
    </row>
    <row r="179" spans="9:22" x14ac:dyDescent="0.45">
      <c r="I179" t="s">
        <v>185</v>
      </c>
      <c r="J179" t="s">
        <v>779</v>
      </c>
      <c r="K179">
        <v>0.26417106146495684</v>
      </c>
      <c r="L179" t="s">
        <v>157</v>
      </c>
      <c r="N179" t="s">
        <v>296</v>
      </c>
      <c r="O179" t="s">
        <v>779</v>
      </c>
      <c r="P179">
        <v>0.14923849425995514</v>
      </c>
      <c r="Q179" t="s">
        <v>157</v>
      </c>
      <c r="S179" t="s">
        <v>407</v>
      </c>
      <c r="T179" t="s">
        <v>779</v>
      </c>
      <c r="U179">
        <v>0.11469532970803115</v>
      </c>
      <c r="V179" t="s">
        <v>157</v>
      </c>
    </row>
    <row r="180" spans="9:22" x14ac:dyDescent="0.45">
      <c r="I180" t="s">
        <v>185</v>
      </c>
      <c r="J180" t="s">
        <v>780</v>
      </c>
      <c r="K180">
        <v>4.0480520611169525E-3</v>
      </c>
      <c r="L180" t="s">
        <v>157</v>
      </c>
      <c r="N180" t="s">
        <v>296</v>
      </c>
      <c r="O180" t="s">
        <v>780</v>
      </c>
      <c r="P180">
        <v>0.13295487427706648</v>
      </c>
      <c r="Q180" t="s">
        <v>157</v>
      </c>
      <c r="S180" t="s">
        <v>407</v>
      </c>
      <c r="T180" t="s">
        <v>780</v>
      </c>
      <c r="U180">
        <v>0.11223240925819508</v>
      </c>
      <c r="V180" t="s">
        <v>157</v>
      </c>
    </row>
    <row r="181" spans="9:22" x14ac:dyDescent="0.45">
      <c r="I181" t="s">
        <v>185</v>
      </c>
      <c r="J181" t="s">
        <v>781</v>
      </c>
      <c r="K181">
        <v>3.5915263808636133E-2</v>
      </c>
      <c r="L181" t="s">
        <v>157</v>
      </c>
      <c r="N181" t="s">
        <v>296</v>
      </c>
      <c r="O181" t="s">
        <v>781</v>
      </c>
      <c r="P181">
        <v>2.6954450762515302E-2</v>
      </c>
      <c r="Q181" t="s">
        <v>157</v>
      </c>
      <c r="S181" t="s">
        <v>407</v>
      </c>
      <c r="T181" t="s">
        <v>781</v>
      </c>
      <c r="U181">
        <v>2.0090397055490768E-2</v>
      </c>
      <c r="V181" t="s">
        <v>157</v>
      </c>
    </row>
    <row r="182" spans="9:22" x14ac:dyDescent="0.45">
      <c r="I182" t="s">
        <v>185</v>
      </c>
      <c r="J182" t="s">
        <v>782</v>
      </c>
      <c r="K182">
        <v>0.17323783395117651</v>
      </c>
      <c r="L182" t="s">
        <v>157</v>
      </c>
      <c r="N182" t="s">
        <v>296</v>
      </c>
      <c r="O182" t="s">
        <v>782</v>
      </c>
      <c r="P182">
        <v>0.10946720349797459</v>
      </c>
      <c r="Q182" t="s">
        <v>157</v>
      </c>
      <c r="S182" t="s">
        <v>407</v>
      </c>
      <c r="T182" t="s">
        <v>782</v>
      </c>
      <c r="U182">
        <v>0.11002276436450607</v>
      </c>
      <c r="V182" t="s">
        <v>157</v>
      </c>
    </row>
    <row r="183" spans="9:22" x14ac:dyDescent="0.45">
      <c r="I183" t="s">
        <v>185</v>
      </c>
      <c r="J183" t="s">
        <v>783</v>
      </c>
      <c r="K183">
        <v>8.204844126577371E-4</v>
      </c>
      <c r="L183" t="s">
        <v>157</v>
      </c>
      <c r="N183" t="s">
        <v>296</v>
      </c>
      <c r="O183" t="s">
        <v>783</v>
      </c>
      <c r="P183">
        <v>9.9146008555864321E-2</v>
      </c>
      <c r="Q183" t="s">
        <v>157</v>
      </c>
      <c r="S183" t="s">
        <v>407</v>
      </c>
      <c r="T183" t="s">
        <v>783</v>
      </c>
      <c r="U183">
        <v>0.10704021301897572</v>
      </c>
      <c r="V183" t="s">
        <v>157</v>
      </c>
    </row>
    <row r="184" spans="9:22" x14ac:dyDescent="0.45">
      <c r="I184" t="s">
        <v>185</v>
      </c>
      <c r="J184" t="s">
        <v>784</v>
      </c>
      <c r="K184">
        <v>2.3361882148137489E-2</v>
      </c>
      <c r="L184" t="s">
        <v>157</v>
      </c>
      <c r="N184" t="s">
        <v>296</v>
      </c>
      <c r="O184" t="s">
        <v>784</v>
      </c>
      <c r="P184">
        <v>1.9781502527804321E-2</v>
      </c>
      <c r="Q184" t="s">
        <v>157</v>
      </c>
      <c r="S184" t="s">
        <v>407</v>
      </c>
      <c r="T184" t="s">
        <v>784</v>
      </c>
      <c r="U184">
        <v>2.0180705430426653E-2</v>
      </c>
      <c r="V184" t="s">
        <v>157</v>
      </c>
    </row>
    <row r="185" spans="9:22" x14ac:dyDescent="0.45">
      <c r="I185" t="s">
        <v>185</v>
      </c>
      <c r="J185" t="s">
        <v>785</v>
      </c>
      <c r="K185">
        <v>0.11527324395461845</v>
      </c>
      <c r="L185" t="s">
        <v>157</v>
      </c>
      <c r="N185" t="s">
        <v>296</v>
      </c>
      <c r="O185" t="s">
        <v>785</v>
      </c>
      <c r="P185">
        <v>0.11255525363209347</v>
      </c>
      <c r="Q185" t="s">
        <v>157</v>
      </c>
      <c r="S185" t="s">
        <v>407</v>
      </c>
      <c r="T185" t="s">
        <v>785</v>
      </c>
      <c r="U185">
        <v>0.1183720267470912</v>
      </c>
      <c r="V185" t="s">
        <v>157</v>
      </c>
    </row>
    <row r="186" spans="9:22" x14ac:dyDescent="0.45">
      <c r="I186" t="s">
        <v>185</v>
      </c>
      <c r="J186" t="s">
        <v>786</v>
      </c>
      <c r="K186">
        <v>0</v>
      </c>
      <c r="L186" t="s">
        <v>157</v>
      </c>
      <c r="N186" t="s">
        <v>296</v>
      </c>
      <c r="O186" t="s">
        <v>786</v>
      </c>
      <c r="P186">
        <v>0.10444613392046352</v>
      </c>
      <c r="Q186" t="s">
        <v>157</v>
      </c>
      <c r="S186" t="s">
        <v>407</v>
      </c>
      <c r="T186" t="s">
        <v>786</v>
      </c>
      <c r="U186">
        <v>0.11860070378838837</v>
      </c>
      <c r="V186" t="s">
        <v>157</v>
      </c>
    </row>
    <row r="187" spans="9:22" x14ac:dyDescent="0.45">
      <c r="I187" t="s">
        <v>185</v>
      </c>
      <c r="J187" t="s">
        <v>787</v>
      </c>
      <c r="K187">
        <v>1.1395129680299118E-2</v>
      </c>
      <c r="L187" t="s">
        <v>157</v>
      </c>
      <c r="N187" t="s">
        <v>296</v>
      </c>
      <c r="O187" t="s">
        <v>787</v>
      </c>
      <c r="P187">
        <v>2.0693547242603163E-2</v>
      </c>
      <c r="Q187" t="s">
        <v>157</v>
      </c>
      <c r="S187" t="s">
        <v>407</v>
      </c>
      <c r="T187" t="s">
        <v>787</v>
      </c>
      <c r="U187">
        <v>2.1850132552899602E-2</v>
      </c>
      <c r="V187" t="s">
        <v>157</v>
      </c>
    </row>
    <row r="188" spans="9:22" x14ac:dyDescent="0.45">
      <c r="I188" t="s">
        <v>185</v>
      </c>
      <c r="J188" t="s">
        <v>788</v>
      </c>
      <c r="K188">
        <v>0.30809673594720177</v>
      </c>
      <c r="L188" t="s">
        <v>157</v>
      </c>
      <c r="N188" t="s">
        <v>296</v>
      </c>
      <c r="O188" t="s">
        <v>788</v>
      </c>
      <c r="P188">
        <v>0.11282357779004344</v>
      </c>
      <c r="Q188" t="s">
        <v>157</v>
      </c>
      <c r="S188" t="s">
        <v>407</v>
      </c>
      <c r="T188" t="s">
        <v>788</v>
      </c>
      <c r="U188">
        <v>0.11717574998515765</v>
      </c>
      <c r="V188" t="s">
        <v>157</v>
      </c>
    </row>
    <row r="189" spans="9:22" x14ac:dyDescent="0.45">
      <c r="I189" t="s">
        <v>185</v>
      </c>
      <c r="J189" t="s">
        <v>789</v>
      </c>
      <c r="K189">
        <v>1.4617044094634981E-2</v>
      </c>
      <c r="L189" t="s">
        <v>157</v>
      </c>
      <c r="N189" t="s">
        <v>296</v>
      </c>
      <c r="O189" t="s">
        <v>789</v>
      </c>
      <c r="P189">
        <v>8.8391631814426275E-2</v>
      </c>
      <c r="Q189" t="s">
        <v>157</v>
      </c>
      <c r="S189" t="s">
        <v>407</v>
      </c>
      <c r="T189" t="s">
        <v>789</v>
      </c>
      <c r="U189">
        <v>0.11832782853680295</v>
      </c>
      <c r="V189" t="s">
        <v>157</v>
      </c>
    </row>
    <row r="190" spans="9:22" x14ac:dyDescent="0.45">
      <c r="I190" t="s">
        <v>185</v>
      </c>
      <c r="J190" t="s">
        <v>790</v>
      </c>
      <c r="K190">
        <v>4.9063268476563983E-2</v>
      </c>
      <c r="L190" t="s">
        <v>157</v>
      </c>
      <c r="N190" t="s">
        <v>296</v>
      </c>
      <c r="O190" t="s">
        <v>790</v>
      </c>
      <c r="P190">
        <v>2.354732171919002E-2</v>
      </c>
      <c r="Q190" t="s">
        <v>157</v>
      </c>
      <c r="S190" t="s">
        <v>407</v>
      </c>
      <c r="T190" t="s">
        <v>790</v>
      </c>
      <c r="U190">
        <v>2.1411739554034803E-2</v>
      </c>
      <c r="V190" t="s">
        <v>157</v>
      </c>
    </row>
    <row r="191" spans="9:22" x14ac:dyDescent="0.45">
      <c r="I191" t="s">
        <v>186</v>
      </c>
      <c r="J191" t="s">
        <v>779</v>
      </c>
      <c r="K191">
        <v>0.26728518105920507</v>
      </c>
      <c r="L191" t="s">
        <v>157</v>
      </c>
      <c r="N191" t="s">
        <v>297</v>
      </c>
      <c r="O191" t="s">
        <v>779</v>
      </c>
      <c r="P191">
        <v>0.13664665504094872</v>
      </c>
      <c r="Q191" t="s">
        <v>157</v>
      </c>
      <c r="S191" t="s">
        <v>408</v>
      </c>
      <c r="T191" t="s">
        <v>779</v>
      </c>
      <c r="U191">
        <v>0.1146169690700371</v>
      </c>
      <c r="V191" t="s">
        <v>157</v>
      </c>
    </row>
    <row r="192" spans="9:22" x14ac:dyDescent="0.45">
      <c r="I192" t="s">
        <v>186</v>
      </c>
      <c r="J192" t="s">
        <v>780</v>
      </c>
      <c r="K192">
        <v>4.2207706254689835E-3</v>
      </c>
      <c r="L192" t="s">
        <v>157</v>
      </c>
      <c r="N192" t="s">
        <v>297</v>
      </c>
      <c r="O192" t="s">
        <v>780</v>
      </c>
      <c r="P192">
        <v>0.12841370314134895</v>
      </c>
      <c r="Q192" t="s">
        <v>157</v>
      </c>
      <c r="S192" t="s">
        <v>408</v>
      </c>
      <c r="T192" t="s">
        <v>780</v>
      </c>
      <c r="U192">
        <v>0.11024086312293092</v>
      </c>
      <c r="V192" t="s">
        <v>157</v>
      </c>
    </row>
    <row r="193" spans="9:22" x14ac:dyDescent="0.45">
      <c r="I193" t="s">
        <v>186</v>
      </c>
      <c r="J193" t="s">
        <v>781</v>
      </c>
      <c r="K193">
        <v>3.7700745307456457E-2</v>
      </c>
      <c r="L193" t="s">
        <v>157</v>
      </c>
      <c r="N193" t="s">
        <v>297</v>
      </c>
      <c r="O193" t="s">
        <v>781</v>
      </c>
      <c r="P193">
        <v>2.4823317351244871E-2</v>
      </c>
      <c r="Q193" t="s">
        <v>157</v>
      </c>
      <c r="S193" t="s">
        <v>408</v>
      </c>
      <c r="T193" t="s">
        <v>781</v>
      </c>
      <c r="U193">
        <v>1.9884353625699937E-2</v>
      </c>
      <c r="V193" t="s">
        <v>157</v>
      </c>
    </row>
    <row r="194" spans="9:22" x14ac:dyDescent="0.45">
      <c r="I194" t="s">
        <v>186</v>
      </c>
      <c r="J194" t="s">
        <v>782</v>
      </c>
      <c r="K194">
        <v>0.17131157695974186</v>
      </c>
      <c r="L194" t="s">
        <v>157</v>
      </c>
      <c r="N194" t="s">
        <v>297</v>
      </c>
      <c r="O194" t="s">
        <v>782</v>
      </c>
      <c r="P194">
        <v>0.10222793993738508</v>
      </c>
      <c r="Q194" t="s">
        <v>157</v>
      </c>
      <c r="S194" t="s">
        <v>408</v>
      </c>
      <c r="T194" t="s">
        <v>782</v>
      </c>
      <c r="U194">
        <v>0.11122918794359948</v>
      </c>
      <c r="V194" t="s">
        <v>157</v>
      </c>
    </row>
    <row r="195" spans="9:22" x14ac:dyDescent="0.45">
      <c r="I195" t="s">
        <v>186</v>
      </c>
      <c r="J195" t="s">
        <v>783</v>
      </c>
      <c r="K195">
        <v>7.7863043209321471E-4</v>
      </c>
      <c r="L195" t="s">
        <v>157</v>
      </c>
      <c r="N195" t="s">
        <v>297</v>
      </c>
      <c r="O195" t="s">
        <v>783</v>
      </c>
      <c r="P195">
        <v>0.10546635347550783</v>
      </c>
      <c r="Q195" t="s">
        <v>157</v>
      </c>
      <c r="S195" t="s">
        <v>408</v>
      </c>
      <c r="T195" t="s">
        <v>783</v>
      </c>
      <c r="U195">
        <v>0.10813516063264327</v>
      </c>
      <c r="V195" t="s">
        <v>157</v>
      </c>
    </row>
    <row r="196" spans="9:22" x14ac:dyDescent="0.45">
      <c r="I196" t="s">
        <v>186</v>
      </c>
      <c r="J196" t="s">
        <v>784</v>
      </c>
      <c r="K196">
        <v>2.2401656011336743E-2</v>
      </c>
      <c r="L196" t="s">
        <v>157</v>
      </c>
      <c r="N196" t="s">
        <v>297</v>
      </c>
      <c r="O196" t="s">
        <v>784</v>
      </c>
      <c r="P196">
        <v>2.0240816687917777E-2</v>
      </c>
      <c r="Q196" t="s">
        <v>157</v>
      </c>
      <c r="S196" t="s">
        <v>408</v>
      </c>
      <c r="T196" t="s">
        <v>784</v>
      </c>
      <c r="U196">
        <v>2.0595381987337777E-2</v>
      </c>
      <c r="V196" t="s">
        <v>157</v>
      </c>
    </row>
    <row r="197" spans="9:22" x14ac:dyDescent="0.45">
      <c r="I197" t="s">
        <v>186</v>
      </c>
      <c r="J197" t="s">
        <v>785</v>
      </c>
      <c r="K197">
        <v>0.11219693036872537</v>
      </c>
      <c r="L197" t="s">
        <v>157</v>
      </c>
      <c r="N197" t="s">
        <v>297</v>
      </c>
      <c r="O197" t="s">
        <v>785</v>
      </c>
      <c r="P197">
        <v>0.11226067218871677</v>
      </c>
      <c r="Q197" t="s">
        <v>157</v>
      </c>
      <c r="S197" t="s">
        <v>408</v>
      </c>
      <c r="T197" t="s">
        <v>785</v>
      </c>
      <c r="U197">
        <v>0.11857455701125579</v>
      </c>
      <c r="V197" t="s">
        <v>157</v>
      </c>
    </row>
    <row r="198" spans="9:22" x14ac:dyDescent="0.45">
      <c r="I198" t="s">
        <v>186</v>
      </c>
      <c r="J198" t="s">
        <v>786</v>
      </c>
      <c r="K198">
        <v>0</v>
      </c>
      <c r="L198" t="s">
        <v>157</v>
      </c>
      <c r="N198" t="s">
        <v>297</v>
      </c>
      <c r="O198" t="s">
        <v>786</v>
      </c>
      <c r="P198">
        <v>0.11054146778428192</v>
      </c>
      <c r="Q198" t="s">
        <v>157</v>
      </c>
      <c r="S198" t="s">
        <v>408</v>
      </c>
      <c r="T198" t="s">
        <v>786</v>
      </c>
      <c r="U198">
        <v>0.11857416246096816</v>
      </c>
      <c r="V198" t="s">
        <v>157</v>
      </c>
    </row>
    <row r="199" spans="9:22" x14ac:dyDescent="0.45">
      <c r="I199" t="s">
        <v>186</v>
      </c>
      <c r="J199" t="s">
        <v>787</v>
      </c>
      <c r="K199">
        <v>1.0982914961660328E-2</v>
      </c>
      <c r="L199" t="s">
        <v>157</v>
      </c>
      <c r="N199" t="s">
        <v>297</v>
      </c>
      <c r="O199" t="s">
        <v>787</v>
      </c>
      <c r="P199">
        <v>2.1466554486280678E-2</v>
      </c>
      <c r="Q199" t="s">
        <v>157</v>
      </c>
      <c r="S199" t="s">
        <v>408</v>
      </c>
      <c r="T199" t="s">
        <v>787</v>
      </c>
      <c r="U199">
        <v>2.1977281886756742E-2</v>
      </c>
      <c r="V199" t="s">
        <v>157</v>
      </c>
    </row>
    <row r="200" spans="9:22" x14ac:dyDescent="0.45">
      <c r="I200" t="s">
        <v>186</v>
      </c>
      <c r="J200" t="s">
        <v>788</v>
      </c>
      <c r="K200">
        <v>0.30865669078638913</v>
      </c>
      <c r="L200" t="s">
        <v>157</v>
      </c>
      <c r="N200" t="s">
        <v>297</v>
      </c>
      <c r="O200" t="s">
        <v>788</v>
      </c>
      <c r="P200">
        <v>0.10720387758812563</v>
      </c>
      <c r="Q200" t="s">
        <v>157</v>
      </c>
      <c r="S200" t="s">
        <v>408</v>
      </c>
      <c r="T200" t="s">
        <v>788</v>
      </c>
      <c r="U200">
        <v>0.11704782395175981</v>
      </c>
      <c r="V200" t="s">
        <v>157</v>
      </c>
    </row>
    <row r="201" spans="9:22" x14ac:dyDescent="0.45">
      <c r="I201" t="s">
        <v>186</v>
      </c>
      <c r="J201" t="s">
        <v>789</v>
      </c>
      <c r="K201">
        <v>1.4643218617232383E-2</v>
      </c>
      <c r="L201" t="s">
        <v>157</v>
      </c>
      <c r="N201" t="s">
        <v>297</v>
      </c>
      <c r="O201" t="s">
        <v>789</v>
      </c>
      <c r="P201">
        <v>0.10809415661173953</v>
      </c>
      <c r="Q201" t="s">
        <v>157</v>
      </c>
      <c r="S201" t="s">
        <v>408</v>
      </c>
      <c r="T201" t="s">
        <v>789</v>
      </c>
      <c r="U201">
        <v>0.11769257696649656</v>
      </c>
      <c r="V201" t="s">
        <v>157</v>
      </c>
    </row>
    <row r="202" spans="9:22" x14ac:dyDescent="0.45">
      <c r="I202" t="s">
        <v>186</v>
      </c>
      <c r="J202" t="s">
        <v>790</v>
      </c>
      <c r="K202">
        <v>4.9821684870690539E-2</v>
      </c>
      <c r="L202" t="s">
        <v>157</v>
      </c>
      <c r="N202" t="s">
        <v>297</v>
      </c>
      <c r="O202" t="s">
        <v>790</v>
      </c>
      <c r="P202">
        <v>2.2614485706502176E-2</v>
      </c>
      <c r="Q202" t="s">
        <v>157</v>
      </c>
      <c r="S202" t="s">
        <v>408</v>
      </c>
      <c r="T202" t="s">
        <v>790</v>
      </c>
      <c r="U202">
        <v>2.1431681340514548E-2</v>
      </c>
      <c r="V202" t="s">
        <v>157</v>
      </c>
    </row>
    <row r="203" spans="9:22" x14ac:dyDescent="0.45">
      <c r="I203" t="s">
        <v>187</v>
      </c>
      <c r="J203" t="s">
        <v>779</v>
      </c>
      <c r="K203">
        <v>0.28345226961960396</v>
      </c>
      <c r="L203" t="s">
        <v>157</v>
      </c>
      <c r="N203" t="s">
        <v>298</v>
      </c>
      <c r="O203" t="s">
        <v>779</v>
      </c>
      <c r="P203">
        <v>0.17653622495102028</v>
      </c>
      <c r="Q203" t="s">
        <v>157</v>
      </c>
      <c r="S203" t="s">
        <v>409</v>
      </c>
      <c r="T203" t="s">
        <v>779</v>
      </c>
      <c r="U203">
        <v>0.11443009734346027</v>
      </c>
      <c r="V203" t="s">
        <v>157</v>
      </c>
    </row>
    <row r="204" spans="9:22" x14ac:dyDescent="0.45">
      <c r="I204" t="s">
        <v>187</v>
      </c>
      <c r="J204" t="s">
        <v>780</v>
      </c>
      <c r="K204">
        <v>6.2251581171639241E-3</v>
      </c>
      <c r="L204" t="s">
        <v>157</v>
      </c>
      <c r="N204" t="s">
        <v>298</v>
      </c>
      <c r="O204" t="s">
        <v>780</v>
      </c>
      <c r="P204">
        <v>0.12006118627653481</v>
      </c>
      <c r="Q204" t="s">
        <v>157</v>
      </c>
      <c r="S204" t="s">
        <v>409</v>
      </c>
      <c r="T204" t="s">
        <v>780</v>
      </c>
      <c r="U204">
        <v>0.10883351374715661</v>
      </c>
      <c r="V204" t="s">
        <v>157</v>
      </c>
    </row>
    <row r="205" spans="9:22" x14ac:dyDescent="0.45">
      <c r="I205" t="s">
        <v>187</v>
      </c>
      <c r="J205" t="s">
        <v>781</v>
      </c>
      <c r="K205">
        <v>3.3199295277140141E-2</v>
      </c>
      <c r="L205" t="s">
        <v>157</v>
      </c>
      <c r="N205" t="s">
        <v>298</v>
      </c>
      <c r="O205" t="s">
        <v>781</v>
      </c>
      <c r="P205">
        <v>2.889355949327857E-2</v>
      </c>
      <c r="Q205" t="s">
        <v>157</v>
      </c>
      <c r="S205" t="s">
        <v>409</v>
      </c>
      <c r="T205" t="s">
        <v>781</v>
      </c>
      <c r="U205">
        <v>1.9638824772344573E-2</v>
      </c>
      <c r="V205" t="s">
        <v>157</v>
      </c>
    </row>
    <row r="206" spans="9:22" x14ac:dyDescent="0.45">
      <c r="I206" t="s">
        <v>187</v>
      </c>
      <c r="J206" t="s">
        <v>782</v>
      </c>
      <c r="K206">
        <v>0.15735193171786935</v>
      </c>
      <c r="L206" t="s">
        <v>157</v>
      </c>
      <c r="N206" t="s">
        <v>298</v>
      </c>
      <c r="O206" t="s">
        <v>782</v>
      </c>
      <c r="P206">
        <v>0.1117129787980618</v>
      </c>
      <c r="Q206" t="s">
        <v>157</v>
      </c>
      <c r="S206" t="s">
        <v>409</v>
      </c>
      <c r="T206" t="s">
        <v>782</v>
      </c>
      <c r="U206">
        <v>0.11215023863484046</v>
      </c>
      <c r="V206" t="s">
        <v>157</v>
      </c>
    </row>
    <row r="207" spans="9:22" x14ac:dyDescent="0.45">
      <c r="I207" t="s">
        <v>187</v>
      </c>
      <c r="J207" t="s">
        <v>783</v>
      </c>
      <c r="K207">
        <v>0</v>
      </c>
      <c r="L207" t="s">
        <v>157</v>
      </c>
      <c r="N207" t="s">
        <v>298</v>
      </c>
      <c r="O207" t="s">
        <v>783</v>
      </c>
      <c r="P207">
        <v>8.8740571435690668E-2</v>
      </c>
      <c r="Q207" t="s">
        <v>157</v>
      </c>
      <c r="S207" t="s">
        <v>409</v>
      </c>
      <c r="T207" t="s">
        <v>783</v>
      </c>
      <c r="U207">
        <v>0.11012335899009353</v>
      </c>
      <c r="V207" t="s">
        <v>157</v>
      </c>
    </row>
    <row r="208" spans="9:22" x14ac:dyDescent="0.45">
      <c r="I208" t="s">
        <v>187</v>
      </c>
      <c r="J208" t="s">
        <v>784</v>
      </c>
      <c r="K208">
        <v>1.7658224557100425E-2</v>
      </c>
      <c r="L208" t="s">
        <v>157</v>
      </c>
      <c r="N208" t="s">
        <v>298</v>
      </c>
      <c r="O208" t="s">
        <v>784</v>
      </c>
      <c r="P208">
        <v>1.8607937088210964E-2</v>
      </c>
      <c r="Q208" t="s">
        <v>157</v>
      </c>
      <c r="S208" t="s">
        <v>409</v>
      </c>
      <c r="T208" t="s">
        <v>784</v>
      </c>
      <c r="U208">
        <v>2.1418185251580981E-2</v>
      </c>
      <c r="V208" t="s">
        <v>157</v>
      </c>
    </row>
    <row r="209" spans="9:22" x14ac:dyDescent="0.45">
      <c r="I209" t="s">
        <v>187</v>
      </c>
      <c r="J209" t="s">
        <v>785</v>
      </c>
      <c r="K209">
        <v>8.8856734123579861E-2</v>
      </c>
      <c r="L209" t="s">
        <v>157</v>
      </c>
      <c r="N209" t="s">
        <v>298</v>
      </c>
      <c r="O209" t="s">
        <v>785</v>
      </c>
      <c r="P209">
        <v>0.10143612637303247</v>
      </c>
      <c r="Q209" t="s">
        <v>157</v>
      </c>
      <c r="S209" t="s">
        <v>409</v>
      </c>
      <c r="T209" t="s">
        <v>785</v>
      </c>
      <c r="U209">
        <v>0.11801071224879119</v>
      </c>
      <c r="V209" t="s">
        <v>157</v>
      </c>
    </row>
    <row r="210" spans="9:22" x14ac:dyDescent="0.45">
      <c r="I210" t="s">
        <v>187</v>
      </c>
      <c r="J210" t="s">
        <v>786</v>
      </c>
      <c r="K210">
        <v>0</v>
      </c>
      <c r="L210" t="s">
        <v>157</v>
      </c>
      <c r="N210" t="s">
        <v>298</v>
      </c>
      <c r="O210" t="s">
        <v>786</v>
      </c>
      <c r="P210">
        <v>0.10897015239958389</v>
      </c>
      <c r="Q210" t="s">
        <v>157</v>
      </c>
      <c r="S210" t="s">
        <v>409</v>
      </c>
      <c r="T210" t="s">
        <v>786</v>
      </c>
      <c r="U210">
        <v>0.11767324006768416</v>
      </c>
      <c r="V210" t="s">
        <v>157</v>
      </c>
    </row>
    <row r="211" spans="9:22" x14ac:dyDescent="0.45">
      <c r="I211" t="s">
        <v>187</v>
      </c>
      <c r="J211" t="s">
        <v>787</v>
      </c>
      <c r="K211">
        <v>3.3161852126949651E-3</v>
      </c>
      <c r="L211" t="s">
        <v>157</v>
      </c>
      <c r="N211" t="s">
        <v>298</v>
      </c>
      <c r="O211" t="s">
        <v>787</v>
      </c>
      <c r="P211">
        <v>1.7378043974772342E-2</v>
      </c>
      <c r="Q211" t="s">
        <v>157</v>
      </c>
      <c r="S211" t="s">
        <v>409</v>
      </c>
      <c r="T211" t="s">
        <v>787</v>
      </c>
      <c r="U211">
        <v>2.1963830475116811E-2</v>
      </c>
      <c r="V211" t="s">
        <v>157</v>
      </c>
    </row>
    <row r="212" spans="9:22" x14ac:dyDescent="0.45">
      <c r="I212" t="s">
        <v>187</v>
      </c>
      <c r="J212" t="s">
        <v>788</v>
      </c>
      <c r="K212">
        <v>0.33699087947005762</v>
      </c>
      <c r="L212" t="s">
        <v>157</v>
      </c>
      <c r="N212" t="s">
        <v>298</v>
      </c>
      <c r="O212" t="s">
        <v>788</v>
      </c>
      <c r="P212">
        <v>0.12647157511755575</v>
      </c>
      <c r="Q212" t="s">
        <v>157</v>
      </c>
      <c r="S212" t="s">
        <v>409</v>
      </c>
      <c r="T212" t="s">
        <v>788</v>
      </c>
      <c r="U212">
        <v>0.1169529808504695</v>
      </c>
      <c r="V212" t="s">
        <v>157</v>
      </c>
    </row>
    <row r="213" spans="9:22" x14ac:dyDescent="0.45">
      <c r="I213" t="s">
        <v>187</v>
      </c>
      <c r="J213" t="s">
        <v>789</v>
      </c>
      <c r="K213">
        <v>2.0714991616702896E-2</v>
      </c>
      <c r="L213" t="s">
        <v>157</v>
      </c>
      <c r="N213" t="s">
        <v>298</v>
      </c>
      <c r="O213" t="s">
        <v>789</v>
      </c>
      <c r="P213">
        <v>7.9188833691786586E-2</v>
      </c>
      <c r="Q213" t="s">
        <v>157</v>
      </c>
      <c r="S213" t="s">
        <v>409</v>
      </c>
      <c r="T213" t="s">
        <v>789</v>
      </c>
      <c r="U213">
        <v>0.11711769439747317</v>
      </c>
      <c r="V213" t="s">
        <v>157</v>
      </c>
    </row>
    <row r="214" spans="9:22" x14ac:dyDescent="0.45">
      <c r="I214" t="s">
        <v>187</v>
      </c>
      <c r="J214" t="s">
        <v>790</v>
      </c>
      <c r="K214">
        <v>5.2234330288086835E-2</v>
      </c>
      <c r="L214" t="s">
        <v>157</v>
      </c>
      <c r="N214" t="s">
        <v>298</v>
      </c>
      <c r="O214" t="s">
        <v>790</v>
      </c>
      <c r="P214">
        <v>2.2002810400471813E-2</v>
      </c>
      <c r="Q214" t="s">
        <v>157</v>
      </c>
      <c r="S214" t="s">
        <v>409</v>
      </c>
      <c r="T214" t="s">
        <v>790</v>
      </c>
      <c r="U214">
        <v>2.168732322098875E-2</v>
      </c>
      <c r="V214" t="s">
        <v>157</v>
      </c>
    </row>
    <row r="215" spans="9:22" x14ac:dyDescent="0.45">
      <c r="I215" t="s">
        <v>188</v>
      </c>
      <c r="J215" t="s">
        <v>779</v>
      </c>
      <c r="K215">
        <v>0.2804504468698113</v>
      </c>
      <c r="L215" t="s">
        <v>157</v>
      </c>
      <c r="N215" t="s">
        <v>299</v>
      </c>
      <c r="O215" t="s">
        <v>779</v>
      </c>
      <c r="P215">
        <v>0.17420679937819364</v>
      </c>
      <c r="Q215" t="s">
        <v>157</v>
      </c>
      <c r="S215" t="s">
        <v>410</v>
      </c>
      <c r="T215" t="s">
        <v>779</v>
      </c>
      <c r="U215">
        <v>0.11304618351345579</v>
      </c>
      <c r="V215" t="s">
        <v>157</v>
      </c>
    </row>
    <row r="216" spans="9:22" x14ac:dyDescent="0.45">
      <c r="I216" t="s">
        <v>188</v>
      </c>
      <c r="J216" t="s">
        <v>780</v>
      </c>
      <c r="K216">
        <v>6.3242334260998909E-3</v>
      </c>
      <c r="L216" t="s">
        <v>157</v>
      </c>
      <c r="N216" t="s">
        <v>299</v>
      </c>
      <c r="O216" t="s">
        <v>780</v>
      </c>
      <c r="P216">
        <v>0.11293984455193962</v>
      </c>
      <c r="Q216" t="s">
        <v>157</v>
      </c>
      <c r="S216" t="s">
        <v>410</v>
      </c>
      <c r="T216" t="s">
        <v>780</v>
      </c>
      <c r="U216">
        <v>0.10889647213640197</v>
      </c>
      <c r="V216" t="s">
        <v>157</v>
      </c>
    </row>
    <row r="217" spans="9:22" x14ac:dyDescent="0.45">
      <c r="I217" t="s">
        <v>188</v>
      </c>
      <c r="J217" t="s">
        <v>781</v>
      </c>
      <c r="K217">
        <v>3.3731120536847445E-2</v>
      </c>
      <c r="L217" t="s">
        <v>157</v>
      </c>
      <c r="N217" t="s">
        <v>299</v>
      </c>
      <c r="O217" t="s">
        <v>781</v>
      </c>
      <c r="P217">
        <v>2.6499314229978282E-2</v>
      </c>
      <c r="Q217" t="s">
        <v>157</v>
      </c>
      <c r="S217" t="s">
        <v>410</v>
      </c>
      <c r="T217" t="s">
        <v>781</v>
      </c>
      <c r="U217">
        <v>1.9651953401572084E-2</v>
      </c>
      <c r="V217" t="s">
        <v>157</v>
      </c>
    </row>
    <row r="218" spans="9:22" x14ac:dyDescent="0.45">
      <c r="I218" t="s">
        <v>188</v>
      </c>
      <c r="J218" t="s">
        <v>782</v>
      </c>
      <c r="K218">
        <v>0.15964300192296654</v>
      </c>
      <c r="L218" t="s">
        <v>157</v>
      </c>
      <c r="N218" t="s">
        <v>299</v>
      </c>
      <c r="O218" t="s">
        <v>782</v>
      </c>
      <c r="P218">
        <v>0.10846181888325591</v>
      </c>
      <c r="Q218" t="s">
        <v>157</v>
      </c>
      <c r="S218" t="s">
        <v>410</v>
      </c>
      <c r="T218" t="s">
        <v>782</v>
      </c>
      <c r="U218">
        <v>0.11202085111799941</v>
      </c>
      <c r="V218" t="s">
        <v>157</v>
      </c>
    </row>
    <row r="219" spans="9:22" x14ac:dyDescent="0.45">
      <c r="I219" t="s">
        <v>188</v>
      </c>
      <c r="J219" t="s">
        <v>783</v>
      </c>
      <c r="K219">
        <v>0</v>
      </c>
      <c r="L219" t="s">
        <v>157</v>
      </c>
      <c r="N219" t="s">
        <v>299</v>
      </c>
      <c r="O219" t="s">
        <v>783</v>
      </c>
      <c r="P219">
        <v>8.752673514268397E-2</v>
      </c>
      <c r="Q219" t="s">
        <v>157</v>
      </c>
      <c r="S219" t="s">
        <v>410</v>
      </c>
      <c r="T219" t="s">
        <v>783</v>
      </c>
      <c r="U219">
        <v>0.111445783677822</v>
      </c>
      <c r="V219" t="s">
        <v>157</v>
      </c>
    </row>
    <row r="220" spans="9:22" x14ac:dyDescent="0.45">
      <c r="I220" t="s">
        <v>188</v>
      </c>
      <c r="J220" t="s">
        <v>784</v>
      </c>
      <c r="K220">
        <v>1.7120811399232355E-2</v>
      </c>
      <c r="L220" t="s">
        <v>157</v>
      </c>
      <c r="N220" t="s">
        <v>299</v>
      </c>
      <c r="O220" t="s">
        <v>784</v>
      </c>
      <c r="P220">
        <v>1.8564636066916624E-2</v>
      </c>
      <c r="Q220" t="s">
        <v>157</v>
      </c>
      <c r="S220" t="s">
        <v>410</v>
      </c>
      <c r="T220" t="s">
        <v>784</v>
      </c>
      <c r="U220">
        <v>2.2200106016235871E-2</v>
      </c>
      <c r="V220" t="s">
        <v>157</v>
      </c>
    </row>
    <row r="221" spans="9:22" x14ac:dyDescent="0.45">
      <c r="I221" t="s">
        <v>188</v>
      </c>
      <c r="J221" t="s">
        <v>785</v>
      </c>
      <c r="K221">
        <v>9.5136970345622462E-2</v>
      </c>
      <c r="L221" t="s">
        <v>157</v>
      </c>
      <c r="N221" t="s">
        <v>299</v>
      </c>
      <c r="O221" t="s">
        <v>785</v>
      </c>
      <c r="P221">
        <v>0.11570552744570776</v>
      </c>
      <c r="Q221" t="s">
        <v>157</v>
      </c>
      <c r="S221" t="s">
        <v>410</v>
      </c>
      <c r="T221" t="s">
        <v>785</v>
      </c>
      <c r="U221">
        <v>0.11805760474487541</v>
      </c>
      <c r="V221" t="s">
        <v>157</v>
      </c>
    </row>
    <row r="222" spans="9:22" x14ac:dyDescent="0.45">
      <c r="I222" t="s">
        <v>188</v>
      </c>
      <c r="J222" t="s">
        <v>786</v>
      </c>
      <c r="K222">
        <v>0</v>
      </c>
      <c r="L222" t="s">
        <v>157</v>
      </c>
      <c r="N222" t="s">
        <v>299</v>
      </c>
      <c r="O222" t="s">
        <v>786</v>
      </c>
      <c r="P222">
        <v>0.12396079652631513</v>
      </c>
      <c r="Q222" t="s">
        <v>157</v>
      </c>
      <c r="S222" t="s">
        <v>410</v>
      </c>
      <c r="T222" t="s">
        <v>786</v>
      </c>
      <c r="U222">
        <v>0.11719628128967481</v>
      </c>
      <c r="V222" t="s">
        <v>157</v>
      </c>
    </row>
    <row r="223" spans="9:22" x14ac:dyDescent="0.45">
      <c r="I223" t="s">
        <v>188</v>
      </c>
      <c r="J223" t="s">
        <v>787</v>
      </c>
      <c r="K223">
        <v>3.0572603337002228E-3</v>
      </c>
      <c r="L223" t="s">
        <v>157</v>
      </c>
      <c r="N223" t="s">
        <v>299</v>
      </c>
      <c r="O223" t="s">
        <v>787</v>
      </c>
      <c r="P223">
        <v>1.9920088934305778E-2</v>
      </c>
      <c r="Q223" t="s">
        <v>157</v>
      </c>
      <c r="S223" t="s">
        <v>410</v>
      </c>
      <c r="T223" t="s">
        <v>787</v>
      </c>
      <c r="U223">
        <v>2.1906190715058369E-2</v>
      </c>
      <c r="V223" t="s">
        <v>157</v>
      </c>
    </row>
    <row r="224" spans="9:22" x14ac:dyDescent="0.45">
      <c r="I224" t="s">
        <v>188</v>
      </c>
      <c r="J224" t="s">
        <v>788</v>
      </c>
      <c r="K224">
        <v>0.33322805800291561</v>
      </c>
      <c r="L224" t="s">
        <v>157</v>
      </c>
      <c r="N224" t="s">
        <v>299</v>
      </c>
      <c r="O224" t="s">
        <v>788</v>
      </c>
      <c r="P224">
        <v>0.12190537525242957</v>
      </c>
      <c r="Q224" t="s">
        <v>157</v>
      </c>
      <c r="S224" t="s">
        <v>410</v>
      </c>
      <c r="T224" t="s">
        <v>788</v>
      </c>
      <c r="U224">
        <v>0.11666738429639742</v>
      </c>
      <c r="V224" t="s">
        <v>157</v>
      </c>
    </row>
    <row r="225" spans="9:22" x14ac:dyDescent="0.45">
      <c r="I225" t="s">
        <v>188</v>
      </c>
      <c r="J225" t="s">
        <v>789</v>
      </c>
      <c r="K225">
        <v>1.9725727198033755E-2</v>
      </c>
      <c r="L225" t="s">
        <v>157</v>
      </c>
      <c r="N225" t="s">
        <v>299</v>
      </c>
      <c r="O225" t="s">
        <v>789</v>
      </c>
      <c r="P225">
        <v>7.0492742776692735E-2</v>
      </c>
      <c r="Q225" t="s">
        <v>157</v>
      </c>
      <c r="S225" t="s">
        <v>410</v>
      </c>
      <c r="T225" t="s">
        <v>789</v>
      </c>
      <c r="U225">
        <v>0.11716737990680094</v>
      </c>
      <c r="V225" t="s">
        <v>157</v>
      </c>
    </row>
    <row r="226" spans="9:22" x14ac:dyDescent="0.45">
      <c r="I226" t="s">
        <v>188</v>
      </c>
      <c r="J226" t="s">
        <v>790</v>
      </c>
      <c r="K226">
        <v>5.1582369964770329E-2</v>
      </c>
      <c r="L226" t="s">
        <v>157</v>
      </c>
      <c r="N226" t="s">
        <v>299</v>
      </c>
      <c r="O226" t="s">
        <v>790</v>
      </c>
      <c r="P226">
        <v>1.9816320811581044E-2</v>
      </c>
      <c r="Q226" t="s">
        <v>157</v>
      </c>
      <c r="S226" t="s">
        <v>410</v>
      </c>
      <c r="T226" t="s">
        <v>790</v>
      </c>
      <c r="U226">
        <v>2.1743809183705977E-2</v>
      </c>
      <c r="V226" t="s">
        <v>157</v>
      </c>
    </row>
    <row r="227" spans="9:22" x14ac:dyDescent="0.45">
      <c r="I227" t="s">
        <v>189</v>
      </c>
      <c r="J227" t="s">
        <v>779</v>
      </c>
      <c r="K227">
        <v>0.27281185776240602</v>
      </c>
      <c r="L227" t="s">
        <v>157</v>
      </c>
      <c r="N227" t="s">
        <v>300</v>
      </c>
      <c r="O227" t="s">
        <v>779</v>
      </c>
      <c r="P227">
        <v>0.13784854201746849</v>
      </c>
      <c r="Q227" t="s">
        <v>157</v>
      </c>
      <c r="S227" t="s">
        <v>411</v>
      </c>
      <c r="T227" t="s">
        <v>779</v>
      </c>
      <c r="U227">
        <v>0.11318736670571372</v>
      </c>
      <c r="V227" t="s">
        <v>157</v>
      </c>
    </row>
    <row r="228" spans="9:22" x14ac:dyDescent="0.45">
      <c r="I228" t="s">
        <v>189</v>
      </c>
      <c r="J228" t="s">
        <v>780</v>
      </c>
      <c r="K228">
        <v>6.474979172081426E-3</v>
      </c>
      <c r="L228" t="s">
        <v>157</v>
      </c>
      <c r="N228" t="s">
        <v>300</v>
      </c>
      <c r="O228" t="s">
        <v>780</v>
      </c>
      <c r="P228">
        <v>0.1167265277682417</v>
      </c>
      <c r="Q228" t="s">
        <v>157</v>
      </c>
      <c r="S228" t="s">
        <v>411</v>
      </c>
      <c r="T228" t="s">
        <v>780</v>
      </c>
      <c r="U228">
        <v>0.1086449966373234</v>
      </c>
      <c r="V228" t="s">
        <v>157</v>
      </c>
    </row>
    <row r="229" spans="9:22" x14ac:dyDescent="0.45">
      <c r="I229" t="s">
        <v>189</v>
      </c>
      <c r="J229" t="s">
        <v>781</v>
      </c>
      <c r="K229">
        <v>3.4433846578291454E-2</v>
      </c>
      <c r="L229" t="s">
        <v>157</v>
      </c>
      <c r="N229" t="s">
        <v>300</v>
      </c>
      <c r="O229" t="s">
        <v>781</v>
      </c>
      <c r="P229">
        <v>2.6476207517957123E-2</v>
      </c>
      <c r="Q229" t="s">
        <v>157</v>
      </c>
      <c r="S229" t="s">
        <v>411</v>
      </c>
      <c r="T229" t="s">
        <v>781</v>
      </c>
      <c r="U229">
        <v>1.9939359005298123E-2</v>
      </c>
      <c r="V229" t="s">
        <v>157</v>
      </c>
    </row>
    <row r="230" spans="9:22" x14ac:dyDescent="0.45">
      <c r="I230" t="s">
        <v>189</v>
      </c>
      <c r="J230" t="s">
        <v>782</v>
      </c>
      <c r="K230">
        <v>0.16273133097395615</v>
      </c>
      <c r="L230" t="s">
        <v>157</v>
      </c>
      <c r="N230" t="s">
        <v>300</v>
      </c>
      <c r="O230" t="s">
        <v>782</v>
      </c>
      <c r="P230">
        <v>9.7986808336068182E-2</v>
      </c>
      <c r="Q230" t="s">
        <v>157</v>
      </c>
      <c r="S230" t="s">
        <v>411</v>
      </c>
      <c r="T230" t="s">
        <v>782</v>
      </c>
      <c r="U230">
        <v>0.110408154052981</v>
      </c>
      <c r="V230" t="s">
        <v>157</v>
      </c>
    </row>
    <row r="231" spans="9:22" x14ac:dyDescent="0.45">
      <c r="I231" t="s">
        <v>189</v>
      </c>
      <c r="J231" t="s">
        <v>783</v>
      </c>
      <c r="K231">
        <v>0</v>
      </c>
      <c r="L231" t="s">
        <v>157</v>
      </c>
      <c r="N231" t="s">
        <v>300</v>
      </c>
      <c r="O231" t="s">
        <v>783</v>
      </c>
      <c r="P231">
        <v>8.9565506487419691E-2</v>
      </c>
      <c r="Q231" t="s">
        <v>157</v>
      </c>
      <c r="S231" t="s">
        <v>411</v>
      </c>
      <c r="T231" t="s">
        <v>783</v>
      </c>
      <c r="U231">
        <v>0.11287948472199089</v>
      </c>
      <c r="V231" t="s">
        <v>157</v>
      </c>
    </row>
    <row r="232" spans="9:22" x14ac:dyDescent="0.45">
      <c r="I232" t="s">
        <v>189</v>
      </c>
      <c r="J232" t="s">
        <v>784</v>
      </c>
      <c r="K232">
        <v>1.6623204413000327E-2</v>
      </c>
      <c r="L232" t="s">
        <v>157</v>
      </c>
      <c r="N232" t="s">
        <v>300</v>
      </c>
      <c r="O232" t="s">
        <v>784</v>
      </c>
      <c r="P232">
        <v>1.9000461255574579E-2</v>
      </c>
      <c r="Q232" t="s">
        <v>157</v>
      </c>
      <c r="S232" t="s">
        <v>411</v>
      </c>
      <c r="T232" t="s">
        <v>784</v>
      </c>
      <c r="U232">
        <v>2.1696086835628386E-2</v>
      </c>
      <c r="V232" t="s">
        <v>157</v>
      </c>
    </row>
    <row r="233" spans="9:22" x14ac:dyDescent="0.45">
      <c r="I233" t="s">
        <v>189</v>
      </c>
      <c r="J233" t="s">
        <v>785</v>
      </c>
      <c r="K233">
        <v>9.7253320993698586E-2</v>
      </c>
      <c r="L233" t="s">
        <v>157</v>
      </c>
      <c r="N233" t="s">
        <v>300</v>
      </c>
      <c r="O233" t="s">
        <v>785</v>
      </c>
      <c r="P233">
        <v>0.12992101414595664</v>
      </c>
      <c r="Q233" t="s">
        <v>157</v>
      </c>
      <c r="S233" t="s">
        <v>411</v>
      </c>
      <c r="T233" t="s">
        <v>785</v>
      </c>
      <c r="U233">
        <v>0.12007430053219212</v>
      </c>
      <c r="V233" t="s">
        <v>157</v>
      </c>
    </row>
    <row r="234" spans="9:22" x14ac:dyDescent="0.45">
      <c r="I234" t="s">
        <v>189</v>
      </c>
      <c r="J234" t="s">
        <v>786</v>
      </c>
      <c r="K234">
        <v>0</v>
      </c>
      <c r="L234" t="s">
        <v>157</v>
      </c>
      <c r="N234" t="s">
        <v>300</v>
      </c>
      <c r="O234" t="s">
        <v>786</v>
      </c>
      <c r="P234">
        <v>0.12458137603854517</v>
      </c>
      <c r="Q234" t="s">
        <v>157</v>
      </c>
      <c r="S234" t="s">
        <v>411</v>
      </c>
      <c r="T234" t="s">
        <v>786</v>
      </c>
      <c r="U234">
        <v>0.11742171077958047</v>
      </c>
      <c r="V234" t="s">
        <v>157</v>
      </c>
    </row>
    <row r="235" spans="9:22" x14ac:dyDescent="0.45">
      <c r="I235" t="s">
        <v>189</v>
      </c>
      <c r="J235" t="s">
        <v>787</v>
      </c>
      <c r="K235">
        <v>3.1238394528929443E-3</v>
      </c>
      <c r="L235" t="s">
        <v>157</v>
      </c>
      <c r="N235" t="s">
        <v>300</v>
      </c>
      <c r="O235" t="s">
        <v>787</v>
      </c>
      <c r="P235">
        <v>2.2193827484785895E-2</v>
      </c>
      <c r="Q235" t="s">
        <v>157</v>
      </c>
      <c r="S235" t="s">
        <v>411</v>
      </c>
      <c r="T235" t="s">
        <v>787</v>
      </c>
      <c r="U235">
        <v>2.176769216441642E-2</v>
      </c>
      <c r="V235" t="s">
        <v>157</v>
      </c>
    </row>
    <row r="236" spans="9:22" x14ac:dyDescent="0.45">
      <c r="I236" t="s">
        <v>189</v>
      </c>
      <c r="J236" t="s">
        <v>788</v>
      </c>
      <c r="K236">
        <v>0.33536188451788879</v>
      </c>
      <c r="L236" t="s">
        <v>157</v>
      </c>
      <c r="N236" t="s">
        <v>300</v>
      </c>
      <c r="O236" t="s">
        <v>788</v>
      </c>
      <c r="P236">
        <v>0.11739019937400522</v>
      </c>
      <c r="Q236" t="s">
        <v>157</v>
      </c>
      <c r="S236" t="s">
        <v>411</v>
      </c>
      <c r="T236" t="s">
        <v>788</v>
      </c>
      <c r="U236">
        <v>0.11557917001646111</v>
      </c>
      <c r="V236" t="s">
        <v>157</v>
      </c>
    </row>
    <row r="237" spans="9:22" x14ac:dyDescent="0.45">
      <c r="I237" t="s">
        <v>189</v>
      </c>
      <c r="J237" t="s">
        <v>789</v>
      </c>
      <c r="K237">
        <v>1.9440340275860706E-2</v>
      </c>
      <c r="L237" t="s">
        <v>157</v>
      </c>
      <c r="N237" t="s">
        <v>300</v>
      </c>
      <c r="O237" t="s">
        <v>789</v>
      </c>
      <c r="P237">
        <v>9.5802668410991595E-2</v>
      </c>
      <c r="Q237" t="s">
        <v>157</v>
      </c>
      <c r="S237" t="s">
        <v>411</v>
      </c>
      <c r="T237" t="s">
        <v>789</v>
      </c>
      <c r="U237">
        <v>0.11690868045978532</v>
      </c>
      <c r="V237" t="s">
        <v>157</v>
      </c>
    </row>
    <row r="238" spans="9:22" x14ac:dyDescent="0.45">
      <c r="I238" t="s">
        <v>189</v>
      </c>
      <c r="J238" t="s">
        <v>790</v>
      </c>
      <c r="K238">
        <v>5.1745395859923583E-2</v>
      </c>
      <c r="L238" t="s">
        <v>157</v>
      </c>
      <c r="N238" t="s">
        <v>300</v>
      </c>
      <c r="O238" t="s">
        <v>790</v>
      </c>
      <c r="P238">
        <v>2.2506861162985715E-2</v>
      </c>
      <c r="Q238" t="s">
        <v>157</v>
      </c>
      <c r="S238" t="s">
        <v>411</v>
      </c>
      <c r="T238" t="s">
        <v>790</v>
      </c>
      <c r="U238">
        <v>2.1492998088629072E-2</v>
      </c>
      <c r="V238" t="s">
        <v>157</v>
      </c>
    </row>
    <row r="239" spans="9:22" x14ac:dyDescent="0.45">
      <c r="I239" t="s">
        <v>190</v>
      </c>
      <c r="J239" t="s">
        <v>779</v>
      </c>
      <c r="K239">
        <v>0.28772140877807018</v>
      </c>
      <c r="L239" t="s">
        <v>157</v>
      </c>
      <c r="N239" t="s">
        <v>301</v>
      </c>
      <c r="O239" t="s">
        <v>779</v>
      </c>
      <c r="P239">
        <v>0.12815529512684767</v>
      </c>
      <c r="Q239" t="s">
        <v>157</v>
      </c>
      <c r="S239" t="s">
        <v>412</v>
      </c>
      <c r="T239" t="s">
        <v>779</v>
      </c>
      <c r="U239">
        <v>0.1114963843832065</v>
      </c>
      <c r="V239" t="s">
        <v>157</v>
      </c>
    </row>
    <row r="240" spans="9:22" x14ac:dyDescent="0.45">
      <c r="I240" t="s">
        <v>190</v>
      </c>
      <c r="J240" t="s">
        <v>780</v>
      </c>
      <c r="K240">
        <v>6.801852145473933E-3</v>
      </c>
      <c r="L240" t="s">
        <v>157</v>
      </c>
      <c r="N240" t="s">
        <v>301</v>
      </c>
      <c r="O240" t="s">
        <v>780</v>
      </c>
      <c r="P240">
        <v>0.1186145140524634</v>
      </c>
      <c r="Q240" t="s">
        <v>157</v>
      </c>
      <c r="S240" t="s">
        <v>412</v>
      </c>
      <c r="T240" t="s">
        <v>780</v>
      </c>
      <c r="U240">
        <v>0.10915536544494792</v>
      </c>
      <c r="V240" t="s">
        <v>157</v>
      </c>
    </row>
    <row r="241" spans="9:22" x14ac:dyDescent="0.45">
      <c r="I241" t="s">
        <v>190</v>
      </c>
      <c r="J241" t="s">
        <v>781</v>
      </c>
      <c r="K241">
        <v>3.3711086059600021E-2</v>
      </c>
      <c r="L241" t="s">
        <v>157</v>
      </c>
      <c r="N241" t="s">
        <v>301</v>
      </c>
      <c r="O241" t="s">
        <v>781</v>
      </c>
      <c r="P241">
        <v>2.4351612465942266E-2</v>
      </c>
      <c r="Q241" t="s">
        <v>157</v>
      </c>
      <c r="S241" t="s">
        <v>412</v>
      </c>
      <c r="T241" t="s">
        <v>781</v>
      </c>
      <c r="U241">
        <v>2.0170399478683848E-2</v>
      </c>
      <c r="V241" t="s">
        <v>157</v>
      </c>
    </row>
    <row r="242" spans="9:22" x14ac:dyDescent="0.45">
      <c r="I242" t="s">
        <v>190</v>
      </c>
      <c r="J242" t="s">
        <v>782</v>
      </c>
      <c r="K242">
        <v>0.15462127701768166</v>
      </c>
      <c r="L242" t="s">
        <v>157</v>
      </c>
      <c r="N242" t="s">
        <v>301</v>
      </c>
      <c r="O242" t="s">
        <v>782</v>
      </c>
      <c r="P242">
        <v>0.11255625950078284</v>
      </c>
      <c r="Q242" t="s">
        <v>157</v>
      </c>
      <c r="S242" t="s">
        <v>412</v>
      </c>
      <c r="T242" t="s">
        <v>782</v>
      </c>
      <c r="U242">
        <v>0.10797878737112157</v>
      </c>
      <c r="V242" t="s">
        <v>157</v>
      </c>
    </row>
    <row r="243" spans="9:22" x14ac:dyDescent="0.45">
      <c r="I243" t="s">
        <v>190</v>
      </c>
      <c r="J243" t="s">
        <v>783</v>
      </c>
      <c r="K243">
        <v>0</v>
      </c>
      <c r="L243" t="s">
        <v>157</v>
      </c>
      <c r="N243" t="s">
        <v>301</v>
      </c>
      <c r="O243" t="s">
        <v>783</v>
      </c>
      <c r="P243">
        <v>0.1152423494067757</v>
      </c>
      <c r="Q243" t="s">
        <v>157</v>
      </c>
      <c r="S243" t="s">
        <v>412</v>
      </c>
      <c r="T243" t="s">
        <v>783</v>
      </c>
      <c r="U243">
        <v>0.11222051417110372</v>
      </c>
      <c r="V243" t="s">
        <v>157</v>
      </c>
    </row>
    <row r="244" spans="9:22" x14ac:dyDescent="0.45">
      <c r="I244" t="s">
        <v>190</v>
      </c>
      <c r="J244" t="s">
        <v>784</v>
      </c>
      <c r="K244">
        <v>1.4017324779496316E-2</v>
      </c>
      <c r="L244" t="s">
        <v>157</v>
      </c>
      <c r="N244" t="s">
        <v>301</v>
      </c>
      <c r="O244" t="s">
        <v>784</v>
      </c>
      <c r="P244">
        <v>2.0802082625099083E-2</v>
      </c>
      <c r="Q244" t="s">
        <v>157</v>
      </c>
      <c r="S244" t="s">
        <v>412</v>
      </c>
      <c r="T244" t="s">
        <v>784</v>
      </c>
      <c r="U244">
        <v>2.1243829361467955E-2</v>
      </c>
      <c r="V244" t="s">
        <v>157</v>
      </c>
    </row>
    <row r="245" spans="9:22" x14ac:dyDescent="0.45">
      <c r="I245" t="s">
        <v>190</v>
      </c>
      <c r="J245" t="s">
        <v>785</v>
      </c>
      <c r="K245">
        <v>9.4155154700233779E-2</v>
      </c>
      <c r="L245" t="s">
        <v>157</v>
      </c>
      <c r="N245" t="s">
        <v>301</v>
      </c>
      <c r="O245" t="s">
        <v>785</v>
      </c>
      <c r="P245">
        <v>0.11419257874355791</v>
      </c>
      <c r="Q245" t="s">
        <v>157</v>
      </c>
      <c r="S245" t="s">
        <v>412</v>
      </c>
      <c r="T245" t="s">
        <v>785</v>
      </c>
      <c r="U245">
        <v>0.12209231076821844</v>
      </c>
      <c r="V245" t="s">
        <v>157</v>
      </c>
    </row>
    <row r="246" spans="9:22" x14ac:dyDescent="0.45">
      <c r="I246" t="s">
        <v>190</v>
      </c>
      <c r="J246" t="s">
        <v>786</v>
      </c>
      <c r="K246">
        <v>0</v>
      </c>
      <c r="L246" t="s">
        <v>157</v>
      </c>
      <c r="N246" t="s">
        <v>301</v>
      </c>
      <c r="O246" t="s">
        <v>786</v>
      </c>
      <c r="P246">
        <v>0.12334139276747824</v>
      </c>
      <c r="Q246" t="s">
        <v>157</v>
      </c>
      <c r="S246" t="s">
        <v>412</v>
      </c>
      <c r="T246" t="s">
        <v>786</v>
      </c>
      <c r="U246">
        <v>0.12046304690337388</v>
      </c>
      <c r="V246" t="s">
        <v>157</v>
      </c>
    </row>
    <row r="247" spans="9:22" x14ac:dyDescent="0.45">
      <c r="I247" t="s">
        <v>190</v>
      </c>
      <c r="J247" t="s">
        <v>787</v>
      </c>
      <c r="K247">
        <v>3.5876242109175345E-3</v>
      </c>
      <c r="L247" t="s">
        <v>157</v>
      </c>
      <c r="N247" t="s">
        <v>301</v>
      </c>
      <c r="O247" t="s">
        <v>787</v>
      </c>
      <c r="P247">
        <v>2.1550188786839678E-2</v>
      </c>
      <c r="Q247" t="s">
        <v>157</v>
      </c>
      <c r="S247" t="s">
        <v>412</v>
      </c>
      <c r="T247" t="s">
        <v>787</v>
      </c>
      <c r="U247">
        <v>2.2330483092134229E-2</v>
      </c>
      <c r="V247" t="s">
        <v>157</v>
      </c>
    </row>
    <row r="248" spans="9:22" x14ac:dyDescent="0.45">
      <c r="I248" t="s">
        <v>190</v>
      </c>
      <c r="J248" t="s">
        <v>788</v>
      </c>
      <c r="K248">
        <v>0.33831891671551995</v>
      </c>
      <c r="L248" t="s">
        <v>157</v>
      </c>
      <c r="N248" t="s">
        <v>301</v>
      </c>
      <c r="O248" t="s">
        <v>788</v>
      </c>
      <c r="P248">
        <v>0.10486897694718422</v>
      </c>
      <c r="Q248" t="s">
        <v>157</v>
      </c>
      <c r="S248" t="s">
        <v>412</v>
      </c>
      <c r="T248" t="s">
        <v>788</v>
      </c>
      <c r="U248">
        <v>0.11671250968180777</v>
      </c>
      <c r="V248" t="s">
        <v>157</v>
      </c>
    </row>
    <row r="249" spans="9:22" x14ac:dyDescent="0.45">
      <c r="I249" t="s">
        <v>190</v>
      </c>
      <c r="J249" t="s">
        <v>789</v>
      </c>
      <c r="K249">
        <v>1.9453339032125965E-2</v>
      </c>
      <c r="L249" t="s">
        <v>157</v>
      </c>
      <c r="N249" t="s">
        <v>301</v>
      </c>
      <c r="O249" t="s">
        <v>789</v>
      </c>
      <c r="P249">
        <v>9.9052068359122364E-2</v>
      </c>
      <c r="Q249" t="s">
        <v>157</v>
      </c>
      <c r="S249" t="s">
        <v>412</v>
      </c>
      <c r="T249" t="s">
        <v>789</v>
      </c>
      <c r="U249">
        <v>0.11439728217636637</v>
      </c>
      <c r="V249" t="s">
        <v>157</v>
      </c>
    </row>
    <row r="250" spans="9:22" x14ac:dyDescent="0.45">
      <c r="I250" t="s">
        <v>190</v>
      </c>
      <c r="J250" t="s">
        <v>790</v>
      </c>
      <c r="K250">
        <v>4.7612016560880641E-2</v>
      </c>
      <c r="L250" t="s">
        <v>157</v>
      </c>
      <c r="N250" t="s">
        <v>301</v>
      </c>
      <c r="O250" t="s">
        <v>790</v>
      </c>
      <c r="P250">
        <v>1.7272681217906646E-2</v>
      </c>
      <c r="Q250" t="s">
        <v>157</v>
      </c>
      <c r="S250" t="s">
        <v>412</v>
      </c>
      <c r="T250" t="s">
        <v>790</v>
      </c>
      <c r="U250">
        <v>2.1739087167567808E-2</v>
      </c>
      <c r="V250" t="s">
        <v>157</v>
      </c>
    </row>
    <row r="251" spans="9:22" x14ac:dyDescent="0.45">
      <c r="I251" t="s">
        <v>191</v>
      </c>
      <c r="J251" t="s">
        <v>779</v>
      </c>
      <c r="K251">
        <v>0.28802859526289221</v>
      </c>
      <c r="L251" t="s">
        <v>157</v>
      </c>
      <c r="N251" t="s">
        <v>302</v>
      </c>
      <c r="O251" t="s">
        <v>779</v>
      </c>
      <c r="P251">
        <v>0.14881915976196369</v>
      </c>
      <c r="Q251" t="s">
        <v>157</v>
      </c>
      <c r="S251" t="s">
        <v>413</v>
      </c>
      <c r="T251" t="s">
        <v>779</v>
      </c>
      <c r="U251">
        <v>0.11303593193040296</v>
      </c>
      <c r="V251" t="s">
        <v>157</v>
      </c>
    </row>
    <row r="252" spans="9:22" x14ac:dyDescent="0.45">
      <c r="I252" t="s">
        <v>191</v>
      </c>
      <c r="J252" t="s">
        <v>780</v>
      </c>
      <c r="K252">
        <v>6.2010185848418347E-3</v>
      </c>
      <c r="L252" t="s">
        <v>157</v>
      </c>
      <c r="N252" t="s">
        <v>302</v>
      </c>
      <c r="O252" t="s">
        <v>780</v>
      </c>
      <c r="P252">
        <v>0.1190152716184919</v>
      </c>
      <c r="Q252" t="s">
        <v>157</v>
      </c>
      <c r="S252" t="s">
        <v>413</v>
      </c>
      <c r="T252" t="s">
        <v>780</v>
      </c>
      <c r="U252">
        <v>0.11003548714283705</v>
      </c>
      <c r="V252" t="s">
        <v>157</v>
      </c>
    </row>
    <row r="253" spans="9:22" x14ac:dyDescent="0.45">
      <c r="I253" t="s">
        <v>191</v>
      </c>
      <c r="J253" t="s">
        <v>781</v>
      </c>
      <c r="K253">
        <v>3.2774445241948981E-2</v>
      </c>
      <c r="L253" t="s">
        <v>157</v>
      </c>
      <c r="N253" t="s">
        <v>302</v>
      </c>
      <c r="O253" t="s">
        <v>781</v>
      </c>
      <c r="P253">
        <v>3.0021608597237407E-2</v>
      </c>
      <c r="Q253" t="s">
        <v>157</v>
      </c>
      <c r="S253" t="s">
        <v>413</v>
      </c>
      <c r="T253" t="s">
        <v>781</v>
      </c>
      <c r="U253">
        <v>2.0727008130409973E-2</v>
      </c>
      <c r="V253" t="s">
        <v>157</v>
      </c>
    </row>
    <row r="254" spans="9:22" x14ac:dyDescent="0.45">
      <c r="I254" t="s">
        <v>191</v>
      </c>
      <c r="J254" t="s">
        <v>782</v>
      </c>
      <c r="K254">
        <v>0.15682591896679079</v>
      </c>
      <c r="L254" t="s">
        <v>157</v>
      </c>
      <c r="N254" t="s">
        <v>302</v>
      </c>
      <c r="O254" t="s">
        <v>782</v>
      </c>
      <c r="P254">
        <v>0.10743416356554733</v>
      </c>
      <c r="Q254" t="s">
        <v>157</v>
      </c>
      <c r="S254" t="s">
        <v>413</v>
      </c>
      <c r="T254" t="s">
        <v>782</v>
      </c>
      <c r="U254">
        <v>0.1085344267386526</v>
      </c>
      <c r="V254" t="s">
        <v>157</v>
      </c>
    </row>
    <row r="255" spans="9:22" x14ac:dyDescent="0.45">
      <c r="I255" t="s">
        <v>191</v>
      </c>
      <c r="J255" t="s">
        <v>783</v>
      </c>
      <c r="K255">
        <v>0</v>
      </c>
      <c r="L255" t="s">
        <v>157</v>
      </c>
      <c r="N255" t="s">
        <v>302</v>
      </c>
      <c r="O255" t="s">
        <v>783</v>
      </c>
      <c r="P255">
        <v>0.10089581748948799</v>
      </c>
      <c r="Q255" t="s">
        <v>157</v>
      </c>
      <c r="S255" t="s">
        <v>413</v>
      </c>
      <c r="T255" t="s">
        <v>783</v>
      </c>
      <c r="U255">
        <v>0.11237783218073522</v>
      </c>
      <c r="V255" t="s">
        <v>157</v>
      </c>
    </row>
    <row r="256" spans="9:22" x14ac:dyDescent="0.45">
      <c r="I256" t="s">
        <v>191</v>
      </c>
      <c r="J256" t="s">
        <v>784</v>
      </c>
      <c r="K256">
        <v>1.4968622527647793E-2</v>
      </c>
      <c r="L256" t="s">
        <v>157</v>
      </c>
      <c r="N256" t="s">
        <v>302</v>
      </c>
      <c r="O256" t="s">
        <v>784</v>
      </c>
      <c r="P256">
        <v>2.0687977309622598E-2</v>
      </c>
      <c r="Q256" t="s">
        <v>157</v>
      </c>
      <c r="S256" t="s">
        <v>413</v>
      </c>
      <c r="T256" t="s">
        <v>784</v>
      </c>
      <c r="U256">
        <v>2.1169919842028973E-2</v>
      </c>
      <c r="V256" t="s">
        <v>157</v>
      </c>
    </row>
    <row r="257" spans="9:22" x14ac:dyDescent="0.45">
      <c r="I257" t="s">
        <v>191</v>
      </c>
      <c r="J257" t="s">
        <v>785</v>
      </c>
      <c r="K257">
        <v>9.6891240970803871E-2</v>
      </c>
      <c r="L257" t="s">
        <v>157</v>
      </c>
      <c r="N257" t="s">
        <v>302</v>
      </c>
      <c r="O257" t="s">
        <v>785</v>
      </c>
      <c r="P257">
        <v>0.11222264647912827</v>
      </c>
      <c r="Q257" t="s">
        <v>157</v>
      </c>
      <c r="S257" t="s">
        <v>413</v>
      </c>
      <c r="T257" t="s">
        <v>785</v>
      </c>
      <c r="U257">
        <v>0.12047473020911256</v>
      </c>
      <c r="V257" t="s">
        <v>157</v>
      </c>
    </row>
    <row r="258" spans="9:22" x14ac:dyDescent="0.45">
      <c r="I258" t="s">
        <v>191</v>
      </c>
      <c r="J258" t="s">
        <v>786</v>
      </c>
      <c r="K258">
        <v>0</v>
      </c>
      <c r="L258" t="s">
        <v>157</v>
      </c>
      <c r="N258" t="s">
        <v>302</v>
      </c>
      <c r="O258" t="s">
        <v>786</v>
      </c>
      <c r="P258">
        <v>0.11357909449267845</v>
      </c>
      <c r="Q258" t="s">
        <v>157</v>
      </c>
      <c r="S258" t="s">
        <v>413</v>
      </c>
      <c r="T258" t="s">
        <v>786</v>
      </c>
      <c r="U258">
        <v>0.12206141350624861</v>
      </c>
      <c r="V258" t="s">
        <v>157</v>
      </c>
    </row>
    <row r="259" spans="9:22" x14ac:dyDescent="0.45">
      <c r="I259" t="s">
        <v>191</v>
      </c>
      <c r="J259" t="s">
        <v>787</v>
      </c>
      <c r="K259">
        <v>3.7539899106880281E-3</v>
      </c>
      <c r="L259" t="s">
        <v>157</v>
      </c>
      <c r="N259" t="s">
        <v>302</v>
      </c>
      <c r="O259" t="s">
        <v>787</v>
      </c>
      <c r="P259">
        <v>2.0541062219983631E-2</v>
      </c>
      <c r="Q259" t="s">
        <v>157</v>
      </c>
      <c r="S259" t="s">
        <v>413</v>
      </c>
      <c r="T259" t="s">
        <v>787</v>
      </c>
      <c r="U259">
        <v>2.206545866267463E-2</v>
      </c>
      <c r="V259" t="s">
        <v>157</v>
      </c>
    </row>
    <row r="260" spans="9:22" x14ac:dyDescent="0.45">
      <c r="I260" t="s">
        <v>191</v>
      </c>
      <c r="J260" t="s">
        <v>788</v>
      </c>
      <c r="K260">
        <v>0.33525485809077038</v>
      </c>
      <c r="L260" t="s">
        <v>157</v>
      </c>
      <c r="N260" t="s">
        <v>302</v>
      </c>
      <c r="O260" t="s">
        <v>788</v>
      </c>
      <c r="P260">
        <v>0.11449324388230002</v>
      </c>
      <c r="Q260" t="s">
        <v>157</v>
      </c>
      <c r="S260" t="s">
        <v>413</v>
      </c>
      <c r="T260" t="s">
        <v>788</v>
      </c>
      <c r="U260">
        <v>0.11602922051218166</v>
      </c>
      <c r="V260" t="s">
        <v>157</v>
      </c>
    </row>
    <row r="261" spans="9:22" x14ac:dyDescent="0.45">
      <c r="I261" t="s">
        <v>191</v>
      </c>
      <c r="J261" t="s">
        <v>789</v>
      </c>
      <c r="K261">
        <v>1.9397710635857719E-2</v>
      </c>
      <c r="L261" t="s">
        <v>157</v>
      </c>
      <c r="N261" t="s">
        <v>302</v>
      </c>
      <c r="O261" t="s">
        <v>789</v>
      </c>
      <c r="P261">
        <v>9.2424792183848234E-2</v>
      </c>
      <c r="Q261" t="s">
        <v>157</v>
      </c>
      <c r="S261" t="s">
        <v>413</v>
      </c>
      <c r="T261" t="s">
        <v>789</v>
      </c>
      <c r="U261">
        <v>0.11209146638334361</v>
      </c>
      <c r="V261" t="s">
        <v>157</v>
      </c>
    </row>
    <row r="262" spans="9:22" x14ac:dyDescent="0.45">
      <c r="I262" t="s">
        <v>191</v>
      </c>
      <c r="J262" t="s">
        <v>790</v>
      </c>
      <c r="K262">
        <v>4.590359980775844E-2</v>
      </c>
      <c r="L262" t="s">
        <v>157</v>
      </c>
      <c r="N262" t="s">
        <v>302</v>
      </c>
      <c r="O262" t="s">
        <v>790</v>
      </c>
      <c r="P262">
        <v>1.9865162399710489E-2</v>
      </c>
      <c r="Q262" t="s">
        <v>157</v>
      </c>
      <c r="S262" t="s">
        <v>413</v>
      </c>
      <c r="T262" t="s">
        <v>790</v>
      </c>
      <c r="U262">
        <v>2.1397104761372146E-2</v>
      </c>
      <c r="V262" t="s">
        <v>157</v>
      </c>
    </row>
    <row r="263" spans="9:22" x14ac:dyDescent="0.45">
      <c r="I263" t="s">
        <v>192</v>
      </c>
      <c r="J263" t="s">
        <v>779</v>
      </c>
      <c r="K263">
        <v>0.28701117115653102</v>
      </c>
      <c r="L263" t="s">
        <v>157</v>
      </c>
      <c r="N263" t="s">
        <v>303</v>
      </c>
      <c r="O263" t="s">
        <v>779</v>
      </c>
      <c r="P263">
        <v>0.1638768103624765</v>
      </c>
      <c r="Q263" t="s">
        <v>157</v>
      </c>
      <c r="S263" t="s">
        <v>414</v>
      </c>
      <c r="T263" t="s">
        <v>779</v>
      </c>
      <c r="U263">
        <v>0.11508881020833832</v>
      </c>
      <c r="V263" t="s">
        <v>157</v>
      </c>
    </row>
    <row r="264" spans="9:22" x14ac:dyDescent="0.45">
      <c r="I264" t="s">
        <v>192</v>
      </c>
      <c r="J264" t="s">
        <v>780</v>
      </c>
      <c r="K264">
        <v>5.9971716790096557E-3</v>
      </c>
      <c r="L264" t="s">
        <v>157</v>
      </c>
      <c r="N264" t="s">
        <v>303</v>
      </c>
      <c r="O264" t="s">
        <v>780</v>
      </c>
      <c r="P264">
        <v>0.11597385569516179</v>
      </c>
      <c r="Q264" t="s">
        <v>157</v>
      </c>
      <c r="S264" t="s">
        <v>414</v>
      </c>
      <c r="T264" t="s">
        <v>780</v>
      </c>
      <c r="U264">
        <v>0.11148713397306806</v>
      </c>
      <c r="V264" t="s">
        <v>157</v>
      </c>
    </row>
    <row r="265" spans="9:22" x14ac:dyDescent="0.45">
      <c r="I265" t="s">
        <v>192</v>
      </c>
      <c r="J265" t="s">
        <v>781</v>
      </c>
      <c r="K265">
        <v>3.2550475701893442E-2</v>
      </c>
      <c r="L265" t="s">
        <v>157</v>
      </c>
      <c r="N265" t="s">
        <v>303</v>
      </c>
      <c r="O265" t="s">
        <v>781</v>
      </c>
      <c r="P265">
        <v>3.094260291499449E-2</v>
      </c>
      <c r="Q265" t="s">
        <v>157</v>
      </c>
      <c r="S265" t="s">
        <v>414</v>
      </c>
      <c r="T265" t="s">
        <v>781</v>
      </c>
      <c r="U265">
        <v>2.0487265653392404E-2</v>
      </c>
      <c r="V265" t="s">
        <v>157</v>
      </c>
    </row>
    <row r="266" spans="9:22" x14ac:dyDescent="0.45">
      <c r="I266" t="s">
        <v>192</v>
      </c>
      <c r="J266" t="s">
        <v>782</v>
      </c>
      <c r="K266">
        <v>0.15912122381714475</v>
      </c>
      <c r="L266" t="s">
        <v>157</v>
      </c>
      <c r="N266" t="s">
        <v>303</v>
      </c>
      <c r="O266" t="s">
        <v>782</v>
      </c>
      <c r="P266">
        <v>0.10188878801832274</v>
      </c>
      <c r="Q266" t="s">
        <v>157</v>
      </c>
      <c r="S266" t="s">
        <v>414</v>
      </c>
      <c r="T266" t="s">
        <v>782</v>
      </c>
      <c r="U266">
        <v>0.11904341851375391</v>
      </c>
      <c r="V266" t="s">
        <v>157</v>
      </c>
    </row>
    <row r="267" spans="9:22" x14ac:dyDescent="0.45">
      <c r="I267" t="s">
        <v>192</v>
      </c>
      <c r="J267" t="s">
        <v>783</v>
      </c>
      <c r="K267">
        <v>0</v>
      </c>
      <c r="L267" t="s">
        <v>157</v>
      </c>
      <c r="N267" t="s">
        <v>303</v>
      </c>
      <c r="O267" t="s">
        <v>783</v>
      </c>
      <c r="P267">
        <v>9.0424190066849944E-2</v>
      </c>
      <c r="Q267" t="s">
        <v>157</v>
      </c>
      <c r="S267" t="s">
        <v>414</v>
      </c>
      <c r="T267" t="s">
        <v>783</v>
      </c>
      <c r="U267">
        <v>0.11535777795701561</v>
      </c>
      <c r="V267" t="s">
        <v>157</v>
      </c>
    </row>
    <row r="268" spans="9:22" x14ac:dyDescent="0.45">
      <c r="I268" t="s">
        <v>192</v>
      </c>
      <c r="J268" t="s">
        <v>784</v>
      </c>
      <c r="K268">
        <v>1.5801129110275616E-2</v>
      </c>
      <c r="L268" t="s">
        <v>157</v>
      </c>
      <c r="N268" t="s">
        <v>303</v>
      </c>
      <c r="O268" t="s">
        <v>784</v>
      </c>
      <c r="P268">
        <v>1.8747205648467966E-2</v>
      </c>
      <c r="Q268" t="s">
        <v>157</v>
      </c>
      <c r="S268" t="s">
        <v>414</v>
      </c>
      <c r="T268" t="s">
        <v>784</v>
      </c>
      <c r="U268">
        <v>2.1742655345313968E-2</v>
      </c>
      <c r="V268" t="s">
        <v>157</v>
      </c>
    </row>
    <row r="269" spans="9:22" x14ac:dyDescent="0.45">
      <c r="I269" t="s">
        <v>192</v>
      </c>
      <c r="J269" t="s">
        <v>785</v>
      </c>
      <c r="K269">
        <v>9.3965869979920097E-2</v>
      </c>
      <c r="L269" t="s">
        <v>157</v>
      </c>
      <c r="N269" t="s">
        <v>303</v>
      </c>
      <c r="O269" t="s">
        <v>785</v>
      </c>
      <c r="P269">
        <v>0.11671694915272564</v>
      </c>
      <c r="Q269" t="s">
        <v>157</v>
      </c>
      <c r="S269" t="s">
        <v>414</v>
      </c>
      <c r="T269" t="s">
        <v>785</v>
      </c>
      <c r="U269">
        <v>0.11413095155165766</v>
      </c>
      <c r="V269" t="s">
        <v>157</v>
      </c>
    </row>
    <row r="270" spans="9:22" x14ac:dyDescent="0.45">
      <c r="I270" t="s">
        <v>192</v>
      </c>
      <c r="J270" t="s">
        <v>786</v>
      </c>
      <c r="K270">
        <v>0</v>
      </c>
      <c r="L270" t="s">
        <v>157</v>
      </c>
      <c r="N270" t="s">
        <v>303</v>
      </c>
      <c r="O270" t="s">
        <v>786</v>
      </c>
      <c r="P270">
        <v>0.11940098534177258</v>
      </c>
      <c r="Q270" t="s">
        <v>157</v>
      </c>
      <c r="S270" t="s">
        <v>414</v>
      </c>
      <c r="T270" t="s">
        <v>786</v>
      </c>
      <c r="U270">
        <v>0.11629406705191965</v>
      </c>
      <c r="V270" t="s">
        <v>157</v>
      </c>
    </row>
    <row r="271" spans="9:22" x14ac:dyDescent="0.45">
      <c r="I271" t="s">
        <v>192</v>
      </c>
      <c r="J271" t="s">
        <v>787</v>
      </c>
      <c r="K271">
        <v>3.7124371967361416E-3</v>
      </c>
      <c r="L271" t="s">
        <v>157</v>
      </c>
      <c r="N271" t="s">
        <v>303</v>
      </c>
      <c r="O271" t="s">
        <v>787</v>
      </c>
      <c r="P271">
        <v>1.9062909882413659E-2</v>
      </c>
      <c r="Q271" t="s">
        <v>157</v>
      </c>
      <c r="S271" t="s">
        <v>414</v>
      </c>
      <c r="T271" t="s">
        <v>787</v>
      </c>
      <c r="U271">
        <v>2.0848504465268917E-2</v>
      </c>
      <c r="V271" t="s">
        <v>157</v>
      </c>
    </row>
    <row r="272" spans="9:22" x14ac:dyDescent="0.45">
      <c r="I272" t="s">
        <v>192</v>
      </c>
      <c r="J272" t="s">
        <v>788</v>
      </c>
      <c r="K272">
        <v>0.33413476304449879</v>
      </c>
      <c r="L272" t="s">
        <v>157</v>
      </c>
      <c r="N272" t="s">
        <v>303</v>
      </c>
      <c r="O272" t="s">
        <v>788</v>
      </c>
      <c r="P272">
        <v>0.12199855849199204</v>
      </c>
      <c r="Q272" t="s">
        <v>157</v>
      </c>
      <c r="S272" t="s">
        <v>414</v>
      </c>
      <c r="T272" t="s">
        <v>788</v>
      </c>
      <c r="U272">
        <v>0.11436733483582091</v>
      </c>
      <c r="V272" t="s">
        <v>157</v>
      </c>
    </row>
    <row r="273" spans="9:22" x14ac:dyDescent="0.45">
      <c r="I273" t="s">
        <v>192</v>
      </c>
      <c r="J273" t="s">
        <v>789</v>
      </c>
      <c r="K273">
        <v>1.9781795202879898E-2</v>
      </c>
      <c r="L273" t="s">
        <v>157</v>
      </c>
      <c r="N273" t="s">
        <v>303</v>
      </c>
      <c r="O273" t="s">
        <v>789</v>
      </c>
      <c r="P273">
        <v>8.03446131304595E-2</v>
      </c>
      <c r="Q273" t="s">
        <v>157</v>
      </c>
      <c r="S273" t="s">
        <v>414</v>
      </c>
      <c r="T273" t="s">
        <v>789</v>
      </c>
      <c r="U273">
        <v>0.11077425045883693</v>
      </c>
      <c r="V273" t="s">
        <v>157</v>
      </c>
    </row>
    <row r="274" spans="9:22" x14ac:dyDescent="0.45">
      <c r="I274" t="s">
        <v>192</v>
      </c>
      <c r="J274" t="s">
        <v>790</v>
      </c>
      <c r="K274">
        <v>4.7923963111110628E-2</v>
      </c>
      <c r="L274" t="s">
        <v>157</v>
      </c>
      <c r="N274" t="s">
        <v>303</v>
      </c>
      <c r="O274" t="s">
        <v>790</v>
      </c>
      <c r="P274">
        <v>2.062253129436312E-2</v>
      </c>
      <c r="Q274" t="s">
        <v>157</v>
      </c>
      <c r="S274" t="s">
        <v>414</v>
      </c>
      <c r="T274" t="s">
        <v>790</v>
      </c>
      <c r="U274">
        <v>2.0377829985613629E-2</v>
      </c>
      <c r="V274" t="s">
        <v>157</v>
      </c>
    </row>
    <row r="275" spans="9:22" x14ac:dyDescent="0.45">
      <c r="I275" t="s">
        <v>193</v>
      </c>
      <c r="J275" t="s">
        <v>779</v>
      </c>
      <c r="K275">
        <v>0.28094014617570484</v>
      </c>
      <c r="L275" t="s">
        <v>157</v>
      </c>
      <c r="N275" t="s">
        <v>304</v>
      </c>
      <c r="O275" t="s">
        <v>779</v>
      </c>
      <c r="P275">
        <v>0.19891394434042811</v>
      </c>
      <c r="Q275" t="s">
        <v>157</v>
      </c>
      <c r="S275" t="s">
        <v>415</v>
      </c>
      <c r="T275" t="s">
        <v>779</v>
      </c>
      <c r="U275">
        <v>0.11617860373205367</v>
      </c>
      <c r="V275" t="s">
        <v>157</v>
      </c>
    </row>
    <row r="276" spans="9:22" x14ac:dyDescent="0.45">
      <c r="I276" t="s">
        <v>193</v>
      </c>
      <c r="J276" t="s">
        <v>780</v>
      </c>
      <c r="K276">
        <v>6.0218161618367169E-3</v>
      </c>
      <c r="L276" t="s">
        <v>157</v>
      </c>
      <c r="N276" t="s">
        <v>304</v>
      </c>
      <c r="O276" t="s">
        <v>780</v>
      </c>
      <c r="P276">
        <v>0.10864986057040774</v>
      </c>
      <c r="Q276" t="s">
        <v>157</v>
      </c>
      <c r="S276" t="s">
        <v>415</v>
      </c>
      <c r="T276" t="s">
        <v>780</v>
      </c>
      <c r="U276">
        <v>0.11171758309631975</v>
      </c>
      <c r="V276" t="s">
        <v>157</v>
      </c>
    </row>
    <row r="277" spans="9:22" x14ac:dyDescent="0.45">
      <c r="I277" t="s">
        <v>193</v>
      </c>
      <c r="J277" t="s">
        <v>781</v>
      </c>
      <c r="K277">
        <v>3.30489424915286E-2</v>
      </c>
      <c r="L277" t="s">
        <v>157</v>
      </c>
      <c r="N277" t="s">
        <v>304</v>
      </c>
      <c r="O277" t="s">
        <v>781</v>
      </c>
      <c r="P277">
        <v>3.327902862936355E-2</v>
      </c>
      <c r="Q277" t="s">
        <v>157</v>
      </c>
      <c r="S277" t="s">
        <v>415</v>
      </c>
      <c r="T277" t="s">
        <v>781</v>
      </c>
      <c r="U277">
        <v>2.0702357260833446E-2</v>
      </c>
      <c r="V277" t="s">
        <v>157</v>
      </c>
    </row>
    <row r="278" spans="9:22" x14ac:dyDescent="0.45">
      <c r="I278" t="s">
        <v>193</v>
      </c>
      <c r="J278" t="s">
        <v>782</v>
      </c>
      <c r="K278">
        <v>0.16018548800307675</v>
      </c>
      <c r="L278" t="s">
        <v>157</v>
      </c>
      <c r="N278" t="s">
        <v>304</v>
      </c>
      <c r="O278" t="s">
        <v>782</v>
      </c>
      <c r="P278">
        <v>9.7195390872329063E-2</v>
      </c>
      <c r="Q278" t="s">
        <v>157</v>
      </c>
      <c r="S278" t="s">
        <v>415</v>
      </c>
      <c r="T278" t="s">
        <v>782</v>
      </c>
      <c r="U278">
        <v>0.11646077137861431</v>
      </c>
      <c r="V278" t="s">
        <v>157</v>
      </c>
    </row>
    <row r="279" spans="9:22" x14ac:dyDescent="0.45">
      <c r="I279" t="s">
        <v>193</v>
      </c>
      <c r="J279" t="s">
        <v>783</v>
      </c>
      <c r="K279">
        <v>0</v>
      </c>
      <c r="L279" t="s">
        <v>157</v>
      </c>
      <c r="N279" t="s">
        <v>304</v>
      </c>
      <c r="O279" t="s">
        <v>783</v>
      </c>
      <c r="P279">
        <v>7.6088915334405094E-2</v>
      </c>
      <c r="Q279" t="s">
        <v>157</v>
      </c>
      <c r="S279" t="s">
        <v>415</v>
      </c>
      <c r="T279" t="s">
        <v>783</v>
      </c>
      <c r="U279">
        <v>0.11426275228565848</v>
      </c>
      <c r="V279" t="s">
        <v>157</v>
      </c>
    </row>
    <row r="280" spans="9:22" x14ac:dyDescent="0.45">
      <c r="I280" t="s">
        <v>193</v>
      </c>
      <c r="J280" t="s">
        <v>784</v>
      </c>
      <c r="K280">
        <v>1.6232791982850974E-2</v>
      </c>
      <c r="L280" t="s">
        <v>157</v>
      </c>
      <c r="N280" t="s">
        <v>304</v>
      </c>
      <c r="O280" t="s">
        <v>784</v>
      </c>
      <c r="P280">
        <v>1.7273036370210142E-2</v>
      </c>
      <c r="Q280" t="s">
        <v>157</v>
      </c>
      <c r="S280" t="s">
        <v>415</v>
      </c>
      <c r="T280" t="s">
        <v>784</v>
      </c>
      <c r="U280">
        <v>2.1503997371534911E-2</v>
      </c>
      <c r="V280" t="s">
        <v>157</v>
      </c>
    </row>
    <row r="281" spans="9:22" x14ac:dyDescent="0.45">
      <c r="I281" t="s">
        <v>193</v>
      </c>
      <c r="J281" t="s">
        <v>785</v>
      </c>
      <c r="K281">
        <v>8.9875708338178983E-2</v>
      </c>
      <c r="L281" t="s">
        <v>157</v>
      </c>
      <c r="N281" t="s">
        <v>304</v>
      </c>
      <c r="O281" t="s">
        <v>785</v>
      </c>
      <c r="P281">
        <v>0.10473882546565826</v>
      </c>
      <c r="Q281" t="s">
        <v>157</v>
      </c>
      <c r="S281" t="s">
        <v>415</v>
      </c>
      <c r="T281" t="s">
        <v>785</v>
      </c>
      <c r="U281">
        <v>0.1149751554398248</v>
      </c>
      <c r="V281" t="s">
        <v>157</v>
      </c>
    </row>
    <row r="282" spans="9:22" x14ac:dyDescent="0.45">
      <c r="I282" t="s">
        <v>193</v>
      </c>
      <c r="J282" t="s">
        <v>786</v>
      </c>
      <c r="K282">
        <v>0</v>
      </c>
      <c r="L282" t="s">
        <v>157</v>
      </c>
      <c r="N282" t="s">
        <v>304</v>
      </c>
      <c r="O282" t="s">
        <v>786</v>
      </c>
      <c r="P282">
        <v>0.11383535069231535</v>
      </c>
      <c r="Q282" t="s">
        <v>157</v>
      </c>
      <c r="S282" t="s">
        <v>415</v>
      </c>
      <c r="T282" t="s">
        <v>786</v>
      </c>
      <c r="U282">
        <v>0.11518848360906488</v>
      </c>
      <c r="V282" t="s">
        <v>157</v>
      </c>
    </row>
    <row r="283" spans="9:22" x14ac:dyDescent="0.45">
      <c r="I283" t="s">
        <v>193</v>
      </c>
      <c r="J283" t="s">
        <v>787</v>
      </c>
      <c r="K283">
        <v>3.3535319139469653E-3</v>
      </c>
      <c r="L283" t="s">
        <v>157</v>
      </c>
      <c r="N283" t="s">
        <v>304</v>
      </c>
      <c r="O283" t="s">
        <v>787</v>
      </c>
      <c r="P283">
        <v>1.494402146501095E-2</v>
      </c>
      <c r="Q283" t="s">
        <v>157</v>
      </c>
      <c r="S283" t="s">
        <v>415</v>
      </c>
      <c r="T283" t="s">
        <v>787</v>
      </c>
      <c r="U283">
        <v>2.1152126522062189E-2</v>
      </c>
      <c r="V283" t="s">
        <v>157</v>
      </c>
    </row>
    <row r="284" spans="9:22" x14ac:dyDescent="0.45">
      <c r="I284" t="s">
        <v>193</v>
      </c>
      <c r="J284" t="s">
        <v>788</v>
      </c>
      <c r="K284">
        <v>0.33918236950865843</v>
      </c>
      <c r="L284" t="s">
        <v>157</v>
      </c>
      <c r="N284" t="s">
        <v>304</v>
      </c>
      <c r="O284" t="s">
        <v>788</v>
      </c>
      <c r="P284">
        <v>0.1412111850557968</v>
      </c>
      <c r="Q284" t="s">
        <v>157</v>
      </c>
      <c r="S284" t="s">
        <v>415</v>
      </c>
      <c r="T284" t="s">
        <v>788</v>
      </c>
      <c r="U284">
        <v>0.11560122317531378</v>
      </c>
      <c r="V284" t="s">
        <v>157</v>
      </c>
    </row>
    <row r="285" spans="9:22" x14ac:dyDescent="0.45">
      <c r="I285" t="s">
        <v>193</v>
      </c>
      <c r="J285" t="s">
        <v>789</v>
      </c>
      <c r="K285">
        <v>2.0317874557765007E-2</v>
      </c>
      <c r="L285" t="s">
        <v>157</v>
      </c>
      <c r="N285" t="s">
        <v>304</v>
      </c>
      <c r="O285" t="s">
        <v>789</v>
      </c>
      <c r="P285">
        <v>6.9450597416241308E-2</v>
      </c>
      <c r="Q285" t="s">
        <v>157</v>
      </c>
      <c r="S285" t="s">
        <v>415</v>
      </c>
      <c r="T285" t="s">
        <v>789</v>
      </c>
      <c r="U285">
        <v>0.11157486880461824</v>
      </c>
      <c r="V285" t="s">
        <v>157</v>
      </c>
    </row>
    <row r="286" spans="9:22" x14ac:dyDescent="0.45">
      <c r="I286" t="s">
        <v>193</v>
      </c>
      <c r="J286" t="s">
        <v>790</v>
      </c>
      <c r="K286">
        <v>5.0841330866452816E-2</v>
      </c>
      <c r="L286" t="s">
        <v>157</v>
      </c>
      <c r="N286" t="s">
        <v>304</v>
      </c>
      <c r="O286" t="s">
        <v>790</v>
      </c>
      <c r="P286">
        <v>2.4419843787833576E-2</v>
      </c>
      <c r="Q286" t="s">
        <v>157</v>
      </c>
      <c r="S286" t="s">
        <v>415</v>
      </c>
      <c r="T286" t="s">
        <v>790</v>
      </c>
      <c r="U286">
        <v>2.0682077324101624E-2</v>
      </c>
      <c r="V286" t="s">
        <v>157</v>
      </c>
    </row>
    <row r="287" spans="9:22" x14ac:dyDescent="0.45">
      <c r="I287" t="s">
        <v>194</v>
      </c>
      <c r="J287" t="s">
        <v>779</v>
      </c>
      <c r="K287">
        <v>0.28341943698103866</v>
      </c>
      <c r="L287" t="s">
        <v>157</v>
      </c>
      <c r="N287" t="s">
        <v>305</v>
      </c>
      <c r="O287" t="s">
        <v>779</v>
      </c>
      <c r="P287">
        <v>0.13259870385265016</v>
      </c>
      <c r="Q287" t="s">
        <v>157</v>
      </c>
      <c r="S287" t="s">
        <v>416</v>
      </c>
      <c r="T287" t="s">
        <v>779</v>
      </c>
      <c r="U287">
        <v>0.11712502820886879</v>
      </c>
      <c r="V287" t="s">
        <v>157</v>
      </c>
    </row>
    <row r="288" spans="9:22" x14ac:dyDescent="0.45">
      <c r="I288" t="s">
        <v>194</v>
      </c>
      <c r="J288" t="s">
        <v>780</v>
      </c>
      <c r="K288">
        <v>7.7347621147664889E-3</v>
      </c>
      <c r="L288" t="s">
        <v>157</v>
      </c>
      <c r="N288" t="s">
        <v>305</v>
      </c>
      <c r="O288" t="s">
        <v>780</v>
      </c>
      <c r="P288">
        <v>0.10965520517398933</v>
      </c>
      <c r="Q288" t="s">
        <v>157</v>
      </c>
      <c r="S288" t="s">
        <v>416</v>
      </c>
      <c r="T288" t="s">
        <v>780</v>
      </c>
      <c r="U288">
        <v>0.11224621319366766</v>
      </c>
      <c r="V288" t="s">
        <v>157</v>
      </c>
    </row>
    <row r="289" spans="9:22" x14ac:dyDescent="0.45">
      <c r="I289" t="s">
        <v>194</v>
      </c>
      <c r="J289" t="s">
        <v>781</v>
      </c>
      <c r="K289">
        <v>3.6971140597440826E-2</v>
      </c>
      <c r="L289" t="s">
        <v>157</v>
      </c>
      <c r="N289" t="s">
        <v>305</v>
      </c>
      <c r="O289" t="s">
        <v>781</v>
      </c>
      <c r="P289">
        <v>2.3257485078887172E-2</v>
      </c>
      <c r="Q289" t="s">
        <v>157</v>
      </c>
      <c r="S289" t="s">
        <v>416</v>
      </c>
      <c r="T289" t="s">
        <v>781</v>
      </c>
      <c r="U289">
        <v>2.0532845226338456E-2</v>
      </c>
      <c r="V289" t="s">
        <v>157</v>
      </c>
    </row>
    <row r="290" spans="9:22" x14ac:dyDescent="0.45">
      <c r="I290" t="s">
        <v>194</v>
      </c>
      <c r="J290" t="s">
        <v>782</v>
      </c>
      <c r="K290">
        <v>0.15535436655444854</v>
      </c>
      <c r="L290" t="s">
        <v>157</v>
      </c>
      <c r="N290" t="s">
        <v>305</v>
      </c>
      <c r="O290" t="s">
        <v>782</v>
      </c>
      <c r="P290">
        <v>0.11393258799592298</v>
      </c>
      <c r="Q290" t="s">
        <v>157</v>
      </c>
      <c r="S290" t="s">
        <v>416</v>
      </c>
      <c r="T290" t="s">
        <v>782</v>
      </c>
      <c r="U290">
        <v>0.11405363319611422</v>
      </c>
      <c r="V290" t="s">
        <v>157</v>
      </c>
    </row>
    <row r="291" spans="9:22" x14ac:dyDescent="0.45">
      <c r="I291" t="s">
        <v>194</v>
      </c>
      <c r="J291" t="s">
        <v>783</v>
      </c>
      <c r="K291">
        <v>0</v>
      </c>
      <c r="L291" t="s">
        <v>157</v>
      </c>
      <c r="N291" t="s">
        <v>305</v>
      </c>
      <c r="O291" t="s">
        <v>783</v>
      </c>
      <c r="P291">
        <v>0.10740307982530395</v>
      </c>
      <c r="Q291" t="s">
        <v>157</v>
      </c>
      <c r="S291" t="s">
        <v>416</v>
      </c>
      <c r="T291" t="s">
        <v>783</v>
      </c>
      <c r="U291">
        <v>0.11333640524311404</v>
      </c>
      <c r="V291" t="s">
        <v>157</v>
      </c>
    </row>
    <row r="292" spans="9:22" x14ac:dyDescent="0.45">
      <c r="I292" t="s">
        <v>194</v>
      </c>
      <c r="J292" t="s">
        <v>784</v>
      </c>
      <c r="K292">
        <v>1.6879511581091002E-2</v>
      </c>
      <c r="L292" t="s">
        <v>157</v>
      </c>
      <c r="N292" t="s">
        <v>305</v>
      </c>
      <c r="O292" t="s">
        <v>784</v>
      </c>
      <c r="P292">
        <v>2.0384372262371386E-2</v>
      </c>
      <c r="Q292" t="s">
        <v>157</v>
      </c>
      <c r="S292" t="s">
        <v>416</v>
      </c>
      <c r="T292" t="s">
        <v>784</v>
      </c>
      <c r="U292">
        <v>2.1288995699882879E-2</v>
      </c>
      <c r="V292" t="s">
        <v>157</v>
      </c>
    </row>
    <row r="293" spans="9:22" x14ac:dyDescent="0.45">
      <c r="I293" t="s">
        <v>194</v>
      </c>
      <c r="J293" t="s">
        <v>785</v>
      </c>
      <c r="K293">
        <v>8.6096958382773162E-2</v>
      </c>
      <c r="L293" t="s">
        <v>157</v>
      </c>
      <c r="N293" t="s">
        <v>305</v>
      </c>
      <c r="O293" t="s">
        <v>785</v>
      </c>
      <c r="P293">
        <v>0.11786443529133177</v>
      </c>
      <c r="Q293" t="s">
        <v>157</v>
      </c>
      <c r="S293" t="s">
        <v>416</v>
      </c>
      <c r="T293" t="s">
        <v>785</v>
      </c>
      <c r="U293">
        <v>0.11528572723143723</v>
      </c>
      <c r="V293" t="s">
        <v>157</v>
      </c>
    </row>
    <row r="294" spans="9:22" x14ac:dyDescent="0.45">
      <c r="I294" t="s">
        <v>194</v>
      </c>
      <c r="J294" t="s">
        <v>786</v>
      </c>
      <c r="K294">
        <v>0</v>
      </c>
      <c r="L294" t="s">
        <v>157</v>
      </c>
      <c r="N294" t="s">
        <v>305</v>
      </c>
      <c r="O294" t="s">
        <v>786</v>
      </c>
      <c r="P294">
        <v>0.11519893605936253</v>
      </c>
      <c r="Q294" t="s">
        <v>157</v>
      </c>
      <c r="S294" t="s">
        <v>416</v>
      </c>
      <c r="T294" t="s">
        <v>786</v>
      </c>
      <c r="U294">
        <v>0.11498892499433144</v>
      </c>
      <c r="V294" t="s">
        <v>157</v>
      </c>
    </row>
    <row r="295" spans="9:22" x14ac:dyDescent="0.45">
      <c r="I295" t="s">
        <v>194</v>
      </c>
      <c r="J295" t="s">
        <v>787</v>
      </c>
      <c r="K295">
        <v>4.0913637905100088E-3</v>
      </c>
      <c r="L295" t="s">
        <v>157</v>
      </c>
      <c r="N295" t="s">
        <v>305</v>
      </c>
      <c r="O295" t="s">
        <v>787</v>
      </c>
      <c r="P295">
        <v>2.0726560200230636E-2</v>
      </c>
      <c r="Q295" t="s">
        <v>157</v>
      </c>
      <c r="S295" t="s">
        <v>416</v>
      </c>
      <c r="T295" t="s">
        <v>787</v>
      </c>
      <c r="U295">
        <v>2.1335417303078925E-2</v>
      </c>
      <c r="V295" t="s">
        <v>157</v>
      </c>
    </row>
    <row r="296" spans="9:22" x14ac:dyDescent="0.45">
      <c r="I296" t="s">
        <v>194</v>
      </c>
      <c r="J296" t="s">
        <v>788</v>
      </c>
      <c r="K296">
        <v>0.33743017578652917</v>
      </c>
      <c r="L296" t="s">
        <v>157</v>
      </c>
      <c r="N296" t="s">
        <v>305</v>
      </c>
      <c r="O296" t="s">
        <v>788</v>
      </c>
      <c r="P296">
        <v>0.12150858513584578</v>
      </c>
      <c r="Q296" t="s">
        <v>157</v>
      </c>
      <c r="S296" t="s">
        <v>416</v>
      </c>
      <c r="T296" t="s">
        <v>788</v>
      </c>
      <c r="U296">
        <v>0.11691864252110359</v>
      </c>
      <c r="V296" t="s">
        <v>157</v>
      </c>
    </row>
    <row r="297" spans="9:22" x14ac:dyDescent="0.45">
      <c r="I297" t="s">
        <v>194</v>
      </c>
      <c r="J297" t="s">
        <v>789</v>
      </c>
      <c r="K297">
        <v>2.0436658894939889E-2</v>
      </c>
      <c r="L297" t="s">
        <v>157</v>
      </c>
      <c r="N297" t="s">
        <v>305</v>
      </c>
      <c r="O297" t="s">
        <v>789</v>
      </c>
      <c r="P297">
        <v>9.5868573856041167E-2</v>
      </c>
      <c r="Q297" t="s">
        <v>157</v>
      </c>
      <c r="S297" t="s">
        <v>416</v>
      </c>
      <c r="T297" t="s">
        <v>789</v>
      </c>
      <c r="U297">
        <v>0.11191398844189672</v>
      </c>
      <c r="V297" t="s">
        <v>157</v>
      </c>
    </row>
    <row r="298" spans="9:22" x14ac:dyDescent="0.45">
      <c r="I298" t="s">
        <v>194</v>
      </c>
      <c r="J298" t="s">
        <v>790</v>
      </c>
      <c r="K298">
        <v>5.158562531646213E-2</v>
      </c>
      <c r="L298" t="s">
        <v>157</v>
      </c>
      <c r="N298" t="s">
        <v>305</v>
      </c>
      <c r="O298" t="s">
        <v>790</v>
      </c>
      <c r="P298">
        <v>2.1601475268063067E-2</v>
      </c>
      <c r="Q298" t="s">
        <v>157</v>
      </c>
      <c r="S298" t="s">
        <v>416</v>
      </c>
      <c r="T298" t="s">
        <v>790</v>
      </c>
      <c r="U298">
        <v>2.0974178740166081E-2</v>
      </c>
      <c r="V298" t="s">
        <v>157</v>
      </c>
    </row>
    <row r="299" spans="9:22" x14ac:dyDescent="0.45">
      <c r="I299" t="s">
        <v>195</v>
      </c>
      <c r="J299" t="s">
        <v>779</v>
      </c>
      <c r="K299">
        <v>0.27295127271236891</v>
      </c>
      <c r="L299" t="s">
        <v>157</v>
      </c>
      <c r="N299" t="s">
        <v>306</v>
      </c>
      <c r="O299" t="s">
        <v>779</v>
      </c>
      <c r="P299">
        <v>0.23470612354854892</v>
      </c>
      <c r="Q299" t="s">
        <v>157</v>
      </c>
      <c r="S299" t="s">
        <v>417</v>
      </c>
      <c r="T299" t="s">
        <v>779</v>
      </c>
      <c r="U299">
        <v>0.11762411099269</v>
      </c>
      <c r="V299" t="s">
        <v>157</v>
      </c>
    </row>
    <row r="300" spans="9:22" x14ac:dyDescent="0.45">
      <c r="I300" t="s">
        <v>195</v>
      </c>
      <c r="J300" t="s">
        <v>780</v>
      </c>
      <c r="K300">
        <v>6.0844897318028789E-3</v>
      </c>
      <c r="L300" t="s">
        <v>157</v>
      </c>
      <c r="N300" t="s">
        <v>306</v>
      </c>
      <c r="O300" t="s">
        <v>780</v>
      </c>
      <c r="P300">
        <v>0.10220558702216596</v>
      </c>
      <c r="Q300" t="s">
        <v>157</v>
      </c>
      <c r="S300" t="s">
        <v>417</v>
      </c>
      <c r="T300" t="s">
        <v>780</v>
      </c>
      <c r="U300">
        <v>0.11332809713003165</v>
      </c>
      <c r="V300" t="s">
        <v>157</v>
      </c>
    </row>
    <row r="301" spans="9:22" x14ac:dyDescent="0.45">
      <c r="I301" t="s">
        <v>195</v>
      </c>
      <c r="J301" t="s">
        <v>781</v>
      </c>
      <c r="K301">
        <v>3.3853213932067215E-2</v>
      </c>
      <c r="L301" t="s">
        <v>157</v>
      </c>
      <c r="N301" t="s">
        <v>306</v>
      </c>
      <c r="O301" t="s">
        <v>781</v>
      </c>
      <c r="P301">
        <v>3.4102446699242901E-2</v>
      </c>
      <c r="Q301" t="s">
        <v>157</v>
      </c>
      <c r="S301" t="s">
        <v>417</v>
      </c>
      <c r="T301" t="s">
        <v>781</v>
      </c>
      <c r="U301">
        <v>2.0044400957758151E-2</v>
      </c>
      <c r="V301" t="s">
        <v>157</v>
      </c>
    </row>
    <row r="302" spans="9:22" x14ac:dyDescent="0.45">
      <c r="I302" t="s">
        <v>195</v>
      </c>
      <c r="J302" t="s">
        <v>782</v>
      </c>
      <c r="K302">
        <v>0.16034965176349408</v>
      </c>
      <c r="L302" t="s">
        <v>157</v>
      </c>
      <c r="N302" t="s">
        <v>306</v>
      </c>
      <c r="O302" t="s">
        <v>782</v>
      </c>
      <c r="P302">
        <v>0.10018831323359426</v>
      </c>
      <c r="Q302" t="s">
        <v>157</v>
      </c>
      <c r="S302" t="s">
        <v>417</v>
      </c>
      <c r="T302" t="s">
        <v>782</v>
      </c>
      <c r="U302">
        <v>0.11207987742718394</v>
      </c>
      <c r="V302" t="s">
        <v>157</v>
      </c>
    </row>
    <row r="303" spans="9:22" x14ac:dyDescent="0.45">
      <c r="I303" t="s">
        <v>195</v>
      </c>
      <c r="J303" t="s">
        <v>783</v>
      </c>
      <c r="K303">
        <v>0</v>
      </c>
      <c r="L303" t="s">
        <v>157</v>
      </c>
      <c r="N303" t="s">
        <v>306</v>
      </c>
      <c r="O303" t="s">
        <v>783</v>
      </c>
      <c r="P303">
        <v>6.4556571107441049E-2</v>
      </c>
      <c r="Q303" t="s">
        <v>157</v>
      </c>
      <c r="S303" t="s">
        <v>417</v>
      </c>
      <c r="T303" t="s">
        <v>783</v>
      </c>
      <c r="U303">
        <v>0.11239164988193689</v>
      </c>
      <c r="V303" t="s">
        <v>157</v>
      </c>
    </row>
    <row r="304" spans="9:22" x14ac:dyDescent="0.45">
      <c r="I304" t="s">
        <v>195</v>
      </c>
      <c r="J304" t="s">
        <v>784</v>
      </c>
      <c r="K304">
        <v>1.6326206578760202E-2</v>
      </c>
      <c r="L304" t="s">
        <v>157</v>
      </c>
      <c r="N304" t="s">
        <v>306</v>
      </c>
      <c r="O304" t="s">
        <v>784</v>
      </c>
      <c r="P304">
        <v>1.8157803390021245E-2</v>
      </c>
      <c r="Q304" t="s">
        <v>157</v>
      </c>
      <c r="S304" t="s">
        <v>417</v>
      </c>
      <c r="T304" t="s">
        <v>784</v>
      </c>
      <c r="U304">
        <v>2.0839955159488478E-2</v>
      </c>
      <c r="V304" t="s">
        <v>157</v>
      </c>
    </row>
    <row r="305" spans="9:22" x14ac:dyDescent="0.45">
      <c r="I305" t="s">
        <v>195</v>
      </c>
      <c r="J305" t="s">
        <v>785</v>
      </c>
      <c r="K305">
        <v>8.9970666746919351E-2</v>
      </c>
      <c r="L305" t="s">
        <v>157</v>
      </c>
      <c r="N305" t="s">
        <v>306</v>
      </c>
      <c r="O305" t="s">
        <v>785</v>
      </c>
      <c r="P305">
        <v>8.7178748892557251E-2</v>
      </c>
      <c r="Q305" t="s">
        <v>157</v>
      </c>
      <c r="S305" t="s">
        <v>417</v>
      </c>
      <c r="T305" t="s">
        <v>785</v>
      </c>
      <c r="U305">
        <v>0.11493664799470985</v>
      </c>
      <c r="V305" t="s">
        <v>157</v>
      </c>
    </row>
    <row r="306" spans="9:22" x14ac:dyDescent="0.45">
      <c r="I306" t="s">
        <v>195</v>
      </c>
      <c r="J306" t="s">
        <v>786</v>
      </c>
      <c r="K306">
        <v>0</v>
      </c>
      <c r="L306" t="s">
        <v>157</v>
      </c>
      <c r="N306" t="s">
        <v>306</v>
      </c>
      <c r="O306" t="s">
        <v>786</v>
      </c>
      <c r="P306">
        <v>9.5073645411358154E-2</v>
      </c>
      <c r="Q306" t="s">
        <v>157</v>
      </c>
      <c r="S306" t="s">
        <v>417</v>
      </c>
      <c r="T306" t="s">
        <v>786</v>
      </c>
      <c r="U306">
        <v>0.11537749357966848</v>
      </c>
      <c r="V306" t="s">
        <v>157</v>
      </c>
    </row>
    <row r="307" spans="9:22" x14ac:dyDescent="0.45">
      <c r="I307" t="s">
        <v>195</v>
      </c>
      <c r="J307" t="s">
        <v>787</v>
      </c>
      <c r="K307">
        <v>2.8535053852469057E-3</v>
      </c>
      <c r="L307" t="s">
        <v>157</v>
      </c>
      <c r="N307" t="s">
        <v>306</v>
      </c>
      <c r="O307" t="s">
        <v>787</v>
      </c>
      <c r="P307">
        <v>1.1206095696034065E-2</v>
      </c>
      <c r="Q307" t="s">
        <v>157</v>
      </c>
      <c r="S307" t="s">
        <v>417</v>
      </c>
      <c r="T307" t="s">
        <v>787</v>
      </c>
      <c r="U307">
        <v>2.1055008659730572E-2</v>
      </c>
      <c r="V307" t="s">
        <v>157</v>
      </c>
    </row>
    <row r="308" spans="9:22" x14ac:dyDescent="0.45">
      <c r="I308" t="s">
        <v>195</v>
      </c>
      <c r="J308" t="s">
        <v>788</v>
      </c>
      <c r="K308">
        <v>0.34438827951118611</v>
      </c>
      <c r="L308" t="s">
        <v>157</v>
      </c>
      <c r="N308" t="s">
        <v>306</v>
      </c>
      <c r="O308" t="s">
        <v>788</v>
      </c>
      <c r="P308">
        <v>0.16075833131762335</v>
      </c>
      <c r="Q308" t="s">
        <v>157</v>
      </c>
      <c r="S308" t="s">
        <v>417</v>
      </c>
      <c r="T308" t="s">
        <v>788</v>
      </c>
      <c r="U308">
        <v>0.11763172723385477</v>
      </c>
      <c r="V308" t="s">
        <v>157</v>
      </c>
    </row>
    <row r="309" spans="9:22" x14ac:dyDescent="0.45">
      <c r="I309" t="s">
        <v>195</v>
      </c>
      <c r="J309" t="s">
        <v>789</v>
      </c>
      <c r="K309">
        <v>2.0493610454827057E-2</v>
      </c>
      <c r="L309" t="s">
        <v>157</v>
      </c>
      <c r="N309" t="s">
        <v>306</v>
      </c>
      <c r="O309" t="s">
        <v>789</v>
      </c>
      <c r="P309">
        <v>6.2500433993157564E-2</v>
      </c>
      <c r="Q309" t="s">
        <v>157</v>
      </c>
      <c r="S309" t="s">
        <v>417</v>
      </c>
      <c r="T309" t="s">
        <v>789</v>
      </c>
      <c r="U309">
        <v>0.11326391257215798</v>
      </c>
      <c r="V309" t="s">
        <v>157</v>
      </c>
    </row>
    <row r="310" spans="9:22" x14ac:dyDescent="0.45">
      <c r="I310" t="s">
        <v>195</v>
      </c>
      <c r="J310" t="s">
        <v>790</v>
      </c>
      <c r="K310">
        <v>5.2729103183327256E-2</v>
      </c>
      <c r="L310" t="s">
        <v>157</v>
      </c>
      <c r="N310" t="s">
        <v>306</v>
      </c>
      <c r="O310" t="s">
        <v>790</v>
      </c>
      <c r="P310">
        <v>2.9365899688255315E-2</v>
      </c>
      <c r="Q310" t="s">
        <v>157</v>
      </c>
      <c r="S310" t="s">
        <v>417</v>
      </c>
      <c r="T310" t="s">
        <v>790</v>
      </c>
      <c r="U310">
        <v>2.1427118410789259E-2</v>
      </c>
      <c r="V310" t="s">
        <v>157</v>
      </c>
    </row>
    <row r="311" spans="9:22" x14ac:dyDescent="0.45">
      <c r="I311" t="s">
        <v>196</v>
      </c>
      <c r="J311" t="s">
        <v>779</v>
      </c>
      <c r="K311">
        <v>0.26638871130228109</v>
      </c>
      <c r="L311" t="s">
        <v>157</v>
      </c>
      <c r="N311" t="s">
        <v>307</v>
      </c>
      <c r="O311" t="s">
        <v>779</v>
      </c>
      <c r="P311">
        <v>0.19022908611712042</v>
      </c>
      <c r="Q311" t="s">
        <v>157</v>
      </c>
      <c r="S311" t="s">
        <v>418</v>
      </c>
      <c r="T311" t="s">
        <v>779</v>
      </c>
      <c r="U311">
        <v>0.11829177918500801</v>
      </c>
      <c r="V311" t="s">
        <v>157</v>
      </c>
    </row>
    <row r="312" spans="9:22" x14ac:dyDescent="0.45">
      <c r="I312" t="s">
        <v>196</v>
      </c>
      <c r="J312" t="s">
        <v>780</v>
      </c>
      <c r="K312">
        <v>6.4068400981725218E-3</v>
      </c>
      <c r="L312" t="s">
        <v>157</v>
      </c>
      <c r="N312" t="s">
        <v>307</v>
      </c>
      <c r="O312" t="s">
        <v>780</v>
      </c>
      <c r="P312">
        <v>0.10117795665962659</v>
      </c>
      <c r="Q312" t="s">
        <v>157</v>
      </c>
      <c r="S312" t="s">
        <v>418</v>
      </c>
      <c r="T312" t="s">
        <v>780</v>
      </c>
      <c r="U312">
        <v>0.11414536064768661</v>
      </c>
      <c r="V312" t="s">
        <v>157</v>
      </c>
    </row>
    <row r="313" spans="9:22" x14ac:dyDescent="0.45">
      <c r="I313" t="s">
        <v>196</v>
      </c>
      <c r="J313" t="s">
        <v>781</v>
      </c>
      <c r="K313">
        <v>3.347017789277678E-2</v>
      </c>
      <c r="L313" t="s">
        <v>157</v>
      </c>
      <c r="N313" t="s">
        <v>307</v>
      </c>
      <c r="O313" t="s">
        <v>781</v>
      </c>
      <c r="P313">
        <v>2.6537655789274951E-2</v>
      </c>
      <c r="Q313" t="s">
        <v>157</v>
      </c>
      <c r="S313" t="s">
        <v>418</v>
      </c>
      <c r="T313" t="s">
        <v>781</v>
      </c>
      <c r="U313">
        <v>2.0229156256597377E-2</v>
      </c>
      <c r="V313" t="s">
        <v>157</v>
      </c>
    </row>
    <row r="314" spans="9:22" x14ac:dyDescent="0.45">
      <c r="I314" t="s">
        <v>196</v>
      </c>
      <c r="J314" t="s">
        <v>782</v>
      </c>
      <c r="K314">
        <v>0.16357710219131827</v>
      </c>
      <c r="L314" t="s">
        <v>157</v>
      </c>
      <c r="N314" t="s">
        <v>307</v>
      </c>
      <c r="O314" t="s">
        <v>782</v>
      </c>
      <c r="P314">
        <v>9.6621478511678183E-2</v>
      </c>
      <c r="Q314" t="s">
        <v>157</v>
      </c>
      <c r="S314" t="s">
        <v>418</v>
      </c>
      <c r="T314" t="s">
        <v>782</v>
      </c>
      <c r="U314">
        <v>0.1111561922735612</v>
      </c>
      <c r="V314" t="s">
        <v>157</v>
      </c>
    </row>
    <row r="315" spans="9:22" x14ac:dyDescent="0.45">
      <c r="I315" t="s">
        <v>196</v>
      </c>
      <c r="J315" t="s">
        <v>783</v>
      </c>
      <c r="K315">
        <v>0</v>
      </c>
      <c r="L315" t="s">
        <v>157</v>
      </c>
      <c r="N315" t="s">
        <v>307</v>
      </c>
      <c r="O315" t="s">
        <v>783</v>
      </c>
      <c r="P315">
        <v>8.0019025926958157E-2</v>
      </c>
      <c r="Q315" t="s">
        <v>157</v>
      </c>
      <c r="S315" t="s">
        <v>418</v>
      </c>
      <c r="T315" t="s">
        <v>783</v>
      </c>
      <c r="U315">
        <v>0.11061682949901337</v>
      </c>
      <c r="V315" t="s">
        <v>157</v>
      </c>
    </row>
    <row r="316" spans="9:22" x14ac:dyDescent="0.45">
      <c r="I316" t="s">
        <v>196</v>
      </c>
      <c r="J316" t="s">
        <v>784</v>
      </c>
      <c r="K316">
        <v>1.5894195063602998E-2</v>
      </c>
      <c r="L316" t="s">
        <v>157</v>
      </c>
      <c r="N316" t="s">
        <v>307</v>
      </c>
      <c r="O316" t="s">
        <v>784</v>
      </c>
      <c r="P316">
        <v>1.7250757440314443E-2</v>
      </c>
      <c r="Q316" t="s">
        <v>157</v>
      </c>
      <c r="S316" t="s">
        <v>418</v>
      </c>
      <c r="T316" t="s">
        <v>784</v>
      </c>
      <c r="U316">
        <v>2.0474623497286189E-2</v>
      </c>
      <c r="V316" t="s">
        <v>157</v>
      </c>
    </row>
    <row r="317" spans="9:22" x14ac:dyDescent="0.45">
      <c r="I317" t="s">
        <v>196</v>
      </c>
      <c r="J317" t="s">
        <v>785</v>
      </c>
      <c r="K317">
        <v>9.4997339446427284E-2</v>
      </c>
      <c r="L317" t="s">
        <v>157</v>
      </c>
      <c r="N317" t="s">
        <v>307</v>
      </c>
      <c r="O317" t="s">
        <v>785</v>
      </c>
      <c r="P317">
        <v>0.12766543499985405</v>
      </c>
      <c r="Q317" t="s">
        <v>157</v>
      </c>
      <c r="S317" t="s">
        <v>418</v>
      </c>
      <c r="T317" t="s">
        <v>785</v>
      </c>
      <c r="U317">
        <v>0.11491104602066878</v>
      </c>
      <c r="V317" t="s">
        <v>157</v>
      </c>
    </row>
    <row r="318" spans="9:22" x14ac:dyDescent="0.45">
      <c r="I318" t="s">
        <v>196</v>
      </c>
      <c r="J318" t="s">
        <v>786</v>
      </c>
      <c r="K318">
        <v>0</v>
      </c>
      <c r="L318" t="s">
        <v>157</v>
      </c>
      <c r="N318" t="s">
        <v>307</v>
      </c>
      <c r="O318" t="s">
        <v>786</v>
      </c>
      <c r="P318">
        <v>0.12909479902125867</v>
      </c>
      <c r="Q318" t="s">
        <v>157</v>
      </c>
      <c r="S318" t="s">
        <v>418</v>
      </c>
      <c r="T318" t="s">
        <v>786</v>
      </c>
      <c r="U318">
        <v>0.11556054374101998</v>
      </c>
      <c r="V318" t="s">
        <v>157</v>
      </c>
    </row>
    <row r="319" spans="9:22" x14ac:dyDescent="0.45">
      <c r="I319" t="s">
        <v>196</v>
      </c>
      <c r="J319" t="s">
        <v>787</v>
      </c>
      <c r="K319">
        <v>2.6874686253206843E-3</v>
      </c>
      <c r="L319" t="s">
        <v>157</v>
      </c>
      <c r="N319" t="s">
        <v>307</v>
      </c>
      <c r="O319" t="s">
        <v>787</v>
      </c>
      <c r="P319">
        <v>2.0305569946602785E-2</v>
      </c>
      <c r="Q319" t="s">
        <v>157</v>
      </c>
      <c r="S319" t="s">
        <v>418</v>
      </c>
      <c r="T319" t="s">
        <v>787</v>
      </c>
      <c r="U319">
        <v>2.0967544914126252E-2</v>
      </c>
      <c r="V319" t="s">
        <v>157</v>
      </c>
    </row>
    <row r="320" spans="9:22" x14ac:dyDescent="0.45">
      <c r="I320" t="s">
        <v>196</v>
      </c>
      <c r="J320" t="s">
        <v>788</v>
      </c>
      <c r="K320">
        <v>0.3435249502255569</v>
      </c>
      <c r="L320" t="s">
        <v>157</v>
      </c>
      <c r="N320" t="s">
        <v>307</v>
      </c>
      <c r="O320" t="s">
        <v>788</v>
      </c>
      <c r="P320">
        <v>0.13119190491476185</v>
      </c>
      <c r="Q320" t="s">
        <v>157</v>
      </c>
      <c r="S320" t="s">
        <v>418</v>
      </c>
      <c r="T320" t="s">
        <v>788</v>
      </c>
      <c r="U320">
        <v>0.11692862488044248</v>
      </c>
      <c r="V320" t="s">
        <v>157</v>
      </c>
    </row>
    <row r="321" spans="9:22" x14ac:dyDescent="0.45">
      <c r="I321" t="s">
        <v>196</v>
      </c>
      <c r="J321" t="s">
        <v>789</v>
      </c>
      <c r="K321">
        <v>1.9968220271532736E-2</v>
      </c>
      <c r="L321" t="s">
        <v>157</v>
      </c>
      <c r="N321" t="s">
        <v>307</v>
      </c>
      <c r="O321" t="s">
        <v>789</v>
      </c>
      <c r="P321">
        <v>5.8335775686541566E-2</v>
      </c>
      <c r="Q321" t="s">
        <v>157</v>
      </c>
      <c r="S321" t="s">
        <v>418</v>
      </c>
      <c r="T321" t="s">
        <v>789</v>
      </c>
      <c r="U321">
        <v>0.11532247833387492</v>
      </c>
      <c r="V321" t="s">
        <v>157</v>
      </c>
    </row>
    <row r="322" spans="9:22" x14ac:dyDescent="0.45">
      <c r="I322" t="s">
        <v>196</v>
      </c>
      <c r="J322" t="s">
        <v>790</v>
      </c>
      <c r="K322">
        <v>5.3084994883010744E-2</v>
      </c>
      <c r="L322" t="s">
        <v>157</v>
      </c>
      <c r="N322" t="s">
        <v>307</v>
      </c>
      <c r="O322" t="s">
        <v>790</v>
      </c>
      <c r="P322">
        <v>2.1570554986008277E-2</v>
      </c>
      <c r="Q322" t="s">
        <v>157</v>
      </c>
      <c r="S322" t="s">
        <v>418</v>
      </c>
      <c r="T322" t="s">
        <v>790</v>
      </c>
      <c r="U322">
        <v>2.1395820750714795E-2</v>
      </c>
      <c r="V322" t="s">
        <v>157</v>
      </c>
    </row>
    <row r="323" spans="9:22" x14ac:dyDescent="0.45">
      <c r="I323" t="s">
        <v>197</v>
      </c>
      <c r="J323" t="s">
        <v>779</v>
      </c>
      <c r="K323">
        <v>0.26175997729812611</v>
      </c>
      <c r="L323" t="s">
        <v>157</v>
      </c>
      <c r="N323" t="s">
        <v>308</v>
      </c>
      <c r="O323" t="s">
        <v>779</v>
      </c>
      <c r="P323">
        <v>0.13556781995092926</v>
      </c>
      <c r="Q323" t="s">
        <v>157</v>
      </c>
      <c r="S323" t="s">
        <v>419</v>
      </c>
      <c r="T323" t="s">
        <v>779</v>
      </c>
      <c r="U323">
        <v>0.11836824451285172</v>
      </c>
      <c r="V323" t="s">
        <v>157</v>
      </c>
    </row>
    <row r="324" spans="9:22" x14ac:dyDescent="0.45">
      <c r="I324" t="s">
        <v>197</v>
      </c>
      <c r="J324" t="s">
        <v>780</v>
      </c>
      <c r="K324">
        <v>6.7885814932468775E-3</v>
      </c>
      <c r="L324" t="s">
        <v>157</v>
      </c>
      <c r="N324" t="s">
        <v>308</v>
      </c>
      <c r="O324" t="s">
        <v>780</v>
      </c>
      <c r="P324">
        <v>0.1133583958587811</v>
      </c>
      <c r="Q324" t="s">
        <v>157</v>
      </c>
      <c r="S324" t="s">
        <v>419</v>
      </c>
      <c r="T324" t="s">
        <v>780</v>
      </c>
      <c r="U324">
        <v>0.11572318148481948</v>
      </c>
      <c r="V324" t="s">
        <v>157</v>
      </c>
    </row>
    <row r="325" spans="9:22" x14ac:dyDescent="0.45">
      <c r="I325" t="s">
        <v>197</v>
      </c>
      <c r="J325" t="s">
        <v>781</v>
      </c>
      <c r="K325">
        <v>3.2385022002295531E-2</v>
      </c>
      <c r="L325" t="s">
        <v>157</v>
      </c>
      <c r="N325" t="s">
        <v>308</v>
      </c>
      <c r="O325" t="s">
        <v>781</v>
      </c>
      <c r="P325">
        <v>2.4831802261109866E-2</v>
      </c>
      <c r="Q325" t="s">
        <v>157</v>
      </c>
      <c r="S325" t="s">
        <v>419</v>
      </c>
      <c r="T325" t="s">
        <v>781</v>
      </c>
      <c r="U325">
        <v>2.0616636380493752E-2</v>
      </c>
      <c r="V325" t="s">
        <v>157</v>
      </c>
    </row>
    <row r="326" spans="9:22" x14ac:dyDescent="0.45">
      <c r="I326" t="s">
        <v>197</v>
      </c>
      <c r="J326" t="s">
        <v>782</v>
      </c>
      <c r="K326">
        <v>0.16777551493031606</v>
      </c>
      <c r="L326" t="s">
        <v>157</v>
      </c>
      <c r="N326" t="s">
        <v>308</v>
      </c>
      <c r="O326" t="s">
        <v>782</v>
      </c>
      <c r="P326">
        <v>9.6032580293970521E-2</v>
      </c>
      <c r="Q326" t="s">
        <v>157</v>
      </c>
      <c r="S326" t="s">
        <v>419</v>
      </c>
      <c r="T326" t="s">
        <v>782</v>
      </c>
      <c r="U326">
        <v>0.11055736791155354</v>
      </c>
      <c r="V326" t="s">
        <v>157</v>
      </c>
    </row>
    <row r="327" spans="9:22" x14ac:dyDescent="0.45">
      <c r="I327" t="s">
        <v>197</v>
      </c>
      <c r="J327" t="s">
        <v>783</v>
      </c>
      <c r="K327">
        <v>0</v>
      </c>
      <c r="L327" t="s">
        <v>157</v>
      </c>
      <c r="N327" t="s">
        <v>308</v>
      </c>
      <c r="O327" t="s">
        <v>783</v>
      </c>
      <c r="P327">
        <v>9.2705099655317633E-2</v>
      </c>
      <c r="Q327" t="s">
        <v>157</v>
      </c>
      <c r="S327" t="s">
        <v>419</v>
      </c>
      <c r="T327" t="s">
        <v>783</v>
      </c>
      <c r="U327">
        <v>0.10863349660469293</v>
      </c>
      <c r="V327" t="s">
        <v>157</v>
      </c>
    </row>
    <row r="328" spans="9:22" x14ac:dyDescent="0.45">
      <c r="I328" t="s">
        <v>197</v>
      </c>
      <c r="J328" t="s">
        <v>784</v>
      </c>
      <c r="K328">
        <v>1.524488213674821E-2</v>
      </c>
      <c r="L328" t="s">
        <v>157</v>
      </c>
      <c r="N328" t="s">
        <v>308</v>
      </c>
      <c r="O328" t="s">
        <v>784</v>
      </c>
      <c r="P328">
        <v>1.7950320295135432E-2</v>
      </c>
      <c r="Q328" t="s">
        <v>157</v>
      </c>
      <c r="S328" t="s">
        <v>419</v>
      </c>
      <c r="T328" t="s">
        <v>784</v>
      </c>
      <c r="U328">
        <v>2.0202888314314698E-2</v>
      </c>
      <c r="V328" t="s">
        <v>157</v>
      </c>
    </row>
    <row r="329" spans="9:22" x14ac:dyDescent="0.45">
      <c r="I329" t="s">
        <v>197</v>
      </c>
      <c r="J329" t="s">
        <v>785</v>
      </c>
      <c r="K329">
        <v>9.8929188350906277E-2</v>
      </c>
      <c r="L329" t="s">
        <v>157</v>
      </c>
      <c r="N329" t="s">
        <v>308</v>
      </c>
      <c r="O329" t="s">
        <v>785</v>
      </c>
      <c r="P329">
        <v>0.13236483128826512</v>
      </c>
      <c r="Q329" t="s">
        <v>157</v>
      </c>
      <c r="S329" t="s">
        <v>419</v>
      </c>
      <c r="T329" t="s">
        <v>785</v>
      </c>
      <c r="U329">
        <v>0.1147641093519593</v>
      </c>
      <c r="V329" t="s">
        <v>157</v>
      </c>
    </row>
    <row r="330" spans="9:22" x14ac:dyDescent="0.45">
      <c r="I330" t="s">
        <v>197</v>
      </c>
      <c r="J330" t="s">
        <v>786</v>
      </c>
      <c r="K330">
        <v>0</v>
      </c>
      <c r="L330" t="s">
        <v>157</v>
      </c>
      <c r="N330" t="s">
        <v>308</v>
      </c>
      <c r="O330" t="s">
        <v>786</v>
      </c>
      <c r="P330">
        <v>0.13265335917770704</v>
      </c>
      <c r="Q330" t="s">
        <v>157</v>
      </c>
      <c r="S330" t="s">
        <v>419</v>
      </c>
      <c r="T330" t="s">
        <v>786</v>
      </c>
      <c r="U330">
        <v>0.11633312788809831</v>
      </c>
      <c r="V330" t="s">
        <v>157</v>
      </c>
    </row>
    <row r="331" spans="9:22" x14ac:dyDescent="0.45">
      <c r="I331" t="s">
        <v>197</v>
      </c>
      <c r="J331" t="s">
        <v>787</v>
      </c>
      <c r="K331">
        <v>2.9874396857928758E-3</v>
      </c>
      <c r="L331" t="s">
        <v>157</v>
      </c>
      <c r="N331" t="s">
        <v>308</v>
      </c>
      <c r="O331" t="s">
        <v>787</v>
      </c>
      <c r="P331">
        <v>2.4090484631297104E-2</v>
      </c>
      <c r="Q331" t="s">
        <v>157</v>
      </c>
      <c r="S331" t="s">
        <v>419</v>
      </c>
      <c r="T331" t="s">
        <v>787</v>
      </c>
      <c r="U331">
        <v>2.0990294684423011E-2</v>
      </c>
      <c r="V331" t="s">
        <v>157</v>
      </c>
    </row>
    <row r="332" spans="9:22" x14ac:dyDescent="0.45">
      <c r="I332" t="s">
        <v>197</v>
      </c>
      <c r="J332" t="s">
        <v>788</v>
      </c>
      <c r="K332">
        <v>0.34143813291532465</v>
      </c>
      <c r="L332" t="s">
        <v>157</v>
      </c>
      <c r="N332" t="s">
        <v>308</v>
      </c>
      <c r="O332" t="s">
        <v>788</v>
      </c>
      <c r="P332">
        <v>0.11841412170970073</v>
      </c>
      <c r="Q332" t="s">
        <v>157</v>
      </c>
      <c r="S332" t="s">
        <v>419</v>
      </c>
      <c r="T332" t="s">
        <v>788</v>
      </c>
      <c r="U332">
        <v>0.11609070326151658</v>
      </c>
      <c r="V332" t="s">
        <v>157</v>
      </c>
    </row>
    <row r="333" spans="9:22" x14ac:dyDescent="0.45">
      <c r="I333" t="s">
        <v>197</v>
      </c>
      <c r="J333" t="s">
        <v>789</v>
      </c>
      <c r="K333">
        <v>1.9368598665670343E-2</v>
      </c>
      <c r="L333" t="s">
        <v>157</v>
      </c>
      <c r="N333" t="s">
        <v>308</v>
      </c>
      <c r="O333" t="s">
        <v>789</v>
      </c>
      <c r="P333">
        <v>9.0495065161118382E-2</v>
      </c>
      <c r="Q333" t="s">
        <v>157</v>
      </c>
      <c r="S333" t="s">
        <v>419</v>
      </c>
      <c r="T333" t="s">
        <v>789</v>
      </c>
      <c r="U333">
        <v>0.11649324573199032</v>
      </c>
      <c r="V333" t="s">
        <v>157</v>
      </c>
    </row>
    <row r="334" spans="9:22" x14ac:dyDescent="0.45">
      <c r="I334" t="s">
        <v>197</v>
      </c>
      <c r="J334" t="s">
        <v>790</v>
      </c>
      <c r="K334">
        <v>5.3322662521573042E-2</v>
      </c>
      <c r="L334" t="s">
        <v>157</v>
      </c>
      <c r="N334" t="s">
        <v>308</v>
      </c>
      <c r="O334" t="s">
        <v>790</v>
      </c>
      <c r="P334">
        <v>2.1536119716667881E-2</v>
      </c>
      <c r="Q334" t="s">
        <v>157</v>
      </c>
      <c r="S334" t="s">
        <v>419</v>
      </c>
      <c r="T334" t="s">
        <v>790</v>
      </c>
      <c r="U334">
        <v>2.1226703873286401E-2</v>
      </c>
      <c r="V334" t="s">
        <v>157</v>
      </c>
    </row>
    <row r="335" spans="9:22" x14ac:dyDescent="0.45">
      <c r="I335" t="s">
        <v>198</v>
      </c>
      <c r="J335" t="s">
        <v>779</v>
      </c>
      <c r="K335">
        <v>0.28897602149453616</v>
      </c>
      <c r="L335" t="s">
        <v>157</v>
      </c>
      <c r="N335" t="s">
        <v>309</v>
      </c>
      <c r="O335" t="s">
        <v>779</v>
      </c>
      <c r="P335">
        <v>0.13729797003402802</v>
      </c>
      <c r="Q335" t="s">
        <v>157</v>
      </c>
      <c r="S335" t="s">
        <v>420</v>
      </c>
      <c r="T335" t="s">
        <v>779</v>
      </c>
      <c r="U335">
        <v>0.11793348586898915</v>
      </c>
      <c r="V335" t="s">
        <v>157</v>
      </c>
    </row>
    <row r="336" spans="9:22" x14ac:dyDescent="0.45">
      <c r="I336" t="s">
        <v>198</v>
      </c>
      <c r="J336" t="s">
        <v>780</v>
      </c>
      <c r="K336">
        <v>6.5288089447088915E-3</v>
      </c>
      <c r="L336" t="s">
        <v>157</v>
      </c>
      <c r="N336" t="s">
        <v>309</v>
      </c>
      <c r="O336" t="s">
        <v>780</v>
      </c>
      <c r="P336">
        <v>0.11813567169619943</v>
      </c>
      <c r="Q336" t="s">
        <v>157</v>
      </c>
      <c r="S336" t="s">
        <v>420</v>
      </c>
      <c r="T336" t="s">
        <v>780</v>
      </c>
      <c r="U336">
        <v>0.11730516203982046</v>
      </c>
      <c r="V336" t="s">
        <v>157</v>
      </c>
    </row>
    <row r="337" spans="9:22" x14ac:dyDescent="0.45">
      <c r="I337" t="s">
        <v>198</v>
      </c>
      <c r="J337" t="s">
        <v>781</v>
      </c>
      <c r="K337">
        <v>3.0614797699182482E-2</v>
      </c>
      <c r="L337" t="s">
        <v>157</v>
      </c>
      <c r="N337" t="s">
        <v>309</v>
      </c>
      <c r="O337" t="s">
        <v>781</v>
      </c>
      <c r="P337">
        <v>2.7563358551687171E-2</v>
      </c>
      <c r="Q337" t="s">
        <v>157</v>
      </c>
      <c r="S337" t="s">
        <v>420</v>
      </c>
      <c r="T337" t="s">
        <v>781</v>
      </c>
      <c r="U337">
        <v>2.0620594401788869E-2</v>
      </c>
      <c r="V337" t="s">
        <v>157</v>
      </c>
    </row>
    <row r="338" spans="9:22" x14ac:dyDescent="0.45">
      <c r="I338" t="s">
        <v>198</v>
      </c>
      <c r="J338" t="s">
        <v>782</v>
      </c>
      <c r="K338">
        <v>0.15826234103748141</v>
      </c>
      <c r="L338" t="s">
        <v>157</v>
      </c>
      <c r="N338" t="s">
        <v>309</v>
      </c>
      <c r="O338" t="s">
        <v>782</v>
      </c>
      <c r="P338">
        <v>0.10728325207858508</v>
      </c>
      <c r="Q338" t="s">
        <v>157</v>
      </c>
      <c r="S338" t="s">
        <v>420</v>
      </c>
      <c r="T338" t="s">
        <v>782</v>
      </c>
      <c r="U338">
        <v>0.10957592638642907</v>
      </c>
      <c r="V338" t="s">
        <v>157</v>
      </c>
    </row>
    <row r="339" spans="9:22" x14ac:dyDescent="0.45">
      <c r="I339" t="s">
        <v>198</v>
      </c>
      <c r="J339" t="s">
        <v>783</v>
      </c>
      <c r="K339">
        <v>0</v>
      </c>
      <c r="L339" t="s">
        <v>157</v>
      </c>
      <c r="N339" t="s">
        <v>309</v>
      </c>
      <c r="O339" t="s">
        <v>783</v>
      </c>
      <c r="P339">
        <v>0.10444749403948418</v>
      </c>
      <c r="Q339" t="s">
        <v>157</v>
      </c>
      <c r="S339" t="s">
        <v>420</v>
      </c>
      <c r="T339" t="s">
        <v>783</v>
      </c>
      <c r="U339">
        <v>0.10710288728720085</v>
      </c>
      <c r="V339" t="s">
        <v>157</v>
      </c>
    </row>
    <row r="340" spans="9:22" x14ac:dyDescent="0.45">
      <c r="I340" t="s">
        <v>198</v>
      </c>
      <c r="J340" t="s">
        <v>784</v>
      </c>
      <c r="K340">
        <v>1.3908553113743165E-2</v>
      </c>
      <c r="L340" t="s">
        <v>157</v>
      </c>
      <c r="N340" t="s">
        <v>309</v>
      </c>
      <c r="O340" t="s">
        <v>784</v>
      </c>
      <c r="P340">
        <v>1.9479668832828943E-2</v>
      </c>
      <c r="Q340" t="s">
        <v>157</v>
      </c>
      <c r="S340" t="s">
        <v>420</v>
      </c>
      <c r="T340" t="s">
        <v>784</v>
      </c>
      <c r="U340">
        <v>2.0138250177159204E-2</v>
      </c>
      <c r="V340" t="s">
        <v>157</v>
      </c>
    </row>
    <row r="341" spans="9:22" x14ac:dyDescent="0.45">
      <c r="I341" t="s">
        <v>198</v>
      </c>
      <c r="J341" t="s">
        <v>785</v>
      </c>
      <c r="K341">
        <v>9.80762129897325E-2</v>
      </c>
      <c r="L341" t="s">
        <v>157</v>
      </c>
      <c r="N341" t="s">
        <v>309</v>
      </c>
      <c r="O341" t="s">
        <v>785</v>
      </c>
      <c r="P341">
        <v>0.12126465605097915</v>
      </c>
      <c r="Q341" t="s">
        <v>157</v>
      </c>
      <c r="S341" t="s">
        <v>420</v>
      </c>
      <c r="T341" t="s">
        <v>785</v>
      </c>
      <c r="U341">
        <v>0.11482774535366735</v>
      </c>
      <c r="V341" t="s">
        <v>157</v>
      </c>
    </row>
    <row r="342" spans="9:22" x14ac:dyDescent="0.45">
      <c r="I342" t="s">
        <v>198</v>
      </c>
      <c r="J342" t="s">
        <v>786</v>
      </c>
      <c r="K342">
        <v>0</v>
      </c>
      <c r="L342" t="s">
        <v>157</v>
      </c>
      <c r="N342" t="s">
        <v>309</v>
      </c>
      <c r="O342" t="s">
        <v>786</v>
      </c>
      <c r="P342">
        <v>0.12177121660510361</v>
      </c>
      <c r="Q342" t="s">
        <v>157</v>
      </c>
      <c r="S342" t="s">
        <v>420</v>
      </c>
      <c r="T342" t="s">
        <v>786</v>
      </c>
      <c r="U342">
        <v>0.11728179212182747</v>
      </c>
      <c r="V342" t="s">
        <v>157</v>
      </c>
    </row>
    <row r="343" spans="9:22" x14ac:dyDescent="0.45">
      <c r="I343" t="s">
        <v>198</v>
      </c>
      <c r="J343" t="s">
        <v>787</v>
      </c>
      <c r="K343">
        <v>3.3154193661298075E-3</v>
      </c>
      <c r="L343" t="s">
        <v>157</v>
      </c>
      <c r="N343" t="s">
        <v>309</v>
      </c>
      <c r="O343" t="s">
        <v>787</v>
      </c>
      <c r="P343">
        <v>2.2299960259127134E-2</v>
      </c>
      <c r="Q343" t="s">
        <v>157</v>
      </c>
      <c r="S343" t="s">
        <v>420</v>
      </c>
      <c r="T343" t="s">
        <v>787</v>
      </c>
      <c r="U343">
        <v>2.1056201406371211E-2</v>
      </c>
      <c r="V343" t="s">
        <v>157</v>
      </c>
    </row>
    <row r="344" spans="9:22" x14ac:dyDescent="0.45">
      <c r="I344" t="s">
        <v>198</v>
      </c>
      <c r="J344" t="s">
        <v>788</v>
      </c>
      <c r="K344">
        <v>0.33748303918875883</v>
      </c>
      <c r="L344" t="s">
        <v>157</v>
      </c>
      <c r="N344" t="s">
        <v>309</v>
      </c>
      <c r="O344" t="s">
        <v>788</v>
      </c>
      <c r="P344">
        <v>0.1110021974457729</v>
      </c>
      <c r="Q344" t="s">
        <v>157</v>
      </c>
      <c r="S344" t="s">
        <v>420</v>
      </c>
      <c r="T344" t="s">
        <v>788</v>
      </c>
      <c r="U344">
        <v>0.11626017245642639</v>
      </c>
      <c r="V344" t="s">
        <v>157</v>
      </c>
    </row>
    <row r="345" spans="9:22" x14ac:dyDescent="0.45">
      <c r="I345" t="s">
        <v>198</v>
      </c>
      <c r="J345" t="s">
        <v>789</v>
      </c>
      <c r="K345">
        <v>1.8334760447614232E-2</v>
      </c>
      <c r="L345" t="s">
        <v>157</v>
      </c>
      <c r="N345" t="s">
        <v>309</v>
      </c>
      <c r="O345" t="s">
        <v>789</v>
      </c>
      <c r="P345">
        <v>9.1689625846294406E-2</v>
      </c>
      <c r="Q345" t="s">
        <v>157</v>
      </c>
      <c r="S345" t="s">
        <v>420</v>
      </c>
      <c r="T345" t="s">
        <v>789</v>
      </c>
      <c r="U345">
        <v>0.11701388863037715</v>
      </c>
      <c r="V345" t="s">
        <v>157</v>
      </c>
    </row>
    <row r="346" spans="9:22" x14ac:dyDescent="0.45">
      <c r="I346" t="s">
        <v>198</v>
      </c>
      <c r="J346" t="s">
        <v>790</v>
      </c>
      <c r="K346">
        <v>4.4500045718112537E-2</v>
      </c>
      <c r="L346" t="s">
        <v>157</v>
      </c>
      <c r="N346" t="s">
        <v>309</v>
      </c>
      <c r="O346" t="s">
        <v>790</v>
      </c>
      <c r="P346">
        <v>1.7764928559909975E-2</v>
      </c>
      <c r="Q346" t="s">
        <v>157</v>
      </c>
      <c r="S346" t="s">
        <v>420</v>
      </c>
      <c r="T346" t="s">
        <v>790</v>
      </c>
      <c r="U346">
        <v>2.088389386994275E-2</v>
      </c>
      <c r="V346" t="s">
        <v>157</v>
      </c>
    </row>
    <row r="347" spans="9:22" x14ac:dyDescent="0.45">
      <c r="I347" t="s">
        <v>199</v>
      </c>
      <c r="J347" t="s">
        <v>779</v>
      </c>
      <c r="K347">
        <v>0.28552335844234317</v>
      </c>
      <c r="L347" t="s">
        <v>157</v>
      </c>
      <c r="N347" t="s">
        <v>310</v>
      </c>
      <c r="O347" t="s">
        <v>779</v>
      </c>
      <c r="P347">
        <v>0.16270775921107469</v>
      </c>
      <c r="Q347" t="s">
        <v>157</v>
      </c>
      <c r="S347" t="s">
        <v>421</v>
      </c>
      <c r="T347" t="s">
        <v>779</v>
      </c>
      <c r="U347">
        <v>0.1171902047468461</v>
      </c>
      <c r="V347" t="s">
        <v>157</v>
      </c>
    </row>
    <row r="348" spans="9:22" x14ac:dyDescent="0.45">
      <c r="I348" t="s">
        <v>199</v>
      </c>
      <c r="J348" t="s">
        <v>780</v>
      </c>
      <c r="K348">
        <v>6.389088271140167E-3</v>
      </c>
      <c r="L348" t="s">
        <v>157</v>
      </c>
      <c r="N348" t="s">
        <v>310</v>
      </c>
      <c r="O348" t="s">
        <v>780</v>
      </c>
      <c r="P348">
        <v>0.11422695349123813</v>
      </c>
      <c r="Q348" t="s">
        <v>157</v>
      </c>
      <c r="S348" t="s">
        <v>421</v>
      </c>
      <c r="T348" t="s">
        <v>780</v>
      </c>
      <c r="U348">
        <v>0.11709680893958721</v>
      </c>
      <c r="V348" t="s">
        <v>157</v>
      </c>
    </row>
    <row r="349" spans="9:22" x14ac:dyDescent="0.45">
      <c r="I349" t="s">
        <v>199</v>
      </c>
      <c r="J349" t="s">
        <v>781</v>
      </c>
      <c r="K349">
        <v>3.0843480730895198E-2</v>
      </c>
      <c r="L349" t="s">
        <v>157</v>
      </c>
      <c r="N349" t="s">
        <v>310</v>
      </c>
      <c r="O349" t="s">
        <v>781</v>
      </c>
      <c r="P349">
        <v>3.116997894714027E-2</v>
      </c>
      <c r="Q349" t="s">
        <v>157</v>
      </c>
      <c r="S349" t="s">
        <v>421</v>
      </c>
      <c r="T349" t="s">
        <v>781</v>
      </c>
      <c r="U349">
        <v>2.0560493720449369E-2</v>
      </c>
      <c r="V349" t="s">
        <v>157</v>
      </c>
    </row>
    <row r="350" spans="9:22" x14ac:dyDescent="0.45">
      <c r="I350" t="s">
        <v>199</v>
      </c>
      <c r="J350" t="s">
        <v>782</v>
      </c>
      <c r="K350">
        <v>0.16083037471830261</v>
      </c>
      <c r="L350" t="s">
        <v>157</v>
      </c>
      <c r="N350" t="s">
        <v>310</v>
      </c>
      <c r="O350" t="s">
        <v>782</v>
      </c>
      <c r="P350">
        <v>0.10455453873730709</v>
      </c>
      <c r="Q350" t="s">
        <v>157</v>
      </c>
      <c r="S350" t="s">
        <v>421</v>
      </c>
      <c r="T350" t="s">
        <v>782</v>
      </c>
      <c r="U350">
        <v>0.10877238566864758</v>
      </c>
      <c r="V350" t="s">
        <v>157</v>
      </c>
    </row>
    <row r="351" spans="9:22" x14ac:dyDescent="0.45">
      <c r="I351" t="s">
        <v>199</v>
      </c>
      <c r="J351" t="s">
        <v>783</v>
      </c>
      <c r="K351">
        <v>0</v>
      </c>
      <c r="L351" t="s">
        <v>157</v>
      </c>
      <c r="N351" t="s">
        <v>310</v>
      </c>
      <c r="O351" t="s">
        <v>783</v>
      </c>
      <c r="P351">
        <v>9.0628622728476632E-2</v>
      </c>
      <c r="Q351" t="s">
        <v>157</v>
      </c>
      <c r="S351" t="s">
        <v>421</v>
      </c>
      <c r="T351" t="s">
        <v>783</v>
      </c>
      <c r="U351">
        <v>0.10641656390362271</v>
      </c>
      <c r="V351" t="s">
        <v>157</v>
      </c>
    </row>
    <row r="352" spans="9:22" x14ac:dyDescent="0.45">
      <c r="I352" t="s">
        <v>199</v>
      </c>
      <c r="J352" t="s">
        <v>784</v>
      </c>
      <c r="K352">
        <v>1.4059195464923291E-2</v>
      </c>
      <c r="L352" t="s">
        <v>157</v>
      </c>
      <c r="N352" t="s">
        <v>310</v>
      </c>
      <c r="O352" t="s">
        <v>784</v>
      </c>
      <c r="P352">
        <v>1.8073679952948288E-2</v>
      </c>
      <c r="Q352" t="s">
        <v>157</v>
      </c>
      <c r="S352" t="s">
        <v>421</v>
      </c>
      <c r="T352" t="s">
        <v>784</v>
      </c>
      <c r="U352">
        <v>2.0068927670731759E-2</v>
      </c>
      <c r="V352" t="s">
        <v>157</v>
      </c>
    </row>
    <row r="353" spans="9:22" x14ac:dyDescent="0.45">
      <c r="I353" t="s">
        <v>199</v>
      </c>
      <c r="J353" t="s">
        <v>785</v>
      </c>
      <c r="K353">
        <v>0.10015944808374118</v>
      </c>
      <c r="L353" t="s">
        <v>157</v>
      </c>
      <c r="N353" t="s">
        <v>310</v>
      </c>
      <c r="O353" t="s">
        <v>785</v>
      </c>
      <c r="P353">
        <v>0.11847712813220668</v>
      </c>
      <c r="Q353" t="s">
        <v>157</v>
      </c>
      <c r="S353" t="s">
        <v>421</v>
      </c>
      <c r="T353" t="s">
        <v>785</v>
      </c>
      <c r="U353">
        <v>0.11571548751041495</v>
      </c>
      <c r="V353" t="s">
        <v>157</v>
      </c>
    </row>
    <row r="354" spans="9:22" x14ac:dyDescent="0.45">
      <c r="I354" t="s">
        <v>199</v>
      </c>
      <c r="J354" t="s">
        <v>786</v>
      </c>
      <c r="K354">
        <v>0</v>
      </c>
      <c r="L354" t="s">
        <v>157</v>
      </c>
      <c r="N354" t="s">
        <v>310</v>
      </c>
      <c r="O354" t="s">
        <v>786</v>
      </c>
      <c r="P354">
        <v>0.11958728373963745</v>
      </c>
      <c r="Q354" t="s">
        <v>157</v>
      </c>
      <c r="S354" t="s">
        <v>421</v>
      </c>
      <c r="T354" t="s">
        <v>786</v>
      </c>
      <c r="U354">
        <v>0.11728998457851036</v>
      </c>
      <c r="V354" t="s">
        <v>157</v>
      </c>
    </row>
    <row r="355" spans="9:22" x14ac:dyDescent="0.45">
      <c r="I355" t="s">
        <v>199</v>
      </c>
      <c r="J355" t="s">
        <v>787</v>
      </c>
      <c r="K355">
        <v>3.5306049275226248E-3</v>
      </c>
      <c r="L355" t="s">
        <v>157</v>
      </c>
      <c r="N355" t="s">
        <v>310</v>
      </c>
      <c r="O355" t="s">
        <v>787</v>
      </c>
      <c r="P355">
        <v>1.95446345578449E-2</v>
      </c>
      <c r="Q355" t="s">
        <v>157</v>
      </c>
      <c r="S355" t="s">
        <v>421</v>
      </c>
      <c r="T355" t="s">
        <v>787</v>
      </c>
      <c r="U355">
        <v>2.1313762364202717E-2</v>
      </c>
      <c r="V355" t="s">
        <v>157</v>
      </c>
    </row>
    <row r="356" spans="9:22" x14ac:dyDescent="0.45">
      <c r="I356" t="s">
        <v>199</v>
      </c>
      <c r="J356" t="s">
        <v>788</v>
      </c>
      <c r="K356">
        <v>0.33439589560786226</v>
      </c>
      <c r="L356" t="s">
        <v>157</v>
      </c>
      <c r="N356" t="s">
        <v>310</v>
      </c>
      <c r="O356" t="s">
        <v>788</v>
      </c>
      <c r="P356">
        <v>0.12270906319435185</v>
      </c>
      <c r="Q356" t="s">
        <v>157</v>
      </c>
      <c r="S356" t="s">
        <v>421</v>
      </c>
      <c r="T356" t="s">
        <v>788</v>
      </c>
      <c r="U356">
        <v>0.11745205600826313</v>
      </c>
      <c r="V356" t="s">
        <v>157</v>
      </c>
    </row>
    <row r="357" spans="9:22" x14ac:dyDescent="0.45">
      <c r="I357" t="s">
        <v>199</v>
      </c>
      <c r="J357" t="s">
        <v>789</v>
      </c>
      <c r="K357">
        <v>1.8816420120389286E-2</v>
      </c>
      <c r="L357" t="s">
        <v>157</v>
      </c>
      <c r="N357" t="s">
        <v>310</v>
      </c>
      <c r="O357" t="s">
        <v>789</v>
      </c>
      <c r="P357">
        <v>7.937009138634972E-2</v>
      </c>
      <c r="Q357" t="s">
        <v>157</v>
      </c>
      <c r="S357" t="s">
        <v>421</v>
      </c>
      <c r="T357" t="s">
        <v>789</v>
      </c>
      <c r="U357">
        <v>0.11739739674367722</v>
      </c>
      <c r="V357" t="s">
        <v>157</v>
      </c>
    </row>
    <row r="358" spans="9:22" x14ac:dyDescent="0.45">
      <c r="I358" t="s">
        <v>199</v>
      </c>
      <c r="J358" t="s">
        <v>790</v>
      </c>
      <c r="K358">
        <v>4.5452133632880254E-2</v>
      </c>
      <c r="L358" t="s">
        <v>157</v>
      </c>
      <c r="N358" t="s">
        <v>310</v>
      </c>
      <c r="O358" t="s">
        <v>790</v>
      </c>
      <c r="P358">
        <v>1.8950265921424351E-2</v>
      </c>
      <c r="Q358" t="s">
        <v>157</v>
      </c>
      <c r="S358" t="s">
        <v>421</v>
      </c>
      <c r="T358" t="s">
        <v>790</v>
      </c>
      <c r="U358">
        <v>2.0725928145047003E-2</v>
      </c>
      <c r="V358" t="s">
        <v>157</v>
      </c>
    </row>
    <row r="359" spans="9:22" x14ac:dyDescent="0.45">
      <c r="I359" t="s">
        <v>200</v>
      </c>
      <c r="J359" t="s">
        <v>779</v>
      </c>
      <c r="K359">
        <v>0.27930491185855238</v>
      </c>
      <c r="L359" t="s">
        <v>157</v>
      </c>
      <c r="N359" t="s">
        <v>311</v>
      </c>
      <c r="O359" t="s">
        <v>779</v>
      </c>
      <c r="P359">
        <v>0.19584380881001553</v>
      </c>
      <c r="Q359" t="s">
        <v>157</v>
      </c>
      <c r="S359" t="s">
        <v>422</v>
      </c>
      <c r="T359" t="s">
        <v>779</v>
      </c>
      <c r="U359">
        <v>0.11631701271930399</v>
      </c>
      <c r="V359" t="s">
        <v>157</v>
      </c>
    </row>
    <row r="360" spans="9:22" x14ac:dyDescent="0.45">
      <c r="I360" t="s">
        <v>200</v>
      </c>
      <c r="J360" t="s">
        <v>780</v>
      </c>
      <c r="K360">
        <v>6.354977340501917E-3</v>
      </c>
      <c r="L360" t="s">
        <v>157</v>
      </c>
      <c r="N360" t="s">
        <v>311</v>
      </c>
      <c r="O360" t="s">
        <v>780</v>
      </c>
      <c r="P360">
        <v>0.12112725779893678</v>
      </c>
      <c r="Q360" t="s">
        <v>157</v>
      </c>
      <c r="S360" t="s">
        <v>422</v>
      </c>
      <c r="T360" t="s">
        <v>780</v>
      </c>
      <c r="U360">
        <v>0.11511085459968692</v>
      </c>
      <c r="V360" t="s">
        <v>157</v>
      </c>
    </row>
    <row r="361" spans="9:22" x14ac:dyDescent="0.45">
      <c r="I361" t="s">
        <v>200</v>
      </c>
      <c r="J361" t="s">
        <v>781</v>
      </c>
      <c r="K361">
        <v>3.2089205385003712E-2</v>
      </c>
      <c r="L361" t="s">
        <v>157</v>
      </c>
      <c r="N361" t="s">
        <v>311</v>
      </c>
      <c r="O361" t="s">
        <v>781</v>
      </c>
      <c r="P361">
        <v>3.5583425086561961E-2</v>
      </c>
      <c r="Q361" t="s">
        <v>157</v>
      </c>
      <c r="S361" t="s">
        <v>422</v>
      </c>
      <c r="T361" t="s">
        <v>781</v>
      </c>
      <c r="U361">
        <v>2.0407835637304566E-2</v>
      </c>
      <c r="V361" t="s">
        <v>157</v>
      </c>
    </row>
    <row r="362" spans="9:22" x14ac:dyDescent="0.45">
      <c r="I362" t="s">
        <v>200</v>
      </c>
      <c r="J362" t="s">
        <v>782</v>
      </c>
      <c r="K362">
        <v>0.16155933206955897</v>
      </c>
      <c r="L362" t="s">
        <v>157</v>
      </c>
      <c r="N362" t="s">
        <v>311</v>
      </c>
      <c r="O362" t="s">
        <v>782</v>
      </c>
      <c r="P362">
        <v>9.983540039270665E-2</v>
      </c>
      <c r="Q362" t="s">
        <v>157</v>
      </c>
      <c r="S362" t="s">
        <v>422</v>
      </c>
      <c r="T362" t="s">
        <v>782</v>
      </c>
      <c r="U362">
        <v>0.10864473002559902</v>
      </c>
      <c r="V362" t="s">
        <v>157</v>
      </c>
    </row>
    <row r="363" spans="9:22" x14ac:dyDescent="0.45">
      <c r="I363" t="s">
        <v>200</v>
      </c>
      <c r="J363" t="s">
        <v>783</v>
      </c>
      <c r="K363">
        <v>0</v>
      </c>
      <c r="L363" t="s">
        <v>157</v>
      </c>
      <c r="N363" t="s">
        <v>311</v>
      </c>
      <c r="O363" t="s">
        <v>783</v>
      </c>
      <c r="P363">
        <v>7.6557995629831982E-2</v>
      </c>
      <c r="Q363" t="s">
        <v>157</v>
      </c>
      <c r="S363" t="s">
        <v>422</v>
      </c>
      <c r="T363" t="s">
        <v>783</v>
      </c>
      <c r="U363">
        <v>0.1065598760387105</v>
      </c>
      <c r="V363" t="s">
        <v>157</v>
      </c>
    </row>
    <row r="364" spans="9:22" x14ac:dyDescent="0.45">
      <c r="I364" t="s">
        <v>200</v>
      </c>
      <c r="J364" t="s">
        <v>784</v>
      </c>
      <c r="K364">
        <v>1.4376033186099523E-2</v>
      </c>
      <c r="L364" t="s">
        <v>157</v>
      </c>
      <c r="N364" t="s">
        <v>311</v>
      </c>
      <c r="O364" t="s">
        <v>784</v>
      </c>
      <c r="P364">
        <v>1.7765515144545024E-2</v>
      </c>
      <c r="Q364" t="s">
        <v>157</v>
      </c>
      <c r="S364" t="s">
        <v>422</v>
      </c>
      <c r="T364" t="s">
        <v>784</v>
      </c>
      <c r="U364">
        <v>2.0077042512409798E-2</v>
      </c>
      <c r="V364" t="s">
        <v>157</v>
      </c>
    </row>
    <row r="365" spans="9:22" x14ac:dyDescent="0.45">
      <c r="I365" t="s">
        <v>200</v>
      </c>
      <c r="J365" t="s">
        <v>785</v>
      </c>
      <c r="K365">
        <v>9.7966866023917396E-2</v>
      </c>
      <c r="L365" t="s">
        <v>157</v>
      </c>
      <c r="N365" t="s">
        <v>311</v>
      </c>
      <c r="O365" t="s">
        <v>785</v>
      </c>
      <c r="P365">
        <v>0.10779230294513346</v>
      </c>
      <c r="Q365" t="s">
        <v>157</v>
      </c>
      <c r="S365" t="s">
        <v>422</v>
      </c>
      <c r="T365" t="s">
        <v>785</v>
      </c>
      <c r="U365">
        <v>0.11667983347684734</v>
      </c>
      <c r="V365" t="s">
        <v>157</v>
      </c>
    </row>
    <row r="366" spans="9:22" x14ac:dyDescent="0.45">
      <c r="I366" t="s">
        <v>200</v>
      </c>
      <c r="J366" t="s">
        <v>786</v>
      </c>
      <c r="K366">
        <v>0</v>
      </c>
      <c r="L366" t="s">
        <v>157</v>
      </c>
      <c r="N366" t="s">
        <v>311</v>
      </c>
      <c r="O366" t="s">
        <v>786</v>
      </c>
      <c r="P366">
        <v>0.1078327595833453</v>
      </c>
      <c r="Q366" t="s">
        <v>157</v>
      </c>
      <c r="S366" t="s">
        <v>422</v>
      </c>
      <c r="T366" t="s">
        <v>786</v>
      </c>
      <c r="U366">
        <v>0.11712803429543099</v>
      </c>
      <c r="V366" t="s">
        <v>157</v>
      </c>
    </row>
    <row r="367" spans="9:22" x14ac:dyDescent="0.45">
      <c r="I367" t="s">
        <v>200</v>
      </c>
      <c r="J367" t="s">
        <v>787</v>
      </c>
      <c r="K367">
        <v>3.4982868122135297E-3</v>
      </c>
      <c r="L367" t="s">
        <v>157</v>
      </c>
      <c r="N367" t="s">
        <v>311</v>
      </c>
      <c r="O367" t="s">
        <v>787</v>
      </c>
      <c r="P367">
        <v>1.5273854912003155E-2</v>
      </c>
      <c r="Q367" t="s">
        <v>157</v>
      </c>
      <c r="S367" t="s">
        <v>422</v>
      </c>
      <c r="T367" t="s">
        <v>787</v>
      </c>
      <c r="U367">
        <v>2.1576044963934209E-2</v>
      </c>
      <c r="V367" t="s">
        <v>157</v>
      </c>
    </row>
    <row r="368" spans="9:22" x14ac:dyDescent="0.45">
      <c r="I368" t="s">
        <v>200</v>
      </c>
      <c r="J368" t="s">
        <v>788</v>
      </c>
      <c r="K368">
        <v>0.33726718398045791</v>
      </c>
      <c r="L368" t="s">
        <v>157</v>
      </c>
      <c r="N368" t="s">
        <v>311</v>
      </c>
      <c r="O368" t="s">
        <v>788</v>
      </c>
      <c r="P368">
        <v>0.13043877924798322</v>
      </c>
      <c r="Q368" t="s">
        <v>157</v>
      </c>
      <c r="S368" t="s">
        <v>422</v>
      </c>
      <c r="T368" t="s">
        <v>788</v>
      </c>
      <c r="U368">
        <v>0.11860171263992872</v>
      </c>
      <c r="V368" t="s">
        <v>157</v>
      </c>
    </row>
    <row r="369" spans="9:22" x14ac:dyDescent="0.45">
      <c r="I369" t="s">
        <v>200</v>
      </c>
      <c r="J369" t="s">
        <v>789</v>
      </c>
      <c r="K369">
        <v>1.9605072085937508E-2</v>
      </c>
      <c r="L369" t="s">
        <v>157</v>
      </c>
      <c r="N369" t="s">
        <v>311</v>
      </c>
      <c r="O369" t="s">
        <v>789</v>
      </c>
      <c r="P369">
        <v>6.9999381217564147E-2</v>
      </c>
      <c r="Q369" t="s">
        <v>157</v>
      </c>
      <c r="S369" t="s">
        <v>422</v>
      </c>
      <c r="T369" t="s">
        <v>789</v>
      </c>
      <c r="U369">
        <v>0.11792474229021156</v>
      </c>
      <c r="V369" t="s">
        <v>157</v>
      </c>
    </row>
    <row r="370" spans="9:22" x14ac:dyDescent="0.45">
      <c r="I370" t="s">
        <v>200</v>
      </c>
      <c r="J370" t="s">
        <v>790</v>
      </c>
      <c r="K370">
        <v>4.7978131257757121E-2</v>
      </c>
      <c r="L370" t="s">
        <v>157</v>
      </c>
      <c r="N370" t="s">
        <v>311</v>
      </c>
      <c r="O370" t="s">
        <v>790</v>
      </c>
      <c r="P370">
        <v>2.1949519231372797E-2</v>
      </c>
      <c r="Q370" t="s">
        <v>157</v>
      </c>
      <c r="S370" t="s">
        <v>422</v>
      </c>
      <c r="T370" t="s">
        <v>790</v>
      </c>
      <c r="U370">
        <v>2.0972280800632355E-2</v>
      </c>
      <c r="V370" t="s">
        <v>157</v>
      </c>
    </row>
    <row r="371" spans="9:22" x14ac:dyDescent="0.45">
      <c r="I371" t="s">
        <v>201</v>
      </c>
      <c r="J371" t="s">
        <v>779</v>
      </c>
      <c r="K371">
        <v>0.27177336409270214</v>
      </c>
      <c r="L371" t="s">
        <v>157</v>
      </c>
      <c r="N371" t="s">
        <v>312</v>
      </c>
      <c r="O371" t="s">
        <v>779</v>
      </c>
      <c r="P371">
        <v>0.22359211815034988</v>
      </c>
      <c r="Q371" t="s">
        <v>157</v>
      </c>
      <c r="S371" t="s">
        <v>423</v>
      </c>
      <c r="T371" t="s">
        <v>779</v>
      </c>
      <c r="U371">
        <v>0.11530577844670334</v>
      </c>
      <c r="V371" t="s">
        <v>157</v>
      </c>
    </row>
    <row r="372" spans="9:22" x14ac:dyDescent="0.45">
      <c r="I372" t="s">
        <v>201</v>
      </c>
      <c r="J372" t="s">
        <v>780</v>
      </c>
      <c r="K372">
        <v>6.30926838795465E-3</v>
      </c>
      <c r="L372" t="s">
        <v>157</v>
      </c>
      <c r="N372" t="s">
        <v>312</v>
      </c>
      <c r="O372" t="s">
        <v>780</v>
      </c>
      <c r="P372">
        <v>0.12025959100385443</v>
      </c>
      <c r="Q372" t="s">
        <v>157</v>
      </c>
      <c r="S372" t="s">
        <v>423</v>
      </c>
      <c r="T372" t="s">
        <v>780</v>
      </c>
      <c r="U372">
        <v>0.1124997000396403</v>
      </c>
      <c r="V372" t="s">
        <v>157</v>
      </c>
    </row>
    <row r="373" spans="9:22" x14ac:dyDescent="0.45">
      <c r="I373" t="s">
        <v>201</v>
      </c>
      <c r="J373" t="s">
        <v>781</v>
      </c>
      <c r="K373">
        <v>3.3131499494666178E-2</v>
      </c>
      <c r="L373" t="s">
        <v>157</v>
      </c>
      <c r="N373" t="s">
        <v>312</v>
      </c>
      <c r="O373" t="s">
        <v>781</v>
      </c>
      <c r="P373">
        <v>3.7237928821061042E-2</v>
      </c>
      <c r="Q373" t="s">
        <v>157</v>
      </c>
      <c r="S373" t="s">
        <v>423</v>
      </c>
      <c r="T373" t="s">
        <v>781</v>
      </c>
      <c r="U373">
        <v>2.0203452071681002E-2</v>
      </c>
      <c r="V373" t="s">
        <v>157</v>
      </c>
    </row>
    <row r="374" spans="9:22" x14ac:dyDescent="0.45">
      <c r="I374" t="s">
        <v>201</v>
      </c>
      <c r="J374" t="s">
        <v>782</v>
      </c>
      <c r="K374">
        <v>0.16064158047095817</v>
      </c>
      <c r="L374" t="s">
        <v>157</v>
      </c>
      <c r="N374" t="s">
        <v>312</v>
      </c>
      <c r="O374" t="s">
        <v>782</v>
      </c>
      <c r="P374">
        <v>9.5136732079405581E-2</v>
      </c>
      <c r="Q374" t="s">
        <v>157</v>
      </c>
      <c r="S374" t="s">
        <v>423</v>
      </c>
      <c r="T374" t="s">
        <v>782</v>
      </c>
      <c r="U374">
        <v>0.10945223370138162</v>
      </c>
      <c r="V374" t="s">
        <v>157</v>
      </c>
    </row>
    <row r="375" spans="9:22" x14ac:dyDescent="0.45">
      <c r="I375" t="s">
        <v>201</v>
      </c>
      <c r="J375" t="s">
        <v>783</v>
      </c>
      <c r="K375">
        <v>0</v>
      </c>
      <c r="L375" t="s">
        <v>157</v>
      </c>
      <c r="N375" t="s">
        <v>312</v>
      </c>
      <c r="O375" t="s">
        <v>783</v>
      </c>
      <c r="P375">
        <v>6.5373432930754649E-2</v>
      </c>
      <c r="Q375" t="s">
        <v>157</v>
      </c>
      <c r="S375" t="s">
        <v>423</v>
      </c>
      <c r="T375" t="s">
        <v>783</v>
      </c>
      <c r="U375">
        <v>0.1074936825385291</v>
      </c>
      <c r="V375" t="s">
        <v>157</v>
      </c>
    </row>
    <row r="376" spans="9:22" x14ac:dyDescent="0.45">
      <c r="I376" t="s">
        <v>201</v>
      </c>
      <c r="J376" t="s">
        <v>784</v>
      </c>
      <c r="K376">
        <v>1.4837295398843101E-2</v>
      </c>
      <c r="L376" t="s">
        <v>157</v>
      </c>
      <c r="N376" t="s">
        <v>312</v>
      </c>
      <c r="O376" t="s">
        <v>784</v>
      </c>
      <c r="P376">
        <v>1.7861299883220643E-2</v>
      </c>
      <c r="Q376" t="s">
        <v>157</v>
      </c>
      <c r="S376" t="s">
        <v>423</v>
      </c>
      <c r="T376" t="s">
        <v>784</v>
      </c>
      <c r="U376">
        <v>2.0399658379366848E-2</v>
      </c>
      <c r="V376" t="s">
        <v>157</v>
      </c>
    </row>
    <row r="377" spans="9:22" x14ac:dyDescent="0.45">
      <c r="I377" t="s">
        <v>201</v>
      </c>
      <c r="J377" t="s">
        <v>785</v>
      </c>
      <c r="K377">
        <v>9.6601791575215354E-2</v>
      </c>
      <c r="L377" t="s">
        <v>157</v>
      </c>
      <c r="N377" t="s">
        <v>312</v>
      </c>
      <c r="O377" t="s">
        <v>785</v>
      </c>
      <c r="P377">
        <v>0.10029796673687989</v>
      </c>
      <c r="Q377" t="s">
        <v>157</v>
      </c>
      <c r="S377" t="s">
        <v>423</v>
      </c>
      <c r="T377" t="s">
        <v>785</v>
      </c>
      <c r="U377">
        <v>0.11707576247602512</v>
      </c>
      <c r="V377" t="s">
        <v>157</v>
      </c>
    </row>
    <row r="378" spans="9:22" x14ac:dyDescent="0.45">
      <c r="I378" t="s">
        <v>201</v>
      </c>
      <c r="J378" t="s">
        <v>786</v>
      </c>
      <c r="K378">
        <v>0</v>
      </c>
      <c r="L378" t="s">
        <v>157</v>
      </c>
      <c r="N378" t="s">
        <v>312</v>
      </c>
      <c r="O378" t="s">
        <v>786</v>
      </c>
      <c r="P378">
        <v>9.4015816868407848E-2</v>
      </c>
      <c r="Q378" t="s">
        <v>157</v>
      </c>
      <c r="S378" t="s">
        <v>423</v>
      </c>
      <c r="T378" t="s">
        <v>786</v>
      </c>
      <c r="U378">
        <v>0.11737232942999867</v>
      </c>
      <c r="V378" t="s">
        <v>157</v>
      </c>
    </row>
    <row r="379" spans="9:22" x14ac:dyDescent="0.45">
      <c r="I379" t="s">
        <v>201</v>
      </c>
      <c r="J379" t="s">
        <v>787</v>
      </c>
      <c r="K379">
        <v>3.1674296068886412E-3</v>
      </c>
      <c r="L379" t="s">
        <v>157</v>
      </c>
      <c r="N379" t="s">
        <v>312</v>
      </c>
      <c r="O379" t="s">
        <v>787</v>
      </c>
      <c r="P379">
        <v>1.241223938536273E-2</v>
      </c>
      <c r="Q379" t="s">
        <v>157</v>
      </c>
      <c r="S379" t="s">
        <v>423</v>
      </c>
      <c r="T379" t="s">
        <v>787</v>
      </c>
      <c r="U379">
        <v>2.1755607149120001E-2</v>
      </c>
      <c r="V379" t="s">
        <v>157</v>
      </c>
    </row>
    <row r="380" spans="9:22" x14ac:dyDescent="0.45">
      <c r="I380" t="s">
        <v>201</v>
      </c>
      <c r="J380" t="s">
        <v>788</v>
      </c>
      <c r="K380">
        <v>0.3427790705434246</v>
      </c>
      <c r="L380" t="s">
        <v>157</v>
      </c>
      <c r="N380" t="s">
        <v>312</v>
      </c>
      <c r="O380" t="s">
        <v>788</v>
      </c>
      <c r="P380">
        <v>0.14579646319427333</v>
      </c>
      <c r="Q380" t="s">
        <v>157</v>
      </c>
      <c r="S380" t="s">
        <v>423</v>
      </c>
      <c r="T380" t="s">
        <v>788</v>
      </c>
      <c r="U380">
        <v>0.1189212511452874</v>
      </c>
      <c r="V380" t="s">
        <v>157</v>
      </c>
    </row>
    <row r="381" spans="9:22" x14ac:dyDescent="0.45">
      <c r="I381" t="s">
        <v>201</v>
      </c>
      <c r="J381" t="s">
        <v>789</v>
      </c>
      <c r="K381">
        <v>2.0183634466416408E-2</v>
      </c>
      <c r="L381" t="s">
        <v>157</v>
      </c>
      <c r="N381" t="s">
        <v>312</v>
      </c>
      <c r="O381" t="s">
        <v>789</v>
      </c>
      <c r="P381">
        <v>6.1552144169293707E-2</v>
      </c>
      <c r="Q381" t="s">
        <v>157</v>
      </c>
      <c r="S381" t="s">
        <v>423</v>
      </c>
      <c r="T381" t="s">
        <v>789</v>
      </c>
      <c r="U381">
        <v>0.11810197980046189</v>
      </c>
      <c r="V381" t="s">
        <v>157</v>
      </c>
    </row>
    <row r="382" spans="9:22" x14ac:dyDescent="0.45">
      <c r="I382" t="s">
        <v>201</v>
      </c>
      <c r="J382" t="s">
        <v>790</v>
      </c>
      <c r="K382">
        <v>5.0575065962930724E-2</v>
      </c>
      <c r="L382" t="s">
        <v>157</v>
      </c>
      <c r="N382" t="s">
        <v>312</v>
      </c>
      <c r="O382" t="s">
        <v>790</v>
      </c>
      <c r="P382">
        <v>2.6464266777136248E-2</v>
      </c>
      <c r="Q382" t="s">
        <v>157</v>
      </c>
      <c r="S382" t="s">
        <v>423</v>
      </c>
      <c r="T382" t="s">
        <v>790</v>
      </c>
      <c r="U382">
        <v>2.1418564821804677E-2</v>
      </c>
      <c r="V382" t="s">
        <v>157</v>
      </c>
    </row>
    <row r="383" spans="9:22" x14ac:dyDescent="0.45">
      <c r="I383" t="s">
        <v>202</v>
      </c>
      <c r="J383" t="s">
        <v>779</v>
      </c>
      <c r="K383">
        <v>0.26829364005479628</v>
      </c>
      <c r="L383" t="s">
        <v>157</v>
      </c>
      <c r="N383" t="s">
        <v>313</v>
      </c>
      <c r="O383" t="s">
        <v>779</v>
      </c>
      <c r="P383">
        <v>0.20410885511893051</v>
      </c>
      <c r="Q383" t="s">
        <v>157</v>
      </c>
      <c r="S383" t="s">
        <v>424</v>
      </c>
      <c r="T383" t="s">
        <v>779</v>
      </c>
      <c r="U383">
        <v>0.11421810488314041</v>
      </c>
      <c r="V383" t="s">
        <v>157</v>
      </c>
    </row>
    <row r="384" spans="9:22" x14ac:dyDescent="0.45">
      <c r="I384" t="s">
        <v>202</v>
      </c>
      <c r="J384" t="s">
        <v>780</v>
      </c>
      <c r="K384">
        <v>6.1444228721876347E-3</v>
      </c>
      <c r="L384" t="s">
        <v>157</v>
      </c>
      <c r="N384" t="s">
        <v>313</v>
      </c>
      <c r="O384" t="s">
        <v>780</v>
      </c>
      <c r="P384">
        <v>0.11825522026978957</v>
      </c>
      <c r="Q384" t="s">
        <v>157</v>
      </c>
      <c r="S384" t="s">
        <v>424</v>
      </c>
      <c r="T384" t="s">
        <v>780</v>
      </c>
      <c r="U384">
        <v>0.1103247395587468</v>
      </c>
      <c r="V384" t="s">
        <v>157</v>
      </c>
    </row>
    <row r="385" spans="9:22" x14ac:dyDescent="0.45">
      <c r="I385" t="s">
        <v>202</v>
      </c>
      <c r="J385" t="s">
        <v>781</v>
      </c>
      <c r="K385">
        <v>3.2231652933508638E-2</v>
      </c>
      <c r="L385" t="s">
        <v>157</v>
      </c>
      <c r="N385" t="s">
        <v>313</v>
      </c>
      <c r="O385" t="s">
        <v>781</v>
      </c>
      <c r="P385">
        <v>3.2315157356361014E-2</v>
      </c>
      <c r="Q385" t="s">
        <v>157</v>
      </c>
      <c r="S385" t="s">
        <v>424</v>
      </c>
      <c r="T385" t="s">
        <v>781</v>
      </c>
      <c r="U385">
        <v>2.0032558459583592E-2</v>
      </c>
      <c r="V385" t="s">
        <v>157</v>
      </c>
    </row>
    <row r="386" spans="9:22" x14ac:dyDescent="0.45">
      <c r="I386" t="s">
        <v>202</v>
      </c>
      <c r="J386" t="s">
        <v>782</v>
      </c>
      <c r="K386">
        <v>0.16121663339094155</v>
      </c>
      <c r="L386" t="s">
        <v>157</v>
      </c>
      <c r="N386" t="s">
        <v>313</v>
      </c>
      <c r="O386" t="s">
        <v>782</v>
      </c>
      <c r="P386">
        <v>9.2167534268194531E-2</v>
      </c>
      <c r="Q386" t="s">
        <v>157</v>
      </c>
      <c r="S386" t="s">
        <v>424</v>
      </c>
      <c r="T386" t="s">
        <v>782</v>
      </c>
      <c r="U386">
        <v>0.1111377830474797</v>
      </c>
      <c r="V386" t="s">
        <v>157</v>
      </c>
    </row>
    <row r="387" spans="9:22" x14ac:dyDescent="0.45">
      <c r="I387" t="s">
        <v>202</v>
      </c>
      <c r="J387" t="s">
        <v>783</v>
      </c>
      <c r="K387">
        <v>0</v>
      </c>
      <c r="L387" t="s">
        <v>157</v>
      </c>
      <c r="N387" t="s">
        <v>313</v>
      </c>
      <c r="O387" t="s">
        <v>783</v>
      </c>
      <c r="P387">
        <v>7.5467181791734186E-2</v>
      </c>
      <c r="Q387" t="s">
        <v>157</v>
      </c>
      <c r="S387" t="s">
        <v>424</v>
      </c>
      <c r="T387" t="s">
        <v>783</v>
      </c>
      <c r="U387">
        <v>0.10954656311216314</v>
      </c>
      <c r="V387" t="s">
        <v>157</v>
      </c>
    </row>
    <row r="388" spans="9:22" x14ac:dyDescent="0.45">
      <c r="I388" t="s">
        <v>202</v>
      </c>
      <c r="J388" t="s">
        <v>784</v>
      </c>
      <c r="K388">
        <v>1.4705183617373892E-2</v>
      </c>
      <c r="L388" t="s">
        <v>157</v>
      </c>
      <c r="N388" t="s">
        <v>313</v>
      </c>
      <c r="O388" t="s">
        <v>784</v>
      </c>
      <c r="P388">
        <v>1.7933643214616286E-2</v>
      </c>
      <c r="Q388" t="s">
        <v>157</v>
      </c>
      <c r="S388" t="s">
        <v>424</v>
      </c>
      <c r="T388" t="s">
        <v>784</v>
      </c>
      <c r="U388">
        <v>2.1167334914559917E-2</v>
      </c>
      <c r="V388" t="s">
        <v>157</v>
      </c>
    </row>
    <row r="389" spans="9:22" x14ac:dyDescent="0.45">
      <c r="I389" t="s">
        <v>202</v>
      </c>
      <c r="J389" t="s">
        <v>785</v>
      </c>
      <c r="K389">
        <v>0.10110810309974763</v>
      </c>
      <c r="L389" t="s">
        <v>157</v>
      </c>
      <c r="N389" t="s">
        <v>313</v>
      </c>
      <c r="O389" t="s">
        <v>785</v>
      </c>
      <c r="P389">
        <v>0.11015403907922544</v>
      </c>
      <c r="Q389" t="s">
        <v>157</v>
      </c>
      <c r="S389" t="s">
        <v>424</v>
      </c>
      <c r="T389" t="s">
        <v>785</v>
      </c>
      <c r="U389">
        <v>0.11689536118390617</v>
      </c>
      <c r="V389" t="s">
        <v>157</v>
      </c>
    </row>
    <row r="390" spans="9:22" x14ac:dyDescent="0.45">
      <c r="I390" t="s">
        <v>202</v>
      </c>
      <c r="J390" t="s">
        <v>786</v>
      </c>
      <c r="K390">
        <v>0</v>
      </c>
      <c r="L390" t="s">
        <v>157</v>
      </c>
      <c r="N390" t="s">
        <v>313</v>
      </c>
      <c r="O390" t="s">
        <v>786</v>
      </c>
      <c r="P390">
        <v>0.10753048798644167</v>
      </c>
      <c r="Q390" t="s">
        <v>157</v>
      </c>
      <c r="S390" t="s">
        <v>424</v>
      </c>
      <c r="T390" t="s">
        <v>786</v>
      </c>
      <c r="U390">
        <v>0.11714150199268354</v>
      </c>
      <c r="V390" t="s">
        <v>157</v>
      </c>
    </row>
    <row r="391" spans="9:22" x14ac:dyDescent="0.45">
      <c r="I391" t="s">
        <v>202</v>
      </c>
      <c r="J391" t="s">
        <v>787</v>
      </c>
      <c r="K391">
        <v>2.9208333090548601E-3</v>
      </c>
      <c r="L391" t="s">
        <v>157</v>
      </c>
      <c r="N391" t="s">
        <v>313</v>
      </c>
      <c r="O391" t="s">
        <v>787</v>
      </c>
      <c r="P391">
        <v>1.5215835897557532E-2</v>
      </c>
      <c r="Q391" t="s">
        <v>157</v>
      </c>
      <c r="S391" t="s">
        <v>424</v>
      </c>
      <c r="T391" t="s">
        <v>787</v>
      </c>
      <c r="U391">
        <v>2.1824575622418272E-2</v>
      </c>
      <c r="V391" t="s">
        <v>157</v>
      </c>
    </row>
    <row r="392" spans="9:22" x14ac:dyDescent="0.45">
      <c r="I392" t="s">
        <v>202</v>
      </c>
      <c r="J392" t="s">
        <v>788</v>
      </c>
      <c r="K392">
        <v>0.34225732663004332</v>
      </c>
      <c r="L392" t="s">
        <v>157</v>
      </c>
      <c r="N392" t="s">
        <v>313</v>
      </c>
      <c r="O392" t="s">
        <v>788</v>
      </c>
      <c r="P392">
        <v>0.14080943506056062</v>
      </c>
      <c r="Q392" t="s">
        <v>157</v>
      </c>
      <c r="S392" t="s">
        <v>424</v>
      </c>
      <c r="T392" t="s">
        <v>788</v>
      </c>
      <c r="U392">
        <v>0.11839315373885057</v>
      </c>
      <c r="V392" t="s">
        <v>157</v>
      </c>
    </row>
    <row r="393" spans="9:22" x14ac:dyDescent="0.45">
      <c r="I393" t="s">
        <v>202</v>
      </c>
      <c r="J393" t="s">
        <v>789</v>
      </c>
      <c r="K393">
        <v>1.9658719349973326E-2</v>
      </c>
      <c r="L393" t="s">
        <v>157</v>
      </c>
      <c r="N393" t="s">
        <v>313</v>
      </c>
      <c r="O393" t="s">
        <v>789</v>
      </c>
      <c r="P393">
        <v>6.1899172272740867E-2</v>
      </c>
      <c r="Q393" t="s">
        <v>157</v>
      </c>
      <c r="S393" t="s">
        <v>424</v>
      </c>
      <c r="T393" t="s">
        <v>789</v>
      </c>
      <c r="U393">
        <v>0.11761939375529036</v>
      </c>
      <c r="V393" t="s">
        <v>157</v>
      </c>
    </row>
    <row r="394" spans="9:22" x14ac:dyDescent="0.45">
      <c r="I394" t="s">
        <v>202</v>
      </c>
      <c r="J394" t="s">
        <v>790</v>
      </c>
      <c r="K394">
        <v>5.1463484742372903E-2</v>
      </c>
      <c r="L394" t="s">
        <v>157</v>
      </c>
      <c r="N394" t="s">
        <v>313</v>
      </c>
      <c r="O394" t="s">
        <v>790</v>
      </c>
      <c r="P394">
        <v>2.4143437683847767E-2</v>
      </c>
      <c r="Q394" t="s">
        <v>157</v>
      </c>
      <c r="S394" t="s">
        <v>424</v>
      </c>
      <c r="T394" t="s">
        <v>790</v>
      </c>
      <c r="U394">
        <v>2.1698929731177565E-2</v>
      </c>
      <c r="V394" t="s">
        <v>157</v>
      </c>
    </row>
    <row r="395" spans="9:22" x14ac:dyDescent="0.45">
      <c r="I395" t="s">
        <v>203</v>
      </c>
      <c r="J395" t="s">
        <v>779</v>
      </c>
      <c r="K395">
        <v>0.26788642655578648</v>
      </c>
      <c r="L395" t="s">
        <v>157</v>
      </c>
      <c r="N395" t="s">
        <v>314</v>
      </c>
      <c r="O395" t="s">
        <v>779</v>
      </c>
      <c r="P395">
        <v>0.15038303229434252</v>
      </c>
      <c r="Q395" t="s">
        <v>157</v>
      </c>
      <c r="S395" t="s">
        <v>425</v>
      </c>
      <c r="T395" t="s">
        <v>779</v>
      </c>
      <c r="U395">
        <v>0.11335628616131614</v>
      </c>
      <c r="V395" t="s">
        <v>157</v>
      </c>
    </row>
    <row r="396" spans="9:22" x14ac:dyDescent="0.45">
      <c r="I396" t="s">
        <v>203</v>
      </c>
      <c r="J396" t="s">
        <v>780</v>
      </c>
      <c r="K396">
        <v>5.9729348952889498E-3</v>
      </c>
      <c r="L396" t="s">
        <v>157</v>
      </c>
      <c r="N396" t="s">
        <v>314</v>
      </c>
      <c r="O396" t="s">
        <v>780</v>
      </c>
      <c r="P396">
        <v>0.12811057428040595</v>
      </c>
      <c r="Q396" t="s">
        <v>157</v>
      </c>
      <c r="S396" t="s">
        <v>425</v>
      </c>
      <c r="T396" t="s">
        <v>780</v>
      </c>
      <c r="U396">
        <v>0.10910311679059038</v>
      </c>
      <c r="V396" t="s">
        <v>157</v>
      </c>
    </row>
    <row r="397" spans="9:22" x14ac:dyDescent="0.45">
      <c r="I397" t="s">
        <v>203</v>
      </c>
      <c r="J397" t="s">
        <v>781</v>
      </c>
      <c r="K397">
        <v>3.0199886889301371E-2</v>
      </c>
      <c r="L397" t="s">
        <v>157</v>
      </c>
      <c r="N397" t="s">
        <v>314</v>
      </c>
      <c r="O397" t="s">
        <v>781</v>
      </c>
      <c r="P397">
        <v>2.6858697672298201E-2</v>
      </c>
      <c r="Q397" t="s">
        <v>157</v>
      </c>
      <c r="S397" t="s">
        <v>425</v>
      </c>
      <c r="T397" t="s">
        <v>781</v>
      </c>
      <c r="U397">
        <v>1.9654020776461972E-2</v>
      </c>
      <c r="V397" t="s">
        <v>157</v>
      </c>
    </row>
    <row r="398" spans="9:22" x14ac:dyDescent="0.45">
      <c r="I398" t="s">
        <v>203</v>
      </c>
      <c r="J398" t="s">
        <v>782</v>
      </c>
      <c r="K398">
        <v>0.16369731590615488</v>
      </c>
      <c r="L398" t="s">
        <v>157</v>
      </c>
      <c r="N398" t="s">
        <v>314</v>
      </c>
      <c r="O398" t="s">
        <v>782</v>
      </c>
      <c r="P398">
        <v>8.6342373229282912E-2</v>
      </c>
      <c r="Q398" t="s">
        <v>157</v>
      </c>
      <c r="S398" t="s">
        <v>425</v>
      </c>
      <c r="T398" t="s">
        <v>782</v>
      </c>
      <c r="U398">
        <v>0.1127854797031979</v>
      </c>
      <c r="V398" t="s">
        <v>157</v>
      </c>
    </row>
    <row r="399" spans="9:22" x14ac:dyDescent="0.45">
      <c r="I399" t="s">
        <v>203</v>
      </c>
      <c r="J399" t="s">
        <v>783</v>
      </c>
      <c r="K399">
        <v>0</v>
      </c>
      <c r="L399" t="s">
        <v>157</v>
      </c>
      <c r="N399" t="s">
        <v>314</v>
      </c>
      <c r="O399" t="s">
        <v>783</v>
      </c>
      <c r="P399">
        <v>9.0225717546948997E-2</v>
      </c>
      <c r="Q399" t="s">
        <v>157</v>
      </c>
      <c r="S399" t="s">
        <v>425</v>
      </c>
      <c r="T399" t="s">
        <v>783</v>
      </c>
      <c r="U399">
        <v>0.11305621939450114</v>
      </c>
      <c r="V399" t="s">
        <v>157</v>
      </c>
    </row>
    <row r="400" spans="9:22" x14ac:dyDescent="0.45">
      <c r="I400" t="s">
        <v>203</v>
      </c>
      <c r="J400" t="s">
        <v>784</v>
      </c>
      <c r="K400">
        <v>1.4032947909511208E-2</v>
      </c>
      <c r="L400" t="s">
        <v>157</v>
      </c>
      <c r="N400" t="s">
        <v>314</v>
      </c>
      <c r="O400" t="s">
        <v>784</v>
      </c>
      <c r="P400">
        <v>1.6162416156163227E-2</v>
      </c>
      <c r="Q400" t="s">
        <v>157</v>
      </c>
      <c r="S400" t="s">
        <v>425</v>
      </c>
      <c r="T400" t="s">
        <v>784</v>
      </c>
      <c r="U400">
        <v>2.2190001563504678E-2</v>
      </c>
      <c r="V400" t="s">
        <v>157</v>
      </c>
    </row>
    <row r="401" spans="9:22" x14ac:dyDescent="0.45">
      <c r="I401" t="s">
        <v>203</v>
      </c>
      <c r="J401" t="s">
        <v>785</v>
      </c>
      <c r="K401">
        <v>0.10556893315341379</v>
      </c>
      <c r="L401" t="s">
        <v>157</v>
      </c>
      <c r="N401" t="s">
        <v>314</v>
      </c>
      <c r="O401" t="s">
        <v>785</v>
      </c>
      <c r="P401">
        <v>0.12700990522417482</v>
      </c>
      <c r="Q401" t="s">
        <v>157</v>
      </c>
      <c r="S401" t="s">
        <v>425</v>
      </c>
      <c r="T401" t="s">
        <v>785</v>
      </c>
      <c r="U401">
        <v>0.11625767748519721</v>
      </c>
      <c r="V401" t="s">
        <v>157</v>
      </c>
    </row>
    <row r="402" spans="9:22" x14ac:dyDescent="0.45">
      <c r="I402" t="s">
        <v>203</v>
      </c>
      <c r="J402" t="s">
        <v>786</v>
      </c>
      <c r="K402">
        <v>0</v>
      </c>
      <c r="L402" t="s">
        <v>157</v>
      </c>
      <c r="N402" t="s">
        <v>314</v>
      </c>
      <c r="O402" t="s">
        <v>786</v>
      </c>
      <c r="P402">
        <v>0.13762223583175037</v>
      </c>
      <c r="Q402" t="s">
        <v>157</v>
      </c>
      <c r="S402" t="s">
        <v>425</v>
      </c>
      <c r="T402" t="s">
        <v>786</v>
      </c>
      <c r="U402">
        <v>0.11534851276423043</v>
      </c>
      <c r="V402" t="s">
        <v>157</v>
      </c>
    </row>
    <row r="403" spans="9:22" x14ac:dyDescent="0.45">
      <c r="I403" t="s">
        <v>203</v>
      </c>
      <c r="J403" t="s">
        <v>787</v>
      </c>
      <c r="K403">
        <v>2.9343911464706743E-3</v>
      </c>
      <c r="L403" t="s">
        <v>157</v>
      </c>
      <c r="N403" t="s">
        <v>314</v>
      </c>
      <c r="O403" t="s">
        <v>787</v>
      </c>
      <c r="P403">
        <v>2.1568347218108977E-2</v>
      </c>
      <c r="Q403" t="s">
        <v>157</v>
      </c>
      <c r="S403" t="s">
        <v>425</v>
      </c>
      <c r="T403" t="s">
        <v>787</v>
      </c>
      <c r="U403">
        <v>2.1534107395298849E-2</v>
      </c>
      <c r="V403" t="s">
        <v>157</v>
      </c>
    </row>
    <row r="404" spans="9:22" x14ac:dyDescent="0.45">
      <c r="I404" t="s">
        <v>203</v>
      </c>
      <c r="J404" t="s">
        <v>788</v>
      </c>
      <c r="K404">
        <v>0.33971321495714119</v>
      </c>
      <c r="L404" t="s">
        <v>157</v>
      </c>
      <c r="N404" t="s">
        <v>314</v>
      </c>
      <c r="O404" t="s">
        <v>788</v>
      </c>
      <c r="P404">
        <v>0.11491482779981231</v>
      </c>
      <c r="Q404" t="s">
        <v>157</v>
      </c>
      <c r="S404" t="s">
        <v>425</v>
      </c>
      <c r="T404" t="s">
        <v>788</v>
      </c>
      <c r="U404">
        <v>0.11735593801657063</v>
      </c>
      <c r="V404" t="s">
        <v>157</v>
      </c>
    </row>
    <row r="405" spans="9:22" x14ac:dyDescent="0.45">
      <c r="I405" t="s">
        <v>203</v>
      </c>
      <c r="J405" t="s">
        <v>789</v>
      </c>
      <c r="K405">
        <v>1.8639756684487419E-2</v>
      </c>
      <c r="L405" t="s">
        <v>157</v>
      </c>
      <c r="N405" t="s">
        <v>314</v>
      </c>
      <c r="O405" t="s">
        <v>789</v>
      </c>
      <c r="P405">
        <v>8.2269202866185026E-2</v>
      </c>
      <c r="Q405" t="s">
        <v>157</v>
      </c>
      <c r="S405" t="s">
        <v>425</v>
      </c>
      <c r="T405" t="s">
        <v>789</v>
      </c>
      <c r="U405">
        <v>0.11755347655849725</v>
      </c>
      <c r="V405" t="s">
        <v>157</v>
      </c>
    </row>
    <row r="406" spans="9:22" x14ac:dyDescent="0.45">
      <c r="I406" t="s">
        <v>203</v>
      </c>
      <c r="J406" t="s">
        <v>790</v>
      </c>
      <c r="K406">
        <v>5.1354191902443981E-2</v>
      </c>
      <c r="L406" t="s">
        <v>157</v>
      </c>
      <c r="N406" t="s">
        <v>314</v>
      </c>
      <c r="O406" t="s">
        <v>790</v>
      </c>
      <c r="P406">
        <v>1.853266988052665E-2</v>
      </c>
      <c r="Q406" t="s">
        <v>157</v>
      </c>
      <c r="S406" t="s">
        <v>425</v>
      </c>
      <c r="T406" t="s">
        <v>790</v>
      </c>
      <c r="U406">
        <v>2.1805163390633386E-2</v>
      </c>
      <c r="V406" t="s">
        <v>157</v>
      </c>
    </row>
    <row r="407" spans="9:22" x14ac:dyDescent="0.45">
      <c r="I407" t="s">
        <v>204</v>
      </c>
      <c r="J407" t="s">
        <v>779</v>
      </c>
      <c r="K407">
        <v>0.26284418440861784</v>
      </c>
      <c r="L407" t="s">
        <v>157</v>
      </c>
      <c r="N407" t="s">
        <v>315</v>
      </c>
      <c r="O407" t="s">
        <v>779</v>
      </c>
      <c r="P407">
        <v>0.14050265977103799</v>
      </c>
      <c r="Q407" t="s">
        <v>157</v>
      </c>
      <c r="S407" t="s">
        <v>426</v>
      </c>
      <c r="T407" t="s">
        <v>779</v>
      </c>
      <c r="U407">
        <v>0.11214188833008032</v>
      </c>
      <c r="V407" t="s">
        <v>157</v>
      </c>
    </row>
    <row r="408" spans="9:22" x14ac:dyDescent="0.45">
      <c r="I408" t="s">
        <v>204</v>
      </c>
      <c r="J408" t="s">
        <v>780</v>
      </c>
      <c r="K408">
        <v>5.9419667013344401E-3</v>
      </c>
      <c r="L408" t="s">
        <v>157</v>
      </c>
      <c r="N408" t="s">
        <v>315</v>
      </c>
      <c r="O408" t="s">
        <v>780</v>
      </c>
      <c r="P408">
        <v>0.12023695061136354</v>
      </c>
      <c r="Q408" t="s">
        <v>157</v>
      </c>
      <c r="S408" t="s">
        <v>426</v>
      </c>
      <c r="T408" t="s">
        <v>780</v>
      </c>
      <c r="U408">
        <v>0.10956853517800114</v>
      </c>
      <c r="V408" t="s">
        <v>157</v>
      </c>
    </row>
    <row r="409" spans="9:22" x14ac:dyDescent="0.45">
      <c r="I409" t="s">
        <v>204</v>
      </c>
      <c r="J409" t="s">
        <v>781</v>
      </c>
      <c r="K409">
        <v>2.9980098797383344E-2</v>
      </c>
      <c r="L409" t="s">
        <v>157</v>
      </c>
      <c r="N409" t="s">
        <v>315</v>
      </c>
      <c r="O409" t="s">
        <v>781</v>
      </c>
      <c r="P409">
        <v>2.6240292779404352E-2</v>
      </c>
      <c r="Q409" t="s">
        <v>157</v>
      </c>
      <c r="S409" t="s">
        <v>426</v>
      </c>
      <c r="T409" t="s">
        <v>781</v>
      </c>
      <c r="U409">
        <v>1.9737531980360514E-2</v>
      </c>
      <c r="V409" t="s">
        <v>157</v>
      </c>
    </row>
    <row r="410" spans="9:22" x14ac:dyDescent="0.45">
      <c r="I410" t="s">
        <v>204</v>
      </c>
      <c r="J410" t="s">
        <v>782</v>
      </c>
      <c r="K410">
        <v>0.16483535266620417</v>
      </c>
      <c r="L410" t="s">
        <v>157</v>
      </c>
      <c r="N410" t="s">
        <v>315</v>
      </c>
      <c r="O410" t="s">
        <v>782</v>
      </c>
      <c r="P410">
        <v>8.9376199076782445E-2</v>
      </c>
      <c r="Q410" t="s">
        <v>157</v>
      </c>
      <c r="S410" t="s">
        <v>426</v>
      </c>
      <c r="T410" t="s">
        <v>782</v>
      </c>
      <c r="U410">
        <v>0.11169765003197495</v>
      </c>
      <c r="V410" t="s">
        <v>157</v>
      </c>
    </row>
    <row r="411" spans="9:22" x14ac:dyDescent="0.45">
      <c r="I411" t="s">
        <v>204</v>
      </c>
      <c r="J411" t="s">
        <v>783</v>
      </c>
      <c r="K411">
        <v>0</v>
      </c>
      <c r="L411" t="s">
        <v>157</v>
      </c>
      <c r="N411" t="s">
        <v>315</v>
      </c>
      <c r="O411" t="s">
        <v>783</v>
      </c>
      <c r="P411">
        <v>8.4322997307728215E-2</v>
      </c>
      <c r="Q411" t="s">
        <v>157</v>
      </c>
      <c r="S411" t="s">
        <v>426</v>
      </c>
      <c r="T411" t="s">
        <v>783</v>
      </c>
      <c r="U411">
        <v>0.11634564841823428</v>
      </c>
      <c r="V411" t="s">
        <v>157</v>
      </c>
    </row>
    <row r="412" spans="9:22" x14ac:dyDescent="0.45">
      <c r="I412" t="s">
        <v>204</v>
      </c>
      <c r="J412" t="s">
        <v>784</v>
      </c>
      <c r="K412">
        <v>1.3918131341970709E-2</v>
      </c>
      <c r="L412" t="s">
        <v>157</v>
      </c>
      <c r="N412" t="s">
        <v>315</v>
      </c>
      <c r="O412" t="s">
        <v>784</v>
      </c>
      <c r="P412">
        <v>1.5740716962230925E-2</v>
      </c>
      <c r="Q412" t="s">
        <v>157</v>
      </c>
      <c r="S412" t="s">
        <v>426</v>
      </c>
      <c r="T412" t="s">
        <v>784</v>
      </c>
      <c r="U412">
        <v>2.2706331809786835E-2</v>
      </c>
      <c r="V412" t="s">
        <v>157</v>
      </c>
    </row>
    <row r="413" spans="9:22" x14ac:dyDescent="0.45">
      <c r="I413" t="s">
        <v>204</v>
      </c>
      <c r="J413" t="s">
        <v>785</v>
      </c>
      <c r="K413">
        <v>0.10046957920812313</v>
      </c>
      <c r="L413" t="s">
        <v>157</v>
      </c>
      <c r="N413" t="s">
        <v>315</v>
      </c>
      <c r="O413" t="s">
        <v>785</v>
      </c>
      <c r="P413">
        <v>0.12268856526812845</v>
      </c>
      <c r="Q413" t="s">
        <v>157</v>
      </c>
      <c r="S413" t="s">
        <v>426</v>
      </c>
      <c r="T413" t="s">
        <v>785</v>
      </c>
      <c r="U413">
        <v>0.11656854870934322</v>
      </c>
      <c r="V413" t="s">
        <v>157</v>
      </c>
    </row>
    <row r="414" spans="9:22" x14ac:dyDescent="0.45">
      <c r="I414" t="s">
        <v>204</v>
      </c>
      <c r="J414" t="s">
        <v>786</v>
      </c>
      <c r="K414">
        <v>0</v>
      </c>
      <c r="L414" t="s">
        <v>157</v>
      </c>
      <c r="N414" t="s">
        <v>315</v>
      </c>
      <c r="O414" t="s">
        <v>786</v>
      </c>
      <c r="P414">
        <v>0.12752690765902427</v>
      </c>
      <c r="Q414" t="s">
        <v>157</v>
      </c>
      <c r="S414" t="s">
        <v>426</v>
      </c>
      <c r="T414" t="s">
        <v>786</v>
      </c>
      <c r="U414">
        <v>0.113541932708993</v>
      </c>
      <c r="V414" t="s">
        <v>157</v>
      </c>
    </row>
    <row r="415" spans="9:22" x14ac:dyDescent="0.45">
      <c r="I415" t="s">
        <v>204</v>
      </c>
      <c r="J415" t="s">
        <v>787</v>
      </c>
      <c r="K415">
        <v>2.9227759828566544E-3</v>
      </c>
      <c r="L415" t="s">
        <v>157</v>
      </c>
      <c r="N415" t="s">
        <v>315</v>
      </c>
      <c r="O415" t="s">
        <v>787</v>
      </c>
      <c r="P415">
        <v>2.1906753509262827E-2</v>
      </c>
      <c r="Q415" t="s">
        <v>157</v>
      </c>
      <c r="S415" t="s">
        <v>426</v>
      </c>
      <c r="T415" t="s">
        <v>787</v>
      </c>
      <c r="U415">
        <v>2.1494358932400356E-2</v>
      </c>
      <c r="V415" t="s">
        <v>157</v>
      </c>
    </row>
    <row r="416" spans="9:22" x14ac:dyDescent="0.45">
      <c r="I416" t="s">
        <v>204</v>
      </c>
      <c r="J416" t="s">
        <v>788</v>
      </c>
      <c r="K416">
        <v>0.34764730371491775</v>
      </c>
      <c r="L416" t="s">
        <v>157</v>
      </c>
      <c r="N416" t="s">
        <v>315</v>
      </c>
      <c r="O416" t="s">
        <v>788</v>
      </c>
      <c r="P416">
        <v>0.12979744350296649</v>
      </c>
      <c r="Q416" t="s">
        <v>157</v>
      </c>
      <c r="S416" t="s">
        <v>426</v>
      </c>
      <c r="T416" t="s">
        <v>788</v>
      </c>
      <c r="U416">
        <v>0.11639443891109108</v>
      </c>
      <c r="V416" t="s">
        <v>157</v>
      </c>
    </row>
    <row r="417" spans="9:22" x14ac:dyDescent="0.45">
      <c r="I417" t="s">
        <v>204</v>
      </c>
      <c r="J417" t="s">
        <v>789</v>
      </c>
      <c r="K417">
        <v>1.8752373078929945E-2</v>
      </c>
      <c r="L417" t="s">
        <v>157</v>
      </c>
      <c r="N417" t="s">
        <v>315</v>
      </c>
      <c r="O417" t="s">
        <v>789</v>
      </c>
      <c r="P417">
        <v>9.7519457038456187E-2</v>
      </c>
      <c r="Q417" t="s">
        <v>157</v>
      </c>
      <c r="S417" t="s">
        <v>426</v>
      </c>
      <c r="T417" t="s">
        <v>789</v>
      </c>
      <c r="U417">
        <v>0.11776240508143944</v>
      </c>
      <c r="V417" t="s">
        <v>157</v>
      </c>
    </row>
    <row r="418" spans="9:22" x14ac:dyDescent="0.45">
      <c r="I418" t="s">
        <v>204</v>
      </c>
      <c r="J418" t="s">
        <v>790</v>
      </c>
      <c r="K418">
        <v>5.2688234099662078E-2</v>
      </c>
      <c r="L418" t="s">
        <v>157</v>
      </c>
      <c r="N418" t="s">
        <v>315</v>
      </c>
      <c r="O418" t="s">
        <v>790</v>
      </c>
      <c r="P418">
        <v>2.4141056513614284E-2</v>
      </c>
      <c r="Q418" t="s">
        <v>157</v>
      </c>
      <c r="S418" t="s">
        <v>426</v>
      </c>
      <c r="T418" t="s">
        <v>790</v>
      </c>
      <c r="U418">
        <v>2.20407299082949E-2</v>
      </c>
      <c r="V418" t="s">
        <v>157</v>
      </c>
    </row>
    <row r="419" spans="9:22" x14ac:dyDescent="0.45">
      <c r="I419" t="s">
        <v>205</v>
      </c>
      <c r="J419" t="s">
        <v>779</v>
      </c>
      <c r="K419">
        <v>0.28261967361528106</v>
      </c>
      <c r="L419" t="s">
        <v>157</v>
      </c>
      <c r="N419" t="s">
        <v>316</v>
      </c>
      <c r="O419" t="s">
        <v>779</v>
      </c>
      <c r="P419">
        <v>0.1263513038412159</v>
      </c>
      <c r="Q419" t="s">
        <v>157</v>
      </c>
      <c r="S419" t="s">
        <v>427</v>
      </c>
      <c r="T419" t="s">
        <v>779</v>
      </c>
      <c r="U419">
        <v>0.11319057804474925</v>
      </c>
      <c r="V419" t="s">
        <v>157</v>
      </c>
    </row>
    <row r="420" spans="9:22" x14ac:dyDescent="0.45">
      <c r="I420" t="s">
        <v>205</v>
      </c>
      <c r="J420" t="s">
        <v>780</v>
      </c>
      <c r="K420">
        <v>8.1726179859367819E-3</v>
      </c>
      <c r="L420" t="s">
        <v>157</v>
      </c>
      <c r="N420" t="s">
        <v>316</v>
      </c>
      <c r="O420" t="s">
        <v>780</v>
      </c>
      <c r="P420">
        <v>0.11175446182970689</v>
      </c>
      <c r="Q420" t="s">
        <v>157</v>
      </c>
      <c r="S420" t="s">
        <v>427</v>
      </c>
      <c r="T420" t="s">
        <v>780</v>
      </c>
      <c r="U420">
        <v>0.1099922149677223</v>
      </c>
      <c r="V420" t="s">
        <v>157</v>
      </c>
    </row>
    <row r="421" spans="9:22" x14ac:dyDescent="0.45">
      <c r="I421" t="s">
        <v>205</v>
      </c>
      <c r="J421" t="s">
        <v>781</v>
      </c>
      <c r="K421">
        <v>3.8591100870568752E-2</v>
      </c>
      <c r="L421" t="s">
        <v>157</v>
      </c>
      <c r="N421" t="s">
        <v>316</v>
      </c>
      <c r="O421" t="s">
        <v>781</v>
      </c>
      <c r="P421">
        <v>2.30778685560739E-2</v>
      </c>
      <c r="Q421" t="s">
        <v>157</v>
      </c>
      <c r="S421" t="s">
        <v>427</v>
      </c>
      <c r="T421" t="s">
        <v>781</v>
      </c>
      <c r="U421">
        <v>2.0528647912315141E-2</v>
      </c>
      <c r="V421" t="s">
        <v>157</v>
      </c>
    </row>
    <row r="422" spans="9:22" x14ac:dyDescent="0.45">
      <c r="I422" t="s">
        <v>205</v>
      </c>
      <c r="J422" t="s">
        <v>782</v>
      </c>
      <c r="K422">
        <v>0.15999743938126201</v>
      </c>
      <c r="L422" t="s">
        <v>157</v>
      </c>
      <c r="N422" t="s">
        <v>316</v>
      </c>
      <c r="O422" t="s">
        <v>782</v>
      </c>
      <c r="P422">
        <v>0.11002118482563168</v>
      </c>
      <c r="Q422" t="s">
        <v>157</v>
      </c>
      <c r="S422" t="s">
        <v>427</v>
      </c>
      <c r="T422" t="s">
        <v>782</v>
      </c>
      <c r="U422">
        <v>0.11207678497073321</v>
      </c>
      <c r="V422" t="s">
        <v>157</v>
      </c>
    </row>
    <row r="423" spans="9:22" x14ac:dyDescent="0.45">
      <c r="I423" t="s">
        <v>205</v>
      </c>
      <c r="J423" t="s">
        <v>783</v>
      </c>
      <c r="K423">
        <v>0</v>
      </c>
      <c r="L423" t="s">
        <v>157</v>
      </c>
      <c r="N423" t="s">
        <v>316</v>
      </c>
      <c r="O423" t="s">
        <v>783</v>
      </c>
      <c r="P423">
        <v>0.10988725310135235</v>
      </c>
      <c r="Q423" t="s">
        <v>157</v>
      </c>
      <c r="S423" t="s">
        <v>427</v>
      </c>
      <c r="T423" t="s">
        <v>783</v>
      </c>
      <c r="U423">
        <v>0.11804351414808714</v>
      </c>
      <c r="V423" t="s">
        <v>157</v>
      </c>
    </row>
    <row r="424" spans="9:22" x14ac:dyDescent="0.45">
      <c r="I424" t="s">
        <v>205</v>
      </c>
      <c r="J424" t="s">
        <v>784</v>
      </c>
      <c r="K424">
        <v>1.7504101426091902E-2</v>
      </c>
      <c r="L424" t="s">
        <v>157</v>
      </c>
      <c r="N424" t="s">
        <v>316</v>
      </c>
      <c r="O424" t="s">
        <v>784</v>
      </c>
      <c r="P424">
        <v>2.0022197067908764E-2</v>
      </c>
      <c r="Q424" t="s">
        <v>157</v>
      </c>
      <c r="S424" t="s">
        <v>427</v>
      </c>
      <c r="T424" t="s">
        <v>784</v>
      </c>
      <c r="U424">
        <v>2.2418010133660203E-2</v>
      </c>
      <c r="V424" t="s">
        <v>157</v>
      </c>
    </row>
    <row r="425" spans="9:22" x14ac:dyDescent="0.45">
      <c r="I425" t="s">
        <v>205</v>
      </c>
      <c r="J425" t="s">
        <v>785</v>
      </c>
      <c r="K425">
        <v>8.6930574739562033E-2</v>
      </c>
      <c r="L425" t="s">
        <v>157</v>
      </c>
      <c r="N425" t="s">
        <v>316</v>
      </c>
      <c r="O425" t="s">
        <v>785</v>
      </c>
      <c r="P425">
        <v>0.12031447337150222</v>
      </c>
      <c r="Q425" t="s">
        <v>157</v>
      </c>
      <c r="S425" t="s">
        <v>427</v>
      </c>
      <c r="T425" t="s">
        <v>785</v>
      </c>
      <c r="U425">
        <v>0.11540548231288862</v>
      </c>
      <c r="V425" t="s">
        <v>157</v>
      </c>
    </row>
    <row r="426" spans="9:22" x14ac:dyDescent="0.45">
      <c r="I426" t="s">
        <v>205</v>
      </c>
      <c r="J426" t="s">
        <v>786</v>
      </c>
      <c r="K426">
        <v>0</v>
      </c>
      <c r="L426" t="s">
        <v>157</v>
      </c>
      <c r="N426" t="s">
        <v>316</v>
      </c>
      <c r="O426" t="s">
        <v>786</v>
      </c>
      <c r="P426">
        <v>0.1227179551163793</v>
      </c>
      <c r="Q426" t="s">
        <v>157</v>
      </c>
      <c r="S426" t="s">
        <v>427</v>
      </c>
      <c r="T426" t="s">
        <v>786</v>
      </c>
      <c r="U426">
        <v>0.11283274601751993</v>
      </c>
      <c r="V426" t="s">
        <v>157</v>
      </c>
    </row>
    <row r="427" spans="9:22" x14ac:dyDescent="0.45">
      <c r="I427" t="s">
        <v>205</v>
      </c>
      <c r="J427" t="s">
        <v>787</v>
      </c>
      <c r="K427">
        <v>4.3490528241982825E-3</v>
      </c>
      <c r="L427" t="s">
        <v>157</v>
      </c>
      <c r="N427" t="s">
        <v>316</v>
      </c>
      <c r="O427" t="s">
        <v>787</v>
      </c>
      <c r="P427">
        <v>2.1992455934146293E-2</v>
      </c>
      <c r="Q427" t="s">
        <v>157</v>
      </c>
      <c r="S427" t="s">
        <v>427</v>
      </c>
      <c r="T427" t="s">
        <v>787</v>
      </c>
      <c r="U427">
        <v>2.0986422320038348E-2</v>
      </c>
      <c r="V427" t="s">
        <v>157</v>
      </c>
    </row>
    <row r="428" spans="9:22" x14ac:dyDescent="0.45">
      <c r="I428" t="s">
        <v>205</v>
      </c>
      <c r="J428" t="s">
        <v>788</v>
      </c>
      <c r="K428">
        <v>0.33087345020450926</v>
      </c>
      <c r="L428" t="s">
        <v>157</v>
      </c>
      <c r="N428" t="s">
        <v>316</v>
      </c>
      <c r="O428" t="s">
        <v>788</v>
      </c>
      <c r="P428">
        <v>0.11327704947453912</v>
      </c>
      <c r="Q428" t="s">
        <v>157</v>
      </c>
      <c r="S428" t="s">
        <v>427</v>
      </c>
      <c r="T428" t="s">
        <v>788</v>
      </c>
      <c r="U428">
        <v>0.11545606869500602</v>
      </c>
      <c r="V428" t="s">
        <v>157</v>
      </c>
    </row>
    <row r="429" spans="9:22" x14ac:dyDescent="0.45">
      <c r="I429" t="s">
        <v>205</v>
      </c>
      <c r="J429" t="s">
        <v>789</v>
      </c>
      <c r="K429">
        <v>1.9307813191284162E-2</v>
      </c>
      <c r="L429" t="s">
        <v>157</v>
      </c>
      <c r="N429" t="s">
        <v>316</v>
      </c>
      <c r="O429" t="s">
        <v>789</v>
      </c>
      <c r="P429">
        <v>9.9107465830926861E-2</v>
      </c>
      <c r="Q429" t="s">
        <v>157</v>
      </c>
      <c r="S429" t="s">
        <v>427</v>
      </c>
      <c r="T429" t="s">
        <v>789</v>
      </c>
      <c r="U429">
        <v>0.11656242716924381</v>
      </c>
      <c r="V429" t="s">
        <v>157</v>
      </c>
    </row>
    <row r="430" spans="9:22" x14ac:dyDescent="0.45">
      <c r="I430" t="s">
        <v>205</v>
      </c>
      <c r="J430" t="s">
        <v>790</v>
      </c>
      <c r="K430">
        <v>5.1654175761305675E-2</v>
      </c>
      <c r="L430" t="s">
        <v>157</v>
      </c>
      <c r="N430" t="s">
        <v>316</v>
      </c>
      <c r="O430" t="s">
        <v>790</v>
      </c>
      <c r="P430">
        <v>2.147633105061671E-2</v>
      </c>
      <c r="Q430" t="s">
        <v>157</v>
      </c>
      <c r="S430" t="s">
        <v>427</v>
      </c>
      <c r="T430" t="s">
        <v>790</v>
      </c>
      <c r="U430">
        <v>2.2507103308036028E-2</v>
      </c>
      <c r="V430" t="s">
        <v>157</v>
      </c>
    </row>
    <row r="431" spans="9:22" x14ac:dyDescent="0.45">
      <c r="I431" t="s">
        <v>206</v>
      </c>
      <c r="J431" t="s">
        <v>779</v>
      </c>
      <c r="K431">
        <v>0.28559417939339932</v>
      </c>
      <c r="L431" t="s">
        <v>157</v>
      </c>
      <c r="N431" t="s">
        <v>317</v>
      </c>
      <c r="O431" t="s">
        <v>779</v>
      </c>
      <c r="P431">
        <v>0.13007985869200456</v>
      </c>
      <c r="Q431" t="s">
        <v>157</v>
      </c>
      <c r="S431" t="s">
        <v>428</v>
      </c>
      <c r="T431" t="s">
        <v>779</v>
      </c>
      <c r="U431">
        <v>0.11716936575477906</v>
      </c>
      <c r="V431" t="s">
        <v>157</v>
      </c>
    </row>
    <row r="432" spans="9:22" x14ac:dyDescent="0.45">
      <c r="I432" t="s">
        <v>206</v>
      </c>
      <c r="J432" t="s">
        <v>780</v>
      </c>
      <c r="K432">
        <v>6.1857301287702292E-3</v>
      </c>
      <c r="L432" t="s">
        <v>157</v>
      </c>
      <c r="N432" t="s">
        <v>317</v>
      </c>
      <c r="O432" t="s">
        <v>780</v>
      </c>
      <c r="P432">
        <v>0.11313169289086347</v>
      </c>
      <c r="Q432" t="s">
        <v>157</v>
      </c>
      <c r="S432" t="s">
        <v>428</v>
      </c>
      <c r="T432" t="s">
        <v>780</v>
      </c>
      <c r="U432">
        <v>0.10967044899451907</v>
      </c>
      <c r="V432" t="s">
        <v>157</v>
      </c>
    </row>
    <row r="433" spans="9:22" x14ac:dyDescent="0.45">
      <c r="I433" t="s">
        <v>206</v>
      </c>
      <c r="J433" t="s">
        <v>781</v>
      </c>
      <c r="K433">
        <v>2.9695206977197592E-2</v>
      </c>
      <c r="L433" t="s">
        <v>157</v>
      </c>
      <c r="N433" t="s">
        <v>317</v>
      </c>
      <c r="O433" t="s">
        <v>781</v>
      </c>
      <c r="P433">
        <v>2.7230832212636738E-2</v>
      </c>
      <c r="Q433" t="s">
        <v>157</v>
      </c>
      <c r="S433" t="s">
        <v>428</v>
      </c>
      <c r="T433" t="s">
        <v>781</v>
      </c>
      <c r="U433">
        <v>2.0490508881676084E-2</v>
      </c>
      <c r="V433" t="s">
        <v>157</v>
      </c>
    </row>
    <row r="434" spans="9:22" x14ac:dyDescent="0.45">
      <c r="I434" t="s">
        <v>206</v>
      </c>
      <c r="J434" t="s">
        <v>782</v>
      </c>
      <c r="K434">
        <v>0.16266708584818898</v>
      </c>
      <c r="L434" t="s">
        <v>157</v>
      </c>
      <c r="N434" t="s">
        <v>317</v>
      </c>
      <c r="O434" t="s">
        <v>782</v>
      </c>
      <c r="P434">
        <v>0.10958541026897897</v>
      </c>
      <c r="Q434" t="s">
        <v>157</v>
      </c>
      <c r="S434" t="s">
        <v>428</v>
      </c>
      <c r="T434" t="s">
        <v>782</v>
      </c>
      <c r="U434">
        <v>0.11017096412154791</v>
      </c>
      <c r="V434" t="s">
        <v>157</v>
      </c>
    </row>
    <row r="435" spans="9:22" x14ac:dyDescent="0.45">
      <c r="I435" t="s">
        <v>206</v>
      </c>
      <c r="J435" t="s">
        <v>783</v>
      </c>
      <c r="K435">
        <v>0</v>
      </c>
      <c r="L435" t="s">
        <v>157</v>
      </c>
      <c r="N435" t="s">
        <v>317</v>
      </c>
      <c r="O435" t="s">
        <v>783</v>
      </c>
      <c r="P435">
        <v>0.10332961603186715</v>
      </c>
      <c r="Q435" t="s">
        <v>157</v>
      </c>
      <c r="S435" t="s">
        <v>428</v>
      </c>
      <c r="T435" t="s">
        <v>783</v>
      </c>
      <c r="U435">
        <v>0.11249686899180843</v>
      </c>
      <c r="V435" t="s">
        <v>157</v>
      </c>
    </row>
    <row r="436" spans="9:22" x14ac:dyDescent="0.45">
      <c r="I436" t="s">
        <v>206</v>
      </c>
      <c r="J436" t="s">
        <v>784</v>
      </c>
      <c r="K436">
        <v>1.3099051396531603E-2</v>
      </c>
      <c r="L436" t="s">
        <v>157</v>
      </c>
      <c r="N436" t="s">
        <v>317</v>
      </c>
      <c r="O436" t="s">
        <v>784</v>
      </c>
      <c r="P436">
        <v>2.1090132750997016E-2</v>
      </c>
      <c r="Q436" t="s">
        <v>157</v>
      </c>
      <c r="S436" t="s">
        <v>428</v>
      </c>
      <c r="T436" t="s">
        <v>784</v>
      </c>
      <c r="U436">
        <v>2.1583286078233541E-2</v>
      </c>
      <c r="V436" t="s">
        <v>157</v>
      </c>
    </row>
    <row r="437" spans="9:22" x14ac:dyDescent="0.45">
      <c r="I437" t="s">
        <v>206</v>
      </c>
      <c r="J437" t="s">
        <v>785</v>
      </c>
      <c r="K437">
        <v>0.10280570220079965</v>
      </c>
      <c r="L437" t="s">
        <v>157</v>
      </c>
      <c r="N437" t="s">
        <v>317</v>
      </c>
      <c r="O437" t="s">
        <v>785</v>
      </c>
      <c r="P437">
        <v>0.12142527727223267</v>
      </c>
      <c r="Q437" t="s">
        <v>157</v>
      </c>
      <c r="S437" t="s">
        <v>428</v>
      </c>
      <c r="T437" t="s">
        <v>785</v>
      </c>
      <c r="U437">
        <v>0.1189517129026416</v>
      </c>
      <c r="V437" t="s">
        <v>157</v>
      </c>
    </row>
    <row r="438" spans="9:22" x14ac:dyDescent="0.45">
      <c r="I438" t="s">
        <v>206</v>
      </c>
      <c r="J438" t="s">
        <v>786</v>
      </c>
      <c r="K438">
        <v>0</v>
      </c>
      <c r="L438" t="s">
        <v>157</v>
      </c>
      <c r="N438" t="s">
        <v>317</v>
      </c>
      <c r="O438" t="s">
        <v>786</v>
      </c>
      <c r="P438">
        <v>0.12218602409964353</v>
      </c>
      <c r="Q438" t="s">
        <v>157</v>
      </c>
      <c r="S438" t="s">
        <v>428</v>
      </c>
      <c r="T438" t="s">
        <v>786</v>
      </c>
      <c r="U438">
        <v>0.11603685123782409</v>
      </c>
      <c r="V438" t="s">
        <v>157</v>
      </c>
    </row>
    <row r="439" spans="9:22" x14ac:dyDescent="0.45">
      <c r="I439" t="s">
        <v>206</v>
      </c>
      <c r="J439" t="s">
        <v>787</v>
      </c>
      <c r="K439">
        <v>3.1681991120044487E-3</v>
      </c>
      <c r="L439" t="s">
        <v>157</v>
      </c>
      <c r="N439" t="s">
        <v>317</v>
      </c>
      <c r="O439" t="s">
        <v>787</v>
      </c>
      <c r="P439">
        <v>2.332258711121506E-2</v>
      </c>
      <c r="Q439" t="s">
        <v>157</v>
      </c>
      <c r="S439" t="s">
        <v>428</v>
      </c>
      <c r="T439" t="s">
        <v>787</v>
      </c>
      <c r="U439">
        <v>2.1820059136859537E-2</v>
      </c>
      <c r="V439" t="s">
        <v>157</v>
      </c>
    </row>
    <row r="440" spans="9:22" x14ac:dyDescent="0.45">
      <c r="I440" t="s">
        <v>206</v>
      </c>
      <c r="J440" t="s">
        <v>788</v>
      </c>
      <c r="K440">
        <v>0.33610050532396446</v>
      </c>
      <c r="L440" t="s">
        <v>157</v>
      </c>
      <c r="N440" t="s">
        <v>317</v>
      </c>
      <c r="O440" t="s">
        <v>788</v>
      </c>
      <c r="P440">
        <v>0.11404209602553972</v>
      </c>
      <c r="Q440" t="s">
        <v>157</v>
      </c>
      <c r="S440" t="s">
        <v>428</v>
      </c>
      <c r="T440" t="s">
        <v>788</v>
      </c>
      <c r="U440">
        <v>0.11934678815400521</v>
      </c>
      <c r="V440" t="s">
        <v>157</v>
      </c>
    </row>
    <row r="441" spans="9:22" x14ac:dyDescent="0.45">
      <c r="I441" t="s">
        <v>206</v>
      </c>
      <c r="J441" t="s">
        <v>789</v>
      </c>
      <c r="K441">
        <v>1.7402808053781426E-2</v>
      </c>
      <c r="L441" t="s">
        <v>157</v>
      </c>
      <c r="N441" t="s">
        <v>317</v>
      </c>
      <c r="O441" t="s">
        <v>789</v>
      </c>
      <c r="P441">
        <v>9.3586093484345184E-2</v>
      </c>
      <c r="Q441" t="s">
        <v>157</v>
      </c>
      <c r="S441" t="s">
        <v>428</v>
      </c>
      <c r="T441" t="s">
        <v>789</v>
      </c>
      <c r="U441">
        <v>0.11019466629334218</v>
      </c>
      <c r="V441" t="s">
        <v>157</v>
      </c>
    </row>
    <row r="442" spans="9:22" x14ac:dyDescent="0.45">
      <c r="I442" t="s">
        <v>206</v>
      </c>
      <c r="J442" t="s">
        <v>790</v>
      </c>
      <c r="K442">
        <v>4.3281531565362248E-2</v>
      </c>
      <c r="L442" t="s">
        <v>157</v>
      </c>
      <c r="N442" t="s">
        <v>317</v>
      </c>
      <c r="O442" t="s">
        <v>790</v>
      </c>
      <c r="P442">
        <v>2.0990379159675894E-2</v>
      </c>
      <c r="Q442" t="s">
        <v>157</v>
      </c>
      <c r="S442" t="s">
        <v>428</v>
      </c>
      <c r="T442" t="s">
        <v>790</v>
      </c>
      <c r="U442">
        <v>2.2068479452763263E-2</v>
      </c>
      <c r="V442" t="s">
        <v>157</v>
      </c>
    </row>
    <row r="443" spans="9:22" x14ac:dyDescent="0.45">
      <c r="I443" t="s">
        <v>207</v>
      </c>
      <c r="J443" t="s">
        <v>779</v>
      </c>
      <c r="K443">
        <v>0.28040358015334821</v>
      </c>
      <c r="L443" t="s">
        <v>157</v>
      </c>
      <c r="N443" t="s">
        <v>318</v>
      </c>
      <c r="O443" t="s">
        <v>779</v>
      </c>
      <c r="P443">
        <v>0.13642182873166497</v>
      </c>
      <c r="Q443" t="s">
        <v>157</v>
      </c>
      <c r="S443" t="s">
        <v>429</v>
      </c>
      <c r="T443" t="s">
        <v>779</v>
      </c>
      <c r="U443">
        <v>0.12219002451220294</v>
      </c>
      <c r="V443" t="s">
        <v>157</v>
      </c>
    </row>
    <row r="444" spans="9:22" x14ac:dyDescent="0.45">
      <c r="I444" t="s">
        <v>207</v>
      </c>
      <c r="J444" t="s">
        <v>780</v>
      </c>
      <c r="K444">
        <v>5.81054196884575E-3</v>
      </c>
      <c r="L444" t="s">
        <v>157</v>
      </c>
      <c r="N444" t="s">
        <v>318</v>
      </c>
      <c r="O444" t="s">
        <v>780</v>
      </c>
      <c r="P444">
        <v>0.11445917263529343</v>
      </c>
      <c r="Q444" t="s">
        <v>157</v>
      </c>
      <c r="S444" t="s">
        <v>429</v>
      </c>
      <c r="T444" t="s">
        <v>780</v>
      </c>
      <c r="U444">
        <v>0.11015621820137243</v>
      </c>
      <c r="V444" t="s">
        <v>157</v>
      </c>
    </row>
    <row r="445" spans="9:22" x14ac:dyDescent="0.45">
      <c r="I445" t="s">
        <v>207</v>
      </c>
      <c r="J445" t="s">
        <v>781</v>
      </c>
      <c r="K445">
        <v>2.9820868196750974E-2</v>
      </c>
      <c r="L445" t="s">
        <v>157</v>
      </c>
      <c r="N445" t="s">
        <v>318</v>
      </c>
      <c r="O445" t="s">
        <v>781</v>
      </c>
      <c r="P445">
        <v>2.8348596134808824E-2</v>
      </c>
      <c r="Q445" t="s">
        <v>157</v>
      </c>
      <c r="S445" t="s">
        <v>429</v>
      </c>
      <c r="T445" t="s">
        <v>781</v>
      </c>
      <c r="U445">
        <v>2.1807286303950086E-2</v>
      </c>
      <c r="V445" t="s">
        <v>157</v>
      </c>
    </row>
    <row r="446" spans="9:22" x14ac:dyDescent="0.45">
      <c r="I446" t="s">
        <v>207</v>
      </c>
      <c r="J446" t="s">
        <v>782</v>
      </c>
      <c r="K446">
        <v>0.16266056975912815</v>
      </c>
      <c r="L446" t="s">
        <v>157</v>
      </c>
      <c r="N446" t="s">
        <v>318</v>
      </c>
      <c r="O446" t="s">
        <v>782</v>
      </c>
      <c r="P446">
        <v>0.10790171054393846</v>
      </c>
      <c r="Q446" t="s">
        <v>157</v>
      </c>
      <c r="S446" t="s">
        <v>429</v>
      </c>
      <c r="T446" t="s">
        <v>782</v>
      </c>
      <c r="U446">
        <v>0.1111725975425297</v>
      </c>
      <c r="V446" t="s">
        <v>157</v>
      </c>
    </row>
    <row r="447" spans="9:22" x14ac:dyDescent="0.45">
      <c r="I447" t="s">
        <v>207</v>
      </c>
      <c r="J447" t="s">
        <v>783</v>
      </c>
      <c r="K447">
        <v>0</v>
      </c>
      <c r="L447" t="s">
        <v>157</v>
      </c>
      <c r="N447" t="s">
        <v>318</v>
      </c>
      <c r="O447" t="s">
        <v>783</v>
      </c>
      <c r="P447">
        <v>9.9384088692906922E-2</v>
      </c>
      <c r="Q447" t="s">
        <v>157</v>
      </c>
      <c r="S447" t="s">
        <v>429</v>
      </c>
      <c r="T447" t="s">
        <v>783</v>
      </c>
      <c r="U447">
        <v>0.11118540003035086</v>
      </c>
      <c r="V447" t="s">
        <v>157</v>
      </c>
    </row>
    <row r="448" spans="9:22" x14ac:dyDescent="0.45">
      <c r="I448" t="s">
        <v>207</v>
      </c>
      <c r="J448" t="s">
        <v>784</v>
      </c>
      <c r="K448">
        <v>1.3082500555728455E-2</v>
      </c>
      <c r="L448" t="s">
        <v>157</v>
      </c>
      <c r="N448" t="s">
        <v>318</v>
      </c>
      <c r="O448" t="s">
        <v>784</v>
      </c>
      <c r="P448">
        <v>2.0690725011713252E-2</v>
      </c>
      <c r="Q448" t="s">
        <v>157</v>
      </c>
      <c r="S448" t="s">
        <v>429</v>
      </c>
      <c r="T448" t="s">
        <v>784</v>
      </c>
      <c r="U448">
        <v>2.0937077362725199E-2</v>
      </c>
      <c r="V448" t="s">
        <v>157</v>
      </c>
    </row>
    <row r="449" spans="9:22" x14ac:dyDescent="0.45">
      <c r="I449" t="s">
        <v>207</v>
      </c>
      <c r="J449" t="s">
        <v>785</v>
      </c>
      <c r="K449">
        <v>0.10669348799450028</v>
      </c>
      <c r="L449" t="s">
        <v>157</v>
      </c>
      <c r="N449" t="s">
        <v>318</v>
      </c>
      <c r="O449" t="s">
        <v>785</v>
      </c>
      <c r="P449">
        <v>0.12352504535259566</v>
      </c>
      <c r="Q449" t="s">
        <v>157</v>
      </c>
      <c r="S449" t="s">
        <v>429</v>
      </c>
      <c r="T449" t="s">
        <v>785</v>
      </c>
      <c r="U449">
        <v>0.11852848696224731</v>
      </c>
      <c r="V449" t="s">
        <v>157</v>
      </c>
    </row>
    <row r="450" spans="9:22" x14ac:dyDescent="0.45">
      <c r="I450" t="s">
        <v>207</v>
      </c>
      <c r="J450" t="s">
        <v>786</v>
      </c>
      <c r="K450">
        <v>0</v>
      </c>
      <c r="L450" t="s">
        <v>157</v>
      </c>
      <c r="N450" t="s">
        <v>318</v>
      </c>
      <c r="O450" t="s">
        <v>786</v>
      </c>
      <c r="P450">
        <v>0.12989022117112872</v>
      </c>
      <c r="Q450" t="s">
        <v>157</v>
      </c>
      <c r="S450" t="s">
        <v>429</v>
      </c>
      <c r="T450" t="s">
        <v>786</v>
      </c>
      <c r="U450">
        <v>0.12017644168313202</v>
      </c>
      <c r="V450" t="s">
        <v>157</v>
      </c>
    </row>
    <row r="451" spans="9:22" x14ac:dyDescent="0.45">
      <c r="I451" t="s">
        <v>207</v>
      </c>
      <c r="J451" t="s">
        <v>787</v>
      </c>
      <c r="K451">
        <v>3.1030082264477555E-3</v>
      </c>
      <c r="L451" t="s">
        <v>157</v>
      </c>
      <c r="N451" t="s">
        <v>318</v>
      </c>
      <c r="O451" t="s">
        <v>787</v>
      </c>
      <c r="P451">
        <v>2.2750096226257652E-2</v>
      </c>
      <c r="Q451" t="s">
        <v>157</v>
      </c>
      <c r="S451" t="s">
        <v>429</v>
      </c>
      <c r="T451" t="s">
        <v>787</v>
      </c>
      <c r="U451">
        <v>2.1579898285664374E-2</v>
      </c>
      <c r="V451" t="s">
        <v>157</v>
      </c>
    </row>
    <row r="452" spans="9:22" x14ac:dyDescent="0.45">
      <c r="I452" t="s">
        <v>207</v>
      </c>
      <c r="J452" t="s">
        <v>788</v>
      </c>
      <c r="K452">
        <v>0.33608572078795718</v>
      </c>
      <c r="L452" t="s">
        <v>157</v>
      </c>
      <c r="N452" t="s">
        <v>318</v>
      </c>
      <c r="O452" t="s">
        <v>788</v>
      </c>
      <c r="P452">
        <v>0.11036526099604617</v>
      </c>
      <c r="Q452" t="s">
        <v>157</v>
      </c>
      <c r="S452" t="s">
        <v>429</v>
      </c>
      <c r="T452" t="s">
        <v>788</v>
      </c>
      <c r="U452">
        <v>0.11773528243357718</v>
      </c>
      <c r="V452" t="s">
        <v>157</v>
      </c>
    </row>
    <row r="453" spans="9:22" x14ac:dyDescent="0.45">
      <c r="I453" t="s">
        <v>207</v>
      </c>
      <c r="J453" t="s">
        <v>789</v>
      </c>
      <c r="K453">
        <v>1.8125904975046795E-2</v>
      </c>
      <c r="L453" t="s">
        <v>157</v>
      </c>
      <c r="N453" t="s">
        <v>318</v>
      </c>
      <c r="O453" t="s">
        <v>789</v>
      </c>
      <c r="P453">
        <v>8.5109344460980008E-2</v>
      </c>
      <c r="Q453" t="s">
        <v>157</v>
      </c>
      <c r="S453" t="s">
        <v>429</v>
      </c>
      <c r="T453" t="s">
        <v>789</v>
      </c>
      <c r="U453">
        <v>0.10295156703743655</v>
      </c>
      <c r="V453" t="s">
        <v>157</v>
      </c>
    </row>
    <row r="454" spans="9:22" x14ac:dyDescent="0.45">
      <c r="I454" t="s">
        <v>207</v>
      </c>
      <c r="J454" t="s">
        <v>790</v>
      </c>
      <c r="K454">
        <v>4.4213817382246508E-2</v>
      </c>
      <c r="L454" t="s">
        <v>157</v>
      </c>
      <c r="N454" t="s">
        <v>318</v>
      </c>
      <c r="O454" t="s">
        <v>790</v>
      </c>
      <c r="P454">
        <v>2.1153910042665897E-2</v>
      </c>
      <c r="Q454" t="s">
        <v>157</v>
      </c>
      <c r="S454" t="s">
        <v>429</v>
      </c>
      <c r="T454" t="s">
        <v>790</v>
      </c>
      <c r="U454">
        <v>2.1579719644811354E-2</v>
      </c>
      <c r="V454" t="s">
        <v>157</v>
      </c>
    </row>
    <row r="455" spans="9:22" x14ac:dyDescent="0.45">
      <c r="I455" t="s">
        <v>208</v>
      </c>
      <c r="J455" t="s">
        <v>779</v>
      </c>
      <c r="K455">
        <v>0.27595391109843476</v>
      </c>
      <c r="L455" t="s">
        <v>157</v>
      </c>
      <c r="N455" t="s">
        <v>319</v>
      </c>
      <c r="O455" t="s">
        <v>779</v>
      </c>
      <c r="P455">
        <v>0.15569505825464189</v>
      </c>
      <c r="Q455" t="s">
        <v>157</v>
      </c>
      <c r="S455" t="s">
        <v>430</v>
      </c>
      <c r="T455" t="s">
        <v>779</v>
      </c>
      <c r="U455">
        <v>0.12154412362770363</v>
      </c>
      <c r="V455" t="s">
        <v>157</v>
      </c>
    </row>
    <row r="456" spans="9:22" x14ac:dyDescent="0.45">
      <c r="I456" t="s">
        <v>208</v>
      </c>
      <c r="J456" t="s">
        <v>780</v>
      </c>
      <c r="K456">
        <v>5.4679052198010917E-3</v>
      </c>
      <c r="L456" t="s">
        <v>157</v>
      </c>
      <c r="N456" t="s">
        <v>319</v>
      </c>
      <c r="O456" t="s">
        <v>780</v>
      </c>
      <c r="P456">
        <v>0.12420548571833358</v>
      </c>
      <c r="Q456" t="s">
        <v>157</v>
      </c>
      <c r="S456" t="s">
        <v>430</v>
      </c>
      <c r="T456" t="s">
        <v>780</v>
      </c>
      <c r="U456">
        <v>0.11152967889235138</v>
      </c>
      <c r="V456" t="s">
        <v>157</v>
      </c>
    </row>
    <row r="457" spans="9:22" x14ac:dyDescent="0.45">
      <c r="I457" t="s">
        <v>208</v>
      </c>
      <c r="J457" t="s">
        <v>781</v>
      </c>
      <c r="K457">
        <v>3.0405424374596698E-2</v>
      </c>
      <c r="L457" t="s">
        <v>157</v>
      </c>
      <c r="N457" t="s">
        <v>319</v>
      </c>
      <c r="O457" t="s">
        <v>781</v>
      </c>
      <c r="P457">
        <v>3.1774239414233525E-2</v>
      </c>
      <c r="Q457" t="s">
        <v>157</v>
      </c>
      <c r="S457" t="s">
        <v>430</v>
      </c>
      <c r="T457" t="s">
        <v>781</v>
      </c>
      <c r="U457">
        <v>2.2251733544598605E-2</v>
      </c>
      <c r="V457" t="s">
        <v>157</v>
      </c>
    </row>
    <row r="458" spans="9:22" x14ac:dyDescent="0.45">
      <c r="I458" t="s">
        <v>208</v>
      </c>
      <c r="J458" t="s">
        <v>782</v>
      </c>
      <c r="K458">
        <v>0.15980843678834777</v>
      </c>
      <c r="L458" t="s">
        <v>157</v>
      </c>
      <c r="N458" t="s">
        <v>319</v>
      </c>
      <c r="O458" t="s">
        <v>782</v>
      </c>
      <c r="P458">
        <v>0.10156079516736374</v>
      </c>
      <c r="Q458" t="s">
        <v>157</v>
      </c>
      <c r="S458" t="s">
        <v>430</v>
      </c>
      <c r="T458" t="s">
        <v>782</v>
      </c>
      <c r="U458">
        <v>0.10871264615454124</v>
      </c>
      <c r="V458" t="s">
        <v>157</v>
      </c>
    </row>
    <row r="459" spans="9:22" x14ac:dyDescent="0.45">
      <c r="I459" t="s">
        <v>208</v>
      </c>
      <c r="J459" t="s">
        <v>783</v>
      </c>
      <c r="K459">
        <v>0</v>
      </c>
      <c r="L459" t="s">
        <v>157</v>
      </c>
      <c r="N459" t="s">
        <v>319</v>
      </c>
      <c r="O459" t="s">
        <v>783</v>
      </c>
      <c r="P459">
        <v>9.3634562979996144E-2</v>
      </c>
      <c r="Q459" t="s">
        <v>157</v>
      </c>
      <c r="S459" t="s">
        <v>430</v>
      </c>
      <c r="T459" t="s">
        <v>783</v>
      </c>
      <c r="U459">
        <v>0.11314135181580345</v>
      </c>
      <c r="V459" t="s">
        <v>157</v>
      </c>
    </row>
    <row r="460" spans="9:22" x14ac:dyDescent="0.45">
      <c r="I460" t="s">
        <v>208</v>
      </c>
      <c r="J460" t="s">
        <v>784</v>
      </c>
      <c r="K460">
        <v>1.3198200727630328E-2</v>
      </c>
      <c r="L460" t="s">
        <v>157</v>
      </c>
      <c r="N460" t="s">
        <v>319</v>
      </c>
      <c r="O460" t="s">
        <v>784</v>
      </c>
      <c r="P460">
        <v>1.9415788202422721E-2</v>
      </c>
      <c r="Q460" t="s">
        <v>157</v>
      </c>
      <c r="S460" t="s">
        <v>430</v>
      </c>
      <c r="T460" t="s">
        <v>784</v>
      </c>
      <c r="U460">
        <v>2.0684883603420849E-2</v>
      </c>
      <c r="V460" t="s">
        <v>157</v>
      </c>
    </row>
    <row r="461" spans="9:22" x14ac:dyDescent="0.45">
      <c r="I461" t="s">
        <v>208</v>
      </c>
      <c r="J461" t="s">
        <v>785</v>
      </c>
      <c r="K461">
        <v>0.10665524919899225</v>
      </c>
      <c r="L461" t="s">
        <v>157</v>
      </c>
      <c r="N461" t="s">
        <v>319</v>
      </c>
      <c r="O461" t="s">
        <v>785</v>
      </c>
      <c r="P461">
        <v>0.12276869834177663</v>
      </c>
      <c r="Q461" t="s">
        <v>157</v>
      </c>
      <c r="S461" t="s">
        <v>430</v>
      </c>
      <c r="T461" t="s">
        <v>785</v>
      </c>
      <c r="U461">
        <v>0.11993549560669091</v>
      </c>
      <c r="V461" t="s">
        <v>157</v>
      </c>
    </row>
    <row r="462" spans="9:22" x14ac:dyDescent="0.45">
      <c r="I462" t="s">
        <v>208</v>
      </c>
      <c r="J462" t="s">
        <v>786</v>
      </c>
      <c r="K462">
        <v>0</v>
      </c>
      <c r="L462" t="s">
        <v>157</v>
      </c>
      <c r="N462" t="s">
        <v>319</v>
      </c>
      <c r="O462" t="s">
        <v>786</v>
      </c>
      <c r="P462">
        <v>0.12778152282625482</v>
      </c>
      <c r="Q462" t="s">
        <v>157</v>
      </c>
      <c r="S462" t="s">
        <v>430</v>
      </c>
      <c r="T462" t="s">
        <v>786</v>
      </c>
      <c r="U462">
        <v>0.12431142180346966</v>
      </c>
      <c r="V462" t="s">
        <v>157</v>
      </c>
    </row>
    <row r="463" spans="9:22" x14ac:dyDescent="0.45">
      <c r="I463" t="s">
        <v>208</v>
      </c>
      <c r="J463" t="s">
        <v>787</v>
      </c>
      <c r="K463">
        <v>2.9990987701388693E-3</v>
      </c>
      <c r="L463" t="s">
        <v>157</v>
      </c>
      <c r="N463" t="s">
        <v>319</v>
      </c>
      <c r="O463" t="s">
        <v>787</v>
      </c>
      <c r="P463">
        <v>2.0851635955423983E-2</v>
      </c>
      <c r="Q463" t="s">
        <v>157</v>
      </c>
      <c r="S463" t="s">
        <v>430</v>
      </c>
      <c r="T463" t="s">
        <v>787</v>
      </c>
      <c r="U463">
        <v>2.2183522263538966E-2</v>
      </c>
      <c r="V463" t="s">
        <v>157</v>
      </c>
    </row>
    <row r="464" spans="9:22" x14ac:dyDescent="0.45">
      <c r="I464" t="s">
        <v>208</v>
      </c>
      <c r="J464" t="s">
        <v>788</v>
      </c>
      <c r="K464">
        <v>0.33956271108881653</v>
      </c>
      <c r="L464" t="s">
        <v>157</v>
      </c>
      <c r="N464" t="s">
        <v>319</v>
      </c>
      <c r="O464" t="s">
        <v>788</v>
      </c>
      <c r="P464">
        <v>0.10321836995915666</v>
      </c>
      <c r="Q464" t="s">
        <v>157</v>
      </c>
      <c r="S464" t="s">
        <v>430</v>
      </c>
      <c r="T464" t="s">
        <v>788</v>
      </c>
      <c r="U464">
        <v>0.11183226448483162</v>
      </c>
      <c r="V464" t="s">
        <v>157</v>
      </c>
    </row>
    <row r="465" spans="9:22" x14ac:dyDescent="0.45">
      <c r="I465" t="s">
        <v>208</v>
      </c>
      <c r="J465" t="s">
        <v>789</v>
      </c>
      <c r="K465">
        <v>1.8808500383370532E-2</v>
      </c>
      <c r="L465" t="s">
        <v>157</v>
      </c>
      <c r="N465" t="s">
        <v>319</v>
      </c>
      <c r="O465" t="s">
        <v>789</v>
      </c>
      <c r="P465">
        <v>7.7664720410033916E-2</v>
      </c>
      <c r="Q465" t="s">
        <v>157</v>
      </c>
      <c r="S465" t="s">
        <v>430</v>
      </c>
      <c r="T465" t="s">
        <v>789</v>
      </c>
      <c r="U465">
        <v>0.10263105897434094</v>
      </c>
      <c r="V465" t="s">
        <v>157</v>
      </c>
    </row>
    <row r="466" spans="9:22" x14ac:dyDescent="0.45">
      <c r="I466" t="s">
        <v>208</v>
      </c>
      <c r="J466" t="s">
        <v>790</v>
      </c>
      <c r="K466">
        <v>4.7140562349871157E-2</v>
      </c>
      <c r="L466" t="s">
        <v>157</v>
      </c>
      <c r="N466" t="s">
        <v>319</v>
      </c>
      <c r="O466" t="s">
        <v>790</v>
      </c>
      <c r="P466">
        <v>2.1429122770362359E-2</v>
      </c>
      <c r="Q466" t="s">
        <v>157</v>
      </c>
      <c r="S466" t="s">
        <v>430</v>
      </c>
      <c r="T466" t="s">
        <v>790</v>
      </c>
      <c r="U466">
        <v>2.1241819228708672E-2</v>
      </c>
      <c r="V466" t="s">
        <v>157</v>
      </c>
    </row>
    <row r="467" spans="9:22" x14ac:dyDescent="0.45">
      <c r="I467" t="s">
        <v>209</v>
      </c>
      <c r="J467" t="s">
        <v>779</v>
      </c>
      <c r="K467">
        <v>0.27146319816250031</v>
      </c>
      <c r="L467" t="s">
        <v>157</v>
      </c>
      <c r="N467" t="s">
        <v>320</v>
      </c>
      <c r="O467" t="s">
        <v>779</v>
      </c>
      <c r="P467">
        <v>0.18510498873548362</v>
      </c>
      <c r="Q467" t="s">
        <v>157</v>
      </c>
      <c r="S467" t="s">
        <v>431</v>
      </c>
      <c r="T467" t="s">
        <v>779</v>
      </c>
      <c r="U467">
        <v>0.1218647183399124</v>
      </c>
      <c r="V467" t="s">
        <v>157</v>
      </c>
    </row>
    <row r="468" spans="9:22" x14ac:dyDescent="0.45">
      <c r="I468" t="s">
        <v>209</v>
      </c>
      <c r="J468" t="s">
        <v>780</v>
      </c>
      <c r="K468">
        <v>5.1742466763085504E-3</v>
      </c>
      <c r="L468" t="s">
        <v>157</v>
      </c>
      <c r="N468" t="s">
        <v>320</v>
      </c>
      <c r="O468" t="s">
        <v>780</v>
      </c>
      <c r="P468">
        <v>0.14028869272869376</v>
      </c>
      <c r="Q468" t="s">
        <v>157</v>
      </c>
      <c r="S468" t="s">
        <v>431</v>
      </c>
      <c r="T468" t="s">
        <v>780</v>
      </c>
      <c r="U468">
        <v>0.11299157880765086</v>
      </c>
      <c r="V468" t="s">
        <v>157</v>
      </c>
    </row>
    <row r="469" spans="9:22" x14ac:dyDescent="0.45">
      <c r="I469" t="s">
        <v>209</v>
      </c>
      <c r="J469" t="s">
        <v>781</v>
      </c>
      <c r="K469">
        <v>3.0267813709749049E-2</v>
      </c>
      <c r="L469" t="s">
        <v>157</v>
      </c>
      <c r="N469" t="s">
        <v>320</v>
      </c>
      <c r="O469" t="s">
        <v>781</v>
      </c>
      <c r="P469">
        <v>3.7791431777332761E-2</v>
      </c>
      <c r="Q469" t="s">
        <v>157</v>
      </c>
      <c r="S469" t="s">
        <v>431</v>
      </c>
      <c r="T469" t="s">
        <v>781</v>
      </c>
      <c r="U469">
        <v>2.2328776421915757E-2</v>
      </c>
      <c r="V469" t="s">
        <v>157</v>
      </c>
    </row>
    <row r="470" spans="9:22" x14ac:dyDescent="0.45">
      <c r="I470" t="s">
        <v>209</v>
      </c>
      <c r="J470" t="s">
        <v>782</v>
      </c>
      <c r="K470">
        <v>0.15838197383172023</v>
      </c>
      <c r="L470" t="s">
        <v>157</v>
      </c>
      <c r="N470" t="s">
        <v>320</v>
      </c>
      <c r="O470" t="s">
        <v>782</v>
      </c>
      <c r="P470">
        <v>8.9779824735359406E-2</v>
      </c>
      <c r="Q470" t="s">
        <v>157</v>
      </c>
      <c r="S470" t="s">
        <v>431</v>
      </c>
      <c r="T470" t="s">
        <v>782</v>
      </c>
      <c r="U470">
        <v>0.10704980749461826</v>
      </c>
      <c r="V470" t="s">
        <v>157</v>
      </c>
    </row>
    <row r="471" spans="9:22" x14ac:dyDescent="0.45">
      <c r="I471" t="s">
        <v>209</v>
      </c>
      <c r="J471" t="s">
        <v>783</v>
      </c>
      <c r="K471">
        <v>0</v>
      </c>
      <c r="L471" t="s">
        <v>157</v>
      </c>
      <c r="N471" t="s">
        <v>320</v>
      </c>
      <c r="O471" t="s">
        <v>783</v>
      </c>
      <c r="P471">
        <v>8.0281984562561332E-2</v>
      </c>
      <c r="Q471" t="s">
        <v>157</v>
      </c>
      <c r="S471" t="s">
        <v>431</v>
      </c>
      <c r="T471" t="s">
        <v>783</v>
      </c>
      <c r="U471">
        <v>0.11324376266752856</v>
      </c>
      <c r="V471" t="s">
        <v>157</v>
      </c>
    </row>
    <row r="472" spans="9:22" x14ac:dyDescent="0.45">
      <c r="I472" t="s">
        <v>209</v>
      </c>
      <c r="J472" t="s">
        <v>784</v>
      </c>
      <c r="K472">
        <v>1.3013175694726698E-2</v>
      </c>
      <c r="L472" t="s">
        <v>157</v>
      </c>
      <c r="N472" t="s">
        <v>320</v>
      </c>
      <c r="O472" t="s">
        <v>784</v>
      </c>
      <c r="P472">
        <v>1.6979326572048519E-2</v>
      </c>
      <c r="Q472" t="s">
        <v>157</v>
      </c>
      <c r="S472" t="s">
        <v>431</v>
      </c>
      <c r="T472" t="s">
        <v>784</v>
      </c>
      <c r="U472">
        <v>2.0515937197821191E-2</v>
      </c>
      <c r="V472" t="s">
        <v>157</v>
      </c>
    </row>
    <row r="473" spans="9:22" x14ac:dyDescent="0.45">
      <c r="I473" t="s">
        <v>209</v>
      </c>
      <c r="J473" t="s">
        <v>785</v>
      </c>
      <c r="K473">
        <v>0.10798604417410568</v>
      </c>
      <c r="L473" t="s">
        <v>157</v>
      </c>
      <c r="N473" t="s">
        <v>320</v>
      </c>
      <c r="O473" t="s">
        <v>785</v>
      </c>
      <c r="P473">
        <v>0.12244296637775591</v>
      </c>
      <c r="Q473" t="s">
        <v>157</v>
      </c>
      <c r="S473" t="s">
        <v>431</v>
      </c>
      <c r="T473" t="s">
        <v>785</v>
      </c>
      <c r="U473">
        <v>0.12286006061620322</v>
      </c>
      <c r="V473" t="s">
        <v>157</v>
      </c>
    </row>
    <row r="474" spans="9:22" x14ac:dyDescent="0.45">
      <c r="I474" t="s">
        <v>209</v>
      </c>
      <c r="J474" t="s">
        <v>786</v>
      </c>
      <c r="K474">
        <v>0</v>
      </c>
      <c r="L474" t="s">
        <v>157</v>
      </c>
      <c r="N474" t="s">
        <v>320</v>
      </c>
      <c r="O474" t="s">
        <v>786</v>
      </c>
      <c r="P474">
        <v>0.11681511798913199</v>
      </c>
      <c r="Q474" t="s">
        <v>157</v>
      </c>
      <c r="S474" t="s">
        <v>431</v>
      </c>
      <c r="T474" t="s">
        <v>786</v>
      </c>
      <c r="U474">
        <v>0.12580586668514773</v>
      </c>
      <c r="V474" t="s">
        <v>157</v>
      </c>
    </row>
    <row r="475" spans="9:22" x14ac:dyDescent="0.45">
      <c r="I475" t="s">
        <v>209</v>
      </c>
      <c r="J475" t="s">
        <v>787</v>
      </c>
      <c r="K475">
        <v>3.1030953378603674E-3</v>
      </c>
      <c r="L475" t="s">
        <v>157</v>
      </c>
      <c r="N475" t="s">
        <v>320</v>
      </c>
      <c r="O475" t="s">
        <v>787</v>
      </c>
      <c r="P475">
        <v>1.83563195981277E-2</v>
      </c>
      <c r="Q475" t="s">
        <v>157</v>
      </c>
      <c r="S475" t="s">
        <v>431</v>
      </c>
      <c r="T475" t="s">
        <v>787</v>
      </c>
      <c r="U475">
        <v>2.2971211805596418E-2</v>
      </c>
      <c r="V475" t="s">
        <v>157</v>
      </c>
    </row>
    <row r="476" spans="9:22" x14ac:dyDescent="0.45">
      <c r="I476" t="s">
        <v>209</v>
      </c>
      <c r="J476" t="s">
        <v>788</v>
      </c>
      <c r="K476">
        <v>0.34263460665318524</v>
      </c>
      <c r="L476" t="s">
        <v>157</v>
      </c>
      <c r="N476" t="s">
        <v>320</v>
      </c>
      <c r="O476" t="s">
        <v>788</v>
      </c>
      <c r="P476">
        <v>9.9685393312303111E-2</v>
      </c>
      <c r="Q476" t="s">
        <v>157</v>
      </c>
      <c r="S476" t="s">
        <v>431</v>
      </c>
      <c r="T476" t="s">
        <v>788</v>
      </c>
      <c r="U476">
        <v>0.10678876771403516</v>
      </c>
      <c r="V476" t="s">
        <v>157</v>
      </c>
    </row>
    <row r="477" spans="9:22" x14ac:dyDescent="0.45">
      <c r="I477" t="s">
        <v>209</v>
      </c>
      <c r="J477" t="s">
        <v>789</v>
      </c>
      <c r="K477">
        <v>1.9099060127166438E-2</v>
      </c>
      <c r="L477" t="s">
        <v>157</v>
      </c>
      <c r="N477" t="s">
        <v>320</v>
      </c>
      <c r="O477" t="s">
        <v>789</v>
      </c>
      <c r="P477">
        <v>7.0843810275957347E-2</v>
      </c>
      <c r="Q477" t="s">
        <v>157</v>
      </c>
      <c r="S477" t="s">
        <v>431</v>
      </c>
      <c r="T477" t="s">
        <v>789</v>
      </c>
      <c r="U477">
        <v>0.10341433031758848</v>
      </c>
      <c r="V477" t="s">
        <v>157</v>
      </c>
    </row>
    <row r="478" spans="9:22" x14ac:dyDescent="0.45">
      <c r="I478" t="s">
        <v>209</v>
      </c>
      <c r="J478" t="s">
        <v>790</v>
      </c>
      <c r="K478">
        <v>4.8876785632677493E-2</v>
      </c>
      <c r="L478" t="s">
        <v>157</v>
      </c>
      <c r="N478" t="s">
        <v>320</v>
      </c>
      <c r="O478" t="s">
        <v>790</v>
      </c>
      <c r="P478">
        <v>2.1630143335244573E-2</v>
      </c>
      <c r="Q478" t="s">
        <v>157</v>
      </c>
      <c r="S478" t="s">
        <v>431</v>
      </c>
      <c r="T478" t="s">
        <v>790</v>
      </c>
      <c r="U478">
        <v>2.016518193198202E-2</v>
      </c>
      <c r="V478" t="s">
        <v>157</v>
      </c>
    </row>
    <row r="479" spans="9:22" x14ac:dyDescent="0.45">
      <c r="I479" t="s">
        <v>210</v>
      </c>
      <c r="J479" t="s">
        <v>779</v>
      </c>
      <c r="K479">
        <v>0.27059610789056776</v>
      </c>
      <c r="L479" t="s">
        <v>157</v>
      </c>
      <c r="N479" t="s">
        <v>321</v>
      </c>
      <c r="O479" t="s">
        <v>779</v>
      </c>
      <c r="P479">
        <v>0.16288363323970509</v>
      </c>
      <c r="Q479" t="s">
        <v>157</v>
      </c>
      <c r="S479" t="s">
        <v>432</v>
      </c>
      <c r="T479" t="s">
        <v>779</v>
      </c>
      <c r="U479">
        <v>0.11536636437205908</v>
      </c>
      <c r="V479" t="s">
        <v>157</v>
      </c>
    </row>
    <row r="480" spans="9:22" x14ac:dyDescent="0.45">
      <c r="I480" t="s">
        <v>210</v>
      </c>
      <c r="J480" t="s">
        <v>780</v>
      </c>
      <c r="K480">
        <v>4.9365355090722476E-3</v>
      </c>
      <c r="L480" t="s">
        <v>157</v>
      </c>
      <c r="N480" t="s">
        <v>321</v>
      </c>
      <c r="O480" t="s">
        <v>780</v>
      </c>
      <c r="P480">
        <v>0.15000729845908087</v>
      </c>
      <c r="Q480" t="s">
        <v>157</v>
      </c>
      <c r="S480" t="s">
        <v>432</v>
      </c>
      <c r="T480" t="s">
        <v>780</v>
      </c>
      <c r="U480">
        <v>0.11107810960590338</v>
      </c>
      <c r="V480" t="s">
        <v>157</v>
      </c>
    </row>
    <row r="481" spans="9:22" x14ac:dyDescent="0.45">
      <c r="I481" t="s">
        <v>210</v>
      </c>
      <c r="J481" t="s">
        <v>781</v>
      </c>
      <c r="K481">
        <v>2.8902390649448721E-2</v>
      </c>
      <c r="L481" t="s">
        <v>157</v>
      </c>
      <c r="N481" t="s">
        <v>321</v>
      </c>
      <c r="O481" t="s">
        <v>781</v>
      </c>
      <c r="P481">
        <v>3.1993664775294445E-2</v>
      </c>
      <c r="Q481" t="s">
        <v>157</v>
      </c>
      <c r="S481" t="s">
        <v>432</v>
      </c>
      <c r="T481" t="s">
        <v>781</v>
      </c>
      <c r="U481">
        <v>2.0675839733661362E-2</v>
      </c>
      <c r="V481" t="s">
        <v>157</v>
      </c>
    </row>
    <row r="482" spans="9:22" x14ac:dyDescent="0.45">
      <c r="I482" t="s">
        <v>210</v>
      </c>
      <c r="J482" t="s">
        <v>782</v>
      </c>
      <c r="K482">
        <v>0.1602837458172186</v>
      </c>
      <c r="L482" t="s">
        <v>157</v>
      </c>
      <c r="N482" t="s">
        <v>321</v>
      </c>
      <c r="O482" t="s">
        <v>782</v>
      </c>
      <c r="P482">
        <v>8.4755301265849542E-2</v>
      </c>
      <c r="Q482" t="s">
        <v>157</v>
      </c>
      <c r="S482" t="s">
        <v>432</v>
      </c>
      <c r="T482" t="s">
        <v>782</v>
      </c>
      <c r="U482">
        <v>0.11797708469152515</v>
      </c>
      <c r="V482" t="s">
        <v>157</v>
      </c>
    </row>
    <row r="483" spans="9:22" x14ac:dyDescent="0.45">
      <c r="I483" t="s">
        <v>210</v>
      </c>
      <c r="J483" t="s">
        <v>783</v>
      </c>
      <c r="K483">
        <v>0</v>
      </c>
      <c r="L483" t="s">
        <v>157</v>
      </c>
      <c r="N483" t="s">
        <v>321</v>
      </c>
      <c r="O483" t="s">
        <v>783</v>
      </c>
      <c r="P483">
        <v>8.6222807875309629E-2</v>
      </c>
      <c r="Q483" t="s">
        <v>157</v>
      </c>
      <c r="S483" t="s">
        <v>432</v>
      </c>
      <c r="T483" t="s">
        <v>783</v>
      </c>
      <c r="U483">
        <v>0.1153697269157391</v>
      </c>
      <c r="V483" t="s">
        <v>157</v>
      </c>
    </row>
    <row r="484" spans="9:22" x14ac:dyDescent="0.45">
      <c r="I484" t="s">
        <v>210</v>
      </c>
      <c r="J484" t="s">
        <v>784</v>
      </c>
      <c r="K484">
        <v>1.2271532387098162E-2</v>
      </c>
      <c r="L484" t="s">
        <v>157</v>
      </c>
      <c r="N484" t="s">
        <v>321</v>
      </c>
      <c r="O484" t="s">
        <v>784</v>
      </c>
      <c r="P484">
        <v>1.6736263520803697E-2</v>
      </c>
      <c r="Q484" t="s">
        <v>157</v>
      </c>
      <c r="S484" t="s">
        <v>432</v>
      </c>
      <c r="T484" t="s">
        <v>784</v>
      </c>
      <c r="U484">
        <v>2.1773078392460836E-2</v>
      </c>
      <c r="V484" t="s">
        <v>157</v>
      </c>
    </row>
    <row r="485" spans="9:22" x14ac:dyDescent="0.45">
      <c r="I485" t="s">
        <v>210</v>
      </c>
      <c r="J485" t="s">
        <v>785</v>
      </c>
      <c r="K485">
        <v>0.11335329472771646</v>
      </c>
      <c r="L485" t="s">
        <v>157</v>
      </c>
      <c r="N485" t="s">
        <v>321</v>
      </c>
      <c r="O485" t="s">
        <v>785</v>
      </c>
      <c r="P485">
        <v>0.12777977999309373</v>
      </c>
      <c r="Q485" t="s">
        <v>157</v>
      </c>
      <c r="S485" t="s">
        <v>432</v>
      </c>
      <c r="T485" t="s">
        <v>785</v>
      </c>
      <c r="U485">
        <v>0.11490846802510912</v>
      </c>
      <c r="V485" t="s">
        <v>157</v>
      </c>
    </row>
    <row r="486" spans="9:22" x14ac:dyDescent="0.45">
      <c r="I486" t="s">
        <v>210</v>
      </c>
      <c r="J486" t="s">
        <v>786</v>
      </c>
      <c r="K486">
        <v>0</v>
      </c>
      <c r="L486" t="s">
        <v>157</v>
      </c>
      <c r="N486" t="s">
        <v>321</v>
      </c>
      <c r="O486" t="s">
        <v>786</v>
      </c>
      <c r="P486">
        <v>0.12697479959597238</v>
      </c>
      <c r="Q486" t="s">
        <v>157</v>
      </c>
      <c r="S486" t="s">
        <v>432</v>
      </c>
      <c r="T486" t="s">
        <v>786</v>
      </c>
      <c r="U486">
        <v>0.11575105601271618</v>
      </c>
      <c r="V486" t="s">
        <v>157</v>
      </c>
    </row>
    <row r="487" spans="9:22" x14ac:dyDescent="0.45">
      <c r="I487" t="s">
        <v>210</v>
      </c>
      <c r="J487" t="s">
        <v>787</v>
      </c>
      <c r="K487">
        <v>3.2496433055378138E-3</v>
      </c>
      <c r="L487" t="s">
        <v>157</v>
      </c>
      <c r="N487" t="s">
        <v>321</v>
      </c>
      <c r="O487" t="s">
        <v>787</v>
      </c>
      <c r="P487">
        <v>2.0426257587824008E-2</v>
      </c>
      <c r="Q487" t="s">
        <v>157</v>
      </c>
      <c r="S487" t="s">
        <v>432</v>
      </c>
      <c r="T487" t="s">
        <v>787</v>
      </c>
      <c r="U487">
        <v>2.0602935083299644E-2</v>
      </c>
      <c r="V487" t="s">
        <v>157</v>
      </c>
    </row>
    <row r="488" spans="9:22" x14ac:dyDescent="0.45">
      <c r="I488" t="s">
        <v>210</v>
      </c>
      <c r="J488" t="s">
        <v>788</v>
      </c>
      <c r="K488">
        <v>0.34058641471898221</v>
      </c>
      <c r="L488" t="s">
        <v>157</v>
      </c>
      <c r="N488" t="s">
        <v>321</v>
      </c>
      <c r="O488" t="s">
        <v>788</v>
      </c>
      <c r="P488">
        <v>9.8453798115791066E-2</v>
      </c>
      <c r="Q488" t="s">
        <v>157</v>
      </c>
      <c r="S488" t="s">
        <v>432</v>
      </c>
      <c r="T488" t="s">
        <v>788</v>
      </c>
      <c r="U488">
        <v>0.11513984594847096</v>
      </c>
      <c r="V488" t="s">
        <v>157</v>
      </c>
    </row>
    <row r="489" spans="9:22" x14ac:dyDescent="0.45">
      <c r="I489" t="s">
        <v>210</v>
      </c>
      <c r="J489" t="s">
        <v>789</v>
      </c>
      <c r="K489">
        <v>1.8144526570571612E-2</v>
      </c>
      <c r="L489" t="s">
        <v>157</v>
      </c>
      <c r="N489" t="s">
        <v>321</v>
      </c>
      <c r="O489" t="s">
        <v>789</v>
      </c>
      <c r="P489">
        <v>7.5816702392035959E-2</v>
      </c>
      <c r="Q489" t="s">
        <v>157</v>
      </c>
      <c r="S489" t="s">
        <v>432</v>
      </c>
      <c r="T489" t="s">
        <v>789</v>
      </c>
      <c r="U489">
        <v>0.1106910258773601</v>
      </c>
      <c r="V489" t="s">
        <v>157</v>
      </c>
    </row>
    <row r="490" spans="9:22" x14ac:dyDescent="0.45">
      <c r="I490" t="s">
        <v>210</v>
      </c>
      <c r="J490" t="s">
        <v>790</v>
      </c>
      <c r="K490">
        <v>4.7675808423786464E-2</v>
      </c>
      <c r="L490" t="s">
        <v>157</v>
      </c>
      <c r="N490" t="s">
        <v>321</v>
      </c>
      <c r="O490" t="s">
        <v>790</v>
      </c>
      <c r="P490">
        <v>1.7949693179239622E-2</v>
      </c>
      <c r="Q490" t="s">
        <v>157</v>
      </c>
      <c r="S490" t="s">
        <v>432</v>
      </c>
      <c r="T490" t="s">
        <v>790</v>
      </c>
      <c r="U490">
        <v>2.0666465341695073E-2</v>
      </c>
      <c r="V490" t="s">
        <v>157</v>
      </c>
    </row>
    <row r="491" spans="9:22" x14ac:dyDescent="0.45">
      <c r="I491" t="s">
        <v>211</v>
      </c>
      <c r="J491" t="s">
        <v>779</v>
      </c>
      <c r="K491">
        <v>0.27353938218653268</v>
      </c>
      <c r="L491" t="s">
        <v>157</v>
      </c>
      <c r="N491" t="s">
        <v>322</v>
      </c>
      <c r="O491" t="s">
        <v>779</v>
      </c>
      <c r="P491">
        <v>0.14855408318321486</v>
      </c>
      <c r="Q491" t="s">
        <v>157</v>
      </c>
      <c r="S491" t="s">
        <v>433</v>
      </c>
      <c r="T491" t="s">
        <v>779</v>
      </c>
      <c r="U491">
        <v>0.11652573691133851</v>
      </c>
      <c r="V491" t="s">
        <v>157</v>
      </c>
    </row>
    <row r="492" spans="9:22" x14ac:dyDescent="0.45">
      <c r="I492" t="s">
        <v>211</v>
      </c>
      <c r="J492" t="s">
        <v>780</v>
      </c>
      <c r="K492">
        <v>4.8374288595370357E-3</v>
      </c>
      <c r="L492" t="s">
        <v>157</v>
      </c>
      <c r="N492" t="s">
        <v>322</v>
      </c>
      <c r="O492" t="s">
        <v>780</v>
      </c>
      <c r="P492">
        <v>0.1415426565628915</v>
      </c>
      <c r="Q492" t="s">
        <v>157</v>
      </c>
      <c r="S492" t="s">
        <v>433</v>
      </c>
      <c r="T492" t="s">
        <v>780</v>
      </c>
      <c r="U492">
        <v>0.11117674642319737</v>
      </c>
      <c r="V492" t="s">
        <v>157</v>
      </c>
    </row>
    <row r="493" spans="9:22" x14ac:dyDescent="0.45">
      <c r="I493" t="s">
        <v>211</v>
      </c>
      <c r="J493" t="s">
        <v>781</v>
      </c>
      <c r="K493">
        <v>2.7216302499827892E-2</v>
      </c>
      <c r="L493" t="s">
        <v>157</v>
      </c>
      <c r="N493" t="s">
        <v>322</v>
      </c>
      <c r="O493" t="s">
        <v>781</v>
      </c>
      <c r="P493">
        <v>2.6828077055448804E-2</v>
      </c>
      <c r="Q493" t="s">
        <v>157</v>
      </c>
      <c r="S493" t="s">
        <v>433</v>
      </c>
      <c r="T493" t="s">
        <v>781</v>
      </c>
      <c r="U493">
        <v>2.085452287116123E-2</v>
      </c>
      <c r="V493" t="s">
        <v>157</v>
      </c>
    </row>
    <row r="494" spans="9:22" x14ac:dyDescent="0.45">
      <c r="I494" t="s">
        <v>211</v>
      </c>
      <c r="J494" t="s">
        <v>782</v>
      </c>
      <c r="K494">
        <v>0.16378442282649652</v>
      </c>
      <c r="L494" t="s">
        <v>157</v>
      </c>
      <c r="N494" t="s">
        <v>322</v>
      </c>
      <c r="O494" t="s">
        <v>782</v>
      </c>
      <c r="P494">
        <v>8.659477941887142E-2</v>
      </c>
      <c r="Q494" t="s">
        <v>157</v>
      </c>
      <c r="S494" t="s">
        <v>433</v>
      </c>
      <c r="T494" t="s">
        <v>782</v>
      </c>
      <c r="U494">
        <v>0.11530372471956436</v>
      </c>
      <c r="V494" t="s">
        <v>157</v>
      </c>
    </row>
    <row r="495" spans="9:22" x14ac:dyDescent="0.45">
      <c r="I495" t="s">
        <v>211</v>
      </c>
      <c r="J495" t="s">
        <v>783</v>
      </c>
      <c r="K495">
        <v>0</v>
      </c>
      <c r="L495" t="s">
        <v>157</v>
      </c>
      <c r="N495" t="s">
        <v>322</v>
      </c>
      <c r="O495" t="s">
        <v>783</v>
      </c>
      <c r="P495">
        <v>9.2330429368029848E-2</v>
      </c>
      <c r="Q495" t="s">
        <v>157</v>
      </c>
      <c r="S495" t="s">
        <v>433</v>
      </c>
      <c r="T495" t="s">
        <v>783</v>
      </c>
      <c r="U495">
        <v>0.11397588694988081</v>
      </c>
      <c r="V495" t="s">
        <v>157</v>
      </c>
    </row>
    <row r="496" spans="9:22" x14ac:dyDescent="0.45">
      <c r="I496" t="s">
        <v>211</v>
      </c>
      <c r="J496" t="s">
        <v>784</v>
      </c>
      <c r="K496">
        <v>1.1628430350419269E-2</v>
      </c>
      <c r="L496" t="s">
        <v>157</v>
      </c>
      <c r="N496" t="s">
        <v>322</v>
      </c>
      <c r="O496" t="s">
        <v>784</v>
      </c>
      <c r="P496">
        <v>1.6006043537581345E-2</v>
      </c>
      <c r="Q496" t="s">
        <v>157</v>
      </c>
      <c r="S496" t="s">
        <v>433</v>
      </c>
      <c r="T496" t="s">
        <v>784</v>
      </c>
      <c r="U496">
        <v>2.1474093996262277E-2</v>
      </c>
      <c r="V496" t="s">
        <v>157</v>
      </c>
    </row>
    <row r="497" spans="9:22" x14ac:dyDescent="0.45">
      <c r="I497" t="s">
        <v>211</v>
      </c>
      <c r="J497" t="s">
        <v>785</v>
      </c>
      <c r="K497">
        <v>0.1153788871999733</v>
      </c>
      <c r="L497" t="s">
        <v>157</v>
      </c>
      <c r="N497" t="s">
        <v>322</v>
      </c>
      <c r="O497" t="s">
        <v>785</v>
      </c>
      <c r="P497">
        <v>0.12628990069534218</v>
      </c>
      <c r="Q497" t="s">
        <v>157</v>
      </c>
      <c r="S497" t="s">
        <v>433</v>
      </c>
      <c r="T497" t="s">
        <v>785</v>
      </c>
      <c r="U497">
        <v>0.11574981196056486</v>
      </c>
      <c r="V497" t="s">
        <v>157</v>
      </c>
    </row>
    <row r="498" spans="9:22" x14ac:dyDescent="0.45">
      <c r="I498" t="s">
        <v>211</v>
      </c>
      <c r="J498" t="s">
        <v>786</v>
      </c>
      <c r="K498">
        <v>0</v>
      </c>
      <c r="L498" t="s">
        <v>157</v>
      </c>
      <c r="N498" t="s">
        <v>322</v>
      </c>
      <c r="O498" t="s">
        <v>786</v>
      </c>
      <c r="P498">
        <v>0.12914380517484256</v>
      </c>
      <c r="Q498" t="s">
        <v>157</v>
      </c>
      <c r="S498" t="s">
        <v>433</v>
      </c>
      <c r="T498" t="s">
        <v>786</v>
      </c>
      <c r="U498">
        <v>0.11498209345120614</v>
      </c>
      <c r="V498" t="s">
        <v>157</v>
      </c>
    </row>
    <row r="499" spans="9:22" x14ac:dyDescent="0.45">
      <c r="I499" t="s">
        <v>211</v>
      </c>
      <c r="J499" t="s">
        <v>787</v>
      </c>
      <c r="K499">
        <v>2.9596367440329271E-3</v>
      </c>
      <c r="L499" t="s">
        <v>157</v>
      </c>
      <c r="N499" t="s">
        <v>322</v>
      </c>
      <c r="O499" t="s">
        <v>787</v>
      </c>
      <c r="P499">
        <v>2.255037648170469E-2</v>
      </c>
      <c r="Q499" t="s">
        <v>157</v>
      </c>
      <c r="S499" t="s">
        <v>433</v>
      </c>
      <c r="T499" t="s">
        <v>787</v>
      </c>
      <c r="U499">
        <v>2.0937667773850189E-2</v>
      </c>
      <c r="V499" t="s">
        <v>157</v>
      </c>
    </row>
    <row r="500" spans="9:22" x14ac:dyDescent="0.45">
      <c r="I500" t="s">
        <v>211</v>
      </c>
      <c r="J500" t="s">
        <v>788</v>
      </c>
      <c r="K500">
        <v>0.33831583886774019</v>
      </c>
      <c r="L500" t="s">
        <v>157</v>
      </c>
      <c r="N500" t="s">
        <v>322</v>
      </c>
      <c r="O500" t="s">
        <v>788</v>
      </c>
      <c r="P500">
        <v>0.10852715786366543</v>
      </c>
      <c r="Q500" t="s">
        <v>157</v>
      </c>
      <c r="S500" t="s">
        <v>433</v>
      </c>
      <c r="T500" t="s">
        <v>788</v>
      </c>
      <c r="U500">
        <v>0.11645597985002215</v>
      </c>
      <c r="V500" t="s">
        <v>157</v>
      </c>
    </row>
    <row r="501" spans="9:22" x14ac:dyDescent="0.45">
      <c r="I501" t="s">
        <v>211</v>
      </c>
      <c r="J501" t="s">
        <v>789</v>
      </c>
      <c r="K501">
        <v>1.6072219294457239E-2</v>
      </c>
      <c r="L501" t="s">
        <v>157</v>
      </c>
      <c r="N501" t="s">
        <v>322</v>
      </c>
      <c r="O501" t="s">
        <v>789</v>
      </c>
      <c r="P501">
        <v>8.4728046913142868E-2</v>
      </c>
      <c r="Q501" t="s">
        <v>157</v>
      </c>
      <c r="S501" t="s">
        <v>433</v>
      </c>
      <c r="T501" t="s">
        <v>789</v>
      </c>
      <c r="U501">
        <v>0.11157251404144189</v>
      </c>
      <c r="V501" t="s">
        <v>157</v>
      </c>
    </row>
    <row r="502" spans="9:22" x14ac:dyDescent="0.45">
      <c r="I502" t="s">
        <v>211</v>
      </c>
      <c r="J502" t="s">
        <v>790</v>
      </c>
      <c r="K502">
        <v>4.6267451170983E-2</v>
      </c>
      <c r="L502" t="s">
        <v>157</v>
      </c>
      <c r="N502" t="s">
        <v>322</v>
      </c>
      <c r="O502" t="s">
        <v>790</v>
      </c>
      <c r="P502">
        <v>1.6904643745264555E-2</v>
      </c>
      <c r="Q502" t="s">
        <v>157</v>
      </c>
      <c r="S502" t="s">
        <v>433</v>
      </c>
      <c r="T502" t="s">
        <v>790</v>
      </c>
      <c r="U502">
        <v>2.0991221051510196E-2</v>
      </c>
      <c r="V502" t="s">
        <v>157</v>
      </c>
    </row>
    <row r="503" spans="9:22" x14ac:dyDescent="0.45">
      <c r="I503" t="s">
        <v>212</v>
      </c>
      <c r="J503" t="s">
        <v>779</v>
      </c>
      <c r="K503">
        <v>0.25726553107967054</v>
      </c>
      <c r="L503" t="s">
        <v>157</v>
      </c>
      <c r="N503" t="s">
        <v>323</v>
      </c>
      <c r="O503" t="s">
        <v>779</v>
      </c>
      <c r="P503">
        <v>0.15634655963033603</v>
      </c>
      <c r="Q503" t="s">
        <v>157</v>
      </c>
      <c r="S503" t="s">
        <v>434</v>
      </c>
      <c r="T503" t="s">
        <v>779</v>
      </c>
      <c r="U503">
        <v>0.11743507041662547</v>
      </c>
      <c r="V503" t="s">
        <v>157</v>
      </c>
    </row>
    <row r="504" spans="9:22" x14ac:dyDescent="0.45">
      <c r="I504" t="s">
        <v>212</v>
      </c>
      <c r="J504" t="s">
        <v>780</v>
      </c>
      <c r="K504">
        <v>5.3947795185414257E-3</v>
      </c>
      <c r="L504" t="s">
        <v>157</v>
      </c>
      <c r="N504" t="s">
        <v>323</v>
      </c>
      <c r="O504" t="s">
        <v>780</v>
      </c>
      <c r="P504">
        <v>0.12767579595999931</v>
      </c>
      <c r="Q504" t="s">
        <v>157</v>
      </c>
      <c r="S504" t="s">
        <v>434</v>
      </c>
      <c r="T504" t="s">
        <v>780</v>
      </c>
      <c r="U504">
        <v>0.11213093965055834</v>
      </c>
      <c r="V504" t="s">
        <v>157</v>
      </c>
    </row>
    <row r="505" spans="9:22" x14ac:dyDescent="0.45">
      <c r="I505" t="s">
        <v>212</v>
      </c>
      <c r="J505" t="s">
        <v>781</v>
      </c>
      <c r="K505">
        <v>2.6882880266294214E-2</v>
      </c>
      <c r="L505" t="s">
        <v>157</v>
      </c>
      <c r="N505" t="s">
        <v>323</v>
      </c>
      <c r="O505" t="s">
        <v>781</v>
      </c>
      <c r="P505">
        <v>2.8696669605028029E-2</v>
      </c>
      <c r="Q505" t="s">
        <v>157</v>
      </c>
      <c r="S505" t="s">
        <v>434</v>
      </c>
      <c r="T505" t="s">
        <v>781</v>
      </c>
      <c r="U505">
        <v>2.0605044860406284E-2</v>
      </c>
      <c r="V505" t="s">
        <v>157</v>
      </c>
    </row>
    <row r="506" spans="9:22" x14ac:dyDescent="0.45">
      <c r="I506" t="s">
        <v>212</v>
      </c>
      <c r="J506" t="s">
        <v>782</v>
      </c>
      <c r="K506">
        <v>0.17089756716320648</v>
      </c>
      <c r="L506" t="s">
        <v>157</v>
      </c>
      <c r="N506" t="s">
        <v>323</v>
      </c>
      <c r="O506" t="s">
        <v>782</v>
      </c>
      <c r="P506">
        <v>8.7701643733495163E-2</v>
      </c>
      <c r="Q506" t="s">
        <v>157</v>
      </c>
      <c r="S506" t="s">
        <v>434</v>
      </c>
      <c r="T506" t="s">
        <v>782</v>
      </c>
      <c r="U506">
        <v>0.11310274890276126</v>
      </c>
      <c r="V506" t="s">
        <v>157</v>
      </c>
    </row>
    <row r="507" spans="9:22" x14ac:dyDescent="0.45">
      <c r="I507" t="s">
        <v>212</v>
      </c>
      <c r="J507" t="s">
        <v>783</v>
      </c>
      <c r="K507">
        <v>0</v>
      </c>
      <c r="L507" t="s">
        <v>157</v>
      </c>
      <c r="N507" t="s">
        <v>323</v>
      </c>
      <c r="O507" t="s">
        <v>783</v>
      </c>
      <c r="P507">
        <v>8.0737895604935286E-2</v>
      </c>
      <c r="Q507" t="s">
        <v>157</v>
      </c>
      <c r="S507" t="s">
        <v>434</v>
      </c>
      <c r="T507" t="s">
        <v>783</v>
      </c>
      <c r="U507">
        <v>0.11291210761918931</v>
      </c>
      <c r="V507" t="s">
        <v>157</v>
      </c>
    </row>
    <row r="508" spans="9:22" x14ac:dyDescent="0.45">
      <c r="I508" t="s">
        <v>212</v>
      </c>
      <c r="J508" t="s">
        <v>784</v>
      </c>
      <c r="K508">
        <v>1.2783909592898659E-2</v>
      </c>
      <c r="L508" t="s">
        <v>157</v>
      </c>
      <c r="N508" t="s">
        <v>323</v>
      </c>
      <c r="O508" t="s">
        <v>784</v>
      </c>
      <c r="P508">
        <v>1.4659706798317542E-2</v>
      </c>
      <c r="Q508" t="s">
        <v>157</v>
      </c>
      <c r="S508" t="s">
        <v>434</v>
      </c>
      <c r="T508" t="s">
        <v>784</v>
      </c>
      <c r="U508">
        <v>2.1150737115137624E-2</v>
      </c>
      <c r="V508" t="s">
        <v>157</v>
      </c>
    </row>
    <row r="509" spans="9:22" x14ac:dyDescent="0.45">
      <c r="I509" t="s">
        <v>212</v>
      </c>
      <c r="J509" t="s">
        <v>785</v>
      </c>
      <c r="K509">
        <v>0.10049800550301122</v>
      </c>
      <c r="L509" t="s">
        <v>157</v>
      </c>
      <c r="N509" t="s">
        <v>323</v>
      </c>
      <c r="O509" t="s">
        <v>785</v>
      </c>
      <c r="P509">
        <v>0.11669847122021744</v>
      </c>
      <c r="Q509" t="s">
        <v>157</v>
      </c>
      <c r="S509" t="s">
        <v>434</v>
      </c>
      <c r="T509" t="s">
        <v>785</v>
      </c>
      <c r="U509">
        <v>0.11590292734171855</v>
      </c>
      <c r="V509" t="s">
        <v>157</v>
      </c>
    </row>
    <row r="510" spans="9:22" x14ac:dyDescent="0.45">
      <c r="I510" t="s">
        <v>212</v>
      </c>
      <c r="J510" t="s">
        <v>786</v>
      </c>
      <c r="K510">
        <v>0</v>
      </c>
      <c r="L510" t="s">
        <v>157</v>
      </c>
      <c r="N510" t="s">
        <v>323</v>
      </c>
      <c r="O510" t="s">
        <v>786</v>
      </c>
      <c r="P510">
        <v>0.11786123187501943</v>
      </c>
      <c r="Q510" t="s">
        <v>157</v>
      </c>
      <c r="S510" t="s">
        <v>434</v>
      </c>
      <c r="T510" t="s">
        <v>786</v>
      </c>
      <c r="U510">
        <v>0.11506680304335747</v>
      </c>
      <c r="V510" t="s">
        <v>157</v>
      </c>
    </row>
    <row r="511" spans="9:22" x14ac:dyDescent="0.45">
      <c r="I511" t="s">
        <v>212</v>
      </c>
      <c r="J511" t="s">
        <v>787</v>
      </c>
      <c r="K511">
        <v>2.6410758240831902E-3</v>
      </c>
      <c r="L511" t="s">
        <v>157</v>
      </c>
      <c r="N511" t="s">
        <v>323</v>
      </c>
      <c r="O511" t="s">
        <v>787</v>
      </c>
      <c r="P511">
        <v>2.1882211627727403E-2</v>
      </c>
      <c r="Q511" t="s">
        <v>157</v>
      </c>
      <c r="S511" t="s">
        <v>434</v>
      </c>
      <c r="T511" t="s">
        <v>787</v>
      </c>
      <c r="U511">
        <v>2.101690257499654E-2</v>
      </c>
      <c r="V511" t="s">
        <v>157</v>
      </c>
    </row>
    <row r="512" spans="9:22" x14ac:dyDescent="0.45">
      <c r="I512" t="s">
        <v>212</v>
      </c>
      <c r="J512" t="s">
        <v>788</v>
      </c>
      <c r="K512">
        <v>0.35791549174097881</v>
      </c>
      <c r="L512" t="s">
        <v>157</v>
      </c>
      <c r="N512" t="s">
        <v>323</v>
      </c>
      <c r="O512" t="s">
        <v>788</v>
      </c>
      <c r="P512">
        <v>0.1347042222157655</v>
      </c>
      <c r="Q512" t="s">
        <v>157</v>
      </c>
      <c r="S512" t="s">
        <v>434</v>
      </c>
      <c r="T512" t="s">
        <v>788</v>
      </c>
      <c r="U512">
        <v>0.11736224150725148</v>
      </c>
      <c r="V512" t="s">
        <v>157</v>
      </c>
    </row>
    <row r="513" spans="9:22" x14ac:dyDescent="0.45">
      <c r="I513" t="s">
        <v>212</v>
      </c>
      <c r="J513" t="s">
        <v>789</v>
      </c>
      <c r="K513">
        <v>1.6052029547718526E-2</v>
      </c>
      <c r="L513" t="s">
        <v>157</v>
      </c>
      <c r="N513" t="s">
        <v>323</v>
      </c>
      <c r="O513" t="s">
        <v>789</v>
      </c>
      <c r="P513">
        <v>8.7212942766062618E-2</v>
      </c>
      <c r="Q513" t="s">
        <v>157</v>
      </c>
      <c r="S513" t="s">
        <v>434</v>
      </c>
      <c r="T513" t="s">
        <v>789</v>
      </c>
      <c r="U513">
        <v>0.11201709996558108</v>
      </c>
      <c r="V513" t="s">
        <v>157</v>
      </c>
    </row>
    <row r="514" spans="9:22" x14ac:dyDescent="0.45">
      <c r="I514" t="s">
        <v>212</v>
      </c>
      <c r="J514" t="s">
        <v>790</v>
      </c>
      <c r="K514">
        <v>4.9668729763596986E-2</v>
      </c>
      <c r="L514" t="s">
        <v>157</v>
      </c>
      <c r="N514" t="s">
        <v>323</v>
      </c>
      <c r="O514" t="s">
        <v>790</v>
      </c>
      <c r="P514">
        <v>2.5822648963096329E-2</v>
      </c>
      <c r="Q514" t="s">
        <v>157</v>
      </c>
      <c r="S514" t="s">
        <v>434</v>
      </c>
      <c r="T514" t="s">
        <v>790</v>
      </c>
      <c r="U514">
        <v>2.1297377002416611E-2</v>
      </c>
      <c r="V514" t="s">
        <v>157</v>
      </c>
    </row>
    <row r="515" spans="9:22" x14ac:dyDescent="0.45">
      <c r="I515" t="s">
        <v>213</v>
      </c>
      <c r="J515" t="s">
        <v>779</v>
      </c>
      <c r="K515">
        <v>0.2761711524436149</v>
      </c>
      <c r="L515" t="s">
        <v>157</v>
      </c>
      <c r="N515" t="s">
        <v>324</v>
      </c>
      <c r="O515" t="s">
        <v>779</v>
      </c>
      <c r="P515">
        <v>0.12465013565024814</v>
      </c>
      <c r="Q515" t="s">
        <v>157</v>
      </c>
      <c r="S515" t="s">
        <v>435</v>
      </c>
      <c r="T515" t="s">
        <v>779</v>
      </c>
      <c r="U515">
        <v>0.11825700054867433</v>
      </c>
      <c r="V515" t="s">
        <v>157</v>
      </c>
    </row>
    <row r="516" spans="9:22" x14ac:dyDescent="0.45">
      <c r="I516" t="s">
        <v>213</v>
      </c>
      <c r="J516" t="s">
        <v>780</v>
      </c>
      <c r="K516">
        <v>5.2544566965806979E-3</v>
      </c>
      <c r="L516" t="s">
        <v>157</v>
      </c>
      <c r="N516" t="s">
        <v>324</v>
      </c>
      <c r="O516" t="s">
        <v>780</v>
      </c>
      <c r="P516">
        <v>0.12678088778657023</v>
      </c>
      <c r="Q516" t="s">
        <v>157</v>
      </c>
      <c r="S516" t="s">
        <v>435</v>
      </c>
      <c r="T516" t="s">
        <v>780</v>
      </c>
      <c r="U516">
        <v>0.11296927145602169</v>
      </c>
      <c r="V516" t="s">
        <v>157</v>
      </c>
    </row>
    <row r="517" spans="9:22" x14ac:dyDescent="0.45">
      <c r="I517" t="s">
        <v>213</v>
      </c>
      <c r="J517" t="s">
        <v>781</v>
      </c>
      <c r="K517">
        <v>3.0031339196793332E-2</v>
      </c>
      <c r="L517" t="s">
        <v>157</v>
      </c>
      <c r="N517" t="s">
        <v>324</v>
      </c>
      <c r="O517" t="s">
        <v>781</v>
      </c>
      <c r="P517">
        <v>3.0082646465559106E-2</v>
      </c>
      <c r="Q517" t="s">
        <v>157</v>
      </c>
      <c r="S517" t="s">
        <v>435</v>
      </c>
      <c r="T517" t="s">
        <v>781</v>
      </c>
      <c r="U517">
        <v>2.0034681077878758E-2</v>
      </c>
      <c r="V517" t="s">
        <v>157</v>
      </c>
    </row>
    <row r="518" spans="9:22" x14ac:dyDescent="0.45">
      <c r="I518" t="s">
        <v>213</v>
      </c>
      <c r="J518" t="s">
        <v>782</v>
      </c>
      <c r="K518">
        <v>0.15806019638066959</v>
      </c>
      <c r="L518" t="s">
        <v>157</v>
      </c>
      <c r="N518" t="s">
        <v>324</v>
      </c>
      <c r="O518" t="s">
        <v>782</v>
      </c>
      <c r="P518">
        <v>9.8461587116449437E-2</v>
      </c>
      <c r="Q518" t="s">
        <v>157</v>
      </c>
      <c r="S518" t="s">
        <v>435</v>
      </c>
      <c r="T518" t="s">
        <v>782</v>
      </c>
      <c r="U518">
        <v>0.11149246193539347</v>
      </c>
      <c r="V518" t="s">
        <v>157</v>
      </c>
    </row>
    <row r="519" spans="9:22" x14ac:dyDescent="0.45">
      <c r="I519" t="s">
        <v>213</v>
      </c>
      <c r="J519" t="s">
        <v>783</v>
      </c>
      <c r="K519">
        <v>0</v>
      </c>
      <c r="L519" t="s">
        <v>157</v>
      </c>
      <c r="N519" t="s">
        <v>324</v>
      </c>
      <c r="O519" t="s">
        <v>783</v>
      </c>
      <c r="P519">
        <v>0.10458313142660772</v>
      </c>
      <c r="Q519" t="s">
        <v>157</v>
      </c>
      <c r="S519" t="s">
        <v>435</v>
      </c>
      <c r="T519" t="s">
        <v>783</v>
      </c>
      <c r="U519">
        <v>0.1111347093076166</v>
      </c>
      <c r="V519" t="s">
        <v>157</v>
      </c>
    </row>
    <row r="520" spans="9:22" x14ac:dyDescent="0.45">
      <c r="I520" t="s">
        <v>213</v>
      </c>
      <c r="J520" t="s">
        <v>784</v>
      </c>
      <c r="K520">
        <v>1.2166989684735978E-2</v>
      </c>
      <c r="L520" t="s">
        <v>157</v>
      </c>
      <c r="N520" t="s">
        <v>324</v>
      </c>
      <c r="O520" t="s">
        <v>784</v>
      </c>
      <c r="P520">
        <v>2.2873308246139319E-2</v>
      </c>
      <c r="Q520" t="s">
        <v>157</v>
      </c>
      <c r="S520" t="s">
        <v>435</v>
      </c>
      <c r="T520" t="s">
        <v>784</v>
      </c>
      <c r="U520">
        <v>2.0476113922339091E-2</v>
      </c>
      <c r="V520" t="s">
        <v>157</v>
      </c>
    </row>
    <row r="521" spans="9:22" x14ac:dyDescent="0.45">
      <c r="I521" t="s">
        <v>213</v>
      </c>
      <c r="J521" t="s">
        <v>785</v>
      </c>
      <c r="K521">
        <v>0.10689682494858582</v>
      </c>
      <c r="L521" t="s">
        <v>157</v>
      </c>
      <c r="N521" t="s">
        <v>324</v>
      </c>
      <c r="O521" t="s">
        <v>785</v>
      </c>
      <c r="P521">
        <v>0.11209251995203566</v>
      </c>
      <c r="Q521" t="s">
        <v>157</v>
      </c>
      <c r="S521" t="s">
        <v>435</v>
      </c>
      <c r="T521" t="s">
        <v>785</v>
      </c>
      <c r="U521">
        <v>0.11586049625316311</v>
      </c>
      <c r="V521" t="s">
        <v>157</v>
      </c>
    </row>
    <row r="522" spans="9:22" x14ac:dyDescent="0.45">
      <c r="I522" t="s">
        <v>213</v>
      </c>
      <c r="J522" t="s">
        <v>786</v>
      </c>
      <c r="K522">
        <v>0</v>
      </c>
      <c r="L522" t="s">
        <v>157</v>
      </c>
      <c r="N522" t="s">
        <v>324</v>
      </c>
      <c r="O522" t="s">
        <v>786</v>
      </c>
      <c r="P522">
        <v>0.12639118395220764</v>
      </c>
      <c r="Q522" t="s">
        <v>157</v>
      </c>
      <c r="S522" t="s">
        <v>435</v>
      </c>
      <c r="T522" t="s">
        <v>786</v>
      </c>
      <c r="U522">
        <v>0.11563379528290256</v>
      </c>
      <c r="V522" t="s">
        <v>157</v>
      </c>
    </row>
    <row r="523" spans="9:22" x14ac:dyDescent="0.45">
      <c r="I523" t="s">
        <v>213</v>
      </c>
      <c r="J523" t="s">
        <v>787</v>
      </c>
      <c r="K523">
        <v>2.9737177272042476E-3</v>
      </c>
      <c r="L523" t="s">
        <v>157</v>
      </c>
      <c r="N523" t="s">
        <v>324</v>
      </c>
      <c r="O523" t="s">
        <v>787</v>
      </c>
      <c r="P523">
        <v>2.5117297262046295E-2</v>
      </c>
      <c r="Q523" t="s">
        <v>157</v>
      </c>
      <c r="S523" t="s">
        <v>435</v>
      </c>
      <c r="T523" t="s">
        <v>787</v>
      </c>
      <c r="U523">
        <v>2.0822816670398033E-2</v>
      </c>
      <c r="V523" t="s">
        <v>157</v>
      </c>
    </row>
    <row r="524" spans="9:22" x14ac:dyDescent="0.45">
      <c r="I524" t="s">
        <v>213</v>
      </c>
      <c r="J524" t="s">
        <v>788</v>
      </c>
      <c r="K524">
        <v>0.3414683837711211</v>
      </c>
      <c r="L524" t="s">
        <v>157</v>
      </c>
      <c r="N524" t="s">
        <v>324</v>
      </c>
      <c r="O524" t="s">
        <v>788</v>
      </c>
      <c r="P524">
        <v>0.10200655787015937</v>
      </c>
      <c r="Q524" t="s">
        <v>157</v>
      </c>
      <c r="S524" t="s">
        <v>435</v>
      </c>
      <c r="T524" t="s">
        <v>788</v>
      </c>
      <c r="U524">
        <v>0.11780785518076456</v>
      </c>
      <c r="V524" t="s">
        <v>157</v>
      </c>
    </row>
    <row r="525" spans="9:22" x14ac:dyDescent="0.45">
      <c r="I525" t="s">
        <v>213</v>
      </c>
      <c r="J525" t="s">
        <v>789</v>
      </c>
      <c r="K525">
        <v>1.8374244658519449E-2</v>
      </c>
      <c r="L525" t="s">
        <v>157</v>
      </c>
      <c r="N525" t="s">
        <v>324</v>
      </c>
      <c r="O525" t="s">
        <v>789</v>
      </c>
      <c r="P525">
        <v>9.9898262975323532E-2</v>
      </c>
      <c r="Q525" t="s">
        <v>157</v>
      </c>
      <c r="S525" t="s">
        <v>435</v>
      </c>
      <c r="T525" t="s">
        <v>789</v>
      </c>
      <c r="U525">
        <v>0.11389432870850266</v>
      </c>
      <c r="V525" t="s">
        <v>157</v>
      </c>
    </row>
    <row r="526" spans="9:22" x14ac:dyDescent="0.45">
      <c r="I526" t="s">
        <v>213</v>
      </c>
      <c r="J526" t="s">
        <v>790</v>
      </c>
      <c r="K526">
        <v>4.8602694492174837E-2</v>
      </c>
      <c r="L526" t="s">
        <v>157</v>
      </c>
      <c r="N526" t="s">
        <v>324</v>
      </c>
      <c r="O526" t="s">
        <v>790</v>
      </c>
      <c r="P526">
        <v>2.7062481296653503E-2</v>
      </c>
      <c r="Q526" t="s">
        <v>157</v>
      </c>
      <c r="S526" t="s">
        <v>435</v>
      </c>
      <c r="T526" t="s">
        <v>790</v>
      </c>
      <c r="U526">
        <v>2.1616469656345182E-2</v>
      </c>
      <c r="V526" t="s">
        <v>157</v>
      </c>
    </row>
    <row r="527" spans="9:22" x14ac:dyDescent="0.45">
      <c r="I527" t="s">
        <v>214</v>
      </c>
      <c r="J527" t="s">
        <v>779</v>
      </c>
      <c r="K527">
        <v>0.27139347825859184</v>
      </c>
      <c r="L527" t="s">
        <v>157</v>
      </c>
      <c r="N527" t="s">
        <v>325</v>
      </c>
      <c r="O527" t="s">
        <v>779</v>
      </c>
      <c r="P527">
        <v>0.13031676805091283</v>
      </c>
      <c r="Q527" t="s">
        <v>157</v>
      </c>
      <c r="S527" t="s">
        <v>436</v>
      </c>
      <c r="T527" t="s">
        <v>779</v>
      </c>
      <c r="U527">
        <v>0.11880216850013522</v>
      </c>
      <c r="V527" t="s">
        <v>157</v>
      </c>
    </row>
    <row r="528" spans="9:22" x14ac:dyDescent="0.45">
      <c r="I528" t="s">
        <v>214</v>
      </c>
      <c r="J528" t="s">
        <v>780</v>
      </c>
      <c r="K528">
        <v>4.7341391398344297E-3</v>
      </c>
      <c r="L528" t="s">
        <v>157</v>
      </c>
      <c r="N528" t="s">
        <v>325</v>
      </c>
      <c r="O528" t="s">
        <v>780</v>
      </c>
      <c r="P528">
        <v>0.14615460555251214</v>
      </c>
      <c r="Q528" t="s">
        <v>157</v>
      </c>
      <c r="S528" t="s">
        <v>436</v>
      </c>
      <c r="T528" t="s">
        <v>780</v>
      </c>
      <c r="U528">
        <v>0.11389238381811487</v>
      </c>
      <c r="V528" t="s">
        <v>157</v>
      </c>
    </row>
    <row r="529" spans="9:22" x14ac:dyDescent="0.45">
      <c r="I529" t="s">
        <v>214</v>
      </c>
      <c r="J529" t="s">
        <v>781</v>
      </c>
      <c r="K529">
        <v>2.9143637196569417E-2</v>
      </c>
      <c r="L529" t="s">
        <v>157</v>
      </c>
      <c r="N529" t="s">
        <v>325</v>
      </c>
      <c r="O529" t="s">
        <v>781</v>
      </c>
      <c r="P529">
        <v>2.8199535314703074E-2</v>
      </c>
      <c r="Q529" t="s">
        <v>157</v>
      </c>
      <c r="S529" t="s">
        <v>436</v>
      </c>
      <c r="T529" t="s">
        <v>781</v>
      </c>
      <c r="U529">
        <v>2.0428929429838705E-2</v>
      </c>
      <c r="V529" t="s">
        <v>157</v>
      </c>
    </row>
    <row r="530" spans="9:22" x14ac:dyDescent="0.45">
      <c r="I530" t="s">
        <v>214</v>
      </c>
      <c r="J530" t="s">
        <v>782</v>
      </c>
      <c r="K530">
        <v>0.16146584856234439</v>
      </c>
      <c r="L530" t="s">
        <v>157</v>
      </c>
      <c r="N530" t="s">
        <v>325</v>
      </c>
      <c r="O530" t="s">
        <v>782</v>
      </c>
      <c r="P530">
        <v>8.8523804479891666E-2</v>
      </c>
      <c r="Q530" t="s">
        <v>157</v>
      </c>
      <c r="S530" t="s">
        <v>436</v>
      </c>
      <c r="T530" t="s">
        <v>782</v>
      </c>
      <c r="U530">
        <v>0.11081938168426476</v>
      </c>
      <c r="V530" t="s">
        <v>157</v>
      </c>
    </row>
    <row r="531" spans="9:22" x14ac:dyDescent="0.45">
      <c r="I531" t="s">
        <v>214</v>
      </c>
      <c r="J531" t="s">
        <v>783</v>
      </c>
      <c r="K531">
        <v>0</v>
      </c>
      <c r="L531" t="s">
        <v>157</v>
      </c>
      <c r="N531" t="s">
        <v>325</v>
      </c>
      <c r="O531" t="s">
        <v>783</v>
      </c>
      <c r="P531">
        <v>0.10347234035657336</v>
      </c>
      <c r="Q531" t="s">
        <v>157</v>
      </c>
      <c r="S531" t="s">
        <v>436</v>
      </c>
      <c r="T531" t="s">
        <v>783</v>
      </c>
      <c r="U531">
        <v>0.10939558343315091</v>
      </c>
      <c r="V531" t="s">
        <v>157</v>
      </c>
    </row>
    <row r="532" spans="9:22" x14ac:dyDescent="0.45">
      <c r="I532" t="s">
        <v>214</v>
      </c>
      <c r="J532" t="s">
        <v>784</v>
      </c>
      <c r="K532">
        <v>1.191535532307726E-2</v>
      </c>
      <c r="L532" t="s">
        <v>157</v>
      </c>
      <c r="N532" t="s">
        <v>325</v>
      </c>
      <c r="O532" t="s">
        <v>784</v>
      </c>
      <c r="P532">
        <v>1.9703285407622808E-2</v>
      </c>
      <c r="Q532" t="s">
        <v>157</v>
      </c>
      <c r="S532" t="s">
        <v>436</v>
      </c>
      <c r="T532" t="s">
        <v>784</v>
      </c>
      <c r="U532">
        <v>2.0294612712101395E-2</v>
      </c>
      <c r="V532" t="s">
        <v>157</v>
      </c>
    </row>
    <row r="533" spans="9:22" x14ac:dyDescent="0.45">
      <c r="I533" t="s">
        <v>214</v>
      </c>
      <c r="J533" t="s">
        <v>785</v>
      </c>
      <c r="K533">
        <v>0.11256293720411172</v>
      </c>
      <c r="L533" t="s">
        <v>157</v>
      </c>
      <c r="N533" t="s">
        <v>325</v>
      </c>
      <c r="O533" t="s">
        <v>785</v>
      </c>
      <c r="P533">
        <v>0.1152100448898081</v>
      </c>
      <c r="Q533" t="s">
        <v>157</v>
      </c>
      <c r="S533" t="s">
        <v>436</v>
      </c>
      <c r="T533" t="s">
        <v>785</v>
      </c>
      <c r="U533">
        <v>0.1153030764126457</v>
      </c>
      <c r="V533" t="s">
        <v>157</v>
      </c>
    </row>
    <row r="534" spans="9:22" x14ac:dyDescent="0.45">
      <c r="I534" t="s">
        <v>214</v>
      </c>
      <c r="J534" t="s">
        <v>786</v>
      </c>
      <c r="K534">
        <v>0</v>
      </c>
      <c r="L534" t="s">
        <v>157</v>
      </c>
      <c r="N534" t="s">
        <v>325</v>
      </c>
      <c r="O534" t="s">
        <v>786</v>
      </c>
      <c r="P534">
        <v>0.13463980326790578</v>
      </c>
      <c r="Q534" t="s">
        <v>157</v>
      </c>
      <c r="S534" t="s">
        <v>436</v>
      </c>
      <c r="T534" t="s">
        <v>786</v>
      </c>
      <c r="U534">
        <v>0.11623476057667403</v>
      </c>
      <c r="V534" t="s">
        <v>157</v>
      </c>
    </row>
    <row r="535" spans="9:22" x14ac:dyDescent="0.45">
      <c r="I535" t="s">
        <v>214</v>
      </c>
      <c r="J535" t="s">
        <v>787</v>
      </c>
      <c r="K535">
        <v>3.2331573322066454E-3</v>
      </c>
      <c r="L535" t="s">
        <v>157</v>
      </c>
      <c r="N535" t="s">
        <v>325</v>
      </c>
      <c r="O535" t="s">
        <v>787</v>
      </c>
      <c r="P535">
        <v>2.3904953656382621E-2</v>
      </c>
      <c r="Q535" t="s">
        <v>157</v>
      </c>
      <c r="S535" t="s">
        <v>436</v>
      </c>
      <c r="T535" t="s">
        <v>787</v>
      </c>
      <c r="U535">
        <v>2.0720867558566978E-2</v>
      </c>
      <c r="V535" t="s">
        <v>157</v>
      </c>
    </row>
    <row r="536" spans="9:22" x14ac:dyDescent="0.45">
      <c r="I536" t="s">
        <v>214</v>
      </c>
      <c r="J536" t="s">
        <v>788</v>
      </c>
      <c r="K536">
        <v>0.34067358996059804</v>
      </c>
      <c r="L536" t="s">
        <v>157</v>
      </c>
      <c r="N536" t="s">
        <v>325</v>
      </c>
      <c r="O536" t="s">
        <v>788</v>
      </c>
      <c r="P536">
        <v>9.1154062571043387E-2</v>
      </c>
      <c r="Q536" t="s">
        <v>157</v>
      </c>
      <c r="S536" t="s">
        <v>436</v>
      </c>
      <c r="T536" t="s">
        <v>788</v>
      </c>
      <c r="U536">
        <v>0.11687026665905552</v>
      </c>
      <c r="V536" t="s">
        <v>157</v>
      </c>
    </row>
    <row r="537" spans="9:22" x14ac:dyDescent="0.45">
      <c r="I537" t="s">
        <v>214</v>
      </c>
      <c r="J537" t="s">
        <v>789</v>
      </c>
      <c r="K537">
        <v>1.794560802720277E-2</v>
      </c>
      <c r="L537" t="s">
        <v>157</v>
      </c>
      <c r="N537" t="s">
        <v>325</v>
      </c>
      <c r="O537" t="s">
        <v>789</v>
      </c>
      <c r="P537">
        <v>9.6307421751544595E-2</v>
      </c>
      <c r="Q537" t="s">
        <v>157</v>
      </c>
      <c r="S537" t="s">
        <v>436</v>
      </c>
      <c r="T537" t="s">
        <v>789</v>
      </c>
      <c r="U537">
        <v>0.11564045266435635</v>
      </c>
      <c r="V537" t="s">
        <v>157</v>
      </c>
    </row>
    <row r="538" spans="9:22" x14ac:dyDescent="0.45">
      <c r="I538" t="s">
        <v>214</v>
      </c>
      <c r="J538" t="s">
        <v>790</v>
      </c>
      <c r="K538">
        <v>4.6932248995463548E-2</v>
      </c>
      <c r="L538" t="s">
        <v>157</v>
      </c>
      <c r="N538" t="s">
        <v>325</v>
      </c>
      <c r="O538" t="s">
        <v>790</v>
      </c>
      <c r="P538">
        <v>2.2413374701099602E-2</v>
      </c>
      <c r="Q538" t="s">
        <v>157</v>
      </c>
      <c r="S538" t="s">
        <v>436</v>
      </c>
      <c r="T538" t="s">
        <v>790</v>
      </c>
      <c r="U538">
        <v>2.1597516551095694E-2</v>
      </c>
      <c r="V538" t="s">
        <v>157</v>
      </c>
    </row>
    <row r="539" spans="9:22" x14ac:dyDescent="0.45">
      <c r="I539" t="s">
        <v>215</v>
      </c>
      <c r="J539" t="s">
        <v>779</v>
      </c>
      <c r="K539">
        <v>0.26746166765815033</v>
      </c>
      <c r="L539" t="s">
        <v>157</v>
      </c>
      <c r="N539" t="s">
        <v>326</v>
      </c>
      <c r="O539" t="s">
        <v>779</v>
      </c>
      <c r="P539">
        <v>0.13546777793895606</v>
      </c>
      <c r="Q539" t="s">
        <v>157</v>
      </c>
      <c r="S539" t="s">
        <v>437</v>
      </c>
      <c r="T539" t="s">
        <v>779</v>
      </c>
      <c r="U539">
        <v>0.11860396296329814</v>
      </c>
      <c r="V539" t="s">
        <v>157</v>
      </c>
    </row>
    <row r="540" spans="9:22" x14ac:dyDescent="0.45">
      <c r="I540" t="s">
        <v>215</v>
      </c>
      <c r="J540" t="s">
        <v>780</v>
      </c>
      <c r="K540">
        <v>4.3282320117511205E-3</v>
      </c>
      <c r="L540" t="s">
        <v>157</v>
      </c>
      <c r="N540" t="s">
        <v>326</v>
      </c>
      <c r="O540" t="s">
        <v>780</v>
      </c>
      <c r="P540">
        <v>0.16098281931639466</v>
      </c>
      <c r="Q540" t="s">
        <v>157</v>
      </c>
      <c r="S540" t="s">
        <v>437</v>
      </c>
      <c r="T540" t="s">
        <v>780</v>
      </c>
      <c r="U540">
        <v>0.11605531796794608</v>
      </c>
      <c r="V540" t="s">
        <v>157</v>
      </c>
    </row>
    <row r="541" spans="9:22" x14ac:dyDescent="0.45">
      <c r="I541" t="s">
        <v>215</v>
      </c>
      <c r="J541" t="s">
        <v>781</v>
      </c>
      <c r="K541">
        <v>2.762831948104023E-2</v>
      </c>
      <c r="L541" t="s">
        <v>157</v>
      </c>
      <c r="N541" t="s">
        <v>326</v>
      </c>
      <c r="O541" t="s">
        <v>781</v>
      </c>
      <c r="P541">
        <v>2.5660147164639293E-2</v>
      </c>
      <c r="Q541" t="s">
        <v>157</v>
      </c>
      <c r="S541" t="s">
        <v>437</v>
      </c>
      <c r="T541" t="s">
        <v>781</v>
      </c>
      <c r="U541">
        <v>2.0721968389733499E-2</v>
      </c>
      <c r="V541" t="s">
        <v>157</v>
      </c>
    </row>
    <row r="542" spans="9:22" x14ac:dyDescent="0.45">
      <c r="I542" t="s">
        <v>215</v>
      </c>
      <c r="J542" t="s">
        <v>782</v>
      </c>
      <c r="K542">
        <v>0.16646249594723589</v>
      </c>
      <c r="L542" t="s">
        <v>157</v>
      </c>
      <c r="N542" t="s">
        <v>326</v>
      </c>
      <c r="O542" t="s">
        <v>782</v>
      </c>
      <c r="P542">
        <v>8.1753615443216812E-2</v>
      </c>
      <c r="Q542" t="s">
        <v>157</v>
      </c>
      <c r="S542" t="s">
        <v>437</v>
      </c>
      <c r="T542" t="s">
        <v>782</v>
      </c>
      <c r="U542">
        <v>0.11006294596471078</v>
      </c>
      <c r="V542" t="s">
        <v>157</v>
      </c>
    </row>
    <row r="543" spans="9:22" x14ac:dyDescent="0.45">
      <c r="I543" t="s">
        <v>215</v>
      </c>
      <c r="J543" t="s">
        <v>783</v>
      </c>
      <c r="K543">
        <v>0</v>
      </c>
      <c r="L543" t="s">
        <v>157</v>
      </c>
      <c r="N543" t="s">
        <v>326</v>
      </c>
      <c r="O543" t="s">
        <v>783</v>
      </c>
      <c r="P543">
        <v>0.10448054781212075</v>
      </c>
      <c r="Q543" t="s">
        <v>157</v>
      </c>
      <c r="S543" t="s">
        <v>437</v>
      </c>
      <c r="T543" t="s">
        <v>783</v>
      </c>
      <c r="U543">
        <v>0.10815474062298226</v>
      </c>
      <c r="V543" t="s">
        <v>157</v>
      </c>
    </row>
    <row r="544" spans="9:22" x14ac:dyDescent="0.45">
      <c r="I544" t="s">
        <v>215</v>
      </c>
      <c r="J544" t="s">
        <v>784</v>
      </c>
      <c r="K544">
        <v>1.1912105170302802E-2</v>
      </c>
      <c r="L544" t="s">
        <v>157</v>
      </c>
      <c r="N544" t="s">
        <v>326</v>
      </c>
      <c r="O544" t="s">
        <v>784</v>
      </c>
      <c r="P544">
        <v>1.5571199029354641E-2</v>
      </c>
      <c r="Q544" t="s">
        <v>157</v>
      </c>
      <c r="S544" t="s">
        <v>437</v>
      </c>
      <c r="T544" t="s">
        <v>784</v>
      </c>
      <c r="U544">
        <v>2.0099220929688286E-2</v>
      </c>
      <c r="V544" t="s">
        <v>157</v>
      </c>
    </row>
    <row r="545" spans="9:22" x14ac:dyDescent="0.45">
      <c r="I545" t="s">
        <v>215</v>
      </c>
      <c r="J545" t="s">
        <v>785</v>
      </c>
      <c r="K545">
        <v>0.11293622952609493</v>
      </c>
      <c r="L545" t="s">
        <v>157</v>
      </c>
      <c r="N545" t="s">
        <v>326</v>
      </c>
      <c r="O545" t="s">
        <v>785</v>
      </c>
      <c r="P545">
        <v>0.11756811512693217</v>
      </c>
      <c r="Q545" t="s">
        <v>157</v>
      </c>
      <c r="S545" t="s">
        <v>437</v>
      </c>
      <c r="T545" t="s">
        <v>785</v>
      </c>
      <c r="U545">
        <v>0.1152818234918976</v>
      </c>
      <c r="V545" t="s">
        <v>157</v>
      </c>
    </row>
    <row r="546" spans="9:22" x14ac:dyDescent="0.45">
      <c r="I546" t="s">
        <v>215</v>
      </c>
      <c r="J546" t="s">
        <v>786</v>
      </c>
      <c r="K546">
        <v>0</v>
      </c>
      <c r="L546" t="s">
        <v>157</v>
      </c>
      <c r="N546" t="s">
        <v>326</v>
      </c>
      <c r="O546" t="s">
        <v>786</v>
      </c>
      <c r="P546">
        <v>0.13586752582660172</v>
      </c>
      <c r="Q546" t="s">
        <v>157</v>
      </c>
      <c r="S546" t="s">
        <v>437</v>
      </c>
      <c r="T546" t="s">
        <v>786</v>
      </c>
      <c r="U546">
        <v>0.11649947428859699</v>
      </c>
      <c r="V546" t="s">
        <v>157</v>
      </c>
    </row>
    <row r="547" spans="9:22" x14ac:dyDescent="0.45">
      <c r="I547" t="s">
        <v>215</v>
      </c>
      <c r="J547" t="s">
        <v>787</v>
      </c>
      <c r="K547">
        <v>3.1387927203807269E-3</v>
      </c>
      <c r="L547" t="s">
        <v>157</v>
      </c>
      <c r="N547" t="s">
        <v>326</v>
      </c>
      <c r="O547" t="s">
        <v>787</v>
      </c>
      <c r="P547">
        <v>2.2056196573693839E-2</v>
      </c>
      <c r="Q547" t="s">
        <v>157</v>
      </c>
      <c r="S547" t="s">
        <v>437</v>
      </c>
      <c r="T547" t="s">
        <v>787</v>
      </c>
      <c r="U547">
        <v>2.0776852259268272E-2</v>
      </c>
      <c r="V547" t="s">
        <v>157</v>
      </c>
    </row>
    <row r="548" spans="9:22" x14ac:dyDescent="0.45">
      <c r="I548" t="s">
        <v>215</v>
      </c>
      <c r="J548" t="s">
        <v>788</v>
      </c>
      <c r="K548">
        <v>0.3432818478126764</v>
      </c>
      <c r="L548" t="s">
        <v>157</v>
      </c>
      <c r="N548" t="s">
        <v>326</v>
      </c>
      <c r="O548" t="s">
        <v>788</v>
      </c>
      <c r="P548">
        <v>8.837403639788538E-2</v>
      </c>
      <c r="Q548" t="s">
        <v>157</v>
      </c>
      <c r="S548" t="s">
        <v>437</v>
      </c>
      <c r="T548" t="s">
        <v>788</v>
      </c>
      <c r="U548">
        <v>0.11632372324156547</v>
      </c>
      <c r="V548" t="s">
        <v>157</v>
      </c>
    </row>
    <row r="549" spans="9:22" x14ac:dyDescent="0.45">
      <c r="I549" t="s">
        <v>215</v>
      </c>
      <c r="J549" t="s">
        <v>789</v>
      </c>
      <c r="K549">
        <v>1.6402273293481727E-2</v>
      </c>
      <c r="L549" t="s">
        <v>157</v>
      </c>
      <c r="N549" t="s">
        <v>326</v>
      </c>
      <c r="O549" t="s">
        <v>789</v>
      </c>
      <c r="P549">
        <v>9.8546557050543451E-2</v>
      </c>
      <c r="Q549" t="s">
        <v>157</v>
      </c>
      <c r="S549" t="s">
        <v>437</v>
      </c>
      <c r="T549" t="s">
        <v>789</v>
      </c>
      <c r="U549">
        <v>0.1162974794883349</v>
      </c>
      <c r="V549" t="s">
        <v>157</v>
      </c>
    </row>
    <row r="550" spans="9:22" x14ac:dyDescent="0.45">
      <c r="I550" t="s">
        <v>215</v>
      </c>
      <c r="J550" t="s">
        <v>790</v>
      </c>
      <c r="K550">
        <v>4.6448036378885907E-2</v>
      </c>
      <c r="L550" t="s">
        <v>157</v>
      </c>
      <c r="N550" t="s">
        <v>326</v>
      </c>
      <c r="O550" t="s">
        <v>790</v>
      </c>
      <c r="P550">
        <v>1.3671462319661199E-2</v>
      </c>
      <c r="Q550" t="s">
        <v>157</v>
      </c>
      <c r="S550" t="s">
        <v>437</v>
      </c>
      <c r="T550" t="s">
        <v>790</v>
      </c>
      <c r="U550">
        <v>2.1122490391977809E-2</v>
      </c>
      <c r="V550" t="s">
        <v>157</v>
      </c>
    </row>
    <row r="551" spans="9:22" x14ac:dyDescent="0.45">
      <c r="I551" t="s">
        <v>216</v>
      </c>
      <c r="J551" t="s">
        <v>779</v>
      </c>
      <c r="K551">
        <v>0.28862054548321475</v>
      </c>
      <c r="L551" t="s">
        <v>157</v>
      </c>
      <c r="N551" t="s">
        <v>327</v>
      </c>
      <c r="O551" t="s">
        <v>779</v>
      </c>
      <c r="P551">
        <v>0.11565217623276851</v>
      </c>
      <c r="Q551" t="s">
        <v>157</v>
      </c>
      <c r="S551" t="s">
        <v>438</v>
      </c>
      <c r="T551" t="s">
        <v>779</v>
      </c>
      <c r="U551">
        <v>0.11793925925603591</v>
      </c>
      <c r="V551" t="s">
        <v>157</v>
      </c>
    </row>
    <row r="552" spans="9:22" x14ac:dyDescent="0.45">
      <c r="I552" t="s">
        <v>216</v>
      </c>
      <c r="J552" t="s">
        <v>780</v>
      </c>
      <c r="K552">
        <v>7.3012655663107374E-3</v>
      </c>
      <c r="L552" t="s">
        <v>157</v>
      </c>
      <c r="N552" t="s">
        <v>327</v>
      </c>
      <c r="O552" t="s">
        <v>780</v>
      </c>
      <c r="P552">
        <v>0.11144280347940398</v>
      </c>
      <c r="Q552" t="s">
        <v>157</v>
      </c>
      <c r="S552" t="s">
        <v>438</v>
      </c>
      <c r="T552" t="s">
        <v>780</v>
      </c>
      <c r="U552">
        <v>0.11757014756727695</v>
      </c>
      <c r="V552" t="s">
        <v>157</v>
      </c>
    </row>
    <row r="553" spans="9:22" x14ac:dyDescent="0.45">
      <c r="I553" t="s">
        <v>216</v>
      </c>
      <c r="J553" t="s">
        <v>781</v>
      </c>
      <c r="K553">
        <v>3.8914004736020524E-2</v>
      </c>
      <c r="L553" t="s">
        <v>157</v>
      </c>
      <c r="N553" t="s">
        <v>327</v>
      </c>
      <c r="O553" t="s">
        <v>781</v>
      </c>
      <c r="P553">
        <v>2.0758680798165223E-2</v>
      </c>
      <c r="Q553" t="s">
        <v>157</v>
      </c>
      <c r="S553" t="s">
        <v>438</v>
      </c>
      <c r="T553" t="s">
        <v>781</v>
      </c>
      <c r="U553">
        <v>2.0770668181614854E-2</v>
      </c>
      <c r="V553" t="s">
        <v>157</v>
      </c>
    </row>
    <row r="554" spans="9:22" x14ac:dyDescent="0.45">
      <c r="I554" t="s">
        <v>216</v>
      </c>
      <c r="J554" t="s">
        <v>782</v>
      </c>
      <c r="K554">
        <v>0.14135085361083771</v>
      </c>
      <c r="L554" t="s">
        <v>157</v>
      </c>
      <c r="N554" t="s">
        <v>327</v>
      </c>
      <c r="O554" t="s">
        <v>782</v>
      </c>
      <c r="P554">
        <v>0.11521932996962836</v>
      </c>
      <c r="Q554" t="s">
        <v>157</v>
      </c>
      <c r="S554" t="s">
        <v>438</v>
      </c>
      <c r="T554" t="s">
        <v>782</v>
      </c>
      <c r="U554">
        <v>0.10881449013710594</v>
      </c>
      <c r="V554" t="s">
        <v>157</v>
      </c>
    </row>
    <row r="555" spans="9:22" x14ac:dyDescent="0.45">
      <c r="I555" t="s">
        <v>216</v>
      </c>
      <c r="J555" t="s">
        <v>783</v>
      </c>
      <c r="K555">
        <v>0</v>
      </c>
      <c r="L555" t="s">
        <v>157</v>
      </c>
      <c r="N555" t="s">
        <v>327</v>
      </c>
      <c r="O555" t="s">
        <v>783</v>
      </c>
      <c r="P555">
        <v>0.11708045878258971</v>
      </c>
      <c r="Q555" t="s">
        <v>157</v>
      </c>
      <c r="S555" t="s">
        <v>438</v>
      </c>
      <c r="T555" t="s">
        <v>783</v>
      </c>
      <c r="U555">
        <v>0.10694763065481366</v>
      </c>
      <c r="V555" t="s">
        <v>157</v>
      </c>
    </row>
    <row r="556" spans="9:22" x14ac:dyDescent="0.45">
      <c r="I556" t="s">
        <v>216</v>
      </c>
      <c r="J556" t="s">
        <v>784</v>
      </c>
      <c r="K556">
        <v>1.3841927760970246E-2</v>
      </c>
      <c r="L556" t="s">
        <v>157</v>
      </c>
      <c r="N556" t="s">
        <v>327</v>
      </c>
      <c r="O556" t="s">
        <v>784</v>
      </c>
      <c r="P556">
        <v>2.2632852013743682E-2</v>
      </c>
      <c r="Q556" t="s">
        <v>157</v>
      </c>
      <c r="S556" t="s">
        <v>438</v>
      </c>
      <c r="T556" t="s">
        <v>784</v>
      </c>
      <c r="U556">
        <v>2.008603621446195E-2</v>
      </c>
      <c r="V556" t="s">
        <v>157</v>
      </c>
    </row>
    <row r="557" spans="9:22" x14ac:dyDescent="0.45">
      <c r="I557" t="s">
        <v>216</v>
      </c>
      <c r="J557" t="s">
        <v>785</v>
      </c>
      <c r="K557">
        <v>8.4808060511656694E-2</v>
      </c>
      <c r="L557" t="s">
        <v>157</v>
      </c>
      <c r="N557" t="s">
        <v>327</v>
      </c>
      <c r="O557" t="s">
        <v>785</v>
      </c>
      <c r="P557">
        <v>0.11322753579237436</v>
      </c>
      <c r="Q557" t="s">
        <v>157</v>
      </c>
      <c r="S557" t="s">
        <v>438</v>
      </c>
      <c r="T557" t="s">
        <v>785</v>
      </c>
      <c r="U557">
        <v>0.11575876396546798</v>
      </c>
      <c r="V557" t="s">
        <v>157</v>
      </c>
    </row>
    <row r="558" spans="9:22" x14ac:dyDescent="0.45">
      <c r="I558" t="s">
        <v>216</v>
      </c>
      <c r="J558" t="s">
        <v>786</v>
      </c>
      <c r="K558">
        <v>0</v>
      </c>
      <c r="L558" t="s">
        <v>157</v>
      </c>
      <c r="N558" t="s">
        <v>327</v>
      </c>
      <c r="O558" t="s">
        <v>786</v>
      </c>
      <c r="P558">
        <v>0.11526930614213313</v>
      </c>
      <c r="Q558" t="s">
        <v>157</v>
      </c>
      <c r="S558" t="s">
        <v>438</v>
      </c>
      <c r="T558" t="s">
        <v>786</v>
      </c>
      <c r="U558">
        <v>0.1166843048995492</v>
      </c>
      <c r="V558" t="s">
        <v>157</v>
      </c>
    </row>
    <row r="559" spans="9:22" x14ac:dyDescent="0.45">
      <c r="I559" t="s">
        <v>216</v>
      </c>
      <c r="J559" t="s">
        <v>787</v>
      </c>
      <c r="K559">
        <v>3.4442842187846641E-3</v>
      </c>
      <c r="L559" t="s">
        <v>157</v>
      </c>
      <c r="N559" t="s">
        <v>327</v>
      </c>
      <c r="O559" t="s">
        <v>787</v>
      </c>
      <c r="P559">
        <v>2.0418947891895172E-2</v>
      </c>
      <c r="Q559" t="s">
        <v>157</v>
      </c>
      <c r="S559" t="s">
        <v>438</v>
      </c>
      <c r="T559" t="s">
        <v>787</v>
      </c>
      <c r="U559">
        <v>2.0964887450207085E-2</v>
      </c>
      <c r="V559" t="s">
        <v>157</v>
      </c>
    </row>
    <row r="560" spans="9:22" x14ac:dyDescent="0.45">
      <c r="I560" t="s">
        <v>216</v>
      </c>
      <c r="J560" t="s">
        <v>788</v>
      </c>
      <c r="K560">
        <v>0.34943723536452237</v>
      </c>
      <c r="L560" t="s">
        <v>157</v>
      </c>
      <c r="N560" t="s">
        <v>327</v>
      </c>
      <c r="O560" t="s">
        <v>788</v>
      </c>
      <c r="P560">
        <v>0.11379622354056676</v>
      </c>
      <c r="Q560" t="s">
        <v>157</v>
      </c>
      <c r="S560" t="s">
        <v>438</v>
      </c>
      <c r="T560" t="s">
        <v>788</v>
      </c>
      <c r="U560">
        <v>0.11731941464351177</v>
      </c>
      <c r="V560" t="s">
        <v>157</v>
      </c>
    </row>
    <row r="561" spans="9:22" x14ac:dyDescent="0.45">
      <c r="I561" t="s">
        <v>216</v>
      </c>
      <c r="J561" t="s">
        <v>789</v>
      </c>
      <c r="K561">
        <v>2.250995180927233E-2</v>
      </c>
      <c r="L561" t="s">
        <v>157</v>
      </c>
      <c r="N561" t="s">
        <v>327</v>
      </c>
      <c r="O561" t="s">
        <v>789</v>
      </c>
      <c r="P561">
        <v>0.11276096974547661</v>
      </c>
      <c r="Q561" t="s">
        <v>157</v>
      </c>
      <c r="S561" t="s">
        <v>438</v>
      </c>
      <c r="T561" t="s">
        <v>789</v>
      </c>
      <c r="U561">
        <v>0.11658128636335834</v>
      </c>
      <c r="V561" t="s">
        <v>157</v>
      </c>
    </row>
    <row r="562" spans="9:22" x14ac:dyDescent="0.45">
      <c r="I562" t="s">
        <v>216</v>
      </c>
      <c r="J562" t="s">
        <v>790</v>
      </c>
      <c r="K562">
        <v>4.9771870938409971E-2</v>
      </c>
      <c r="L562" t="s">
        <v>157</v>
      </c>
      <c r="N562" t="s">
        <v>327</v>
      </c>
      <c r="O562" t="s">
        <v>790</v>
      </c>
      <c r="P562">
        <v>2.1740715611254433E-2</v>
      </c>
      <c r="Q562" t="s">
        <v>157</v>
      </c>
      <c r="S562" t="s">
        <v>438</v>
      </c>
      <c r="T562" t="s">
        <v>790</v>
      </c>
      <c r="U562">
        <v>2.0563110666596413E-2</v>
      </c>
      <c r="V562" t="s">
        <v>157</v>
      </c>
    </row>
    <row r="563" spans="9:22" x14ac:dyDescent="0.45">
      <c r="I563" t="s">
        <v>217</v>
      </c>
      <c r="J563" t="s">
        <v>779</v>
      </c>
      <c r="K563">
        <v>0.26111208762191207</v>
      </c>
      <c r="L563" t="s">
        <v>157</v>
      </c>
      <c r="N563" t="s">
        <v>328</v>
      </c>
      <c r="O563" t="s">
        <v>779</v>
      </c>
      <c r="P563">
        <v>0.16885309579283495</v>
      </c>
      <c r="Q563" t="s">
        <v>157</v>
      </c>
      <c r="S563" t="s">
        <v>439</v>
      </c>
      <c r="T563" t="s">
        <v>779</v>
      </c>
      <c r="U563">
        <v>0.11745162846864869</v>
      </c>
      <c r="V563" t="s">
        <v>157</v>
      </c>
    </row>
    <row r="564" spans="9:22" x14ac:dyDescent="0.45">
      <c r="I564" t="s">
        <v>217</v>
      </c>
      <c r="J564" t="s">
        <v>780</v>
      </c>
      <c r="K564">
        <v>4.3342219752738583E-3</v>
      </c>
      <c r="L564" t="s">
        <v>157</v>
      </c>
      <c r="N564" t="s">
        <v>328</v>
      </c>
      <c r="O564" t="s">
        <v>780</v>
      </c>
      <c r="P564">
        <v>0.13576922788023249</v>
      </c>
      <c r="Q564" t="s">
        <v>157</v>
      </c>
      <c r="S564" t="s">
        <v>439</v>
      </c>
      <c r="T564" t="s">
        <v>780</v>
      </c>
      <c r="U564">
        <v>0.11709542941331659</v>
      </c>
      <c r="V564" t="s">
        <v>157</v>
      </c>
    </row>
    <row r="565" spans="9:22" x14ac:dyDescent="0.45">
      <c r="I565" t="s">
        <v>217</v>
      </c>
      <c r="J565" t="s">
        <v>781</v>
      </c>
      <c r="K565">
        <v>2.7219538028559694E-2</v>
      </c>
      <c r="L565" t="s">
        <v>157</v>
      </c>
      <c r="N565" t="s">
        <v>328</v>
      </c>
      <c r="O565" t="s">
        <v>781</v>
      </c>
      <c r="P565">
        <v>3.005651062074885E-2</v>
      </c>
      <c r="Q565" t="s">
        <v>157</v>
      </c>
      <c r="S565" t="s">
        <v>439</v>
      </c>
      <c r="T565" t="s">
        <v>781</v>
      </c>
      <c r="U565">
        <v>2.0589458396734608E-2</v>
      </c>
      <c r="V565" t="s">
        <v>157</v>
      </c>
    </row>
    <row r="566" spans="9:22" x14ac:dyDescent="0.45">
      <c r="I566" t="s">
        <v>217</v>
      </c>
      <c r="J566" t="s">
        <v>782</v>
      </c>
      <c r="K566">
        <v>0.17113736611508315</v>
      </c>
      <c r="L566" t="s">
        <v>157</v>
      </c>
      <c r="N566" t="s">
        <v>328</v>
      </c>
      <c r="O566" t="s">
        <v>782</v>
      </c>
      <c r="P566">
        <v>8.6575204240517678E-2</v>
      </c>
      <c r="Q566" t="s">
        <v>157</v>
      </c>
      <c r="S566" t="s">
        <v>439</v>
      </c>
      <c r="T566" t="s">
        <v>782</v>
      </c>
      <c r="U566">
        <v>0.1078278944865428</v>
      </c>
      <c r="V566" t="s">
        <v>157</v>
      </c>
    </row>
    <row r="567" spans="9:22" x14ac:dyDescent="0.45">
      <c r="I567" t="s">
        <v>217</v>
      </c>
      <c r="J567" t="s">
        <v>783</v>
      </c>
      <c r="K567">
        <v>0</v>
      </c>
      <c r="L567" t="s">
        <v>157</v>
      </c>
      <c r="N567" t="s">
        <v>328</v>
      </c>
      <c r="O567" t="s">
        <v>783</v>
      </c>
      <c r="P567">
        <v>7.950902985060733E-2</v>
      </c>
      <c r="Q567" t="s">
        <v>157</v>
      </c>
      <c r="S567" t="s">
        <v>439</v>
      </c>
      <c r="T567" t="s">
        <v>783</v>
      </c>
      <c r="U567">
        <v>0.10650668313877877</v>
      </c>
      <c r="V567" t="s">
        <v>157</v>
      </c>
    </row>
    <row r="568" spans="9:22" x14ac:dyDescent="0.45">
      <c r="I568" t="s">
        <v>217</v>
      </c>
      <c r="J568" t="s">
        <v>784</v>
      </c>
      <c r="K568">
        <v>1.2661389414418509E-2</v>
      </c>
      <c r="L568" t="s">
        <v>157</v>
      </c>
      <c r="N568" t="s">
        <v>328</v>
      </c>
      <c r="O568" t="s">
        <v>784</v>
      </c>
      <c r="P568">
        <v>1.5186529611932297E-2</v>
      </c>
      <c r="Q568" t="s">
        <v>157</v>
      </c>
      <c r="S568" t="s">
        <v>439</v>
      </c>
      <c r="T568" t="s">
        <v>784</v>
      </c>
      <c r="U568">
        <v>2.0197378931768119E-2</v>
      </c>
      <c r="V568" t="s">
        <v>157</v>
      </c>
    </row>
    <row r="569" spans="9:22" x14ac:dyDescent="0.45">
      <c r="I569" t="s">
        <v>217</v>
      </c>
      <c r="J569" t="s">
        <v>785</v>
      </c>
      <c r="K569">
        <v>0.10494901997408343</v>
      </c>
      <c r="L569" t="s">
        <v>157</v>
      </c>
      <c r="N569" t="s">
        <v>328</v>
      </c>
      <c r="O569" t="s">
        <v>785</v>
      </c>
      <c r="P569">
        <v>0.12728490962086894</v>
      </c>
      <c r="Q569" t="s">
        <v>157</v>
      </c>
      <c r="S569" t="s">
        <v>439</v>
      </c>
      <c r="T569" t="s">
        <v>785</v>
      </c>
      <c r="U569">
        <v>0.11655851065236471</v>
      </c>
      <c r="V569" t="s">
        <v>157</v>
      </c>
    </row>
    <row r="570" spans="9:22" x14ac:dyDescent="0.45">
      <c r="I570" t="s">
        <v>217</v>
      </c>
      <c r="J570" t="s">
        <v>786</v>
      </c>
      <c r="K570">
        <v>0</v>
      </c>
      <c r="L570" t="s">
        <v>157</v>
      </c>
      <c r="N570" t="s">
        <v>328</v>
      </c>
      <c r="O570" t="s">
        <v>786</v>
      </c>
      <c r="P570">
        <v>0.11438258032730035</v>
      </c>
      <c r="Q570" t="s">
        <v>157</v>
      </c>
      <c r="S570" t="s">
        <v>439</v>
      </c>
      <c r="T570" t="s">
        <v>786</v>
      </c>
      <c r="U570">
        <v>0.11634380142185499</v>
      </c>
      <c r="V570" t="s">
        <v>157</v>
      </c>
    </row>
    <row r="571" spans="9:22" x14ac:dyDescent="0.45">
      <c r="I571" t="s">
        <v>217</v>
      </c>
      <c r="J571" t="s">
        <v>787</v>
      </c>
      <c r="K571">
        <v>2.8534500224586539E-3</v>
      </c>
      <c r="L571" t="s">
        <v>157</v>
      </c>
      <c r="N571" t="s">
        <v>328</v>
      </c>
      <c r="O571" t="s">
        <v>787</v>
      </c>
      <c r="P571">
        <v>2.2987991790652366E-2</v>
      </c>
      <c r="Q571" t="s">
        <v>157</v>
      </c>
      <c r="S571" t="s">
        <v>439</v>
      </c>
      <c r="T571" t="s">
        <v>787</v>
      </c>
      <c r="U571">
        <v>2.1175251905500358E-2</v>
      </c>
      <c r="V571" t="s">
        <v>157</v>
      </c>
    </row>
    <row r="572" spans="9:22" x14ac:dyDescent="0.45">
      <c r="I572" t="s">
        <v>217</v>
      </c>
      <c r="J572" t="s">
        <v>788</v>
      </c>
      <c r="K572">
        <v>0.35189639032359138</v>
      </c>
      <c r="L572" t="s">
        <v>157</v>
      </c>
      <c r="N572" t="s">
        <v>328</v>
      </c>
      <c r="O572" t="s">
        <v>788</v>
      </c>
      <c r="P572">
        <v>0.1259031261852189</v>
      </c>
      <c r="Q572" t="s">
        <v>157</v>
      </c>
      <c r="S572" t="s">
        <v>439</v>
      </c>
      <c r="T572" t="s">
        <v>788</v>
      </c>
      <c r="U572">
        <v>0.1185537164826108</v>
      </c>
      <c r="V572" t="s">
        <v>157</v>
      </c>
    </row>
    <row r="573" spans="9:22" x14ac:dyDescent="0.45">
      <c r="I573" t="s">
        <v>217</v>
      </c>
      <c r="J573" t="s">
        <v>789</v>
      </c>
      <c r="K573">
        <v>1.5498852353638059E-2</v>
      </c>
      <c r="L573" t="s">
        <v>157</v>
      </c>
      <c r="N573" t="s">
        <v>328</v>
      </c>
      <c r="O573" t="s">
        <v>789</v>
      </c>
      <c r="P573">
        <v>7.4352213766963784E-2</v>
      </c>
      <c r="Q573" t="s">
        <v>157</v>
      </c>
      <c r="S573" t="s">
        <v>439</v>
      </c>
      <c r="T573" t="s">
        <v>789</v>
      </c>
      <c r="U573">
        <v>0.11702153302034395</v>
      </c>
      <c r="V573" t="s">
        <v>157</v>
      </c>
    </row>
    <row r="574" spans="9:22" x14ac:dyDescent="0.45">
      <c r="I574" t="s">
        <v>217</v>
      </c>
      <c r="J574" t="s">
        <v>790</v>
      </c>
      <c r="K574">
        <v>4.8337684170981242E-2</v>
      </c>
      <c r="L574" t="s">
        <v>157</v>
      </c>
      <c r="N574" t="s">
        <v>328</v>
      </c>
      <c r="O574" t="s">
        <v>790</v>
      </c>
      <c r="P574">
        <v>1.9139580312122099E-2</v>
      </c>
      <c r="Q574" t="s">
        <v>157</v>
      </c>
      <c r="S574" t="s">
        <v>439</v>
      </c>
      <c r="T574" t="s">
        <v>790</v>
      </c>
      <c r="U574">
        <v>2.0678713681535558E-2</v>
      </c>
      <c r="V574" t="s">
        <v>157</v>
      </c>
    </row>
    <row r="575" spans="9:22" x14ac:dyDescent="0.45">
      <c r="I575" t="s">
        <v>218</v>
      </c>
      <c r="J575" t="s">
        <v>779</v>
      </c>
      <c r="K575">
        <v>0.25635116828958016</v>
      </c>
      <c r="L575" t="s">
        <v>157</v>
      </c>
      <c r="N575" t="s">
        <v>329</v>
      </c>
      <c r="O575" t="s">
        <v>779</v>
      </c>
      <c r="P575">
        <v>0.18443771566695807</v>
      </c>
      <c r="Q575" t="s">
        <v>157</v>
      </c>
      <c r="S575" t="s">
        <v>440</v>
      </c>
      <c r="T575" t="s">
        <v>779</v>
      </c>
      <c r="U575">
        <v>0.11627007111512019</v>
      </c>
      <c r="V575" t="s">
        <v>157</v>
      </c>
    </row>
    <row r="576" spans="9:22" x14ac:dyDescent="0.45">
      <c r="I576" t="s">
        <v>218</v>
      </c>
      <c r="J576" t="s">
        <v>780</v>
      </c>
      <c r="K576">
        <v>4.936810633228126E-3</v>
      </c>
      <c r="L576" t="s">
        <v>157</v>
      </c>
      <c r="N576" t="s">
        <v>329</v>
      </c>
      <c r="O576" t="s">
        <v>780</v>
      </c>
      <c r="P576">
        <v>0.12989107226063193</v>
      </c>
      <c r="Q576" t="s">
        <v>157</v>
      </c>
      <c r="S576" t="s">
        <v>440</v>
      </c>
      <c r="T576" t="s">
        <v>780</v>
      </c>
      <c r="U576">
        <v>0.11519071572852944</v>
      </c>
      <c r="V576" t="s">
        <v>157</v>
      </c>
    </row>
    <row r="577" spans="9:22" x14ac:dyDescent="0.45">
      <c r="I577" t="s">
        <v>218</v>
      </c>
      <c r="J577" t="s">
        <v>781</v>
      </c>
      <c r="K577">
        <v>2.8939446711485291E-2</v>
      </c>
      <c r="L577" t="s">
        <v>157</v>
      </c>
      <c r="N577" t="s">
        <v>329</v>
      </c>
      <c r="O577" t="s">
        <v>781</v>
      </c>
      <c r="P577">
        <v>3.2129393185271374E-2</v>
      </c>
      <c r="Q577" t="s">
        <v>157</v>
      </c>
      <c r="S577" t="s">
        <v>440</v>
      </c>
      <c r="T577" t="s">
        <v>781</v>
      </c>
      <c r="U577">
        <v>2.0340712068522872E-2</v>
      </c>
      <c r="V577" t="s">
        <v>157</v>
      </c>
    </row>
    <row r="578" spans="9:22" x14ac:dyDescent="0.45">
      <c r="I578" t="s">
        <v>218</v>
      </c>
      <c r="J578" t="s">
        <v>782</v>
      </c>
      <c r="K578">
        <v>0.17466122010798885</v>
      </c>
      <c r="L578" t="s">
        <v>157</v>
      </c>
      <c r="N578" t="s">
        <v>329</v>
      </c>
      <c r="O578" t="s">
        <v>782</v>
      </c>
      <c r="P578">
        <v>8.9020731210682422E-2</v>
      </c>
      <c r="Q578" t="s">
        <v>157</v>
      </c>
      <c r="S578" t="s">
        <v>440</v>
      </c>
      <c r="T578" t="s">
        <v>782</v>
      </c>
      <c r="U578">
        <v>0.10799985118936106</v>
      </c>
      <c r="V578" t="s">
        <v>157</v>
      </c>
    </row>
    <row r="579" spans="9:22" x14ac:dyDescent="0.45">
      <c r="I579" t="s">
        <v>218</v>
      </c>
      <c r="J579" t="s">
        <v>783</v>
      </c>
      <c r="K579">
        <v>0</v>
      </c>
      <c r="L579" t="s">
        <v>157</v>
      </c>
      <c r="N579" t="s">
        <v>329</v>
      </c>
      <c r="O579" t="s">
        <v>783</v>
      </c>
      <c r="P579">
        <v>7.3967100974826533E-2</v>
      </c>
      <c r="Q579" t="s">
        <v>157</v>
      </c>
      <c r="S579" t="s">
        <v>440</v>
      </c>
      <c r="T579" t="s">
        <v>783</v>
      </c>
      <c r="U579">
        <v>0.10728506599630562</v>
      </c>
      <c r="V579" t="s">
        <v>157</v>
      </c>
    </row>
    <row r="580" spans="9:22" x14ac:dyDescent="0.45">
      <c r="I580" t="s">
        <v>218</v>
      </c>
      <c r="J580" t="s">
        <v>784</v>
      </c>
      <c r="K580">
        <v>1.3899770552934017E-2</v>
      </c>
      <c r="L580" t="s">
        <v>157</v>
      </c>
      <c r="N580" t="s">
        <v>329</v>
      </c>
      <c r="O580" t="s">
        <v>784</v>
      </c>
      <c r="P580">
        <v>1.4850818619542062E-2</v>
      </c>
      <c r="Q580" t="s">
        <v>157</v>
      </c>
      <c r="S580" t="s">
        <v>440</v>
      </c>
      <c r="T580" t="s">
        <v>784</v>
      </c>
      <c r="U580">
        <v>2.0469341575790209E-2</v>
      </c>
      <c r="V580" t="s">
        <v>157</v>
      </c>
    </row>
    <row r="581" spans="9:22" x14ac:dyDescent="0.45">
      <c r="I581" t="s">
        <v>218</v>
      </c>
      <c r="J581" t="s">
        <v>785</v>
      </c>
      <c r="K581">
        <v>0.103559802970965</v>
      </c>
      <c r="L581" t="s">
        <v>157</v>
      </c>
      <c r="N581" t="s">
        <v>329</v>
      </c>
      <c r="O581" t="s">
        <v>785</v>
      </c>
      <c r="P581">
        <v>0.12242772136227975</v>
      </c>
      <c r="Q581" t="s">
        <v>157</v>
      </c>
      <c r="S581" t="s">
        <v>440</v>
      </c>
      <c r="T581" t="s">
        <v>785</v>
      </c>
      <c r="U581">
        <v>0.11696781388377095</v>
      </c>
      <c r="V581" t="s">
        <v>157</v>
      </c>
    </row>
    <row r="582" spans="9:22" x14ac:dyDescent="0.45">
      <c r="I582" t="s">
        <v>218</v>
      </c>
      <c r="J582" t="s">
        <v>786</v>
      </c>
      <c r="K582">
        <v>0</v>
      </c>
      <c r="L582" t="s">
        <v>157</v>
      </c>
      <c r="N582" t="s">
        <v>329</v>
      </c>
      <c r="O582" t="s">
        <v>786</v>
      </c>
      <c r="P582">
        <v>0.10378744372839725</v>
      </c>
      <c r="Q582" t="s">
        <v>157</v>
      </c>
      <c r="S582" t="s">
        <v>440</v>
      </c>
      <c r="T582" t="s">
        <v>786</v>
      </c>
      <c r="U582">
        <v>0.11636603756072895</v>
      </c>
      <c r="V582" t="s">
        <v>157</v>
      </c>
    </row>
    <row r="583" spans="9:22" x14ac:dyDescent="0.45">
      <c r="I583" t="s">
        <v>218</v>
      </c>
      <c r="J583" t="s">
        <v>787</v>
      </c>
      <c r="K583">
        <v>2.9327910375867559E-3</v>
      </c>
      <c r="L583" t="s">
        <v>157</v>
      </c>
      <c r="N583" t="s">
        <v>329</v>
      </c>
      <c r="O583" t="s">
        <v>787</v>
      </c>
      <c r="P583">
        <v>2.1853510046038343E-2</v>
      </c>
      <c r="Q583" t="s">
        <v>157</v>
      </c>
      <c r="S583" t="s">
        <v>440</v>
      </c>
      <c r="T583" t="s">
        <v>787</v>
      </c>
      <c r="U583">
        <v>2.1361757240368106E-2</v>
      </c>
      <c r="V583" t="s">
        <v>157</v>
      </c>
    </row>
    <row r="584" spans="9:22" x14ac:dyDescent="0.45">
      <c r="I584" t="s">
        <v>218</v>
      </c>
      <c r="J584" t="s">
        <v>788</v>
      </c>
      <c r="K584">
        <v>0.34864760265814343</v>
      </c>
      <c r="L584" t="s">
        <v>157</v>
      </c>
      <c r="N584" t="s">
        <v>329</v>
      </c>
      <c r="O584" t="s">
        <v>788</v>
      </c>
      <c r="P584">
        <v>0.1295802781815143</v>
      </c>
      <c r="Q584" t="s">
        <v>157</v>
      </c>
      <c r="S584" t="s">
        <v>440</v>
      </c>
      <c r="T584" t="s">
        <v>788</v>
      </c>
      <c r="U584">
        <v>0.11939350481990253</v>
      </c>
      <c r="V584" t="s">
        <v>157</v>
      </c>
    </row>
    <row r="585" spans="9:22" x14ac:dyDescent="0.45">
      <c r="I585" t="s">
        <v>218</v>
      </c>
      <c r="J585" t="s">
        <v>789</v>
      </c>
      <c r="K585">
        <v>1.6027833838673608E-2</v>
      </c>
      <c r="L585" t="s">
        <v>157</v>
      </c>
      <c r="N585" t="s">
        <v>329</v>
      </c>
      <c r="O585" t="s">
        <v>789</v>
      </c>
      <c r="P585">
        <v>7.492099507497979E-2</v>
      </c>
      <c r="Q585" t="s">
        <v>157</v>
      </c>
      <c r="S585" t="s">
        <v>440</v>
      </c>
      <c r="T585" t="s">
        <v>789</v>
      </c>
      <c r="U585">
        <v>0.11737673141221752</v>
      </c>
      <c r="V585" t="s">
        <v>157</v>
      </c>
    </row>
    <row r="586" spans="9:22" x14ac:dyDescent="0.45">
      <c r="I586" t="s">
        <v>218</v>
      </c>
      <c r="J586" t="s">
        <v>790</v>
      </c>
      <c r="K586">
        <v>5.0043553199414781E-2</v>
      </c>
      <c r="L586" t="s">
        <v>157</v>
      </c>
      <c r="N586" t="s">
        <v>329</v>
      </c>
      <c r="O586" t="s">
        <v>790</v>
      </c>
      <c r="P586">
        <v>2.3133219688878201E-2</v>
      </c>
      <c r="Q586" t="s">
        <v>157</v>
      </c>
      <c r="S586" t="s">
        <v>440</v>
      </c>
      <c r="T586" t="s">
        <v>790</v>
      </c>
      <c r="U586">
        <v>2.0978397409382593E-2</v>
      </c>
      <c r="V586" t="s">
        <v>157</v>
      </c>
    </row>
    <row r="587" spans="9:22" x14ac:dyDescent="0.45">
      <c r="I587" t="s">
        <v>219</v>
      </c>
      <c r="J587" t="s">
        <v>779</v>
      </c>
      <c r="K587">
        <v>0.25837802215929645</v>
      </c>
      <c r="L587" t="s">
        <v>157</v>
      </c>
      <c r="N587" t="s">
        <v>330</v>
      </c>
      <c r="O587" t="s">
        <v>779</v>
      </c>
      <c r="P587">
        <v>0.14164770507440758</v>
      </c>
      <c r="Q587" t="s">
        <v>157</v>
      </c>
      <c r="S587" t="s">
        <v>441</v>
      </c>
      <c r="T587" t="s">
        <v>779</v>
      </c>
      <c r="U587">
        <v>0.11469557723001464</v>
      </c>
      <c r="V587" t="s">
        <v>157</v>
      </c>
    </row>
    <row r="588" spans="9:22" x14ac:dyDescent="0.45">
      <c r="I588" t="s">
        <v>219</v>
      </c>
      <c r="J588" t="s">
        <v>780</v>
      </c>
      <c r="K588">
        <v>4.7127438563598634E-3</v>
      </c>
      <c r="L588" t="s">
        <v>157</v>
      </c>
      <c r="N588" t="s">
        <v>330</v>
      </c>
      <c r="O588" t="s">
        <v>780</v>
      </c>
      <c r="P588">
        <v>0.1346476240614049</v>
      </c>
      <c r="Q588" t="s">
        <v>157</v>
      </c>
      <c r="S588" t="s">
        <v>441</v>
      </c>
      <c r="T588" t="s">
        <v>780</v>
      </c>
      <c r="U588">
        <v>0.11282339816735097</v>
      </c>
      <c r="V588" t="s">
        <v>157</v>
      </c>
    </row>
    <row r="589" spans="9:22" x14ac:dyDescent="0.45">
      <c r="I589" t="s">
        <v>219</v>
      </c>
      <c r="J589" t="s">
        <v>781</v>
      </c>
      <c r="K589">
        <v>2.8784635490712647E-2</v>
      </c>
      <c r="L589" t="s">
        <v>157</v>
      </c>
      <c r="N589" t="s">
        <v>330</v>
      </c>
      <c r="O589" t="s">
        <v>781</v>
      </c>
      <c r="P589">
        <v>2.8853955734872982E-2</v>
      </c>
      <c r="Q589" t="s">
        <v>157</v>
      </c>
      <c r="S589" t="s">
        <v>441</v>
      </c>
      <c r="T589" t="s">
        <v>781</v>
      </c>
      <c r="U589">
        <v>2.0106996882932E-2</v>
      </c>
      <c r="V589" t="s">
        <v>157</v>
      </c>
    </row>
    <row r="590" spans="9:22" x14ac:dyDescent="0.45">
      <c r="I590" t="s">
        <v>219</v>
      </c>
      <c r="J590" t="s">
        <v>782</v>
      </c>
      <c r="K590">
        <v>0.17392164901531298</v>
      </c>
      <c r="L590" t="s">
        <v>157</v>
      </c>
      <c r="N590" t="s">
        <v>330</v>
      </c>
      <c r="O590" t="s">
        <v>782</v>
      </c>
      <c r="P590">
        <v>9.2610036439460225E-2</v>
      </c>
      <c r="Q590" t="s">
        <v>157</v>
      </c>
      <c r="S590" t="s">
        <v>441</v>
      </c>
      <c r="T590" t="s">
        <v>782</v>
      </c>
      <c r="U590">
        <v>0.10914249155235814</v>
      </c>
      <c r="V590" t="s">
        <v>157</v>
      </c>
    </row>
    <row r="591" spans="9:22" x14ac:dyDescent="0.45">
      <c r="I591" t="s">
        <v>219</v>
      </c>
      <c r="J591" t="s">
        <v>783</v>
      </c>
      <c r="K591">
        <v>0</v>
      </c>
      <c r="L591" t="s">
        <v>157</v>
      </c>
      <c r="N591" t="s">
        <v>330</v>
      </c>
      <c r="O591" t="s">
        <v>783</v>
      </c>
      <c r="P591">
        <v>8.3529999275556446E-2</v>
      </c>
      <c r="Q591" t="s">
        <v>157</v>
      </c>
      <c r="S591" t="s">
        <v>441</v>
      </c>
      <c r="T591" t="s">
        <v>783</v>
      </c>
      <c r="U591">
        <v>0.10904300549261813</v>
      </c>
      <c r="V591" t="s">
        <v>157</v>
      </c>
    </row>
    <row r="592" spans="9:22" x14ac:dyDescent="0.45">
      <c r="I592" t="s">
        <v>219</v>
      </c>
      <c r="J592" t="s">
        <v>784</v>
      </c>
      <c r="K592">
        <v>1.4908258623880928E-2</v>
      </c>
      <c r="L592" t="s">
        <v>157</v>
      </c>
      <c r="N592" t="s">
        <v>330</v>
      </c>
      <c r="O592" t="s">
        <v>784</v>
      </c>
      <c r="P592">
        <v>1.7964627454600948E-2</v>
      </c>
      <c r="Q592" t="s">
        <v>157</v>
      </c>
      <c r="S592" t="s">
        <v>441</v>
      </c>
      <c r="T592" t="s">
        <v>784</v>
      </c>
      <c r="U592">
        <v>2.0862811255653351E-2</v>
      </c>
      <c r="V592" t="s">
        <v>157</v>
      </c>
    </row>
    <row r="593" spans="9:22" x14ac:dyDescent="0.45">
      <c r="I593" t="s">
        <v>219</v>
      </c>
      <c r="J593" t="s">
        <v>785</v>
      </c>
      <c r="K593">
        <v>0.10783514982457376</v>
      </c>
      <c r="L593" t="s">
        <v>157</v>
      </c>
      <c r="N593" t="s">
        <v>330</v>
      </c>
      <c r="O593" t="s">
        <v>785</v>
      </c>
      <c r="P593">
        <v>0.12065072286707723</v>
      </c>
      <c r="Q593" t="s">
        <v>157</v>
      </c>
      <c r="S593" t="s">
        <v>441</v>
      </c>
      <c r="T593" t="s">
        <v>785</v>
      </c>
      <c r="U593">
        <v>0.11665476511111375</v>
      </c>
      <c r="V593" t="s">
        <v>157</v>
      </c>
    </row>
    <row r="594" spans="9:22" x14ac:dyDescent="0.45">
      <c r="I594" t="s">
        <v>219</v>
      </c>
      <c r="J594" t="s">
        <v>786</v>
      </c>
      <c r="K594">
        <v>0</v>
      </c>
      <c r="L594" t="s">
        <v>157</v>
      </c>
      <c r="N594" t="s">
        <v>330</v>
      </c>
      <c r="O594" t="s">
        <v>786</v>
      </c>
      <c r="P594">
        <v>0.11977791030065116</v>
      </c>
      <c r="Q594" t="s">
        <v>157</v>
      </c>
      <c r="S594" t="s">
        <v>441</v>
      </c>
      <c r="T594" t="s">
        <v>786</v>
      </c>
      <c r="U594">
        <v>0.11706964647838587</v>
      </c>
      <c r="V594" t="s">
        <v>157</v>
      </c>
    </row>
    <row r="595" spans="9:22" x14ac:dyDescent="0.45">
      <c r="I595" t="s">
        <v>219</v>
      </c>
      <c r="J595" t="s">
        <v>787</v>
      </c>
      <c r="K595">
        <v>2.9130613898491683E-3</v>
      </c>
      <c r="L595" t="s">
        <v>157</v>
      </c>
      <c r="N595" t="s">
        <v>330</v>
      </c>
      <c r="O595" t="s">
        <v>787</v>
      </c>
      <c r="P595">
        <v>2.4626839037253864E-2</v>
      </c>
      <c r="Q595" t="s">
        <v>157</v>
      </c>
      <c r="S595" t="s">
        <v>441</v>
      </c>
      <c r="T595" t="s">
        <v>787</v>
      </c>
      <c r="U595">
        <v>2.1554388740175075E-2</v>
      </c>
      <c r="V595" t="s">
        <v>157</v>
      </c>
    </row>
    <row r="596" spans="9:22" x14ac:dyDescent="0.45">
      <c r="I596" t="s">
        <v>219</v>
      </c>
      <c r="J596" t="s">
        <v>788</v>
      </c>
      <c r="K596">
        <v>0.34161859566142699</v>
      </c>
      <c r="L596" t="s">
        <v>157</v>
      </c>
      <c r="N596" t="s">
        <v>330</v>
      </c>
      <c r="O596" t="s">
        <v>788</v>
      </c>
      <c r="P596">
        <v>0.11541094719922863</v>
      </c>
      <c r="Q596" t="s">
        <v>157</v>
      </c>
      <c r="S596" t="s">
        <v>441</v>
      </c>
      <c r="T596" t="s">
        <v>788</v>
      </c>
      <c r="U596">
        <v>0.11940319853863778</v>
      </c>
      <c r="V596" t="s">
        <v>157</v>
      </c>
    </row>
    <row r="597" spans="9:22" x14ac:dyDescent="0.45">
      <c r="I597" t="s">
        <v>219</v>
      </c>
      <c r="J597" t="s">
        <v>789</v>
      </c>
      <c r="K597">
        <v>1.6266031483890886E-2</v>
      </c>
      <c r="L597" t="s">
        <v>157</v>
      </c>
      <c r="N597" t="s">
        <v>330</v>
      </c>
      <c r="O597" t="s">
        <v>789</v>
      </c>
      <c r="P597">
        <v>9.6640787527799504E-2</v>
      </c>
      <c r="Q597" t="s">
        <v>157</v>
      </c>
      <c r="S597" t="s">
        <v>441</v>
      </c>
      <c r="T597" t="s">
        <v>789</v>
      </c>
      <c r="U597">
        <v>0.11746150357636002</v>
      </c>
      <c r="V597" t="s">
        <v>157</v>
      </c>
    </row>
    <row r="598" spans="9:22" x14ac:dyDescent="0.45">
      <c r="I598" t="s">
        <v>219</v>
      </c>
      <c r="J598" t="s">
        <v>790</v>
      </c>
      <c r="K598">
        <v>5.0661852494696381E-2</v>
      </c>
      <c r="L598" t="s">
        <v>157</v>
      </c>
      <c r="N598" t="s">
        <v>330</v>
      </c>
      <c r="O598" t="s">
        <v>790</v>
      </c>
      <c r="P598">
        <v>2.3638845027686602E-2</v>
      </c>
      <c r="Q598" t="s">
        <v>157</v>
      </c>
      <c r="S598" t="s">
        <v>441</v>
      </c>
      <c r="T598" t="s">
        <v>790</v>
      </c>
      <c r="U598">
        <v>2.1182216974400259E-2</v>
      </c>
      <c r="V598" t="s">
        <v>157</v>
      </c>
    </row>
    <row r="599" spans="9:22" x14ac:dyDescent="0.45">
      <c r="I599" t="s">
        <v>220</v>
      </c>
      <c r="J599" t="s">
        <v>779</v>
      </c>
      <c r="K599">
        <v>0.27183662419502436</v>
      </c>
      <c r="L599" t="s">
        <v>157</v>
      </c>
      <c r="N599" t="s">
        <v>331</v>
      </c>
      <c r="O599" t="s">
        <v>779</v>
      </c>
      <c r="P599">
        <v>0.10917693922892513</v>
      </c>
      <c r="Q599" t="s">
        <v>157</v>
      </c>
      <c r="S599" t="s">
        <v>442</v>
      </c>
      <c r="T599" t="s">
        <v>779</v>
      </c>
      <c r="U599">
        <v>0.11388766992802346</v>
      </c>
      <c r="V599" t="s">
        <v>157</v>
      </c>
    </row>
    <row r="600" spans="9:22" x14ac:dyDescent="0.45">
      <c r="I600" t="s">
        <v>220</v>
      </c>
      <c r="J600" t="s">
        <v>780</v>
      </c>
      <c r="K600">
        <v>5.1113025105604167E-3</v>
      </c>
      <c r="L600" t="s">
        <v>157</v>
      </c>
      <c r="N600" t="s">
        <v>331</v>
      </c>
      <c r="O600" t="s">
        <v>780</v>
      </c>
      <c r="P600">
        <v>0.13794925882490042</v>
      </c>
      <c r="Q600" t="s">
        <v>157</v>
      </c>
      <c r="S600" t="s">
        <v>442</v>
      </c>
      <c r="T600" t="s">
        <v>780</v>
      </c>
      <c r="U600">
        <v>0.11079717060157981</v>
      </c>
      <c r="V600" t="s">
        <v>157</v>
      </c>
    </row>
    <row r="601" spans="9:22" x14ac:dyDescent="0.45">
      <c r="I601" t="s">
        <v>220</v>
      </c>
      <c r="J601" t="s">
        <v>781</v>
      </c>
      <c r="K601">
        <v>2.8759753322807859E-2</v>
      </c>
      <c r="L601" t="s">
        <v>157</v>
      </c>
      <c r="N601" t="s">
        <v>331</v>
      </c>
      <c r="O601" t="s">
        <v>781</v>
      </c>
      <c r="P601">
        <v>2.7139024227918328E-2</v>
      </c>
      <c r="Q601" t="s">
        <v>157</v>
      </c>
      <c r="S601" t="s">
        <v>442</v>
      </c>
      <c r="T601" t="s">
        <v>781</v>
      </c>
      <c r="U601">
        <v>1.9830758162273688E-2</v>
      </c>
      <c r="V601" t="s">
        <v>157</v>
      </c>
    </row>
    <row r="602" spans="9:22" x14ac:dyDescent="0.45">
      <c r="I602" t="s">
        <v>220</v>
      </c>
      <c r="J602" t="s">
        <v>782</v>
      </c>
      <c r="K602">
        <v>0.16313178295843228</v>
      </c>
      <c r="L602" t="s">
        <v>157</v>
      </c>
      <c r="N602" t="s">
        <v>331</v>
      </c>
      <c r="O602" t="s">
        <v>782</v>
      </c>
      <c r="P602">
        <v>8.9737511751807608E-2</v>
      </c>
      <c r="Q602" t="s">
        <v>157</v>
      </c>
      <c r="S602" t="s">
        <v>442</v>
      </c>
      <c r="T602" t="s">
        <v>782</v>
      </c>
      <c r="U602">
        <v>0.11072513221444236</v>
      </c>
      <c r="V602" t="s">
        <v>157</v>
      </c>
    </row>
    <row r="603" spans="9:22" x14ac:dyDescent="0.45">
      <c r="I603" t="s">
        <v>220</v>
      </c>
      <c r="J603" t="s">
        <v>783</v>
      </c>
      <c r="K603">
        <v>0</v>
      </c>
      <c r="L603" t="s">
        <v>157</v>
      </c>
      <c r="N603" t="s">
        <v>331</v>
      </c>
      <c r="O603" t="s">
        <v>783</v>
      </c>
      <c r="P603">
        <v>0.11074953803909889</v>
      </c>
      <c r="Q603" t="s">
        <v>157</v>
      </c>
      <c r="S603" t="s">
        <v>442</v>
      </c>
      <c r="T603" t="s">
        <v>783</v>
      </c>
      <c r="U603">
        <v>0.11164045776697487</v>
      </c>
      <c r="V603" t="s">
        <v>157</v>
      </c>
    </row>
    <row r="604" spans="9:22" x14ac:dyDescent="0.45">
      <c r="I604" t="s">
        <v>220</v>
      </c>
      <c r="J604" t="s">
        <v>784</v>
      </c>
      <c r="K604">
        <v>1.2217082087100687E-2</v>
      </c>
      <c r="L604" t="s">
        <v>157</v>
      </c>
      <c r="N604" t="s">
        <v>331</v>
      </c>
      <c r="O604" t="s">
        <v>784</v>
      </c>
      <c r="P604">
        <v>2.2337456838635722E-2</v>
      </c>
      <c r="Q604" t="s">
        <v>157</v>
      </c>
      <c r="S604" t="s">
        <v>442</v>
      </c>
      <c r="T604" t="s">
        <v>784</v>
      </c>
      <c r="U604">
        <v>2.1343759262994564E-2</v>
      </c>
      <c r="V604" t="s">
        <v>157</v>
      </c>
    </row>
    <row r="605" spans="9:22" x14ac:dyDescent="0.45">
      <c r="I605" t="s">
        <v>220</v>
      </c>
      <c r="J605" t="s">
        <v>785</v>
      </c>
      <c r="K605">
        <v>0.10714661434083313</v>
      </c>
      <c r="L605" t="s">
        <v>157</v>
      </c>
      <c r="N605" t="s">
        <v>331</v>
      </c>
      <c r="O605" t="s">
        <v>785</v>
      </c>
      <c r="P605">
        <v>0.11161637328313517</v>
      </c>
      <c r="Q605" t="s">
        <v>157</v>
      </c>
      <c r="S605" t="s">
        <v>442</v>
      </c>
      <c r="T605" t="s">
        <v>785</v>
      </c>
      <c r="U605">
        <v>0.11568345322385117</v>
      </c>
      <c r="V605" t="s">
        <v>157</v>
      </c>
    </row>
    <row r="606" spans="9:22" x14ac:dyDescent="0.45">
      <c r="I606" t="s">
        <v>220</v>
      </c>
      <c r="J606" t="s">
        <v>786</v>
      </c>
      <c r="K606">
        <v>0</v>
      </c>
      <c r="L606" t="s">
        <v>157</v>
      </c>
      <c r="N606" t="s">
        <v>331</v>
      </c>
      <c r="O606" t="s">
        <v>786</v>
      </c>
      <c r="P606">
        <v>0.13390937092330643</v>
      </c>
      <c r="Q606" t="s">
        <v>157</v>
      </c>
      <c r="S606" t="s">
        <v>442</v>
      </c>
      <c r="T606" t="s">
        <v>786</v>
      </c>
      <c r="U606">
        <v>0.11694715229242691</v>
      </c>
      <c r="V606" t="s">
        <v>157</v>
      </c>
    </row>
    <row r="607" spans="9:22" x14ac:dyDescent="0.45">
      <c r="I607" t="s">
        <v>220</v>
      </c>
      <c r="J607" t="s">
        <v>787</v>
      </c>
      <c r="K607">
        <v>3.0290402465958243E-3</v>
      </c>
      <c r="L607" t="s">
        <v>157</v>
      </c>
      <c r="N607" t="s">
        <v>331</v>
      </c>
      <c r="O607" t="s">
        <v>787</v>
      </c>
      <c r="P607">
        <v>2.3936787960679634E-2</v>
      </c>
      <c r="Q607" t="s">
        <v>157</v>
      </c>
      <c r="S607" t="s">
        <v>442</v>
      </c>
      <c r="T607" t="s">
        <v>787</v>
      </c>
      <c r="U607">
        <v>2.1520630415078568E-2</v>
      </c>
      <c r="V607" t="s">
        <v>157</v>
      </c>
    </row>
    <row r="608" spans="9:22" x14ac:dyDescent="0.45">
      <c r="I608" t="s">
        <v>220</v>
      </c>
      <c r="J608" t="s">
        <v>788</v>
      </c>
      <c r="K608">
        <v>0.34166053946376845</v>
      </c>
      <c r="L608" t="s">
        <v>157</v>
      </c>
      <c r="N608" t="s">
        <v>331</v>
      </c>
      <c r="O608" t="s">
        <v>788</v>
      </c>
      <c r="P608">
        <v>9.6152551025606089E-2</v>
      </c>
      <c r="Q608" t="s">
        <v>157</v>
      </c>
      <c r="S608" t="s">
        <v>442</v>
      </c>
      <c r="T608" t="s">
        <v>788</v>
      </c>
      <c r="U608">
        <v>0.11858730757924182</v>
      </c>
      <c r="V608" t="s">
        <v>157</v>
      </c>
    </row>
    <row r="609" spans="9:22" x14ac:dyDescent="0.45">
      <c r="I609" t="s">
        <v>220</v>
      </c>
      <c r="J609" t="s">
        <v>789</v>
      </c>
      <c r="K609">
        <v>1.8662485703979343E-2</v>
      </c>
      <c r="L609" t="s">
        <v>157</v>
      </c>
      <c r="N609" t="s">
        <v>331</v>
      </c>
      <c r="O609" t="s">
        <v>789</v>
      </c>
      <c r="P609">
        <v>0.11064294349612788</v>
      </c>
      <c r="Q609" t="s">
        <v>157</v>
      </c>
      <c r="S609" t="s">
        <v>442</v>
      </c>
      <c r="T609" t="s">
        <v>789</v>
      </c>
      <c r="U609">
        <v>0.11749368983138114</v>
      </c>
      <c r="V609" t="s">
        <v>157</v>
      </c>
    </row>
    <row r="610" spans="9:22" x14ac:dyDescent="0.45">
      <c r="I610" t="s">
        <v>220</v>
      </c>
      <c r="J610" t="s">
        <v>790</v>
      </c>
      <c r="K610">
        <v>4.8444775170897666E-2</v>
      </c>
      <c r="L610" t="s">
        <v>157</v>
      </c>
      <c r="N610" t="s">
        <v>331</v>
      </c>
      <c r="O610" t="s">
        <v>790</v>
      </c>
      <c r="P610">
        <v>2.6652244399858693E-2</v>
      </c>
      <c r="Q610" t="s">
        <v>157</v>
      </c>
      <c r="S610" t="s">
        <v>442</v>
      </c>
      <c r="T610" t="s">
        <v>790</v>
      </c>
      <c r="U610">
        <v>2.1542818721731728E-2</v>
      </c>
      <c r="V610" t="s">
        <v>157</v>
      </c>
    </row>
    <row r="611" spans="9:22" x14ac:dyDescent="0.45">
      <c r="I611" t="s">
        <v>221</v>
      </c>
      <c r="J611" t="s">
        <v>779</v>
      </c>
      <c r="K611">
        <v>0.26739666254404804</v>
      </c>
      <c r="L611" t="s">
        <v>157</v>
      </c>
      <c r="N611" t="s">
        <v>332</v>
      </c>
      <c r="O611" t="s">
        <v>779</v>
      </c>
      <c r="P611">
        <v>0.12210625191143963</v>
      </c>
      <c r="Q611" t="s">
        <v>157</v>
      </c>
      <c r="S611" t="s">
        <v>443</v>
      </c>
      <c r="T611" t="s">
        <v>779</v>
      </c>
      <c r="U611">
        <v>0.11320508363882004</v>
      </c>
      <c r="V611" t="s">
        <v>157</v>
      </c>
    </row>
    <row r="612" spans="9:22" x14ac:dyDescent="0.45">
      <c r="I612" t="s">
        <v>221</v>
      </c>
      <c r="J612" t="s">
        <v>780</v>
      </c>
      <c r="K612">
        <v>4.7176380424974167E-3</v>
      </c>
      <c r="L612" t="s">
        <v>157</v>
      </c>
      <c r="N612" t="s">
        <v>332</v>
      </c>
      <c r="O612" t="s">
        <v>780</v>
      </c>
      <c r="P612">
        <v>0.13893250499484686</v>
      </c>
      <c r="Q612" t="s">
        <v>157</v>
      </c>
      <c r="S612" t="s">
        <v>443</v>
      </c>
      <c r="T612" t="s">
        <v>780</v>
      </c>
      <c r="U612">
        <v>0.1102834765317373</v>
      </c>
      <c r="V612" t="s">
        <v>157</v>
      </c>
    </row>
    <row r="613" spans="9:22" x14ac:dyDescent="0.45">
      <c r="I613" t="s">
        <v>221</v>
      </c>
      <c r="J613" t="s">
        <v>781</v>
      </c>
      <c r="K613">
        <v>2.8396117291063627E-2</v>
      </c>
      <c r="L613" t="s">
        <v>157</v>
      </c>
      <c r="N613" t="s">
        <v>332</v>
      </c>
      <c r="O613" t="s">
        <v>781</v>
      </c>
      <c r="P613">
        <v>2.6778686948347764E-2</v>
      </c>
      <c r="Q613" t="s">
        <v>157</v>
      </c>
      <c r="S613" t="s">
        <v>443</v>
      </c>
      <c r="T613" t="s">
        <v>781</v>
      </c>
      <c r="U613">
        <v>1.9576319482860025E-2</v>
      </c>
      <c r="V613" t="s">
        <v>157</v>
      </c>
    </row>
    <row r="614" spans="9:22" x14ac:dyDescent="0.45">
      <c r="I614" t="s">
        <v>221</v>
      </c>
      <c r="J614" t="s">
        <v>782</v>
      </c>
      <c r="K614">
        <v>0.16800248821579938</v>
      </c>
      <c r="L614" t="s">
        <v>157</v>
      </c>
      <c r="N614" t="s">
        <v>332</v>
      </c>
      <c r="O614" t="s">
        <v>782</v>
      </c>
      <c r="P614">
        <v>8.9925379610393902E-2</v>
      </c>
      <c r="Q614" t="s">
        <v>157</v>
      </c>
      <c r="S614" t="s">
        <v>443</v>
      </c>
      <c r="T614" t="s">
        <v>782</v>
      </c>
      <c r="U614">
        <v>0.11297662939132602</v>
      </c>
      <c r="V614" t="s">
        <v>157</v>
      </c>
    </row>
    <row r="615" spans="9:22" x14ac:dyDescent="0.45">
      <c r="I615" t="s">
        <v>221</v>
      </c>
      <c r="J615" t="s">
        <v>783</v>
      </c>
      <c r="K615">
        <v>0</v>
      </c>
      <c r="L615" t="s">
        <v>157</v>
      </c>
      <c r="N615" t="s">
        <v>332</v>
      </c>
      <c r="O615" t="s">
        <v>783</v>
      </c>
      <c r="P615">
        <v>0.10405134284653957</v>
      </c>
      <c r="Q615" t="s">
        <v>157</v>
      </c>
      <c r="S615" t="s">
        <v>443</v>
      </c>
      <c r="T615" t="s">
        <v>783</v>
      </c>
      <c r="U615">
        <v>0.11528183770253073</v>
      </c>
      <c r="V615" t="s">
        <v>157</v>
      </c>
    </row>
    <row r="616" spans="9:22" x14ac:dyDescent="0.45">
      <c r="I616" t="s">
        <v>221</v>
      </c>
      <c r="J616" t="s">
        <v>784</v>
      </c>
      <c r="K616">
        <v>1.2795295262558692E-2</v>
      </c>
      <c r="L616" t="s">
        <v>157</v>
      </c>
      <c r="N616" t="s">
        <v>332</v>
      </c>
      <c r="O616" t="s">
        <v>784</v>
      </c>
      <c r="P616">
        <v>2.0737726836106123E-2</v>
      </c>
      <c r="Q616" t="s">
        <v>157</v>
      </c>
      <c r="S616" t="s">
        <v>443</v>
      </c>
      <c r="T616" t="s">
        <v>784</v>
      </c>
      <c r="U616">
        <v>2.2058495915758355E-2</v>
      </c>
      <c r="V616" t="s">
        <v>157</v>
      </c>
    </row>
    <row r="617" spans="9:22" x14ac:dyDescent="0.45">
      <c r="I617" t="s">
        <v>221</v>
      </c>
      <c r="J617" t="s">
        <v>785</v>
      </c>
      <c r="K617">
        <v>0.10637284760852986</v>
      </c>
      <c r="L617" t="s">
        <v>157</v>
      </c>
      <c r="N617" t="s">
        <v>332</v>
      </c>
      <c r="O617" t="s">
        <v>785</v>
      </c>
      <c r="P617">
        <v>0.11688875469291829</v>
      </c>
      <c r="Q617" t="s">
        <v>157</v>
      </c>
      <c r="S617" t="s">
        <v>443</v>
      </c>
      <c r="T617" t="s">
        <v>785</v>
      </c>
      <c r="U617">
        <v>0.11416872346147511</v>
      </c>
      <c r="V617" t="s">
        <v>157</v>
      </c>
    </row>
    <row r="618" spans="9:22" x14ac:dyDescent="0.45">
      <c r="I618" t="s">
        <v>221</v>
      </c>
      <c r="J618" t="s">
        <v>786</v>
      </c>
      <c r="K618">
        <v>0</v>
      </c>
      <c r="L618" t="s">
        <v>157</v>
      </c>
      <c r="N618" t="s">
        <v>332</v>
      </c>
      <c r="O618" t="s">
        <v>786</v>
      </c>
      <c r="P618">
        <v>0.13668050402067228</v>
      </c>
      <c r="Q618" t="s">
        <v>157</v>
      </c>
      <c r="S618" t="s">
        <v>443</v>
      </c>
      <c r="T618" t="s">
        <v>786</v>
      </c>
      <c r="U618">
        <v>0.11445121266587691</v>
      </c>
      <c r="V618" t="s">
        <v>157</v>
      </c>
    </row>
    <row r="619" spans="9:22" x14ac:dyDescent="0.45">
      <c r="I619" t="s">
        <v>221</v>
      </c>
      <c r="J619" t="s">
        <v>787</v>
      </c>
      <c r="K619">
        <v>2.9917917902460229E-3</v>
      </c>
      <c r="L619" t="s">
        <v>157</v>
      </c>
      <c r="N619" t="s">
        <v>332</v>
      </c>
      <c r="O619" t="s">
        <v>787</v>
      </c>
      <c r="P619">
        <v>2.3667621829018069E-2</v>
      </c>
      <c r="Q619" t="s">
        <v>157</v>
      </c>
      <c r="S619" t="s">
        <v>443</v>
      </c>
      <c r="T619" t="s">
        <v>787</v>
      </c>
      <c r="U619">
        <v>2.0767071013815416E-2</v>
      </c>
      <c r="V619" t="s">
        <v>157</v>
      </c>
    </row>
    <row r="620" spans="9:22" x14ac:dyDescent="0.45">
      <c r="I620" t="s">
        <v>221</v>
      </c>
      <c r="J620" t="s">
        <v>788</v>
      </c>
      <c r="K620">
        <v>0.34207278893381704</v>
      </c>
      <c r="L620" t="s">
        <v>157</v>
      </c>
      <c r="N620" t="s">
        <v>332</v>
      </c>
      <c r="O620" t="s">
        <v>788</v>
      </c>
      <c r="P620">
        <v>9.4517634639767312E-2</v>
      </c>
      <c r="Q620" t="s">
        <v>157</v>
      </c>
      <c r="S620" t="s">
        <v>443</v>
      </c>
      <c r="T620" t="s">
        <v>788</v>
      </c>
      <c r="U620">
        <v>0.11788542155884722</v>
      </c>
      <c r="V620" t="s">
        <v>157</v>
      </c>
    </row>
    <row r="621" spans="9:22" x14ac:dyDescent="0.45">
      <c r="I621" t="s">
        <v>221</v>
      </c>
      <c r="J621" t="s">
        <v>789</v>
      </c>
      <c r="K621">
        <v>1.8498174312739056E-2</v>
      </c>
      <c r="L621" t="s">
        <v>157</v>
      </c>
      <c r="N621" t="s">
        <v>332</v>
      </c>
      <c r="O621" t="s">
        <v>789</v>
      </c>
      <c r="P621">
        <v>0.10369802074350788</v>
      </c>
      <c r="Q621" t="s">
        <v>157</v>
      </c>
      <c r="S621" t="s">
        <v>443</v>
      </c>
      <c r="T621" t="s">
        <v>789</v>
      </c>
      <c r="U621">
        <v>0.11751204612597645</v>
      </c>
      <c r="V621" t="s">
        <v>157</v>
      </c>
    </row>
    <row r="622" spans="9:22" x14ac:dyDescent="0.45">
      <c r="I622" t="s">
        <v>221</v>
      </c>
      <c r="J622" t="s">
        <v>790</v>
      </c>
      <c r="K622">
        <v>4.8756195998700944E-2</v>
      </c>
      <c r="L622" t="s">
        <v>157</v>
      </c>
      <c r="N622" t="s">
        <v>332</v>
      </c>
      <c r="O622" t="s">
        <v>790</v>
      </c>
      <c r="P622">
        <v>2.2015570926442338E-2</v>
      </c>
      <c r="Q622" t="s">
        <v>157</v>
      </c>
      <c r="S622" t="s">
        <v>443</v>
      </c>
      <c r="T622" t="s">
        <v>790</v>
      </c>
      <c r="U622">
        <v>2.1833682510976473E-2</v>
      </c>
      <c r="V622" t="s">
        <v>157</v>
      </c>
    </row>
    <row r="623" spans="9:22" x14ac:dyDescent="0.45">
      <c r="I623" t="s">
        <v>222</v>
      </c>
      <c r="J623" t="s">
        <v>779</v>
      </c>
      <c r="K623">
        <v>0.26344353647891666</v>
      </c>
      <c r="L623" t="s">
        <v>157</v>
      </c>
      <c r="N623" t="s">
        <v>333</v>
      </c>
      <c r="O623" t="s">
        <v>779</v>
      </c>
      <c r="P623">
        <v>0.14618633018837776</v>
      </c>
      <c r="Q623" t="s">
        <v>157</v>
      </c>
      <c r="S623" t="s">
        <v>444</v>
      </c>
      <c r="T623" t="s">
        <v>779</v>
      </c>
      <c r="U623">
        <v>0.11283387069123708</v>
      </c>
      <c r="V623" t="s">
        <v>157</v>
      </c>
    </row>
    <row r="624" spans="9:22" x14ac:dyDescent="0.45">
      <c r="I624" t="s">
        <v>222</v>
      </c>
      <c r="J624" t="s">
        <v>780</v>
      </c>
      <c r="K624">
        <v>4.0900313669821027E-3</v>
      </c>
      <c r="L624" t="s">
        <v>157</v>
      </c>
      <c r="N624" t="s">
        <v>333</v>
      </c>
      <c r="O624" t="s">
        <v>780</v>
      </c>
      <c r="P624">
        <v>0.14009472161978595</v>
      </c>
      <c r="Q624" t="s">
        <v>157</v>
      </c>
      <c r="S624" t="s">
        <v>444</v>
      </c>
      <c r="T624" t="s">
        <v>780</v>
      </c>
      <c r="U624">
        <v>0.11112056571122579</v>
      </c>
      <c r="V624" t="s">
        <v>157</v>
      </c>
    </row>
    <row r="625" spans="9:22" x14ac:dyDescent="0.45">
      <c r="I625" t="s">
        <v>222</v>
      </c>
      <c r="J625" t="s">
        <v>781</v>
      </c>
      <c r="K625">
        <v>2.7995917868158266E-2</v>
      </c>
      <c r="L625" t="s">
        <v>157</v>
      </c>
      <c r="N625" t="s">
        <v>333</v>
      </c>
      <c r="O625" t="s">
        <v>781</v>
      </c>
      <c r="P625">
        <v>2.7545444999277933E-2</v>
      </c>
      <c r="Q625" t="s">
        <v>157</v>
      </c>
      <c r="S625" t="s">
        <v>444</v>
      </c>
      <c r="T625" t="s">
        <v>781</v>
      </c>
      <c r="U625">
        <v>2.0163537201944862E-2</v>
      </c>
      <c r="V625" t="s">
        <v>157</v>
      </c>
    </row>
    <row r="626" spans="9:22" x14ac:dyDescent="0.45">
      <c r="I626" t="s">
        <v>222</v>
      </c>
      <c r="J626" t="s">
        <v>782</v>
      </c>
      <c r="K626">
        <v>0.1720512421348849</v>
      </c>
      <c r="L626" t="s">
        <v>157</v>
      </c>
      <c r="N626" t="s">
        <v>333</v>
      </c>
      <c r="O626" t="s">
        <v>782</v>
      </c>
      <c r="P626">
        <v>9.5523481479139458E-2</v>
      </c>
      <c r="Q626" t="s">
        <v>157</v>
      </c>
      <c r="S626" t="s">
        <v>444</v>
      </c>
      <c r="T626" t="s">
        <v>782</v>
      </c>
      <c r="U626">
        <v>0.11361919857846622</v>
      </c>
      <c r="V626" t="s">
        <v>157</v>
      </c>
    </row>
    <row r="627" spans="9:22" x14ac:dyDescent="0.45">
      <c r="I627" t="s">
        <v>222</v>
      </c>
      <c r="J627" t="s">
        <v>783</v>
      </c>
      <c r="K627">
        <v>0</v>
      </c>
      <c r="L627" t="s">
        <v>157</v>
      </c>
      <c r="N627" t="s">
        <v>333</v>
      </c>
      <c r="O627" t="s">
        <v>783</v>
      </c>
      <c r="P627">
        <v>9.8424193028126689E-2</v>
      </c>
      <c r="Q627" t="s">
        <v>157</v>
      </c>
      <c r="S627" t="s">
        <v>444</v>
      </c>
      <c r="T627" t="s">
        <v>783</v>
      </c>
      <c r="U627">
        <v>0.11692515217904535</v>
      </c>
      <c r="V627" t="s">
        <v>157</v>
      </c>
    </row>
    <row r="628" spans="9:22" x14ac:dyDescent="0.45">
      <c r="I628" t="s">
        <v>222</v>
      </c>
      <c r="J628" t="s">
        <v>784</v>
      </c>
      <c r="K628">
        <v>1.3304138463131158E-2</v>
      </c>
      <c r="L628" t="s">
        <v>157</v>
      </c>
      <c r="N628" t="s">
        <v>333</v>
      </c>
      <c r="O628" t="s">
        <v>784</v>
      </c>
      <c r="P628">
        <v>1.7922007217000852E-2</v>
      </c>
      <c r="Q628" t="s">
        <v>157</v>
      </c>
      <c r="S628" t="s">
        <v>444</v>
      </c>
      <c r="T628" t="s">
        <v>784</v>
      </c>
      <c r="U628">
        <v>2.2718751365138595E-2</v>
      </c>
      <c r="V628" t="s">
        <v>157</v>
      </c>
    </row>
    <row r="629" spans="9:22" x14ac:dyDescent="0.45">
      <c r="I629" t="s">
        <v>222</v>
      </c>
      <c r="J629" t="s">
        <v>785</v>
      </c>
      <c r="K629">
        <v>0.10628352315495684</v>
      </c>
      <c r="L629" t="s">
        <v>157</v>
      </c>
      <c r="N629" t="s">
        <v>333</v>
      </c>
      <c r="O629" t="s">
        <v>785</v>
      </c>
      <c r="P629">
        <v>0.11828311003647018</v>
      </c>
      <c r="Q629" t="s">
        <v>157</v>
      </c>
      <c r="S629" t="s">
        <v>444</v>
      </c>
      <c r="T629" t="s">
        <v>785</v>
      </c>
      <c r="U629">
        <v>0.11432776762156532</v>
      </c>
      <c r="V629" t="s">
        <v>157</v>
      </c>
    </row>
    <row r="630" spans="9:22" x14ac:dyDescent="0.45">
      <c r="I630" t="s">
        <v>222</v>
      </c>
      <c r="J630" t="s">
        <v>786</v>
      </c>
      <c r="K630">
        <v>0</v>
      </c>
      <c r="L630" t="s">
        <v>157</v>
      </c>
      <c r="N630" t="s">
        <v>333</v>
      </c>
      <c r="O630" t="s">
        <v>786</v>
      </c>
      <c r="P630">
        <v>0.11554126047898597</v>
      </c>
      <c r="Q630" t="s">
        <v>157</v>
      </c>
      <c r="S630" t="s">
        <v>444</v>
      </c>
      <c r="T630" t="s">
        <v>786</v>
      </c>
      <c r="U630">
        <v>0.11444502612521443</v>
      </c>
      <c r="V630" t="s">
        <v>157</v>
      </c>
    </row>
    <row r="631" spans="9:22" x14ac:dyDescent="0.45">
      <c r="I631" t="s">
        <v>222</v>
      </c>
      <c r="J631" t="s">
        <v>787</v>
      </c>
      <c r="K631">
        <v>2.8694455313697294E-3</v>
      </c>
      <c r="L631" t="s">
        <v>157</v>
      </c>
      <c r="N631" t="s">
        <v>333</v>
      </c>
      <c r="O631" t="s">
        <v>787</v>
      </c>
      <c r="P631">
        <v>2.152056305043196E-2</v>
      </c>
      <c r="Q631" t="s">
        <v>157</v>
      </c>
      <c r="S631" t="s">
        <v>444</v>
      </c>
      <c r="T631" t="s">
        <v>787</v>
      </c>
      <c r="U631">
        <v>2.0549533484685283E-2</v>
      </c>
      <c r="V631" t="s">
        <v>157</v>
      </c>
    </row>
    <row r="632" spans="9:22" x14ac:dyDescent="0.45">
      <c r="I632" t="s">
        <v>222</v>
      </c>
      <c r="J632" t="s">
        <v>788</v>
      </c>
      <c r="K632">
        <v>0.34328964523149386</v>
      </c>
      <c r="L632" t="s">
        <v>157</v>
      </c>
      <c r="N632" t="s">
        <v>333</v>
      </c>
      <c r="O632" t="s">
        <v>788</v>
      </c>
      <c r="P632">
        <v>0.10882425881070723</v>
      </c>
      <c r="Q632" t="s">
        <v>157</v>
      </c>
      <c r="S632" t="s">
        <v>444</v>
      </c>
      <c r="T632" t="s">
        <v>788</v>
      </c>
      <c r="U632">
        <v>0.11464401604855839</v>
      </c>
      <c r="V632" t="s">
        <v>157</v>
      </c>
    </row>
    <row r="633" spans="9:22" x14ac:dyDescent="0.45">
      <c r="I633" t="s">
        <v>222</v>
      </c>
      <c r="J633" t="s">
        <v>789</v>
      </c>
      <c r="K633">
        <v>1.7611696793325634E-2</v>
      </c>
      <c r="L633" t="s">
        <v>157</v>
      </c>
      <c r="N633" t="s">
        <v>333</v>
      </c>
      <c r="O633" t="s">
        <v>789</v>
      </c>
      <c r="P633">
        <v>9.2140344393132664E-2</v>
      </c>
      <c r="Q633" t="s">
        <v>157</v>
      </c>
      <c r="S633" t="s">
        <v>444</v>
      </c>
      <c r="T633" t="s">
        <v>789</v>
      </c>
      <c r="U633">
        <v>0.11637737535291552</v>
      </c>
      <c r="V633" t="s">
        <v>157</v>
      </c>
    </row>
    <row r="634" spans="9:22" x14ac:dyDescent="0.45">
      <c r="I634" t="s">
        <v>222</v>
      </c>
      <c r="J634" t="s">
        <v>790</v>
      </c>
      <c r="K634">
        <v>4.9060822976780931E-2</v>
      </c>
      <c r="L634" t="s">
        <v>157</v>
      </c>
      <c r="N634" t="s">
        <v>333</v>
      </c>
      <c r="O634" t="s">
        <v>790</v>
      </c>
      <c r="P634">
        <v>1.7994284698563297E-2</v>
      </c>
      <c r="Q634" t="s">
        <v>157</v>
      </c>
      <c r="S634" t="s">
        <v>444</v>
      </c>
      <c r="T634" t="s">
        <v>790</v>
      </c>
      <c r="U634">
        <v>2.227520564000314E-2</v>
      </c>
      <c r="V634" t="s">
        <v>157</v>
      </c>
    </row>
    <row r="635" spans="9:22" x14ac:dyDescent="0.45">
      <c r="I635" t="s">
        <v>223</v>
      </c>
      <c r="J635" t="s">
        <v>779</v>
      </c>
      <c r="K635">
        <v>0.25654634401292731</v>
      </c>
      <c r="L635" t="s">
        <v>157</v>
      </c>
      <c r="N635" t="s">
        <v>334</v>
      </c>
      <c r="O635" t="s">
        <v>779</v>
      </c>
      <c r="P635">
        <v>0.17915049948019496</v>
      </c>
      <c r="Q635" t="s">
        <v>157</v>
      </c>
      <c r="S635" t="s">
        <v>445</v>
      </c>
      <c r="T635" t="s">
        <v>779</v>
      </c>
      <c r="U635">
        <v>0.12194116522004252</v>
      </c>
      <c r="V635" t="s">
        <v>157</v>
      </c>
    </row>
    <row r="636" spans="9:22" x14ac:dyDescent="0.45">
      <c r="I636" t="s">
        <v>223</v>
      </c>
      <c r="J636" t="s">
        <v>780</v>
      </c>
      <c r="K636">
        <v>3.6989138300965612E-3</v>
      </c>
      <c r="L636" t="s">
        <v>157</v>
      </c>
      <c r="N636" t="s">
        <v>334</v>
      </c>
      <c r="O636" t="s">
        <v>780</v>
      </c>
      <c r="P636">
        <v>0.1292110022859613</v>
      </c>
      <c r="Q636" t="s">
        <v>157</v>
      </c>
      <c r="S636" t="s">
        <v>445</v>
      </c>
      <c r="T636" t="s">
        <v>780</v>
      </c>
      <c r="U636">
        <v>0.11647535306435478</v>
      </c>
      <c r="V636" t="s">
        <v>157</v>
      </c>
    </row>
    <row r="637" spans="9:22" x14ac:dyDescent="0.45">
      <c r="I637" t="s">
        <v>223</v>
      </c>
      <c r="J637" t="s">
        <v>781</v>
      </c>
      <c r="K637">
        <v>2.7747240067763398E-2</v>
      </c>
      <c r="L637" t="s">
        <v>157</v>
      </c>
      <c r="N637" t="s">
        <v>334</v>
      </c>
      <c r="O637" t="s">
        <v>781</v>
      </c>
      <c r="P637">
        <v>2.9969635317110204E-2</v>
      </c>
      <c r="Q637" t="s">
        <v>157</v>
      </c>
      <c r="S637" t="s">
        <v>445</v>
      </c>
      <c r="T637" t="s">
        <v>781</v>
      </c>
      <c r="U637">
        <v>2.3366236152125481E-2</v>
      </c>
      <c r="V637" t="s">
        <v>157</v>
      </c>
    </row>
    <row r="638" spans="9:22" x14ac:dyDescent="0.45">
      <c r="I638" t="s">
        <v>223</v>
      </c>
      <c r="J638" t="s">
        <v>782</v>
      </c>
      <c r="K638">
        <v>0.17541757559148632</v>
      </c>
      <c r="L638" t="s">
        <v>157</v>
      </c>
      <c r="N638" t="s">
        <v>334</v>
      </c>
      <c r="O638" t="s">
        <v>782</v>
      </c>
      <c r="P638">
        <v>9.4785190293857916E-2</v>
      </c>
      <c r="Q638" t="s">
        <v>157</v>
      </c>
      <c r="S638" t="s">
        <v>445</v>
      </c>
      <c r="T638" t="s">
        <v>782</v>
      </c>
      <c r="U638">
        <v>0.11254963360122075</v>
      </c>
      <c r="V638" t="s">
        <v>157</v>
      </c>
    </row>
    <row r="639" spans="9:22" x14ac:dyDescent="0.45">
      <c r="I639" t="s">
        <v>223</v>
      </c>
      <c r="J639" t="s">
        <v>783</v>
      </c>
      <c r="K639">
        <v>0</v>
      </c>
      <c r="L639" t="s">
        <v>157</v>
      </c>
      <c r="N639" t="s">
        <v>334</v>
      </c>
      <c r="O639" t="s">
        <v>783</v>
      </c>
      <c r="P639">
        <v>7.3661712544579969E-2</v>
      </c>
      <c r="Q639" t="s">
        <v>157</v>
      </c>
      <c r="S639" t="s">
        <v>445</v>
      </c>
      <c r="T639" t="s">
        <v>783</v>
      </c>
      <c r="U639">
        <v>0.11691166299154164</v>
      </c>
      <c r="V639" t="s">
        <v>157</v>
      </c>
    </row>
    <row r="640" spans="9:22" x14ac:dyDescent="0.45">
      <c r="I640" t="s">
        <v>223</v>
      </c>
      <c r="J640" t="s">
        <v>784</v>
      </c>
      <c r="K640">
        <v>1.3698797002485056E-2</v>
      </c>
      <c r="L640" t="s">
        <v>157</v>
      </c>
      <c r="N640" t="s">
        <v>334</v>
      </c>
      <c r="O640" t="s">
        <v>784</v>
      </c>
      <c r="P640">
        <v>1.5639722616271987E-2</v>
      </c>
      <c r="Q640" t="s">
        <v>157</v>
      </c>
      <c r="S640" t="s">
        <v>445</v>
      </c>
      <c r="T640" t="s">
        <v>784</v>
      </c>
      <c r="U640">
        <v>2.3196524139325367E-2</v>
      </c>
      <c r="V640" t="s">
        <v>157</v>
      </c>
    </row>
    <row r="641" spans="9:22" x14ac:dyDescent="0.45">
      <c r="I641" t="s">
        <v>223</v>
      </c>
      <c r="J641" t="s">
        <v>785</v>
      </c>
      <c r="K641">
        <v>0.10618041743246502</v>
      </c>
      <c r="L641" t="s">
        <v>157</v>
      </c>
      <c r="N641" t="s">
        <v>334</v>
      </c>
      <c r="O641" t="s">
        <v>785</v>
      </c>
      <c r="P641">
        <v>0.12541890635944486</v>
      </c>
      <c r="Q641" t="s">
        <v>157</v>
      </c>
      <c r="S641" t="s">
        <v>445</v>
      </c>
      <c r="T641" t="s">
        <v>785</v>
      </c>
      <c r="U641">
        <v>0.11105892749012623</v>
      </c>
      <c r="V641" t="s">
        <v>157</v>
      </c>
    </row>
    <row r="642" spans="9:22" x14ac:dyDescent="0.45">
      <c r="I642" t="s">
        <v>223</v>
      </c>
      <c r="J642" t="s">
        <v>786</v>
      </c>
      <c r="K642">
        <v>0</v>
      </c>
      <c r="L642" t="s">
        <v>157</v>
      </c>
      <c r="N642" t="s">
        <v>334</v>
      </c>
      <c r="O642" t="s">
        <v>786</v>
      </c>
      <c r="P642">
        <v>0.1043519166097828</v>
      </c>
      <c r="Q642" t="s">
        <v>157</v>
      </c>
      <c r="S642" t="s">
        <v>445</v>
      </c>
      <c r="T642" t="s">
        <v>786</v>
      </c>
      <c r="U642">
        <v>0.11514520844932315</v>
      </c>
      <c r="V642" t="s">
        <v>157</v>
      </c>
    </row>
    <row r="643" spans="9:22" x14ac:dyDescent="0.45">
      <c r="I643" t="s">
        <v>223</v>
      </c>
      <c r="J643" t="s">
        <v>787</v>
      </c>
      <c r="K643">
        <v>2.9560685611117635E-3</v>
      </c>
      <c r="L643" t="s">
        <v>157</v>
      </c>
      <c r="N643" t="s">
        <v>334</v>
      </c>
      <c r="O643" t="s">
        <v>787</v>
      </c>
      <c r="P643">
        <v>2.1913714241190908E-2</v>
      </c>
      <c r="Q643" t="s">
        <v>157</v>
      </c>
      <c r="S643" t="s">
        <v>445</v>
      </c>
      <c r="T643" t="s">
        <v>787</v>
      </c>
      <c r="U643">
        <v>2.0616590889800127E-2</v>
      </c>
      <c r="V643" t="s">
        <v>157</v>
      </c>
    </row>
    <row r="644" spans="9:22" x14ac:dyDescent="0.45">
      <c r="I644" t="s">
        <v>223</v>
      </c>
      <c r="J644" t="s">
        <v>788</v>
      </c>
      <c r="K644">
        <v>0.34763477722183417</v>
      </c>
      <c r="L644" t="s">
        <v>157</v>
      </c>
      <c r="N644" t="s">
        <v>334</v>
      </c>
      <c r="O644" t="s">
        <v>788</v>
      </c>
      <c r="P644">
        <v>0.12955567869462453</v>
      </c>
      <c r="Q644" t="s">
        <v>157</v>
      </c>
      <c r="S644" t="s">
        <v>445</v>
      </c>
      <c r="T644" t="s">
        <v>788</v>
      </c>
      <c r="U644">
        <v>0.10874560025989849</v>
      </c>
      <c r="V644" t="s">
        <v>157</v>
      </c>
    </row>
    <row r="645" spans="9:22" x14ac:dyDescent="0.45">
      <c r="I645" t="s">
        <v>223</v>
      </c>
      <c r="J645" t="s">
        <v>789</v>
      </c>
      <c r="K645">
        <v>1.6698922954700018E-2</v>
      </c>
      <c r="L645" t="s">
        <v>157</v>
      </c>
      <c r="N645" t="s">
        <v>334</v>
      </c>
      <c r="O645" t="s">
        <v>789</v>
      </c>
      <c r="P645">
        <v>7.6382597970825944E-2</v>
      </c>
      <c r="Q645" t="s">
        <v>157</v>
      </c>
      <c r="S645" t="s">
        <v>445</v>
      </c>
      <c r="T645" t="s">
        <v>789</v>
      </c>
      <c r="U645">
        <v>0.10783082232395833</v>
      </c>
      <c r="V645" t="s">
        <v>157</v>
      </c>
    </row>
    <row r="646" spans="9:22" x14ac:dyDescent="0.45">
      <c r="I646" t="s">
        <v>223</v>
      </c>
      <c r="J646" t="s">
        <v>790</v>
      </c>
      <c r="K646">
        <v>4.9420943325130355E-2</v>
      </c>
      <c r="L646" t="s">
        <v>157</v>
      </c>
      <c r="N646" t="s">
        <v>334</v>
      </c>
      <c r="O646" t="s">
        <v>790</v>
      </c>
      <c r="P646">
        <v>1.995942358615458E-2</v>
      </c>
      <c r="Q646" t="s">
        <v>157</v>
      </c>
      <c r="S646" t="s">
        <v>445</v>
      </c>
      <c r="T646" t="s">
        <v>790</v>
      </c>
      <c r="U646">
        <v>2.2162275418283171E-2</v>
      </c>
      <c r="V646" t="s">
        <v>157</v>
      </c>
    </row>
    <row r="647" spans="9:22" x14ac:dyDescent="0.45">
      <c r="I647" t="s">
        <v>224</v>
      </c>
      <c r="J647" t="s">
        <v>779</v>
      </c>
      <c r="K647">
        <v>0.25486303089893891</v>
      </c>
      <c r="L647" t="s">
        <v>157</v>
      </c>
      <c r="N647" t="s">
        <v>335</v>
      </c>
      <c r="O647" t="s">
        <v>779</v>
      </c>
      <c r="P647">
        <v>0.19815660199069376</v>
      </c>
      <c r="Q647" t="s">
        <v>157</v>
      </c>
      <c r="S647" t="s">
        <v>446</v>
      </c>
      <c r="T647" t="s">
        <v>779</v>
      </c>
      <c r="U647">
        <v>0.16995655098790388</v>
      </c>
      <c r="V647" t="s">
        <v>157</v>
      </c>
    </row>
    <row r="648" spans="9:22" x14ac:dyDescent="0.45">
      <c r="I648" t="s">
        <v>224</v>
      </c>
      <c r="J648" t="s">
        <v>780</v>
      </c>
      <c r="K648">
        <v>3.8527382965211536E-3</v>
      </c>
      <c r="L648" t="s">
        <v>157</v>
      </c>
      <c r="N648" t="s">
        <v>335</v>
      </c>
      <c r="O648" t="s">
        <v>780</v>
      </c>
      <c r="P648">
        <v>0.11208254989386311</v>
      </c>
      <c r="Q648" t="s">
        <v>157</v>
      </c>
      <c r="S648" t="s">
        <v>446</v>
      </c>
      <c r="T648" t="s">
        <v>780</v>
      </c>
      <c r="U648">
        <v>0.11708716418121187</v>
      </c>
      <c r="V648" t="s">
        <v>157</v>
      </c>
    </row>
    <row r="649" spans="9:22" x14ac:dyDescent="0.45">
      <c r="I649" t="s">
        <v>224</v>
      </c>
      <c r="J649" t="s">
        <v>781</v>
      </c>
      <c r="K649">
        <v>2.7895080282002598E-2</v>
      </c>
      <c r="L649" t="s">
        <v>157</v>
      </c>
      <c r="N649" t="s">
        <v>335</v>
      </c>
      <c r="O649" t="s">
        <v>781</v>
      </c>
      <c r="P649">
        <v>2.9236910474481785E-2</v>
      </c>
      <c r="Q649" t="s">
        <v>157</v>
      </c>
      <c r="S649" t="s">
        <v>446</v>
      </c>
      <c r="T649" t="s">
        <v>781</v>
      </c>
      <c r="U649">
        <v>2.7713711804812656E-2</v>
      </c>
      <c r="V649" t="s">
        <v>157</v>
      </c>
    </row>
    <row r="650" spans="9:22" x14ac:dyDescent="0.45">
      <c r="I650" t="s">
        <v>224</v>
      </c>
      <c r="J650" t="s">
        <v>782</v>
      </c>
      <c r="K650">
        <v>0.17416622839630047</v>
      </c>
      <c r="L650" t="s">
        <v>157</v>
      </c>
      <c r="N650" t="s">
        <v>335</v>
      </c>
      <c r="O650" t="s">
        <v>782</v>
      </c>
      <c r="P650">
        <v>8.1657700830277735E-2</v>
      </c>
      <c r="Q650" t="s">
        <v>157</v>
      </c>
      <c r="S650" t="s">
        <v>446</v>
      </c>
      <c r="T650" t="s">
        <v>782</v>
      </c>
      <c r="U650">
        <v>0.12019796420941946</v>
      </c>
      <c r="V650" t="s">
        <v>157</v>
      </c>
    </row>
    <row r="651" spans="9:22" x14ac:dyDescent="0.45">
      <c r="I651" t="s">
        <v>224</v>
      </c>
      <c r="J651" t="s">
        <v>783</v>
      </c>
      <c r="K651">
        <v>0</v>
      </c>
      <c r="L651" t="s">
        <v>157</v>
      </c>
      <c r="N651" t="s">
        <v>335</v>
      </c>
      <c r="O651" t="s">
        <v>783</v>
      </c>
      <c r="P651">
        <v>4.9256142224462549E-2</v>
      </c>
      <c r="Q651" t="s">
        <v>157</v>
      </c>
      <c r="S651" t="s">
        <v>446</v>
      </c>
      <c r="T651" t="s">
        <v>783</v>
      </c>
      <c r="U651">
        <v>9.4164492249296947E-2</v>
      </c>
      <c r="V651" t="s">
        <v>157</v>
      </c>
    </row>
    <row r="652" spans="9:22" x14ac:dyDescent="0.45">
      <c r="I652" t="s">
        <v>224</v>
      </c>
      <c r="J652" t="s">
        <v>784</v>
      </c>
      <c r="K652">
        <v>1.4242533422458729E-2</v>
      </c>
      <c r="L652" t="s">
        <v>157</v>
      </c>
      <c r="N652" t="s">
        <v>335</v>
      </c>
      <c r="O652" t="s">
        <v>784</v>
      </c>
      <c r="P652">
        <v>1.0344360563515885E-2</v>
      </c>
      <c r="Q652" t="s">
        <v>157</v>
      </c>
      <c r="S652" t="s">
        <v>446</v>
      </c>
      <c r="T652" t="s">
        <v>784</v>
      </c>
      <c r="U652">
        <v>1.8954110185874354E-2</v>
      </c>
      <c r="V652" t="s">
        <v>157</v>
      </c>
    </row>
    <row r="653" spans="9:22" x14ac:dyDescent="0.45">
      <c r="I653" t="s">
        <v>224</v>
      </c>
      <c r="J653" t="s">
        <v>785</v>
      </c>
      <c r="K653">
        <v>0.10861861059023373</v>
      </c>
      <c r="L653" t="s">
        <v>157</v>
      </c>
      <c r="N653" t="s">
        <v>335</v>
      </c>
      <c r="O653" t="s">
        <v>785</v>
      </c>
      <c r="P653">
        <v>0.12800728248190654</v>
      </c>
      <c r="Q653" t="s">
        <v>157</v>
      </c>
      <c r="S653" t="s">
        <v>446</v>
      </c>
      <c r="T653" t="s">
        <v>785</v>
      </c>
      <c r="U653">
        <v>0.10529005053391371</v>
      </c>
      <c r="V653" t="s">
        <v>157</v>
      </c>
    </row>
    <row r="654" spans="9:22" x14ac:dyDescent="0.45">
      <c r="I654" t="s">
        <v>224</v>
      </c>
      <c r="J654" t="s">
        <v>786</v>
      </c>
      <c r="K654">
        <v>0</v>
      </c>
      <c r="L654" t="s">
        <v>157</v>
      </c>
      <c r="N654" t="s">
        <v>335</v>
      </c>
      <c r="O654" t="s">
        <v>786</v>
      </c>
      <c r="P654">
        <v>0.11356759192204009</v>
      </c>
      <c r="Q654" t="s">
        <v>157</v>
      </c>
      <c r="S654" t="s">
        <v>446</v>
      </c>
      <c r="T654" t="s">
        <v>786</v>
      </c>
      <c r="U654">
        <v>0.10700022713403205</v>
      </c>
      <c r="V654" t="s">
        <v>157</v>
      </c>
    </row>
    <row r="655" spans="9:22" x14ac:dyDescent="0.45">
      <c r="I655" t="s">
        <v>224</v>
      </c>
      <c r="J655" t="s">
        <v>787</v>
      </c>
      <c r="K655">
        <v>3.1048328991415772E-3</v>
      </c>
      <c r="L655" t="s">
        <v>157</v>
      </c>
      <c r="N655" t="s">
        <v>335</v>
      </c>
      <c r="O655" t="s">
        <v>787</v>
      </c>
      <c r="P655">
        <v>2.6334079722652309E-2</v>
      </c>
      <c r="Q655" t="s">
        <v>157</v>
      </c>
      <c r="S655" t="s">
        <v>446</v>
      </c>
      <c r="T655" t="s">
        <v>787</v>
      </c>
      <c r="U655">
        <v>1.8072694145674285E-2</v>
      </c>
      <c r="V655" t="s">
        <v>157</v>
      </c>
    </row>
    <row r="656" spans="9:22" x14ac:dyDescent="0.45">
      <c r="I656" t="s">
        <v>224</v>
      </c>
      <c r="J656" t="s">
        <v>788</v>
      </c>
      <c r="K656">
        <v>0.34630672736120022</v>
      </c>
      <c r="L656" t="s">
        <v>157</v>
      </c>
      <c r="N656" t="s">
        <v>335</v>
      </c>
      <c r="O656" t="s">
        <v>788</v>
      </c>
      <c r="P656">
        <v>0.15340910710418629</v>
      </c>
      <c r="Q656" t="s">
        <v>157</v>
      </c>
      <c r="S656" t="s">
        <v>446</v>
      </c>
      <c r="T656" t="s">
        <v>788</v>
      </c>
      <c r="U656">
        <v>0.12300066734729311</v>
      </c>
      <c r="V656" t="s">
        <v>157</v>
      </c>
    </row>
    <row r="657" spans="9:22" x14ac:dyDescent="0.45">
      <c r="I657" t="s">
        <v>224</v>
      </c>
      <c r="J657" t="s">
        <v>789</v>
      </c>
      <c r="K657">
        <v>1.6607024356667274E-2</v>
      </c>
      <c r="L657" t="s">
        <v>157</v>
      </c>
      <c r="N657" t="s">
        <v>335</v>
      </c>
      <c r="O657" t="s">
        <v>789</v>
      </c>
      <c r="P657">
        <v>7.4259255169207478E-2</v>
      </c>
      <c r="Q657" t="s">
        <v>157</v>
      </c>
      <c r="S657" t="s">
        <v>446</v>
      </c>
      <c r="T657" t="s">
        <v>789</v>
      </c>
      <c r="U657">
        <v>7.7840688515239814E-2</v>
      </c>
      <c r="V657" t="s">
        <v>157</v>
      </c>
    </row>
    <row r="658" spans="9:22" x14ac:dyDescent="0.45">
      <c r="I658" t="s">
        <v>224</v>
      </c>
      <c r="J658" t="s">
        <v>790</v>
      </c>
      <c r="K658">
        <v>5.0343193496535391E-2</v>
      </c>
      <c r="L658" t="s">
        <v>157</v>
      </c>
      <c r="N658" t="s">
        <v>335</v>
      </c>
      <c r="O658" t="s">
        <v>790</v>
      </c>
      <c r="P658">
        <v>2.3688417622712451E-2</v>
      </c>
      <c r="Q658" t="s">
        <v>157</v>
      </c>
      <c r="S658" t="s">
        <v>446</v>
      </c>
      <c r="T658" t="s">
        <v>790</v>
      </c>
      <c r="U658">
        <v>2.0721678705327776E-2</v>
      </c>
      <c r="V658" t="s">
        <v>157</v>
      </c>
    </row>
    <row r="659" spans="9:22" x14ac:dyDescent="0.45">
      <c r="I659" t="s">
        <v>225</v>
      </c>
      <c r="J659" t="s">
        <v>779</v>
      </c>
      <c r="K659">
        <v>0.25536272358463402</v>
      </c>
      <c r="L659" t="s">
        <v>157</v>
      </c>
      <c r="N659" t="s">
        <v>336</v>
      </c>
      <c r="O659" t="s">
        <v>779</v>
      </c>
      <c r="P659">
        <v>0.18831272730154908</v>
      </c>
      <c r="Q659" t="s">
        <v>157</v>
      </c>
      <c r="S659" t="s">
        <v>447</v>
      </c>
      <c r="T659" t="s">
        <v>779</v>
      </c>
      <c r="U659">
        <v>0.14922639857485115</v>
      </c>
      <c r="V659" t="s">
        <v>157</v>
      </c>
    </row>
    <row r="660" spans="9:22" x14ac:dyDescent="0.45">
      <c r="I660" t="s">
        <v>225</v>
      </c>
      <c r="J660" t="s">
        <v>780</v>
      </c>
      <c r="K660">
        <v>3.9469142995784759E-3</v>
      </c>
      <c r="L660" t="s">
        <v>157</v>
      </c>
      <c r="N660" t="s">
        <v>336</v>
      </c>
      <c r="O660" t="s">
        <v>780</v>
      </c>
      <c r="P660">
        <v>0.1308882474975476</v>
      </c>
      <c r="Q660" t="s">
        <v>157</v>
      </c>
      <c r="S660" t="s">
        <v>447</v>
      </c>
      <c r="T660" t="s">
        <v>780</v>
      </c>
      <c r="U660">
        <v>0.1150963511121376</v>
      </c>
      <c r="V660" t="s">
        <v>157</v>
      </c>
    </row>
    <row r="661" spans="9:22" x14ac:dyDescent="0.45">
      <c r="I661" t="s">
        <v>225</v>
      </c>
      <c r="J661" t="s">
        <v>781</v>
      </c>
      <c r="K661">
        <v>2.6307941105890329E-2</v>
      </c>
      <c r="L661" t="s">
        <v>157</v>
      </c>
      <c r="N661" t="s">
        <v>336</v>
      </c>
      <c r="O661" t="s">
        <v>781</v>
      </c>
      <c r="P661">
        <v>3.3058008162867233E-2</v>
      </c>
      <c r="Q661" t="s">
        <v>157</v>
      </c>
      <c r="S661" t="s">
        <v>447</v>
      </c>
      <c r="T661" t="s">
        <v>781</v>
      </c>
      <c r="U661">
        <v>2.5850158435008892E-2</v>
      </c>
      <c r="V661" t="s">
        <v>157</v>
      </c>
    </row>
    <row r="662" spans="9:22" x14ac:dyDescent="0.45">
      <c r="I662" t="s">
        <v>225</v>
      </c>
      <c r="J662" t="s">
        <v>782</v>
      </c>
      <c r="K662">
        <v>0.17351143208331782</v>
      </c>
      <c r="L662" t="s">
        <v>157</v>
      </c>
      <c r="N662" t="s">
        <v>336</v>
      </c>
      <c r="O662" t="s">
        <v>782</v>
      </c>
      <c r="P662">
        <v>8.4952222592845975E-2</v>
      </c>
      <c r="Q662" t="s">
        <v>157</v>
      </c>
      <c r="S662" t="s">
        <v>447</v>
      </c>
      <c r="T662" t="s">
        <v>782</v>
      </c>
      <c r="U662">
        <v>0.11368577700593603</v>
      </c>
      <c r="V662" t="s">
        <v>157</v>
      </c>
    </row>
    <row r="663" spans="9:22" x14ac:dyDescent="0.45">
      <c r="I663" t="s">
        <v>225</v>
      </c>
      <c r="J663" t="s">
        <v>783</v>
      </c>
      <c r="K663">
        <v>0</v>
      </c>
      <c r="L663" t="s">
        <v>157</v>
      </c>
      <c r="N663" t="s">
        <v>336</v>
      </c>
      <c r="O663" t="s">
        <v>783</v>
      </c>
      <c r="P663">
        <v>5.5394530997892627E-2</v>
      </c>
      <c r="Q663" t="s">
        <v>157</v>
      </c>
      <c r="S663" t="s">
        <v>447</v>
      </c>
      <c r="T663" t="s">
        <v>783</v>
      </c>
      <c r="U663">
        <v>0.10290131781641214</v>
      </c>
      <c r="V663" t="s">
        <v>157</v>
      </c>
    </row>
    <row r="664" spans="9:22" x14ac:dyDescent="0.45">
      <c r="I664" t="s">
        <v>225</v>
      </c>
      <c r="J664" t="s">
        <v>784</v>
      </c>
      <c r="K664">
        <v>1.456042146701411E-2</v>
      </c>
      <c r="L664" t="s">
        <v>157</v>
      </c>
      <c r="N664" t="s">
        <v>336</v>
      </c>
      <c r="O664" t="s">
        <v>784</v>
      </c>
      <c r="P664">
        <v>1.3108324391197482E-2</v>
      </c>
      <c r="Q664" t="s">
        <v>157</v>
      </c>
      <c r="S664" t="s">
        <v>447</v>
      </c>
      <c r="T664" t="s">
        <v>784</v>
      </c>
      <c r="U664">
        <v>1.9126475725560324E-2</v>
      </c>
      <c r="V664" t="s">
        <v>157</v>
      </c>
    </row>
    <row r="665" spans="9:22" x14ac:dyDescent="0.45">
      <c r="I665" t="s">
        <v>225</v>
      </c>
      <c r="J665" t="s">
        <v>785</v>
      </c>
      <c r="K665">
        <v>0.10795660625136072</v>
      </c>
      <c r="L665" t="s">
        <v>157</v>
      </c>
      <c r="N665" t="s">
        <v>336</v>
      </c>
      <c r="O665" t="s">
        <v>785</v>
      </c>
      <c r="P665">
        <v>0.12216826637480621</v>
      </c>
      <c r="Q665" t="s">
        <v>157</v>
      </c>
      <c r="S665" t="s">
        <v>447</v>
      </c>
      <c r="T665" t="s">
        <v>785</v>
      </c>
      <c r="U665">
        <v>0.12074195190806672</v>
      </c>
      <c r="V665" t="s">
        <v>157</v>
      </c>
    </row>
    <row r="666" spans="9:22" x14ac:dyDescent="0.45">
      <c r="I666" t="s">
        <v>225</v>
      </c>
      <c r="J666" t="s">
        <v>786</v>
      </c>
      <c r="K666">
        <v>0</v>
      </c>
      <c r="L666" t="s">
        <v>157</v>
      </c>
      <c r="N666" t="s">
        <v>336</v>
      </c>
      <c r="O666" t="s">
        <v>786</v>
      </c>
      <c r="P666">
        <v>9.9933433542789413E-2</v>
      </c>
      <c r="Q666" t="s">
        <v>157</v>
      </c>
      <c r="S666" t="s">
        <v>447</v>
      </c>
      <c r="T666" t="s">
        <v>786</v>
      </c>
      <c r="U666">
        <v>0.12164199623140981</v>
      </c>
      <c r="V666" t="s">
        <v>157</v>
      </c>
    </row>
    <row r="667" spans="9:22" x14ac:dyDescent="0.45">
      <c r="I667" t="s">
        <v>225</v>
      </c>
      <c r="J667" t="s">
        <v>787</v>
      </c>
      <c r="K667">
        <v>2.8822465881655555E-3</v>
      </c>
      <c r="L667" t="s">
        <v>157</v>
      </c>
      <c r="N667" t="s">
        <v>336</v>
      </c>
      <c r="O667" t="s">
        <v>787</v>
      </c>
      <c r="P667">
        <v>2.2000787836597181E-2</v>
      </c>
      <c r="Q667" t="s">
        <v>157</v>
      </c>
      <c r="S667" t="s">
        <v>447</v>
      </c>
      <c r="T667" t="s">
        <v>787</v>
      </c>
      <c r="U667">
        <v>2.1289408297569833E-2</v>
      </c>
      <c r="V667" t="s">
        <v>157</v>
      </c>
    </row>
    <row r="668" spans="9:22" x14ac:dyDescent="0.45">
      <c r="I668" t="s">
        <v>225</v>
      </c>
      <c r="J668" t="s">
        <v>788</v>
      </c>
      <c r="K668">
        <v>0.34942154871661357</v>
      </c>
      <c r="L668" t="s">
        <v>157</v>
      </c>
      <c r="N668" t="s">
        <v>336</v>
      </c>
      <c r="O668" t="s">
        <v>788</v>
      </c>
      <c r="P668">
        <v>0.14764264164261853</v>
      </c>
      <c r="Q668" t="s">
        <v>157</v>
      </c>
      <c r="S668" t="s">
        <v>447</v>
      </c>
      <c r="T668" t="s">
        <v>788</v>
      </c>
      <c r="U668">
        <v>0.10657304681962886</v>
      </c>
      <c r="V668" t="s">
        <v>157</v>
      </c>
    </row>
    <row r="669" spans="9:22" x14ac:dyDescent="0.45">
      <c r="I669" t="s">
        <v>225</v>
      </c>
      <c r="J669" t="s">
        <v>789</v>
      </c>
      <c r="K669">
        <v>1.6413527360048235E-2</v>
      </c>
      <c r="L669" t="s">
        <v>157</v>
      </c>
      <c r="N669" t="s">
        <v>336</v>
      </c>
      <c r="O669" t="s">
        <v>789</v>
      </c>
      <c r="P669">
        <v>7.8744963180037028E-2</v>
      </c>
      <c r="Q669" t="s">
        <v>157</v>
      </c>
      <c r="S669" t="s">
        <v>447</v>
      </c>
      <c r="T669" t="s">
        <v>789</v>
      </c>
      <c r="U669">
        <v>8.4093413309548656E-2</v>
      </c>
      <c r="V669" t="s">
        <v>157</v>
      </c>
    </row>
    <row r="670" spans="9:22" x14ac:dyDescent="0.45">
      <c r="I670" t="s">
        <v>225</v>
      </c>
      <c r="J670" t="s">
        <v>790</v>
      </c>
      <c r="K670">
        <v>4.9636638543377201E-2</v>
      </c>
      <c r="L670" t="s">
        <v>157</v>
      </c>
      <c r="N670" t="s">
        <v>336</v>
      </c>
      <c r="O670" t="s">
        <v>790</v>
      </c>
      <c r="P670">
        <v>2.3795846479251703E-2</v>
      </c>
      <c r="Q670" t="s">
        <v>157</v>
      </c>
      <c r="S670" t="s">
        <v>447</v>
      </c>
      <c r="T670" t="s">
        <v>790</v>
      </c>
      <c r="U670">
        <v>1.9773704763869998E-2</v>
      </c>
      <c r="V670" t="s">
        <v>157</v>
      </c>
    </row>
    <row r="671" spans="9:22" x14ac:dyDescent="0.45">
      <c r="I671" t="s">
        <v>226</v>
      </c>
      <c r="J671" t="s">
        <v>779</v>
      </c>
      <c r="K671">
        <v>0.25609037189082107</v>
      </c>
      <c r="L671" t="s">
        <v>157</v>
      </c>
      <c r="N671" t="s">
        <v>337</v>
      </c>
      <c r="O671" t="s">
        <v>779</v>
      </c>
      <c r="P671">
        <v>0.14853362725313271</v>
      </c>
      <c r="Q671" t="s">
        <v>157</v>
      </c>
      <c r="S671" t="s">
        <v>448</v>
      </c>
      <c r="T671" t="s">
        <v>779</v>
      </c>
      <c r="U671">
        <v>0.13267175498661357</v>
      </c>
      <c r="V671" t="s">
        <v>157</v>
      </c>
    </row>
    <row r="672" spans="9:22" x14ac:dyDescent="0.45">
      <c r="I672" t="s">
        <v>226</v>
      </c>
      <c r="J672" t="s">
        <v>780</v>
      </c>
      <c r="K672">
        <v>3.7368669602490098E-3</v>
      </c>
      <c r="L672" t="s">
        <v>157</v>
      </c>
      <c r="N672" t="s">
        <v>337</v>
      </c>
      <c r="O672" t="s">
        <v>780</v>
      </c>
      <c r="P672">
        <v>0.13640159364892454</v>
      </c>
      <c r="Q672" t="s">
        <v>157</v>
      </c>
      <c r="S672" t="s">
        <v>448</v>
      </c>
      <c r="T672" t="s">
        <v>780</v>
      </c>
      <c r="U672">
        <v>0.11559616452229436</v>
      </c>
      <c r="V672" t="s">
        <v>157</v>
      </c>
    </row>
    <row r="673" spans="9:22" x14ac:dyDescent="0.45">
      <c r="I673" t="s">
        <v>226</v>
      </c>
      <c r="J673" t="s">
        <v>781</v>
      </c>
      <c r="K673">
        <v>2.4312966183814091E-2</v>
      </c>
      <c r="L673" t="s">
        <v>157</v>
      </c>
      <c r="N673" t="s">
        <v>337</v>
      </c>
      <c r="O673" t="s">
        <v>781</v>
      </c>
      <c r="P673">
        <v>2.9795468271801365E-2</v>
      </c>
      <c r="Q673" t="s">
        <v>157</v>
      </c>
      <c r="S673" t="s">
        <v>448</v>
      </c>
      <c r="T673" t="s">
        <v>781</v>
      </c>
      <c r="U673">
        <v>2.5143650417817659E-2</v>
      </c>
      <c r="V673" t="s">
        <v>157</v>
      </c>
    </row>
    <row r="674" spans="9:22" x14ac:dyDescent="0.45">
      <c r="I674" t="s">
        <v>226</v>
      </c>
      <c r="J674" t="s">
        <v>782</v>
      </c>
      <c r="K674">
        <v>0.17542972613587698</v>
      </c>
      <c r="L674" t="s">
        <v>157</v>
      </c>
      <c r="N674" t="s">
        <v>337</v>
      </c>
      <c r="O674" t="s">
        <v>782</v>
      </c>
      <c r="P674">
        <v>9.213163980934945E-2</v>
      </c>
      <c r="Q674" t="s">
        <v>157</v>
      </c>
      <c r="S674" t="s">
        <v>448</v>
      </c>
      <c r="T674" t="s">
        <v>782</v>
      </c>
      <c r="U674">
        <v>0.10572887458266425</v>
      </c>
      <c r="V674" t="s">
        <v>157</v>
      </c>
    </row>
    <row r="675" spans="9:22" x14ac:dyDescent="0.45">
      <c r="I675" t="s">
        <v>226</v>
      </c>
      <c r="J675" t="s">
        <v>783</v>
      </c>
      <c r="K675">
        <v>0</v>
      </c>
      <c r="L675" t="s">
        <v>157</v>
      </c>
      <c r="N675" t="s">
        <v>337</v>
      </c>
      <c r="O675" t="s">
        <v>783</v>
      </c>
      <c r="P675">
        <v>7.7936521199459693E-2</v>
      </c>
      <c r="Q675" t="s">
        <v>157</v>
      </c>
      <c r="S675" t="s">
        <v>448</v>
      </c>
      <c r="T675" t="s">
        <v>783</v>
      </c>
      <c r="U675">
        <v>0.10567456716060883</v>
      </c>
      <c r="V675" t="s">
        <v>157</v>
      </c>
    </row>
    <row r="676" spans="9:22" x14ac:dyDescent="0.45">
      <c r="I676" t="s">
        <v>226</v>
      </c>
      <c r="J676" t="s">
        <v>784</v>
      </c>
      <c r="K676">
        <v>1.4687866996048404E-2</v>
      </c>
      <c r="L676" t="s">
        <v>157</v>
      </c>
      <c r="N676" t="s">
        <v>337</v>
      </c>
      <c r="O676" t="s">
        <v>784</v>
      </c>
      <c r="P676">
        <v>1.7228546905401137E-2</v>
      </c>
      <c r="Q676" t="s">
        <v>157</v>
      </c>
      <c r="S676" t="s">
        <v>448</v>
      </c>
      <c r="T676" t="s">
        <v>784</v>
      </c>
      <c r="U676">
        <v>1.9862653370040131E-2</v>
      </c>
      <c r="V676" t="s">
        <v>157</v>
      </c>
    </row>
    <row r="677" spans="9:22" x14ac:dyDescent="0.45">
      <c r="I677" t="s">
        <v>226</v>
      </c>
      <c r="J677" t="s">
        <v>785</v>
      </c>
      <c r="K677">
        <v>0.10738580927696936</v>
      </c>
      <c r="L677" t="s">
        <v>157</v>
      </c>
      <c r="N677" t="s">
        <v>337</v>
      </c>
      <c r="O677" t="s">
        <v>785</v>
      </c>
      <c r="P677">
        <v>0.11379481250233013</v>
      </c>
      <c r="Q677" t="s">
        <v>157</v>
      </c>
      <c r="S677" t="s">
        <v>448</v>
      </c>
      <c r="T677" t="s">
        <v>785</v>
      </c>
      <c r="U677">
        <v>0.12762636722122969</v>
      </c>
      <c r="V677" t="s">
        <v>157</v>
      </c>
    </row>
    <row r="678" spans="9:22" x14ac:dyDescent="0.45">
      <c r="I678" t="s">
        <v>226</v>
      </c>
      <c r="J678" t="s">
        <v>786</v>
      </c>
      <c r="K678">
        <v>0</v>
      </c>
      <c r="L678" t="s">
        <v>157</v>
      </c>
      <c r="N678" t="s">
        <v>337</v>
      </c>
      <c r="O678" t="s">
        <v>786</v>
      </c>
      <c r="P678">
        <v>0.11104269518729558</v>
      </c>
      <c r="Q678" t="s">
        <v>157</v>
      </c>
      <c r="S678" t="s">
        <v>448</v>
      </c>
      <c r="T678" t="s">
        <v>786</v>
      </c>
      <c r="U678">
        <v>0.12724909488363531</v>
      </c>
      <c r="V678" t="s">
        <v>157</v>
      </c>
    </row>
    <row r="679" spans="9:22" x14ac:dyDescent="0.45">
      <c r="I679" t="s">
        <v>226</v>
      </c>
      <c r="J679" t="s">
        <v>787</v>
      </c>
      <c r="K679">
        <v>2.7603825780455876E-3</v>
      </c>
      <c r="L679" t="s">
        <v>157</v>
      </c>
      <c r="N679" t="s">
        <v>337</v>
      </c>
      <c r="O679" t="s">
        <v>787</v>
      </c>
      <c r="P679">
        <v>2.242294662669591E-2</v>
      </c>
      <c r="Q679" t="s">
        <v>157</v>
      </c>
      <c r="S679" t="s">
        <v>448</v>
      </c>
      <c r="T679" t="s">
        <v>787</v>
      </c>
      <c r="U679">
        <v>2.3351371486812399E-2</v>
      </c>
      <c r="V679" t="s">
        <v>157</v>
      </c>
    </row>
    <row r="680" spans="9:22" x14ac:dyDescent="0.45">
      <c r="I680" t="s">
        <v>226</v>
      </c>
      <c r="J680" t="s">
        <v>788</v>
      </c>
      <c r="K680">
        <v>0.35173235902072708</v>
      </c>
      <c r="L680" t="s">
        <v>157</v>
      </c>
      <c r="N680" t="s">
        <v>337</v>
      </c>
      <c r="O680" t="s">
        <v>788</v>
      </c>
      <c r="P680">
        <v>0.12702599505686749</v>
      </c>
      <c r="Q680" t="s">
        <v>157</v>
      </c>
      <c r="S680" t="s">
        <v>448</v>
      </c>
      <c r="T680" t="s">
        <v>788</v>
      </c>
      <c r="U680">
        <v>0.10132526823291595</v>
      </c>
      <c r="V680" t="s">
        <v>157</v>
      </c>
    </row>
    <row r="681" spans="9:22" x14ac:dyDescent="0.45">
      <c r="I681" t="s">
        <v>226</v>
      </c>
      <c r="J681" t="s">
        <v>789</v>
      </c>
      <c r="K681">
        <v>1.5829540314612239E-2</v>
      </c>
      <c r="L681" t="s">
        <v>157</v>
      </c>
      <c r="N681" t="s">
        <v>337</v>
      </c>
      <c r="O681" t="s">
        <v>789</v>
      </c>
      <c r="P681">
        <v>9.985308962426101E-2</v>
      </c>
      <c r="Q681" t="s">
        <v>157</v>
      </c>
      <c r="S681" t="s">
        <v>448</v>
      </c>
      <c r="T681" t="s">
        <v>789</v>
      </c>
      <c r="U681">
        <v>9.5605799242785811E-2</v>
      </c>
      <c r="V681" t="s">
        <v>157</v>
      </c>
    </row>
    <row r="682" spans="9:22" x14ac:dyDescent="0.45">
      <c r="I682" t="s">
        <v>226</v>
      </c>
      <c r="J682" t="s">
        <v>790</v>
      </c>
      <c r="K682">
        <v>4.8034110642836088E-2</v>
      </c>
      <c r="L682" t="s">
        <v>157</v>
      </c>
      <c r="N682" t="s">
        <v>337</v>
      </c>
      <c r="O682" t="s">
        <v>790</v>
      </c>
      <c r="P682">
        <v>2.3833063914480968E-2</v>
      </c>
      <c r="Q682" t="s">
        <v>157</v>
      </c>
      <c r="S682" t="s">
        <v>448</v>
      </c>
      <c r="T682" t="s">
        <v>790</v>
      </c>
      <c r="U682">
        <v>2.0164433892582094E-2</v>
      </c>
      <c r="V682" t="s">
        <v>157</v>
      </c>
    </row>
    <row r="683" spans="9:22" x14ac:dyDescent="0.45">
      <c r="I683" t="s">
        <v>227</v>
      </c>
      <c r="J683" t="s">
        <v>779</v>
      </c>
      <c r="K683">
        <v>0.28330686814023542</v>
      </c>
      <c r="L683" t="s">
        <v>157</v>
      </c>
      <c r="N683" t="s">
        <v>338</v>
      </c>
      <c r="O683" t="s">
        <v>779</v>
      </c>
      <c r="P683">
        <v>0.14768827366075093</v>
      </c>
      <c r="Q683" t="s">
        <v>157</v>
      </c>
      <c r="S683" t="s">
        <v>449</v>
      </c>
      <c r="T683" t="s">
        <v>779</v>
      </c>
      <c r="U683">
        <v>0.12734571331173589</v>
      </c>
      <c r="V683" t="s">
        <v>157</v>
      </c>
    </row>
    <row r="684" spans="9:22" x14ac:dyDescent="0.45">
      <c r="I684" t="s">
        <v>227</v>
      </c>
      <c r="J684" t="s">
        <v>780</v>
      </c>
      <c r="K684">
        <v>6.8988330937972296E-3</v>
      </c>
      <c r="L684" t="s">
        <v>157</v>
      </c>
      <c r="N684" t="s">
        <v>338</v>
      </c>
      <c r="O684" t="s">
        <v>780</v>
      </c>
      <c r="P684">
        <v>0.11811261521947108</v>
      </c>
      <c r="Q684" t="s">
        <v>157</v>
      </c>
      <c r="S684" t="s">
        <v>449</v>
      </c>
      <c r="T684" t="s">
        <v>780</v>
      </c>
      <c r="U684">
        <v>0.11789425703276039</v>
      </c>
      <c r="V684" t="s">
        <v>157</v>
      </c>
    </row>
    <row r="685" spans="9:22" x14ac:dyDescent="0.45">
      <c r="I685" t="s">
        <v>227</v>
      </c>
      <c r="J685" t="s">
        <v>781</v>
      </c>
      <c r="K685">
        <v>3.4577917842035115E-2</v>
      </c>
      <c r="L685" t="s">
        <v>157</v>
      </c>
      <c r="N685" t="s">
        <v>338</v>
      </c>
      <c r="O685" t="s">
        <v>781</v>
      </c>
      <c r="P685">
        <v>2.5957160539338674E-2</v>
      </c>
      <c r="Q685" t="s">
        <v>157</v>
      </c>
      <c r="S685" t="s">
        <v>449</v>
      </c>
      <c r="T685" t="s">
        <v>781</v>
      </c>
      <c r="U685">
        <v>2.4967978666774259E-2</v>
      </c>
      <c r="V685" t="s">
        <v>157</v>
      </c>
    </row>
    <row r="686" spans="9:22" x14ac:dyDescent="0.45">
      <c r="I686" t="s">
        <v>227</v>
      </c>
      <c r="J686" t="s">
        <v>782</v>
      </c>
      <c r="K686">
        <v>0.15006427314635415</v>
      </c>
      <c r="L686" t="s">
        <v>157</v>
      </c>
      <c r="N686" t="s">
        <v>338</v>
      </c>
      <c r="O686" t="s">
        <v>782</v>
      </c>
      <c r="P686">
        <v>0.11168235228774823</v>
      </c>
      <c r="Q686" t="s">
        <v>157</v>
      </c>
      <c r="S686" t="s">
        <v>449</v>
      </c>
      <c r="T686" t="s">
        <v>782</v>
      </c>
      <c r="U686">
        <v>0.10437963952393829</v>
      </c>
      <c r="V686" t="s">
        <v>157</v>
      </c>
    </row>
    <row r="687" spans="9:22" x14ac:dyDescent="0.45">
      <c r="I687" t="s">
        <v>227</v>
      </c>
      <c r="J687" t="s">
        <v>783</v>
      </c>
      <c r="K687">
        <v>0</v>
      </c>
      <c r="L687" t="s">
        <v>157</v>
      </c>
      <c r="N687" t="s">
        <v>338</v>
      </c>
      <c r="O687" t="s">
        <v>783</v>
      </c>
      <c r="P687">
        <v>0.10466027362568131</v>
      </c>
      <c r="Q687" t="s">
        <v>157</v>
      </c>
      <c r="S687" t="s">
        <v>449</v>
      </c>
      <c r="T687" t="s">
        <v>783</v>
      </c>
      <c r="U687">
        <v>0.10579060623669863</v>
      </c>
      <c r="V687" t="s">
        <v>157</v>
      </c>
    </row>
    <row r="688" spans="9:22" x14ac:dyDescent="0.45">
      <c r="I688" t="s">
        <v>227</v>
      </c>
      <c r="J688" t="s">
        <v>784</v>
      </c>
      <c r="K688">
        <v>1.5840502561240578E-2</v>
      </c>
      <c r="L688" t="s">
        <v>157</v>
      </c>
      <c r="N688" t="s">
        <v>338</v>
      </c>
      <c r="O688" t="s">
        <v>784</v>
      </c>
      <c r="P688">
        <v>2.1731921434493214E-2</v>
      </c>
      <c r="Q688" t="s">
        <v>157</v>
      </c>
      <c r="S688" t="s">
        <v>449</v>
      </c>
      <c r="T688" t="s">
        <v>784</v>
      </c>
      <c r="U688">
        <v>1.9851793049316255E-2</v>
      </c>
      <c r="V688" t="s">
        <v>157</v>
      </c>
    </row>
    <row r="689" spans="9:22" x14ac:dyDescent="0.45">
      <c r="I689" t="s">
        <v>227</v>
      </c>
      <c r="J689" t="s">
        <v>785</v>
      </c>
      <c r="K689">
        <v>9.0881317289632058E-2</v>
      </c>
      <c r="L689" t="s">
        <v>157</v>
      </c>
      <c r="N689" t="s">
        <v>338</v>
      </c>
      <c r="O689" t="s">
        <v>785</v>
      </c>
      <c r="P689">
        <v>0.10633731320240832</v>
      </c>
      <c r="Q689" t="s">
        <v>157</v>
      </c>
      <c r="S689" t="s">
        <v>449</v>
      </c>
      <c r="T689" t="s">
        <v>785</v>
      </c>
      <c r="U689">
        <v>0.12866556380668487</v>
      </c>
      <c r="V689" t="s">
        <v>157</v>
      </c>
    </row>
    <row r="690" spans="9:22" x14ac:dyDescent="0.45">
      <c r="I690" t="s">
        <v>227</v>
      </c>
      <c r="J690" t="s">
        <v>786</v>
      </c>
      <c r="K690">
        <v>0</v>
      </c>
      <c r="L690" t="s">
        <v>157</v>
      </c>
      <c r="N690" t="s">
        <v>338</v>
      </c>
      <c r="O690" t="s">
        <v>786</v>
      </c>
      <c r="P690">
        <v>0.11180629600746232</v>
      </c>
      <c r="Q690" t="s">
        <v>157</v>
      </c>
      <c r="S690" t="s">
        <v>449</v>
      </c>
      <c r="T690" t="s">
        <v>786</v>
      </c>
      <c r="U690">
        <v>0.12557810093352004</v>
      </c>
      <c r="V690" t="s">
        <v>157</v>
      </c>
    </row>
    <row r="691" spans="9:22" x14ac:dyDescent="0.45">
      <c r="I691" t="s">
        <v>227</v>
      </c>
      <c r="J691" t="s">
        <v>787</v>
      </c>
      <c r="K691">
        <v>3.9235056929723426E-3</v>
      </c>
      <c r="L691" t="s">
        <v>157</v>
      </c>
      <c r="N691" t="s">
        <v>338</v>
      </c>
      <c r="O691" t="s">
        <v>787</v>
      </c>
      <c r="P691">
        <v>1.9674969173574787E-2</v>
      </c>
      <c r="Q691" t="s">
        <v>157</v>
      </c>
      <c r="S691" t="s">
        <v>449</v>
      </c>
      <c r="T691" t="s">
        <v>787</v>
      </c>
      <c r="U691">
        <v>2.2999627023465818E-2</v>
      </c>
      <c r="V691" t="s">
        <v>157</v>
      </c>
    </row>
    <row r="692" spans="9:22" x14ac:dyDescent="0.45">
      <c r="I692" t="s">
        <v>227</v>
      </c>
      <c r="J692" t="s">
        <v>788</v>
      </c>
      <c r="K692">
        <v>0.34246999874349315</v>
      </c>
      <c r="L692" t="s">
        <v>157</v>
      </c>
      <c r="N692" t="s">
        <v>338</v>
      </c>
      <c r="O692" t="s">
        <v>788</v>
      </c>
      <c r="P692">
        <v>0.11580658545416653</v>
      </c>
      <c r="Q692" t="s">
        <v>157</v>
      </c>
      <c r="S692" t="s">
        <v>449</v>
      </c>
      <c r="T692" t="s">
        <v>788</v>
      </c>
      <c r="U692">
        <v>0.10045238813061054</v>
      </c>
      <c r="V692" t="s">
        <v>157</v>
      </c>
    </row>
    <row r="693" spans="9:22" x14ac:dyDescent="0.45">
      <c r="I693" t="s">
        <v>227</v>
      </c>
      <c r="J693" t="s">
        <v>789</v>
      </c>
      <c r="K693">
        <v>2.1119332385625942E-2</v>
      </c>
      <c r="L693" t="s">
        <v>157</v>
      </c>
      <c r="N693" t="s">
        <v>338</v>
      </c>
      <c r="O693" t="s">
        <v>789</v>
      </c>
      <c r="P693">
        <v>9.5681068894790472E-2</v>
      </c>
      <c r="Q693" t="s">
        <v>157</v>
      </c>
      <c r="S693" t="s">
        <v>449</v>
      </c>
      <c r="T693" t="s">
        <v>789</v>
      </c>
      <c r="U693">
        <v>0.1019876916370903</v>
      </c>
      <c r="V693" t="s">
        <v>157</v>
      </c>
    </row>
    <row r="694" spans="9:22" x14ac:dyDescent="0.45">
      <c r="I694" t="s">
        <v>227</v>
      </c>
      <c r="J694" t="s">
        <v>790</v>
      </c>
      <c r="K694">
        <v>5.0917451104614091E-2</v>
      </c>
      <c r="L694" t="s">
        <v>157</v>
      </c>
      <c r="N694" t="s">
        <v>338</v>
      </c>
      <c r="O694" t="s">
        <v>790</v>
      </c>
      <c r="P694">
        <v>2.0861170500114132E-2</v>
      </c>
      <c r="Q694" t="s">
        <v>157</v>
      </c>
      <c r="S694" t="s">
        <v>449</v>
      </c>
      <c r="T694" t="s">
        <v>790</v>
      </c>
      <c r="U694">
        <v>2.0086640647404692E-2</v>
      </c>
      <c r="V694" t="s">
        <v>157</v>
      </c>
    </row>
    <row r="695" spans="9:22" x14ac:dyDescent="0.45">
      <c r="I695" t="s">
        <v>228</v>
      </c>
      <c r="J695" t="s">
        <v>779</v>
      </c>
      <c r="K695">
        <v>0.25863108593033374</v>
      </c>
      <c r="L695" t="s">
        <v>157</v>
      </c>
      <c r="N695" t="s">
        <v>339</v>
      </c>
      <c r="O695" t="s">
        <v>779</v>
      </c>
      <c r="P695">
        <v>0.13100371936384358</v>
      </c>
      <c r="Q695" t="s">
        <v>157</v>
      </c>
      <c r="S695" t="s">
        <v>450</v>
      </c>
      <c r="T695" t="s">
        <v>779</v>
      </c>
      <c r="U695">
        <v>0.11539177305622958</v>
      </c>
      <c r="V695" t="s">
        <v>157</v>
      </c>
    </row>
    <row r="696" spans="9:22" x14ac:dyDescent="0.45">
      <c r="I696" t="s">
        <v>228</v>
      </c>
      <c r="J696" t="s">
        <v>780</v>
      </c>
      <c r="K696">
        <v>3.922040836132846E-3</v>
      </c>
      <c r="L696" t="s">
        <v>157</v>
      </c>
      <c r="N696" t="s">
        <v>339</v>
      </c>
      <c r="O696" t="s">
        <v>780</v>
      </c>
      <c r="P696">
        <v>0.13457789226405101</v>
      </c>
      <c r="Q696" t="s">
        <v>157</v>
      </c>
      <c r="S696" t="s">
        <v>450</v>
      </c>
      <c r="T696" t="s">
        <v>780</v>
      </c>
      <c r="U696">
        <v>0.11065062065957154</v>
      </c>
      <c r="V696" t="s">
        <v>157</v>
      </c>
    </row>
    <row r="697" spans="9:22" x14ac:dyDescent="0.45">
      <c r="I697" t="s">
        <v>228</v>
      </c>
      <c r="J697" t="s">
        <v>781</v>
      </c>
      <c r="K697">
        <v>2.4709553092660937E-2</v>
      </c>
      <c r="L697" t="s">
        <v>157</v>
      </c>
      <c r="N697" t="s">
        <v>339</v>
      </c>
      <c r="O697" t="s">
        <v>781</v>
      </c>
      <c r="P697">
        <v>2.6542091531263072E-2</v>
      </c>
      <c r="Q697" t="s">
        <v>157</v>
      </c>
      <c r="S697" t="s">
        <v>450</v>
      </c>
      <c r="T697" t="s">
        <v>781</v>
      </c>
      <c r="U697">
        <v>2.0762825321156822E-2</v>
      </c>
      <c r="V697" t="s">
        <v>157</v>
      </c>
    </row>
    <row r="698" spans="9:22" x14ac:dyDescent="0.45">
      <c r="I698" t="s">
        <v>228</v>
      </c>
      <c r="J698" t="s">
        <v>782</v>
      </c>
      <c r="K698">
        <v>0.17685063925881561</v>
      </c>
      <c r="L698" t="s">
        <v>157</v>
      </c>
      <c r="N698" t="s">
        <v>339</v>
      </c>
      <c r="O698" t="s">
        <v>782</v>
      </c>
      <c r="P698">
        <v>9.4395294510388597E-2</v>
      </c>
      <c r="Q698" t="s">
        <v>157</v>
      </c>
      <c r="S698" t="s">
        <v>450</v>
      </c>
      <c r="T698" t="s">
        <v>782</v>
      </c>
      <c r="U698">
        <v>0.11663072750797043</v>
      </c>
      <c r="V698" t="s">
        <v>157</v>
      </c>
    </row>
    <row r="699" spans="9:22" x14ac:dyDescent="0.45">
      <c r="I699" t="s">
        <v>228</v>
      </c>
      <c r="J699" t="s">
        <v>783</v>
      </c>
      <c r="K699">
        <v>0</v>
      </c>
      <c r="L699" t="s">
        <v>157</v>
      </c>
      <c r="N699" t="s">
        <v>339</v>
      </c>
      <c r="O699" t="s">
        <v>783</v>
      </c>
      <c r="P699">
        <v>9.1157680715513015E-2</v>
      </c>
      <c r="Q699" t="s">
        <v>157</v>
      </c>
      <c r="S699" t="s">
        <v>450</v>
      </c>
      <c r="T699" t="s">
        <v>783</v>
      </c>
      <c r="U699">
        <v>0.11512448167967582</v>
      </c>
      <c r="V699" t="s">
        <v>157</v>
      </c>
    </row>
    <row r="700" spans="9:22" x14ac:dyDescent="0.45">
      <c r="I700" t="s">
        <v>228</v>
      </c>
      <c r="J700" t="s">
        <v>784</v>
      </c>
      <c r="K700">
        <v>1.4486223263178579E-2</v>
      </c>
      <c r="L700" t="s">
        <v>157</v>
      </c>
      <c r="N700" t="s">
        <v>339</v>
      </c>
      <c r="O700" t="s">
        <v>784</v>
      </c>
      <c r="P700">
        <v>1.7581287127770327E-2</v>
      </c>
      <c r="Q700" t="s">
        <v>157</v>
      </c>
      <c r="S700" t="s">
        <v>450</v>
      </c>
      <c r="T700" t="s">
        <v>784</v>
      </c>
      <c r="U700">
        <v>2.1816439496067496E-2</v>
      </c>
      <c r="V700" t="s">
        <v>157</v>
      </c>
    </row>
    <row r="701" spans="9:22" x14ac:dyDescent="0.45">
      <c r="I701" t="s">
        <v>228</v>
      </c>
      <c r="J701" t="s">
        <v>785</v>
      </c>
      <c r="K701">
        <v>0.10786429990158955</v>
      </c>
      <c r="L701" t="s">
        <v>157</v>
      </c>
      <c r="N701" t="s">
        <v>339</v>
      </c>
      <c r="O701" t="s">
        <v>785</v>
      </c>
      <c r="P701">
        <v>0.11668241486879249</v>
      </c>
      <c r="Q701" t="s">
        <v>157</v>
      </c>
      <c r="S701" t="s">
        <v>450</v>
      </c>
      <c r="T701" t="s">
        <v>785</v>
      </c>
      <c r="U701">
        <v>0.11681699971430493</v>
      </c>
      <c r="V701" t="s">
        <v>157</v>
      </c>
    </row>
    <row r="702" spans="9:22" x14ac:dyDescent="0.45">
      <c r="I702" t="s">
        <v>228</v>
      </c>
      <c r="J702" t="s">
        <v>786</v>
      </c>
      <c r="K702">
        <v>0</v>
      </c>
      <c r="L702" t="s">
        <v>157</v>
      </c>
      <c r="N702" t="s">
        <v>339</v>
      </c>
      <c r="O702" t="s">
        <v>786</v>
      </c>
      <c r="P702">
        <v>0.11747842141900089</v>
      </c>
      <c r="Q702" t="s">
        <v>157</v>
      </c>
      <c r="S702" t="s">
        <v>450</v>
      </c>
      <c r="T702" t="s">
        <v>786</v>
      </c>
      <c r="U702">
        <v>0.11519092237593193</v>
      </c>
      <c r="V702" t="s">
        <v>157</v>
      </c>
    </row>
    <row r="703" spans="9:22" x14ac:dyDescent="0.45">
      <c r="I703" t="s">
        <v>228</v>
      </c>
      <c r="J703" t="s">
        <v>787</v>
      </c>
      <c r="K703">
        <v>3.1186355606307205E-3</v>
      </c>
      <c r="L703" t="s">
        <v>157</v>
      </c>
      <c r="N703" t="s">
        <v>339</v>
      </c>
      <c r="O703" t="s">
        <v>787</v>
      </c>
      <c r="P703">
        <v>2.2567236062646268E-2</v>
      </c>
      <c r="Q703" t="s">
        <v>157</v>
      </c>
      <c r="S703" t="s">
        <v>450</v>
      </c>
      <c r="T703" t="s">
        <v>787</v>
      </c>
      <c r="U703">
        <v>2.0603927020692095E-2</v>
      </c>
      <c r="V703" t="s">
        <v>157</v>
      </c>
    </row>
    <row r="704" spans="9:22" x14ac:dyDescent="0.45">
      <c r="I704" t="s">
        <v>228</v>
      </c>
      <c r="J704" t="s">
        <v>788</v>
      </c>
      <c r="K704">
        <v>0.34720088086913042</v>
      </c>
      <c r="L704" t="s">
        <v>157</v>
      </c>
      <c r="N704" t="s">
        <v>339</v>
      </c>
      <c r="O704" t="s">
        <v>788</v>
      </c>
      <c r="P704">
        <v>0.11616582678172037</v>
      </c>
      <c r="Q704" t="s">
        <v>157</v>
      </c>
      <c r="S704" t="s">
        <v>450</v>
      </c>
      <c r="T704" t="s">
        <v>788</v>
      </c>
      <c r="U704">
        <v>0.11519281049173703</v>
      </c>
      <c r="V704" t="s">
        <v>157</v>
      </c>
    </row>
    <row r="705" spans="9:22" x14ac:dyDescent="0.45">
      <c r="I705" t="s">
        <v>228</v>
      </c>
      <c r="J705" t="s">
        <v>789</v>
      </c>
      <c r="K705">
        <v>1.5625067189209536E-2</v>
      </c>
      <c r="L705" t="s">
        <v>157</v>
      </c>
      <c r="N705" t="s">
        <v>339</v>
      </c>
      <c r="O705" t="s">
        <v>789</v>
      </c>
      <c r="P705">
        <v>0.10947974536819849</v>
      </c>
      <c r="Q705" t="s">
        <v>157</v>
      </c>
      <c r="S705" t="s">
        <v>450</v>
      </c>
      <c r="T705" t="s">
        <v>789</v>
      </c>
      <c r="U705">
        <v>0.11078026997034436</v>
      </c>
      <c r="V705" t="s">
        <v>157</v>
      </c>
    </row>
    <row r="706" spans="9:22" x14ac:dyDescent="0.45">
      <c r="I706" t="s">
        <v>228</v>
      </c>
      <c r="J706" t="s">
        <v>790</v>
      </c>
      <c r="K706">
        <v>4.7591574098318136E-2</v>
      </c>
      <c r="L706" t="s">
        <v>157</v>
      </c>
      <c r="N706" t="s">
        <v>339</v>
      </c>
      <c r="O706" t="s">
        <v>790</v>
      </c>
      <c r="P706">
        <v>2.2368389986811919E-2</v>
      </c>
      <c r="Q706" t="s">
        <v>157</v>
      </c>
      <c r="S706" t="s">
        <v>450</v>
      </c>
      <c r="T706" t="s">
        <v>790</v>
      </c>
      <c r="U706">
        <v>2.1038202706318034E-2</v>
      </c>
      <c r="V706" t="s">
        <v>157</v>
      </c>
    </row>
    <row r="707" spans="9:22" x14ac:dyDescent="0.45">
      <c r="I707" t="s">
        <v>229</v>
      </c>
      <c r="J707" t="s">
        <v>779</v>
      </c>
      <c r="K707">
        <v>0.27071994060949278</v>
      </c>
      <c r="L707" t="s">
        <v>157</v>
      </c>
      <c r="N707" t="s">
        <v>340</v>
      </c>
      <c r="O707" t="s">
        <v>779</v>
      </c>
      <c r="P707">
        <v>0.11101104411260437</v>
      </c>
      <c r="Q707" t="s">
        <v>157</v>
      </c>
      <c r="S707" t="s">
        <v>451</v>
      </c>
      <c r="T707" t="s">
        <v>779</v>
      </c>
      <c r="U707">
        <v>0.11675670929144906</v>
      </c>
      <c r="V707" t="s">
        <v>157</v>
      </c>
    </row>
    <row r="708" spans="9:22" x14ac:dyDescent="0.45">
      <c r="I708" t="s">
        <v>229</v>
      </c>
      <c r="J708" t="s">
        <v>780</v>
      </c>
      <c r="K708">
        <v>5.2816086883605961E-3</v>
      </c>
      <c r="L708" t="s">
        <v>157</v>
      </c>
      <c r="N708" t="s">
        <v>340</v>
      </c>
      <c r="O708" t="s">
        <v>780</v>
      </c>
      <c r="P708">
        <v>0.1332491903900592</v>
      </c>
      <c r="Q708" t="s">
        <v>157</v>
      </c>
      <c r="S708" t="s">
        <v>451</v>
      </c>
      <c r="T708" t="s">
        <v>780</v>
      </c>
      <c r="U708">
        <v>0.11122678083866057</v>
      </c>
      <c r="V708" t="s">
        <v>157</v>
      </c>
    </row>
    <row r="709" spans="9:22" x14ac:dyDescent="0.45">
      <c r="I709" t="s">
        <v>229</v>
      </c>
      <c r="J709" t="s">
        <v>781</v>
      </c>
      <c r="K709">
        <v>2.703500409510293E-2</v>
      </c>
      <c r="L709" t="s">
        <v>157</v>
      </c>
      <c r="N709" t="s">
        <v>340</v>
      </c>
      <c r="O709" t="s">
        <v>781</v>
      </c>
      <c r="P709">
        <v>2.5064798213201355E-2</v>
      </c>
      <c r="Q709" t="s">
        <v>157</v>
      </c>
      <c r="S709" t="s">
        <v>451</v>
      </c>
      <c r="T709" t="s">
        <v>781</v>
      </c>
      <c r="U709">
        <v>2.0863557343084576E-2</v>
      </c>
      <c r="V709" t="s">
        <v>157</v>
      </c>
    </row>
    <row r="710" spans="9:22" x14ac:dyDescent="0.45">
      <c r="I710" t="s">
        <v>229</v>
      </c>
      <c r="J710" t="s">
        <v>782</v>
      </c>
      <c r="K710">
        <v>0.16371556280155863</v>
      </c>
      <c r="L710" t="s">
        <v>157</v>
      </c>
      <c r="N710" t="s">
        <v>340</v>
      </c>
      <c r="O710" t="s">
        <v>782</v>
      </c>
      <c r="P710">
        <v>9.2628334120192515E-2</v>
      </c>
      <c r="Q710" t="s">
        <v>157</v>
      </c>
      <c r="S710" t="s">
        <v>451</v>
      </c>
      <c r="T710" t="s">
        <v>782</v>
      </c>
      <c r="U710">
        <v>0.11454758646782925</v>
      </c>
      <c r="V710" t="s">
        <v>157</v>
      </c>
    </row>
    <row r="711" spans="9:22" x14ac:dyDescent="0.45">
      <c r="I711" t="s">
        <v>229</v>
      </c>
      <c r="J711" t="s">
        <v>783</v>
      </c>
      <c r="K711">
        <v>0</v>
      </c>
      <c r="L711" t="s">
        <v>157</v>
      </c>
      <c r="N711" t="s">
        <v>340</v>
      </c>
      <c r="O711" t="s">
        <v>783</v>
      </c>
      <c r="P711">
        <v>0.10628936009667762</v>
      </c>
      <c r="Q711" t="s">
        <v>157</v>
      </c>
      <c r="S711" t="s">
        <v>451</v>
      </c>
      <c r="T711" t="s">
        <v>783</v>
      </c>
      <c r="U711">
        <v>0.11362472953607351</v>
      </c>
      <c r="V711" t="s">
        <v>157</v>
      </c>
    </row>
    <row r="712" spans="9:22" x14ac:dyDescent="0.45">
      <c r="I712" t="s">
        <v>229</v>
      </c>
      <c r="J712" t="s">
        <v>784</v>
      </c>
      <c r="K712">
        <v>1.1752073952387435E-2</v>
      </c>
      <c r="L712" t="s">
        <v>157</v>
      </c>
      <c r="N712" t="s">
        <v>340</v>
      </c>
      <c r="O712" t="s">
        <v>784</v>
      </c>
      <c r="P712">
        <v>2.0241199599844134E-2</v>
      </c>
      <c r="Q712" t="s">
        <v>157</v>
      </c>
      <c r="S712" t="s">
        <v>451</v>
      </c>
      <c r="T712" t="s">
        <v>784</v>
      </c>
      <c r="U712">
        <v>2.1420414056737013E-2</v>
      </c>
      <c r="V712" t="s">
        <v>157</v>
      </c>
    </row>
    <row r="713" spans="9:22" x14ac:dyDescent="0.45">
      <c r="I713" t="s">
        <v>229</v>
      </c>
      <c r="J713" t="s">
        <v>785</v>
      </c>
      <c r="K713">
        <v>0.10536143784594132</v>
      </c>
      <c r="L713" t="s">
        <v>157</v>
      </c>
      <c r="N713" t="s">
        <v>340</v>
      </c>
      <c r="O713" t="s">
        <v>785</v>
      </c>
      <c r="P713">
        <v>0.1143721361942522</v>
      </c>
      <c r="Q713" t="s">
        <v>157</v>
      </c>
      <c r="S713" t="s">
        <v>451</v>
      </c>
      <c r="T713" t="s">
        <v>785</v>
      </c>
      <c r="U713">
        <v>0.11702669129025214</v>
      </c>
      <c r="V713" t="s">
        <v>157</v>
      </c>
    </row>
    <row r="714" spans="9:22" x14ac:dyDescent="0.45">
      <c r="I714" t="s">
        <v>229</v>
      </c>
      <c r="J714" t="s">
        <v>786</v>
      </c>
      <c r="K714">
        <v>0</v>
      </c>
      <c r="L714" t="s">
        <v>157</v>
      </c>
      <c r="N714" t="s">
        <v>340</v>
      </c>
      <c r="O714" t="s">
        <v>786</v>
      </c>
      <c r="P714">
        <v>0.13030009358936559</v>
      </c>
      <c r="Q714" t="s">
        <v>157</v>
      </c>
      <c r="S714" t="s">
        <v>451</v>
      </c>
      <c r="T714" t="s">
        <v>786</v>
      </c>
      <c r="U714">
        <v>0.11455890360786736</v>
      </c>
      <c r="V714" t="s">
        <v>157</v>
      </c>
    </row>
    <row r="715" spans="9:22" x14ac:dyDescent="0.45">
      <c r="I715" t="s">
        <v>229</v>
      </c>
      <c r="J715" t="s">
        <v>787</v>
      </c>
      <c r="K715">
        <v>2.8483798676124904E-3</v>
      </c>
      <c r="L715" t="s">
        <v>157</v>
      </c>
      <c r="N715" t="s">
        <v>340</v>
      </c>
      <c r="O715" t="s">
        <v>787</v>
      </c>
      <c r="P715">
        <v>2.2629329202322874E-2</v>
      </c>
      <c r="Q715" t="s">
        <v>157</v>
      </c>
      <c r="S715" t="s">
        <v>451</v>
      </c>
      <c r="T715" t="s">
        <v>787</v>
      </c>
      <c r="U715">
        <v>2.0809324855929803E-2</v>
      </c>
      <c r="V715" t="s">
        <v>157</v>
      </c>
    </row>
    <row r="716" spans="9:22" x14ac:dyDescent="0.45">
      <c r="I716" t="s">
        <v>229</v>
      </c>
      <c r="J716" t="s">
        <v>788</v>
      </c>
      <c r="K716">
        <v>0.34507939250841302</v>
      </c>
      <c r="L716" t="s">
        <v>157</v>
      </c>
      <c r="N716" t="s">
        <v>340</v>
      </c>
      <c r="O716" t="s">
        <v>788</v>
      </c>
      <c r="P716">
        <v>0.10607848141912819</v>
      </c>
      <c r="Q716" t="s">
        <v>157</v>
      </c>
      <c r="S716" t="s">
        <v>451</v>
      </c>
      <c r="T716" t="s">
        <v>788</v>
      </c>
      <c r="U716">
        <v>0.11640478591214948</v>
      </c>
      <c r="V716" t="s">
        <v>157</v>
      </c>
    </row>
    <row r="717" spans="9:22" x14ac:dyDescent="0.45">
      <c r="I717" t="s">
        <v>229</v>
      </c>
      <c r="J717" t="s">
        <v>789</v>
      </c>
      <c r="K717">
        <v>1.9293366550093005E-2</v>
      </c>
      <c r="L717" t="s">
        <v>157</v>
      </c>
      <c r="N717" t="s">
        <v>340</v>
      </c>
      <c r="O717" t="s">
        <v>789</v>
      </c>
      <c r="P717">
        <v>0.11298469064943353</v>
      </c>
      <c r="Q717" t="s">
        <v>157</v>
      </c>
      <c r="S717" t="s">
        <v>451</v>
      </c>
      <c r="T717" t="s">
        <v>789</v>
      </c>
      <c r="U717">
        <v>0.11152704085499093</v>
      </c>
      <c r="V717" t="s">
        <v>157</v>
      </c>
    </row>
    <row r="718" spans="9:22" x14ac:dyDescent="0.45">
      <c r="I718" t="s">
        <v>229</v>
      </c>
      <c r="J718" t="s">
        <v>790</v>
      </c>
      <c r="K718">
        <v>4.8913233081037857E-2</v>
      </c>
      <c r="L718" t="s">
        <v>157</v>
      </c>
      <c r="N718" t="s">
        <v>340</v>
      </c>
      <c r="O718" t="s">
        <v>790</v>
      </c>
      <c r="P718">
        <v>2.5151342412918356E-2</v>
      </c>
      <c r="Q718" t="s">
        <v>157</v>
      </c>
      <c r="S718" t="s">
        <v>451</v>
      </c>
      <c r="T718" t="s">
        <v>790</v>
      </c>
      <c r="U718">
        <v>2.1233475944976335E-2</v>
      </c>
      <c r="V718" t="s">
        <v>157</v>
      </c>
    </row>
    <row r="719" spans="9:22" x14ac:dyDescent="0.45">
      <c r="I719" t="s">
        <v>230</v>
      </c>
      <c r="J719" t="s">
        <v>779</v>
      </c>
      <c r="K719">
        <v>0.26543929738332966</v>
      </c>
      <c r="L719" t="s">
        <v>157</v>
      </c>
      <c r="N719" t="s">
        <v>341</v>
      </c>
      <c r="O719" t="s">
        <v>779</v>
      </c>
      <c r="P719">
        <v>0.12561475200523112</v>
      </c>
      <c r="Q719" t="s">
        <v>157</v>
      </c>
      <c r="S719" t="s">
        <v>452</v>
      </c>
      <c r="T719" t="s">
        <v>779</v>
      </c>
      <c r="U719">
        <v>0.11775042002407253</v>
      </c>
      <c r="V719" t="s">
        <v>157</v>
      </c>
    </row>
    <row r="720" spans="9:22" x14ac:dyDescent="0.45">
      <c r="I720" t="s">
        <v>230</v>
      </c>
      <c r="J720" t="s">
        <v>780</v>
      </c>
      <c r="K720">
        <v>4.8329936064676858E-3</v>
      </c>
      <c r="L720" t="s">
        <v>157</v>
      </c>
      <c r="N720" t="s">
        <v>341</v>
      </c>
      <c r="O720" t="s">
        <v>780</v>
      </c>
      <c r="P720">
        <v>0.14414135990092863</v>
      </c>
      <c r="Q720" t="s">
        <v>157</v>
      </c>
      <c r="S720" t="s">
        <v>452</v>
      </c>
      <c r="T720" t="s">
        <v>780</v>
      </c>
      <c r="U720">
        <v>0.11226831792320767</v>
      </c>
      <c r="V720" t="s">
        <v>157</v>
      </c>
    </row>
    <row r="721" spans="9:22" x14ac:dyDescent="0.45">
      <c r="I721" t="s">
        <v>230</v>
      </c>
      <c r="J721" t="s">
        <v>781</v>
      </c>
      <c r="K721">
        <v>2.6537610569423008E-2</v>
      </c>
      <c r="L721" t="s">
        <v>157</v>
      </c>
      <c r="N721" t="s">
        <v>341</v>
      </c>
      <c r="O721" t="s">
        <v>781</v>
      </c>
      <c r="P721">
        <v>2.792207396789596E-2</v>
      </c>
      <c r="Q721" t="s">
        <v>157</v>
      </c>
      <c r="S721" t="s">
        <v>452</v>
      </c>
      <c r="T721" t="s">
        <v>781</v>
      </c>
      <c r="U721">
        <v>2.0590222059466208E-2</v>
      </c>
      <c r="V721" t="s">
        <v>157</v>
      </c>
    </row>
    <row r="722" spans="9:22" x14ac:dyDescent="0.45">
      <c r="I722" t="s">
        <v>230</v>
      </c>
      <c r="J722" t="s">
        <v>782</v>
      </c>
      <c r="K722">
        <v>0.17303613737584123</v>
      </c>
      <c r="L722" t="s">
        <v>157</v>
      </c>
      <c r="N722" t="s">
        <v>341</v>
      </c>
      <c r="O722" t="s">
        <v>782</v>
      </c>
      <c r="P722">
        <v>9.4688506502320385E-2</v>
      </c>
      <c r="Q722" t="s">
        <v>157</v>
      </c>
      <c r="S722" t="s">
        <v>452</v>
      </c>
      <c r="T722" t="s">
        <v>782</v>
      </c>
      <c r="U722">
        <v>0.11282663714961413</v>
      </c>
      <c r="V722" t="s">
        <v>157</v>
      </c>
    </row>
    <row r="723" spans="9:22" x14ac:dyDescent="0.45">
      <c r="I723" t="s">
        <v>230</v>
      </c>
      <c r="J723" t="s">
        <v>783</v>
      </c>
      <c r="K723">
        <v>0</v>
      </c>
      <c r="L723" t="s">
        <v>157</v>
      </c>
      <c r="N723" t="s">
        <v>341</v>
      </c>
      <c r="O723" t="s">
        <v>783</v>
      </c>
      <c r="P723">
        <v>0.10569207180701112</v>
      </c>
      <c r="Q723" t="s">
        <v>157</v>
      </c>
      <c r="S723" t="s">
        <v>452</v>
      </c>
      <c r="T723" t="s">
        <v>783</v>
      </c>
      <c r="U723">
        <v>0.11264299759907781</v>
      </c>
      <c r="V723" t="s">
        <v>157</v>
      </c>
    </row>
    <row r="724" spans="9:22" x14ac:dyDescent="0.45">
      <c r="I724" t="s">
        <v>230</v>
      </c>
      <c r="J724" t="s">
        <v>784</v>
      </c>
      <c r="K724">
        <v>1.305700706815734E-2</v>
      </c>
      <c r="L724" t="s">
        <v>157</v>
      </c>
      <c r="N724" t="s">
        <v>341</v>
      </c>
      <c r="O724" t="s">
        <v>784</v>
      </c>
      <c r="P724">
        <v>2.0110248641879755E-2</v>
      </c>
      <c r="Q724" t="s">
        <v>157</v>
      </c>
      <c r="S724" t="s">
        <v>452</v>
      </c>
      <c r="T724" t="s">
        <v>784</v>
      </c>
      <c r="U724">
        <v>2.1067602772382243E-2</v>
      </c>
      <c r="V724" t="s">
        <v>157</v>
      </c>
    </row>
    <row r="725" spans="9:22" x14ac:dyDescent="0.45">
      <c r="I725" t="s">
        <v>230</v>
      </c>
      <c r="J725" t="s">
        <v>785</v>
      </c>
      <c r="K725">
        <v>0.10573798898949945</v>
      </c>
      <c r="L725" t="s">
        <v>157</v>
      </c>
      <c r="N725" t="s">
        <v>341</v>
      </c>
      <c r="O725" t="s">
        <v>785</v>
      </c>
      <c r="P725">
        <v>0.12131456377599101</v>
      </c>
      <c r="Q725" t="s">
        <v>157</v>
      </c>
      <c r="S725" t="s">
        <v>452</v>
      </c>
      <c r="T725" t="s">
        <v>785</v>
      </c>
      <c r="U725">
        <v>0.11678534170069289</v>
      </c>
      <c r="V725" t="s">
        <v>157</v>
      </c>
    </row>
    <row r="726" spans="9:22" x14ac:dyDescent="0.45">
      <c r="I726" t="s">
        <v>230</v>
      </c>
      <c r="J726" t="s">
        <v>786</v>
      </c>
      <c r="K726">
        <v>0</v>
      </c>
      <c r="L726" t="s">
        <v>157</v>
      </c>
      <c r="N726" t="s">
        <v>341</v>
      </c>
      <c r="O726" t="s">
        <v>786</v>
      </c>
      <c r="P726">
        <v>0.13097906875618565</v>
      </c>
      <c r="Q726" t="s">
        <v>157</v>
      </c>
      <c r="S726" t="s">
        <v>452</v>
      </c>
      <c r="T726" t="s">
        <v>786</v>
      </c>
      <c r="U726">
        <v>0.11463621350308445</v>
      </c>
      <c r="V726" t="s">
        <v>157</v>
      </c>
    </row>
    <row r="727" spans="9:22" x14ac:dyDescent="0.45">
      <c r="I727" t="s">
        <v>230</v>
      </c>
      <c r="J727" t="s">
        <v>787</v>
      </c>
      <c r="K727">
        <v>2.7363446416506136E-3</v>
      </c>
      <c r="L727" t="s">
        <v>157</v>
      </c>
      <c r="N727" t="s">
        <v>341</v>
      </c>
      <c r="O727" t="s">
        <v>787</v>
      </c>
      <c r="P727">
        <v>2.3094782147081962E-2</v>
      </c>
      <c r="Q727" t="s">
        <v>157</v>
      </c>
      <c r="S727" t="s">
        <v>452</v>
      </c>
      <c r="T727" t="s">
        <v>787</v>
      </c>
      <c r="U727">
        <v>2.0686069469730874E-2</v>
      </c>
      <c r="V727" t="s">
        <v>157</v>
      </c>
    </row>
    <row r="728" spans="9:22" x14ac:dyDescent="0.45">
      <c r="I728" t="s">
        <v>230</v>
      </c>
      <c r="J728" t="s">
        <v>788</v>
      </c>
      <c r="K728">
        <v>0.34200659145585693</v>
      </c>
      <c r="L728" t="s">
        <v>157</v>
      </c>
      <c r="N728" t="s">
        <v>341</v>
      </c>
      <c r="O728" t="s">
        <v>788</v>
      </c>
      <c r="P728">
        <v>9.2115788165383405E-2</v>
      </c>
      <c r="Q728" t="s">
        <v>157</v>
      </c>
      <c r="S728" t="s">
        <v>452</v>
      </c>
      <c r="T728" t="s">
        <v>788</v>
      </c>
      <c r="U728">
        <v>0.11677714166679652</v>
      </c>
      <c r="V728" t="s">
        <v>157</v>
      </c>
    </row>
    <row r="729" spans="9:22" x14ac:dyDescent="0.45">
      <c r="I729" t="s">
        <v>230</v>
      </c>
      <c r="J729" t="s">
        <v>789</v>
      </c>
      <c r="K729">
        <v>1.9025132502339042E-2</v>
      </c>
      <c r="L729" t="s">
        <v>157</v>
      </c>
      <c r="N729" t="s">
        <v>341</v>
      </c>
      <c r="O729" t="s">
        <v>789</v>
      </c>
      <c r="P729">
        <v>9.4828417903756124E-2</v>
      </c>
      <c r="Q729" t="s">
        <v>157</v>
      </c>
      <c r="S729" t="s">
        <v>452</v>
      </c>
      <c r="T729" t="s">
        <v>789</v>
      </c>
      <c r="U729">
        <v>0.11244577586620261</v>
      </c>
      <c r="V729" t="s">
        <v>157</v>
      </c>
    </row>
    <row r="730" spans="9:22" x14ac:dyDescent="0.45">
      <c r="I730" t="s">
        <v>230</v>
      </c>
      <c r="J730" t="s">
        <v>790</v>
      </c>
      <c r="K730">
        <v>4.7590896407435114E-2</v>
      </c>
      <c r="L730" t="s">
        <v>157</v>
      </c>
      <c r="N730" t="s">
        <v>341</v>
      </c>
      <c r="O730" t="s">
        <v>790</v>
      </c>
      <c r="P730">
        <v>1.9498366426334835E-2</v>
      </c>
      <c r="Q730" t="s">
        <v>157</v>
      </c>
      <c r="S730" t="s">
        <v>452</v>
      </c>
      <c r="T730" t="s">
        <v>790</v>
      </c>
      <c r="U730">
        <v>2.1523260265672119E-2</v>
      </c>
      <c r="V730" t="s">
        <v>157</v>
      </c>
    </row>
    <row r="731" spans="9:22" x14ac:dyDescent="0.45">
      <c r="I731" t="s">
        <v>231</v>
      </c>
      <c r="J731" t="s">
        <v>779</v>
      </c>
      <c r="K731">
        <v>0.26065253117403481</v>
      </c>
      <c r="L731" t="s">
        <v>157</v>
      </c>
      <c r="N731" t="s">
        <v>342</v>
      </c>
      <c r="O731" t="s">
        <v>779</v>
      </c>
      <c r="P731">
        <v>0.15692255215630665</v>
      </c>
      <c r="Q731" t="s">
        <v>157</v>
      </c>
      <c r="S731" t="s">
        <v>453</v>
      </c>
      <c r="T731" t="s">
        <v>779</v>
      </c>
      <c r="U731">
        <v>0.11874432142864864</v>
      </c>
      <c r="V731" t="s">
        <v>157</v>
      </c>
    </row>
    <row r="732" spans="9:22" x14ac:dyDescent="0.45">
      <c r="I732" t="s">
        <v>231</v>
      </c>
      <c r="J732" t="s">
        <v>780</v>
      </c>
      <c r="K732">
        <v>3.9268648420056947E-3</v>
      </c>
      <c r="L732" t="s">
        <v>157</v>
      </c>
      <c r="N732" t="s">
        <v>342</v>
      </c>
      <c r="O732" t="s">
        <v>780</v>
      </c>
      <c r="P732">
        <v>0.1471872822345964</v>
      </c>
      <c r="Q732" t="s">
        <v>157</v>
      </c>
      <c r="S732" t="s">
        <v>453</v>
      </c>
      <c r="T732" t="s">
        <v>780</v>
      </c>
      <c r="U732">
        <v>0.11312023486908891</v>
      </c>
      <c r="V732" t="s">
        <v>157</v>
      </c>
    </row>
    <row r="733" spans="9:22" x14ac:dyDescent="0.45">
      <c r="I733" t="s">
        <v>231</v>
      </c>
      <c r="J733" t="s">
        <v>781</v>
      </c>
      <c r="K733">
        <v>2.6331654853665357E-2</v>
      </c>
      <c r="L733" t="s">
        <v>157</v>
      </c>
      <c r="N733" t="s">
        <v>342</v>
      </c>
      <c r="O733" t="s">
        <v>781</v>
      </c>
      <c r="P733">
        <v>2.9540139222936346E-2</v>
      </c>
      <c r="Q733" t="s">
        <v>157</v>
      </c>
      <c r="S733" t="s">
        <v>453</v>
      </c>
      <c r="T733" t="s">
        <v>781</v>
      </c>
      <c r="U733">
        <v>2.0359950808443397E-2</v>
      </c>
      <c r="V733" t="s">
        <v>157</v>
      </c>
    </row>
    <row r="734" spans="9:22" x14ac:dyDescent="0.45">
      <c r="I734" t="s">
        <v>231</v>
      </c>
      <c r="J734" t="s">
        <v>782</v>
      </c>
      <c r="K734">
        <v>0.1737477859467422</v>
      </c>
      <c r="L734" t="s">
        <v>157</v>
      </c>
      <c r="N734" t="s">
        <v>342</v>
      </c>
      <c r="O734" t="s">
        <v>782</v>
      </c>
      <c r="P734">
        <v>9.3773257776246913E-2</v>
      </c>
      <c r="Q734" t="s">
        <v>157</v>
      </c>
      <c r="S734" t="s">
        <v>453</v>
      </c>
      <c r="T734" t="s">
        <v>782</v>
      </c>
      <c r="U734">
        <v>0.11152782246315869</v>
      </c>
      <c r="V734" t="s">
        <v>157</v>
      </c>
    </row>
    <row r="735" spans="9:22" x14ac:dyDescent="0.45">
      <c r="I735" t="s">
        <v>231</v>
      </c>
      <c r="J735" t="s">
        <v>783</v>
      </c>
      <c r="K735">
        <v>0</v>
      </c>
      <c r="L735" t="s">
        <v>157</v>
      </c>
      <c r="N735" t="s">
        <v>342</v>
      </c>
      <c r="O735" t="s">
        <v>783</v>
      </c>
      <c r="P735">
        <v>8.8592740738791989E-2</v>
      </c>
      <c r="Q735" t="s">
        <v>157</v>
      </c>
      <c r="S735" t="s">
        <v>453</v>
      </c>
      <c r="T735" t="s">
        <v>783</v>
      </c>
      <c r="U735">
        <v>0.1102243881223921</v>
      </c>
      <c r="V735" t="s">
        <v>157</v>
      </c>
    </row>
    <row r="736" spans="9:22" x14ac:dyDescent="0.45">
      <c r="I736" t="s">
        <v>231</v>
      </c>
      <c r="J736" t="s">
        <v>784</v>
      </c>
      <c r="K736">
        <v>1.3529967447463428E-2</v>
      </c>
      <c r="L736" t="s">
        <v>157</v>
      </c>
      <c r="N736" t="s">
        <v>342</v>
      </c>
      <c r="O736" t="s">
        <v>784</v>
      </c>
      <c r="P736">
        <v>1.6786812866654326E-2</v>
      </c>
      <c r="Q736" t="s">
        <v>157</v>
      </c>
      <c r="S736" t="s">
        <v>453</v>
      </c>
      <c r="T736" t="s">
        <v>784</v>
      </c>
      <c r="U736">
        <v>2.037841159896385E-2</v>
      </c>
      <c r="V736" t="s">
        <v>157</v>
      </c>
    </row>
    <row r="737" spans="9:22" x14ac:dyDescent="0.45">
      <c r="I737" t="s">
        <v>231</v>
      </c>
      <c r="J737" t="s">
        <v>785</v>
      </c>
      <c r="K737">
        <v>0.1106602758605184</v>
      </c>
      <c r="L737" t="s">
        <v>157</v>
      </c>
      <c r="N737" t="s">
        <v>342</v>
      </c>
      <c r="O737" t="s">
        <v>785</v>
      </c>
      <c r="P737">
        <v>0.11403694907964815</v>
      </c>
      <c r="Q737" t="s">
        <v>157</v>
      </c>
      <c r="S737" t="s">
        <v>453</v>
      </c>
      <c r="T737" t="s">
        <v>785</v>
      </c>
      <c r="U737">
        <v>0.11613229134468336</v>
      </c>
      <c r="V737" t="s">
        <v>157</v>
      </c>
    </row>
    <row r="738" spans="9:22" x14ac:dyDescent="0.45">
      <c r="I738" t="s">
        <v>231</v>
      </c>
      <c r="J738" t="s">
        <v>786</v>
      </c>
      <c r="K738">
        <v>0</v>
      </c>
      <c r="L738" t="s">
        <v>157</v>
      </c>
      <c r="N738" t="s">
        <v>342</v>
      </c>
      <c r="O738" t="s">
        <v>786</v>
      </c>
      <c r="P738">
        <v>0.11119027063340939</v>
      </c>
      <c r="Q738" t="s">
        <v>157</v>
      </c>
      <c r="S738" t="s">
        <v>453</v>
      </c>
      <c r="T738" t="s">
        <v>786</v>
      </c>
      <c r="U738">
        <v>0.1157332451352026</v>
      </c>
      <c r="V738" t="s">
        <v>157</v>
      </c>
    </row>
    <row r="739" spans="9:22" x14ac:dyDescent="0.45">
      <c r="I739" t="s">
        <v>231</v>
      </c>
      <c r="J739" t="s">
        <v>787</v>
      </c>
      <c r="K739">
        <v>2.7072984104467936E-3</v>
      </c>
      <c r="L739" t="s">
        <v>157</v>
      </c>
      <c r="N739" t="s">
        <v>342</v>
      </c>
      <c r="O739" t="s">
        <v>787</v>
      </c>
      <c r="P739">
        <v>1.9476115413912014E-2</v>
      </c>
      <c r="Q739" t="s">
        <v>157</v>
      </c>
      <c r="S739" t="s">
        <v>453</v>
      </c>
      <c r="T739" t="s">
        <v>787</v>
      </c>
      <c r="U739">
        <v>2.0441573697493623E-2</v>
      </c>
      <c r="V739" t="s">
        <v>157</v>
      </c>
    </row>
    <row r="740" spans="9:22" x14ac:dyDescent="0.45">
      <c r="I740" t="s">
        <v>231</v>
      </c>
      <c r="J740" t="s">
        <v>788</v>
      </c>
      <c r="K740">
        <v>0.34314968740325408</v>
      </c>
      <c r="L740" t="s">
        <v>157</v>
      </c>
      <c r="N740" t="s">
        <v>342</v>
      </c>
      <c r="O740" t="s">
        <v>788</v>
      </c>
      <c r="P740">
        <v>0.11440754534096083</v>
      </c>
      <c r="Q740" t="s">
        <v>157</v>
      </c>
      <c r="S740" t="s">
        <v>453</v>
      </c>
      <c r="T740" t="s">
        <v>788</v>
      </c>
      <c r="U740">
        <v>0.11692623031426595</v>
      </c>
      <c r="V740" t="s">
        <v>157</v>
      </c>
    </row>
    <row r="741" spans="9:22" x14ac:dyDescent="0.45">
      <c r="I741" t="s">
        <v>231</v>
      </c>
      <c r="J741" t="s">
        <v>789</v>
      </c>
      <c r="K741">
        <v>1.8289353766038179E-2</v>
      </c>
      <c r="L741" t="s">
        <v>157</v>
      </c>
      <c r="N741" t="s">
        <v>342</v>
      </c>
      <c r="O741" t="s">
        <v>789</v>
      </c>
      <c r="P741">
        <v>9.0661876067187258E-2</v>
      </c>
      <c r="Q741" t="s">
        <v>157</v>
      </c>
      <c r="S741" t="s">
        <v>453</v>
      </c>
      <c r="T741" t="s">
        <v>789</v>
      </c>
      <c r="U741">
        <v>0.11482135651350713</v>
      </c>
      <c r="V741" t="s">
        <v>157</v>
      </c>
    </row>
    <row r="742" spans="9:22" x14ac:dyDescent="0.45">
      <c r="I742" t="s">
        <v>231</v>
      </c>
      <c r="J742" t="s">
        <v>790</v>
      </c>
      <c r="K742">
        <v>4.7004580295831086E-2</v>
      </c>
      <c r="L742" t="s">
        <v>157</v>
      </c>
      <c r="N742" t="s">
        <v>342</v>
      </c>
      <c r="O742" t="s">
        <v>790</v>
      </c>
      <c r="P742">
        <v>1.7424458469349743E-2</v>
      </c>
      <c r="Q742" t="s">
        <v>157</v>
      </c>
      <c r="S742" t="s">
        <v>453</v>
      </c>
      <c r="T742" t="s">
        <v>790</v>
      </c>
      <c r="U742">
        <v>2.1590173704151706E-2</v>
      </c>
      <c r="V742" t="s">
        <v>157</v>
      </c>
    </row>
    <row r="743" spans="9:22" x14ac:dyDescent="0.45">
      <c r="I743" t="s">
        <v>232</v>
      </c>
      <c r="J743" t="s">
        <v>779</v>
      </c>
      <c r="K743">
        <v>0.26044486521336946</v>
      </c>
      <c r="L743" t="s">
        <v>157</v>
      </c>
      <c r="N743" t="s">
        <v>343</v>
      </c>
      <c r="O743" t="s">
        <v>779</v>
      </c>
      <c r="P743">
        <v>0.18452937462132779</v>
      </c>
      <c r="Q743" t="s">
        <v>157</v>
      </c>
      <c r="S743" t="s">
        <v>454</v>
      </c>
      <c r="T743" t="s">
        <v>779</v>
      </c>
      <c r="U743">
        <v>0.11887618150640396</v>
      </c>
      <c r="V743" t="s">
        <v>157</v>
      </c>
    </row>
    <row r="744" spans="9:22" x14ac:dyDescent="0.45">
      <c r="I744" t="s">
        <v>232</v>
      </c>
      <c r="J744" t="s">
        <v>780</v>
      </c>
      <c r="K744">
        <v>3.8224060811326071E-3</v>
      </c>
      <c r="L744" t="s">
        <v>157</v>
      </c>
      <c r="N744" t="s">
        <v>343</v>
      </c>
      <c r="O744" t="s">
        <v>780</v>
      </c>
      <c r="P744">
        <v>0.12245237422555547</v>
      </c>
      <c r="Q744" t="s">
        <v>157</v>
      </c>
      <c r="S744" t="s">
        <v>454</v>
      </c>
      <c r="T744" t="s">
        <v>780</v>
      </c>
      <c r="U744">
        <v>0.11456206677734476</v>
      </c>
      <c r="V744" t="s">
        <v>157</v>
      </c>
    </row>
    <row r="745" spans="9:22" x14ac:dyDescent="0.45">
      <c r="I745" t="s">
        <v>232</v>
      </c>
      <c r="J745" t="s">
        <v>781</v>
      </c>
      <c r="K745">
        <v>2.7068689464680339E-2</v>
      </c>
      <c r="L745" t="s">
        <v>157</v>
      </c>
      <c r="N745" t="s">
        <v>343</v>
      </c>
      <c r="O745" t="s">
        <v>781</v>
      </c>
      <c r="P745">
        <v>2.8766827401349483E-2</v>
      </c>
      <c r="Q745" t="s">
        <v>157</v>
      </c>
      <c r="S745" t="s">
        <v>454</v>
      </c>
      <c r="T745" t="s">
        <v>781</v>
      </c>
      <c r="U745">
        <v>2.0643761535687432E-2</v>
      </c>
      <c r="V745" t="s">
        <v>157</v>
      </c>
    </row>
    <row r="746" spans="9:22" x14ac:dyDescent="0.45">
      <c r="I746" t="s">
        <v>232</v>
      </c>
      <c r="J746" t="s">
        <v>782</v>
      </c>
      <c r="K746">
        <v>0.17019458982250754</v>
      </c>
      <c r="L746" t="s">
        <v>157</v>
      </c>
      <c r="N746" t="s">
        <v>343</v>
      </c>
      <c r="O746" t="s">
        <v>782</v>
      </c>
      <c r="P746">
        <v>8.8328094320366327E-2</v>
      </c>
      <c r="Q746" t="s">
        <v>157</v>
      </c>
      <c r="S746" t="s">
        <v>454</v>
      </c>
      <c r="T746" t="s">
        <v>782</v>
      </c>
      <c r="U746">
        <v>0.11087094645859386</v>
      </c>
      <c r="V746" t="s">
        <v>157</v>
      </c>
    </row>
    <row r="747" spans="9:22" x14ac:dyDescent="0.45">
      <c r="I747" t="s">
        <v>232</v>
      </c>
      <c r="J747" t="s">
        <v>783</v>
      </c>
      <c r="K747">
        <v>0</v>
      </c>
      <c r="L747" t="s">
        <v>157</v>
      </c>
      <c r="N747" t="s">
        <v>343</v>
      </c>
      <c r="O747" t="s">
        <v>783</v>
      </c>
      <c r="P747">
        <v>6.0542059584892519E-2</v>
      </c>
      <c r="Q747" t="s">
        <v>157</v>
      </c>
      <c r="S747" t="s">
        <v>454</v>
      </c>
      <c r="T747" t="s">
        <v>783</v>
      </c>
      <c r="U747">
        <v>0.10909529581691271</v>
      </c>
      <c r="V747" t="s">
        <v>157</v>
      </c>
    </row>
    <row r="748" spans="9:22" x14ac:dyDescent="0.45">
      <c r="I748" t="s">
        <v>232</v>
      </c>
      <c r="J748" t="s">
        <v>784</v>
      </c>
      <c r="K748">
        <v>1.3125278736783798E-2</v>
      </c>
      <c r="L748" t="s">
        <v>157</v>
      </c>
      <c r="N748" t="s">
        <v>343</v>
      </c>
      <c r="O748" t="s">
        <v>784</v>
      </c>
      <c r="P748">
        <v>1.3296708761147804E-2</v>
      </c>
      <c r="Q748" t="s">
        <v>157</v>
      </c>
      <c r="S748" t="s">
        <v>454</v>
      </c>
      <c r="T748" t="s">
        <v>784</v>
      </c>
      <c r="U748">
        <v>2.0264215586908461E-2</v>
      </c>
      <c r="V748" t="s">
        <v>157</v>
      </c>
    </row>
    <row r="749" spans="9:22" x14ac:dyDescent="0.45">
      <c r="I749" t="s">
        <v>232</v>
      </c>
      <c r="J749" t="s">
        <v>785</v>
      </c>
      <c r="K749">
        <v>0.11750038573060712</v>
      </c>
      <c r="L749" t="s">
        <v>157</v>
      </c>
      <c r="N749" t="s">
        <v>343</v>
      </c>
      <c r="O749" t="s">
        <v>785</v>
      </c>
      <c r="P749">
        <v>0.12429795834767028</v>
      </c>
      <c r="Q749" t="s">
        <v>157</v>
      </c>
      <c r="S749" t="s">
        <v>454</v>
      </c>
      <c r="T749" t="s">
        <v>785</v>
      </c>
      <c r="U749">
        <v>0.1150035021354071</v>
      </c>
      <c r="V749" t="s">
        <v>157</v>
      </c>
    </row>
    <row r="750" spans="9:22" x14ac:dyDescent="0.45">
      <c r="I750" t="s">
        <v>232</v>
      </c>
      <c r="J750" t="s">
        <v>786</v>
      </c>
      <c r="K750">
        <v>0</v>
      </c>
      <c r="L750" t="s">
        <v>157</v>
      </c>
      <c r="N750" t="s">
        <v>343</v>
      </c>
      <c r="O750" t="s">
        <v>786</v>
      </c>
      <c r="P750">
        <v>0.12120153043147013</v>
      </c>
      <c r="Q750" t="s">
        <v>157</v>
      </c>
      <c r="S750" t="s">
        <v>454</v>
      </c>
      <c r="T750" t="s">
        <v>786</v>
      </c>
      <c r="U750">
        <v>0.11644995104818791</v>
      </c>
      <c r="V750" t="s">
        <v>157</v>
      </c>
    </row>
    <row r="751" spans="9:22" x14ac:dyDescent="0.45">
      <c r="I751" t="s">
        <v>232</v>
      </c>
      <c r="J751" t="s">
        <v>787</v>
      </c>
      <c r="K751">
        <v>3.0344370274386582E-3</v>
      </c>
      <c r="L751" t="s">
        <v>157</v>
      </c>
      <c r="N751" t="s">
        <v>343</v>
      </c>
      <c r="O751" t="s">
        <v>787</v>
      </c>
      <c r="P751">
        <v>2.4387835407181303E-2</v>
      </c>
      <c r="Q751" t="s">
        <v>157</v>
      </c>
      <c r="S751" t="s">
        <v>454</v>
      </c>
      <c r="T751" t="s">
        <v>787</v>
      </c>
      <c r="U751">
        <v>2.027229848581626E-2</v>
      </c>
      <c r="V751" t="s">
        <v>157</v>
      </c>
    </row>
    <row r="752" spans="9:22" x14ac:dyDescent="0.45">
      <c r="I752" t="s">
        <v>232</v>
      </c>
      <c r="J752" t="s">
        <v>788</v>
      </c>
      <c r="K752">
        <v>0.34068626664138696</v>
      </c>
      <c r="L752" t="s">
        <v>157</v>
      </c>
      <c r="N752" t="s">
        <v>343</v>
      </c>
      <c r="O752" t="s">
        <v>788</v>
      </c>
      <c r="P752">
        <v>0.1362509593797758</v>
      </c>
      <c r="Q752" t="s">
        <v>157</v>
      </c>
      <c r="S752" t="s">
        <v>454</v>
      </c>
      <c r="T752" t="s">
        <v>788</v>
      </c>
      <c r="U752">
        <v>0.11643584990374192</v>
      </c>
      <c r="V752" t="s">
        <v>157</v>
      </c>
    </row>
    <row r="753" spans="9:22" x14ac:dyDescent="0.45">
      <c r="I753" t="s">
        <v>232</v>
      </c>
      <c r="J753" t="s">
        <v>789</v>
      </c>
      <c r="K753">
        <v>1.7015667480762164E-2</v>
      </c>
      <c r="L753" t="s">
        <v>157</v>
      </c>
      <c r="N753" t="s">
        <v>343</v>
      </c>
      <c r="O753" t="s">
        <v>789</v>
      </c>
      <c r="P753">
        <v>7.4782708215087618E-2</v>
      </c>
      <c r="Q753" t="s">
        <v>157</v>
      </c>
      <c r="S753" t="s">
        <v>454</v>
      </c>
      <c r="T753" t="s">
        <v>789</v>
      </c>
      <c r="U753">
        <v>0.1160078147990712</v>
      </c>
      <c r="V753" t="s">
        <v>157</v>
      </c>
    </row>
    <row r="754" spans="9:22" x14ac:dyDescent="0.45">
      <c r="I754" t="s">
        <v>232</v>
      </c>
      <c r="J754" t="s">
        <v>790</v>
      </c>
      <c r="K754">
        <v>4.7107413801331315E-2</v>
      </c>
      <c r="L754" t="s">
        <v>157</v>
      </c>
      <c r="N754" t="s">
        <v>343</v>
      </c>
      <c r="O754" t="s">
        <v>790</v>
      </c>
      <c r="P754">
        <v>2.1163569304175442E-2</v>
      </c>
      <c r="Q754" t="s">
        <v>157</v>
      </c>
      <c r="S754" t="s">
        <v>454</v>
      </c>
      <c r="T754" t="s">
        <v>790</v>
      </c>
      <c r="U754">
        <v>2.1518115945924458E-2</v>
      </c>
      <c r="V754" t="s">
        <v>157</v>
      </c>
    </row>
    <row r="755" spans="9:22" x14ac:dyDescent="0.45">
      <c r="I755" t="s">
        <v>233</v>
      </c>
      <c r="J755" t="s">
        <v>779</v>
      </c>
      <c r="K755">
        <v>0.26106071736474301</v>
      </c>
      <c r="L755" t="s">
        <v>157</v>
      </c>
      <c r="N755" t="s">
        <v>344</v>
      </c>
      <c r="O755" t="s">
        <v>779</v>
      </c>
      <c r="P755">
        <v>0.1950512727389539</v>
      </c>
      <c r="Q755" t="s">
        <v>157</v>
      </c>
      <c r="S755" t="s">
        <v>455</v>
      </c>
      <c r="T755" t="s">
        <v>779</v>
      </c>
      <c r="U755">
        <v>0.11855216458039083</v>
      </c>
      <c r="V755" t="s">
        <v>157</v>
      </c>
    </row>
    <row r="756" spans="9:22" x14ac:dyDescent="0.45">
      <c r="I756" t="s">
        <v>233</v>
      </c>
      <c r="J756" t="s">
        <v>780</v>
      </c>
      <c r="K756">
        <v>4.079251467583405E-3</v>
      </c>
      <c r="L756" t="s">
        <v>157</v>
      </c>
      <c r="N756" t="s">
        <v>344</v>
      </c>
      <c r="O756" t="s">
        <v>780</v>
      </c>
      <c r="P756">
        <v>0.12665246256064736</v>
      </c>
      <c r="Q756" t="s">
        <v>157</v>
      </c>
      <c r="S756" t="s">
        <v>455</v>
      </c>
      <c r="T756" t="s">
        <v>780</v>
      </c>
      <c r="U756">
        <v>0.11658060920316604</v>
      </c>
      <c r="V756" t="s">
        <v>157</v>
      </c>
    </row>
    <row r="757" spans="9:22" x14ac:dyDescent="0.45">
      <c r="I757" t="s">
        <v>233</v>
      </c>
      <c r="J757" t="s">
        <v>781</v>
      </c>
      <c r="K757">
        <v>2.6459423620315437E-2</v>
      </c>
      <c r="L757" t="s">
        <v>157</v>
      </c>
      <c r="N757" t="s">
        <v>344</v>
      </c>
      <c r="O757" t="s">
        <v>781</v>
      </c>
      <c r="P757">
        <v>3.4336804871627165E-2</v>
      </c>
      <c r="Q757" t="s">
        <v>157</v>
      </c>
      <c r="S757" t="s">
        <v>455</v>
      </c>
      <c r="T757" t="s">
        <v>781</v>
      </c>
      <c r="U757">
        <v>2.0757363580178254E-2</v>
      </c>
      <c r="V757" t="s">
        <v>157</v>
      </c>
    </row>
    <row r="758" spans="9:22" x14ac:dyDescent="0.45">
      <c r="I758" t="s">
        <v>233</v>
      </c>
      <c r="J758" t="s">
        <v>782</v>
      </c>
      <c r="K758">
        <v>0.1716395723273586</v>
      </c>
      <c r="L758" t="s">
        <v>157</v>
      </c>
      <c r="N758" t="s">
        <v>344</v>
      </c>
      <c r="O758" t="s">
        <v>782</v>
      </c>
      <c r="P758">
        <v>8.1812394198005109E-2</v>
      </c>
      <c r="Q758" t="s">
        <v>157</v>
      </c>
      <c r="S758" t="s">
        <v>455</v>
      </c>
      <c r="T758" t="s">
        <v>782</v>
      </c>
      <c r="U758">
        <v>0.1105085885696829</v>
      </c>
      <c r="V758" t="s">
        <v>157</v>
      </c>
    </row>
    <row r="759" spans="9:22" x14ac:dyDescent="0.45">
      <c r="I759" t="s">
        <v>233</v>
      </c>
      <c r="J759" t="s">
        <v>783</v>
      </c>
      <c r="K759">
        <v>0</v>
      </c>
      <c r="L759" t="s">
        <v>157</v>
      </c>
      <c r="N759" t="s">
        <v>344</v>
      </c>
      <c r="O759" t="s">
        <v>783</v>
      </c>
      <c r="P759">
        <v>5.9511439152629672E-2</v>
      </c>
      <c r="Q759" t="s">
        <v>157</v>
      </c>
      <c r="S759" t="s">
        <v>455</v>
      </c>
      <c r="T759" t="s">
        <v>783</v>
      </c>
      <c r="U759">
        <v>0.10861065667126396</v>
      </c>
      <c r="V759" t="s">
        <v>157</v>
      </c>
    </row>
    <row r="760" spans="9:22" x14ac:dyDescent="0.45">
      <c r="I760" t="s">
        <v>233</v>
      </c>
      <c r="J760" t="s">
        <v>784</v>
      </c>
      <c r="K760">
        <v>1.3199336053421157E-2</v>
      </c>
      <c r="L760" t="s">
        <v>157</v>
      </c>
      <c r="N760" t="s">
        <v>344</v>
      </c>
      <c r="O760" t="s">
        <v>784</v>
      </c>
      <c r="P760">
        <v>1.2583460641555182E-2</v>
      </c>
      <c r="Q760" t="s">
        <v>157</v>
      </c>
      <c r="S760" t="s">
        <v>455</v>
      </c>
      <c r="T760" t="s">
        <v>784</v>
      </c>
      <c r="U760">
        <v>2.0166286593460248E-2</v>
      </c>
      <c r="V760" t="s">
        <v>157</v>
      </c>
    </row>
    <row r="761" spans="9:22" x14ac:dyDescent="0.45">
      <c r="I761" t="s">
        <v>233</v>
      </c>
      <c r="J761" t="s">
        <v>785</v>
      </c>
      <c r="K761">
        <v>0.1097394173307112</v>
      </c>
      <c r="L761" t="s">
        <v>157</v>
      </c>
      <c r="N761" t="s">
        <v>344</v>
      </c>
      <c r="O761" t="s">
        <v>785</v>
      </c>
      <c r="P761">
        <v>0.11730777707745989</v>
      </c>
      <c r="Q761" t="s">
        <v>157</v>
      </c>
      <c r="S761" t="s">
        <v>455</v>
      </c>
      <c r="T761" t="s">
        <v>785</v>
      </c>
      <c r="U761">
        <v>0.11457174739390917</v>
      </c>
      <c r="V761" t="s">
        <v>157</v>
      </c>
    </row>
    <row r="762" spans="9:22" x14ac:dyDescent="0.45">
      <c r="I762" t="s">
        <v>233</v>
      </c>
      <c r="J762" t="s">
        <v>786</v>
      </c>
      <c r="K762">
        <v>0</v>
      </c>
      <c r="L762" t="s">
        <v>157</v>
      </c>
      <c r="N762" t="s">
        <v>344</v>
      </c>
      <c r="O762" t="s">
        <v>786</v>
      </c>
      <c r="P762">
        <v>0.10167992457577313</v>
      </c>
      <c r="Q762" t="s">
        <v>157</v>
      </c>
      <c r="S762" t="s">
        <v>455</v>
      </c>
      <c r="T762" t="s">
        <v>786</v>
      </c>
      <c r="U762">
        <v>0.11649198711934541</v>
      </c>
      <c r="V762" t="s">
        <v>157</v>
      </c>
    </row>
    <row r="763" spans="9:22" x14ac:dyDescent="0.45">
      <c r="I763" t="s">
        <v>233</v>
      </c>
      <c r="J763" t="s">
        <v>787</v>
      </c>
      <c r="K763">
        <v>2.9592447791048364E-3</v>
      </c>
      <c r="L763" t="s">
        <v>157</v>
      </c>
      <c r="N763" t="s">
        <v>344</v>
      </c>
      <c r="O763" t="s">
        <v>787</v>
      </c>
      <c r="P763">
        <v>1.9920768386184212E-2</v>
      </c>
      <c r="Q763" t="s">
        <v>157</v>
      </c>
      <c r="S763" t="s">
        <v>455</v>
      </c>
      <c r="T763" t="s">
        <v>787</v>
      </c>
      <c r="U763">
        <v>2.0261037902677612E-2</v>
      </c>
      <c r="V763" t="s">
        <v>157</v>
      </c>
    </row>
    <row r="764" spans="9:22" x14ac:dyDescent="0.45">
      <c r="I764" t="s">
        <v>233</v>
      </c>
      <c r="J764" t="s">
        <v>788</v>
      </c>
      <c r="K764">
        <v>0.34640480668933465</v>
      </c>
      <c r="L764" t="s">
        <v>157</v>
      </c>
      <c r="N764" t="s">
        <v>344</v>
      </c>
      <c r="O764" t="s">
        <v>788</v>
      </c>
      <c r="P764">
        <v>0.14083863897125512</v>
      </c>
      <c r="Q764" t="s">
        <v>157</v>
      </c>
      <c r="S764" t="s">
        <v>455</v>
      </c>
      <c r="T764" t="s">
        <v>788</v>
      </c>
      <c r="U764">
        <v>0.11640954375301707</v>
      </c>
      <c r="V764" t="s">
        <v>157</v>
      </c>
    </row>
    <row r="765" spans="9:22" x14ac:dyDescent="0.45">
      <c r="I765" t="s">
        <v>233</v>
      </c>
      <c r="J765" t="s">
        <v>789</v>
      </c>
      <c r="K765">
        <v>1.6572757657787689E-2</v>
      </c>
      <c r="L765" t="s">
        <v>157</v>
      </c>
      <c r="N765" t="s">
        <v>344</v>
      </c>
      <c r="O765" t="s">
        <v>789</v>
      </c>
      <c r="P765">
        <v>8.6039608744110624E-2</v>
      </c>
      <c r="Q765" t="s">
        <v>157</v>
      </c>
      <c r="S765" t="s">
        <v>455</v>
      </c>
      <c r="T765" t="s">
        <v>789</v>
      </c>
      <c r="U765">
        <v>0.1162022651476608</v>
      </c>
      <c r="V765" t="s">
        <v>157</v>
      </c>
    </row>
    <row r="766" spans="9:22" x14ac:dyDescent="0.45">
      <c r="I766" t="s">
        <v>233</v>
      </c>
      <c r="J766" t="s">
        <v>790</v>
      </c>
      <c r="K766">
        <v>4.788547270964004E-2</v>
      </c>
      <c r="L766" t="s">
        <v>157</v>
      </c>
      <c r="N766" t="s">
        <v>344</v>
      </c>
      <c r="O766" t="s">
        <v>790</v>
      </c>
      <c r="P766">
        <v>2.426544808179857E-2</v>
      </c>
      <c r="Q766" t="s">
        <v>157</v>
      </c>
      <c r="S766" t="s">
        <v>455</v>
      </c>
      <c r="T766" t="s">
        <v>790</v>
      </c>
      <c r="U766">
        <v>2.0887749485247752E-2</v>
      </c>
      <c r="V766" t="s">
        <v>157</v>
      </c>
    </row>
    <row r="767" spans="9:22" x14ac:dyDescent="0.45">
      <c r="I767" t="s">
        <v>234</v>
      </c>
      <c r="J767" t="s">
        <v>779</v>
      </c>
      <c r="K767">
        <v>0.26224621332992759</v>
      </c>
      <c r="L767" t="s">
        <v>157</v>
      </c>
      <c r="N767" t="s">
        <v>345</v>
      </c>
      <c r="O767" t="s">
        <v>779</v>
      </c>
      <c r="P767">
        <v>0.17904376551217621</v>
      </c>
      <c r="Q767" t="s">
        <v>157</v>
      </c>
      <c r="S767" t="s">
        <v>456</v>
      </c>
      <c r="T767" t="s">
        <v>779</v>
      </c>
      <c r="U767">
        <v>0.1179401087049517</v>
      </c>
      <c r="V767" t="s">
        <v>157</v>
      </c>
    </row>
    <row r="768" spans="9:22" x14ac:dyDescent="0.45">
      <c r="I768" t="s">
        <v>234</v>
      </c>
      <c r="J768" t="s">
        <v>780</v>
      </c>
      <c r="K768">
        <v>4.4589814901264905E-3</v>
      </c>
      <c r="L768" t="s">
        <v>157</v>
      </c>
      <c r="N768" t="s">
        <v>345</v>
      </c>
      <c r="O768" t="s">
        <v>780</v>
      </c>
      <c r="P768">
        <v>0.13995346282769874</v>
      </c>
      <c r="Q768" t="s">
        <v>157</v>
      </c>
      <c r="S768" t="s">
        <v>456</v>
      </c>
      <c r="T768" t="s">
        <v>780</v>
      </c>
      <c r="U768">
        <v>0.11742833340669669</v>
      </c>
      <c r="V768" t="s">
        <v>157</v>
      </c>
    </row>
    <row r="769" spans="9:22" x14ac:dyDescent="0.45">
      <c r="I769" t="s">
        <v>234</v>
      </c>
      <c r="J769" t="s">
        <v>781</v>
      </c>
      <c r="K769">
        <v>2.4884530916094098E-2</v>
      </c>
      <c r="L769" t="s">
        <v>157</v>
      </c>
      <c r="N769" t="s">
        <v>345</v>
      </c>
      <c r="O769" t="s">
        <v>781</v>
      </c>
      <c r="P769">
        <v>3.4885589417349171E-2</v>
      </c>
      <c r="Q769" t="s">
        <v>157</v>
      </c>
      <c r="S769" t="s">
        <v>456</v>
      </c>
      <c r="T769" t="s">
        <v>781</v>
      </c>
      <c r="U769">
        <v>2.0808324490598017E-2</v>
      </c>
      <c r="V769" t="s">
        <v>157</v>
      </c>
    </row>
    <row r="770" spans="9:22" x14ac:dyDescent="0.45">
      <c r="I770" t="s">
        <v>234</v>
      </c>
      <c r="J770" t="s">
        <v>782</v>
      </c>
      <c r="K770">
        <v>0.17465552745680368</v>
      </c>
      <c r="L770" t="s">
        <v>157</v>
      </c>
      <c r="N770" t="s">
        <v>345</v>
      </c>
      <c r="O770" t="s">
        <v>782</v>
      </c>
      <c r="P770">
        <v>8.4248694896386492E-2</v>
      </c>
      <c r="Q770" t="s">
        <v>157</v>
      </c>
      <c r="S770" t="s">
        <v>456</v>
      </c>
      <c r="T770" t="s">
        <v>782</v>
      </c>
      <c r="U770">
        <v>0.10947789711186282</v>
      </c>
      <c r="V770" t="s">
        <v>157</v>
      </c>
    </row>
    <row r="771" spans="9:22" x14ac:dyDescent="0.45">
      <c r="I771" t="s">
        <v>234</v>
      </c>
      <c r="J771" t="s">
        <v>783</v>
      </c>
      <c r="K771">
        <v>0</v>
      </c>
      <c r="L771" t="s">
        <v>157</v>
      </c>
      <c r="N771" t="s">
        <v>345</v>
      </c>
      <c r="O771" t="s">
        <v>783</v>
      </c>
      <c r="P771">
        <v>6.280834428442536E-2</v>
      </c>
      <c r="Q771" t="s">
        <v>157</v>
      </c>
      <c r="S771" t="s">
        <v>456</v>
      </c>
      <c r="T771" t="s">
        <v>783</v>
      </c>
      <c r="U771">
        <v>0.10786186064832755</v>
      </c>
      <c r="V771" t="s">
        <v>157</v>
      </c>
    </row>
    <row r="772" spans="9:22" x14ac:dyDescent="0.45">
      <c r="I772" t="s">
        <v>234</v>
      </c>
      <c r="J772" t="s">
        <v>784</v>
      </c>
      <c r="K772">
        <v>1.3476768543772385E-2</v>
      </c>
      <c r="L772" t="s">
        <v>157</v>
      </c>
      <c r="N772" t="s">
        <v>345</v>
      </c>
      <c r="O772" t="s">
        <v>784</v>
      </c>
      <c r="P772">
        <v>1.5193732158356487E-2</v>
      </c>
      <c r="Q772" t="s">
        <v>157</v>
      </c>
      <c r="S772" t="s">
        <v>456</v>
      </c>
      <c r="T772" t="s">
        <v>784</v>
      </c>
      <c r="U772">
        <v>2.0257278612409529E-2</v>
      </c>
      <c r="V772" t="s">
        <v>157</v>
      </c>
    </row>
    <row r="773" spans="9:22" x14ac:dyDescent="0.45">
      <c r="I773" t="s">
        <v>234</v>
      </c>
      <c r="J773" t="s">
        <v>785</v>
      </c>
      <c r="K773">
        <v>0.1073274506503667</v>
      </c>
      <c r="L773" t="s">
        <v>157</v>
      </c>
      <c r="N773" t="s">
        <v>345</v>
      </c>
      <c r="O773" t="s">
        <v>785</v>
      </c>
      <c r="P773">
        <v>0.11289699058951755</v>
      </c>
      <c r="Q773" t="s">
        <v>157</v>
      </c>
      <c r="S773" t="s">
        <v>456</v>
      </c>
      <c r="T773" t="s">
        <v>785</v>
      </c>
      <c r="U773">
        <v>0.11539940328068746</v>
      </c>
      <c r="V773" t="s">
        <v>157</v>
      </c>
    </row>
    <row r="774" spans="9:22" x14ac:dyDescent="0.45">
      <c r="I774" t="s">
        <v>234</v>
      </c>
      <c r="J774" t="s">
        <v>786</v>
      </c>
      <c r="K774">
        <v>0</v>
      </c>
      <c r="L774" t="s">
        <v>157</v>
      </c>
      <c r="N774" t="s">
        <v>345</v>
      </c>
      <c r="O774" t="s">
        <v>786</v>
      </c>
      <c r="P774">
        <v>0.11196950677632449</v>
      </c>
      <c r="Q774" t="s">
        <v>157</v>
      </c>
      <c r="S774" t="s">
        <v>456</v>
      </c>
      <c r="T774" t="s">
        <v>786</v>
      </c>
      <c r="U774">
        <v>0.11585212358043044</v>
      </c>
      <c r="V774" t="s">
        <v>157</v>
      </c>
    </row>
    <row r="775" spans="9:22" x14ac:dyDescent="0.45">
      <c r="I775" t="s">
        <v>234</v>
      </c>
      <c r="J775" t="s">
        <v>787</v>
      </c>
      <c r="K775">
        <v>2.598230675465133E-3</v>
      </c>
      <c r="L775" t="s">
        <v>157</v>
      </c>
      <c r="N775" t="s">
        <v>345</v>
      </c>
      <c r="O775" t="s">
        <v>787</v>
      </c>
      <c r="P775">
        <v>2.2252669561712075E-2</v>
      </c>
      <c r="Q775" t="s">
        <v>157</v>
      </c>
      <c r="S775" t="s">
        <v>456</v>
      </c>
      <c r="T775" t="s">
        <v>787</v>
      </c>
      <c r="U775">
        <v>2.055192024497203E-2</v>
      </c>
      <c r="V775" t="s">
        <v>157</v>
      </c>
    </row>
    <row r="776" spans="9:22" x14ac:dyDescent="0.45">
      <c r="I776" t="s">
        <v>234</v>
      </c>
      <c r="J776" t="s">
        <v>788</v>
      </c>
      <c r="K776">
        <v>0.34643553829991469</v>
      </c>
      <c r="L776" t="s">
        <v>157</v>
      </c>
      <c r="N776" t="s">
        <v>345</v>
      </c>
      <c r="O776" t="s">
        <v>788</v>
      </c>
      <c r="P776">
        <v>0.12473580496776841</v>
      </c>
      <c r="Q776" t="s">
        <v>157</v>
      </c>
      <c r="S776" t="s">
        <v>456</v>
      </c>
      <c r="T776" t="s">
        <v>788</v>
      </c>
      <c r="U776">
        <v>0.11785082058926682</v>
      </c>
      <c r="V776" t="s">
        <v>157</v>
      </c>
    </row>
    <row r="777" spans="9:22" x14ac:dyDescent="0.45">
      <c r="I777" t="s">
        <v>234</v>
      </c>
      <c r="J777" t="s">
        <v>789</v>
      </c>
      <c r="K777">
        <v>1.6339870381989544E-2</v>
      </c>
      <c r="L777" t="s">
        <v>157</v>
      </c>
      <c r="N777" t="s">
        <v>345</v>
      </c>
      <c r="O777" t="s">
        <v>789</v>
      </c>
      <c r="P777">
        <v>8.8269034422958872E-2</v>
      </c>
      <c r="Q777" t="s">
        <v>157</v>
      </c>
      <c r="S777" t="s">
        <v>456</v>
      </c>
      <c r="T777" t="s">
        <v>789</v>
      </c>
      <c r="U777">
        <v>0.11609684688565397</v>
      </c>
      <c r="V777" t="s">
        <v>157</v>
      </c>
    </row>
    <row r="778" spans="9:22" x14ac:dyDescent="0.45">
      <c r="I778" t="s">
        <v>234</v>
      </c>
      <c r="J778" t="s">
        <v>790</v>
      </c>
      <c r="K778">
        <v>4.7576888255539754E-2</v>
      </c>
      <c r="L778" t="s">
        <v>157</v>
      </c>
      <c r="N778" t="s">
        <v>345</v>
      </c>
      <c r="O778" t="s">
        <v>790</v>
      </c>
      <c r="P778">
        <v>2.3742404585326053E-2</v>
      </c>
      <c r="Q778" t="s">
        <v>157</v>
      </c>
      <c r="S778" t="s">
        <v>456</v>
      </c>
      <c r="T778" t="s">
        <v>790</v>
      </c>
      <c r="U778">
        <v>2.0475082444142992E-2</v>
      </c>
      <c r="V778" t="s">
        <v>157</v>
      </c>
    </row>
    <row r="779" spans="9:22" x14ac:dyDescent="0.45">
      <c r="I779" t="s">
        <v>235</v>
      </c>
      <c r="J779" t="s">
        <v>779</v>
      </c>
      <c r="K779">
        <v>0.26289578006981035</v>
      </c>
      <c r="L779" t="s">
        <v>157</v>
      </c>
      <c r="N779" t="s">
        <v>346</v>
      </c>
      <c r="O779" t="s">
        <v>779</v>
      </c>
      <c r="P779">
        <v>0.14168345905819268</v>
      </c>
      <c r="Q779" t="s">
        <v>157</v>
      </c>
      <c r="S779" t="s">
        <v>457</v>
      </c>
      <c r="T779" t="s">
        <v>779</v>
      </c>
      <c r="U779">
        <v>0.11709446261161033</v>
      </c>
      <c r="V779" t="s">
        <v>157</v>
      </c>
    </row>
    <row r="780" spans="9:22" x14ac:dyDescent="0.45">
      <c r="I780" t="s">
        <v>235</v>
      </c>
      <c r="J780" t="s">
        <v>780</v>
      </c>
      <c r="K780">
        <v>4.6100336535776524E-3</v>
      </c>
      <c r="L780" t="s">
        <v>157</v>
      </c>
      <c r="N780" t="s">
        <v>346</v>
      </c>
      <c r="O780" t="s">
        <v>780</v>
      </c>
      <c r="P780">
        <v>0.13725026704677853</v>
      </c>
      <c r="Q780" t="s">
        <v>157</v>
      </c>
      <c r="S780" t="s">
        <v>457</v>
      </c>
      <c r="T780" t="s">
        <v>780</v>
      </c>
      <c r="U780">
        <v>0.11687405300873807</v>
      </c>
      <c r="V780" t="s">
        <v>157</v>
      </c>
    </row>
    <row r="781" spans="9:22" x14ac:dyDescent="0.45">
      <c r="I781" t="s">
        <v>235</v>
      </c>
      <c r="J781" t="s">
        <v>781</v>
      </c>
      <c r="K781">
        <v>2.4841055411843168E-2</v>
      </c>
      <c r="L781" t="s">
        <v>157</v>
      </c>
      <c r="N781" t="s">
        <v>346</v>
      </c>
      <c r="O781" t="s">
        <v>781</v>
      </c>
      <c r="P781">
        <v>2.8192019656014238E-2</v>
      </c>
      <c r="Q781" t="s">
        <v>157</v>
      </c>
      <c r="S781" t="s">
        <v>457</v>
      </c>
      <c r="T781" t="s">
        <v>781</v>
      </c>
      <c r="U781">
        <v>2.0708145539417168E-2</v>
      </c>
      <c r="V781" t="s">
        <v>157</v>
      </c>
    </row>
    <row r="782" spans="9:22" x14ac:dyDescent="0.45">
      <c r="I782" t="s">
        <v>235</v>
      </c>
      <c r="J782" t="s">
        <v>782</v>
      </c>
      <c r="K782">
        <v>0.17739223701380072</v>
      </c>
      <c r="L782" t="s">
        <v>157</v>
      </c>
      <c r="N782" t="s">
        <v>346</v>
      </c>
      <c r="O782" t="s">
        <v>782</v>
      </c>
      <c r="P782">
        <v>9.2716413818396751E-2</v>
      </c>
      <c r="Q782" t="s">
        <v>157</v>
      </c>
      <c r="S782" t="s">
        <v>457</v>
      </c>
      <c r="T782" t="s">
        <v>782</v>
      </c>
      <c r="U782">
        <v>0.10833516624061933</v>
      </c>
      <c r="V782" t="s">
        <v>157</v>
      </c>
    </row>
    <row r="783" spans="9:22" x14ac:dyDescent="0.45">
      <c r="I783" t="s">
        <v>235</v>
      </c>
      <c r="J783" t="s">
        <v>783</v>
      </c>
      <c r="K783">
        <v>0</v>
      </c>
      <c r="L783" t="s">
        <v>157</v>
      </c>
      <c r="N783" t="s">
        <v>346</v>
      </c>
      <c r="O783" t="s">
        <v>783</v>
      </c>
      <c r="P783">
        <v>9.0421647495486618E-2</v>
      </c>
      <c r="Q783" t="s">
        <v>157</v>
      </c>
      <c r="S783" t="s">
        <v>457</v>
      </c>
      <c r="T783" t="s">
        <v>783</v>
      </c>
      <c r="U783">
        <v>0.10724044313322763</v>
      </c>
      <c r="V783" t="s">
        <v>157</v>
      </c>
    </row>
    <row r="784" spans="9:22" x14ac:dyDescent="0.45">
      <c r="I784" t="s">
        <v>235</v>
      </c>
      <c r="J784" t="s">
        <v>784</v>
      </c>
      <c r="K784">
        <v>1.3643406953594695E-2</v>
      </c>
      <c r="L784" t="s">
        <v>157</v>
      </c>
      <c r="N784" t="s">
        <v>346</v>
      </c>
      <c r="O784" t="s">
        <v>784</v>
      </c>
      <c r="P784">
        <v>1.7541893944602614E-2</v>
      </c>
      <c r="Q784" t="s">
        <v>157</v>
      </c>
      <c r="S784" t="s">
        <v>457</v>
      </c>
      <c r="T784" t="s">
        <v>784</v>
      </c>
      <c r="U784">
        <v>2.0528138165027313E-2</v>
      </c>
      <c r="V784" t="s">
        <v>157</v>
      </c>
    </row>
    <row r="785" spans="9:22" x14ac:dyDescent="0.45">
      <c r="I785" t="s">
        <v>235</v>
      </c>
      <c r="J785" t="s">
        <v>785</v>
      </c>
      <c r="K785">
        <v>0.10645601788654961</v>
      </c>
      <c r="L785" t="s">
        <v>157</v>
      </c>
      <c r="N785" t="s">
        <v>346</v>
      </c>
      <c r="O785" t="s">
        <v>785</v>
      </c>
      <c r="P785">
        <v>0.11738287345391701</v>
      </c>
      <c r="Q785" t="s">
        <v>157</v>
      </c>
      <c r="S785" t="s">
        <v>457</v>
      </c>
      <c r="T785" t="s">
        <v>785</v>
      </c>
      <c r="U785">
        <v>0.11635901319355905</v>
      </c>
      <c r="V785" t="s">
        <v>157</v>
      </c>
    </row>
    <row r="786" spans="9:22" x14ac:dyDescent="0.45">
      <c r="I786" t="s">
        <v>235</v>
      </c>
      <c r="J786" t="s">
        <v>786</v>
      </c>
      <c r="K786">
        <v>0</v>
      </c>
      <c r="L786" t="s">
        <v>157</v>
      </c>
      <c r="N786" t="s">
        <v>346</v>
      </c>
      <c r="O786" t="s">
        <v>786</v>
      </c>
      <c r="P786">
        <v>0.11991081194003002</v>
      </c>
      <c r="Q786" t="s">
        <v>157</v>
      </c>
      <c r="S786" t="s">
        <v>457</v>
      </c>
      <c r="T786" t="s">
        <v>786</v>
      </c>
      <c r="U786">
        <v>0.11526503966441261</v>
      </c>
      <c r="V786" t="s">
        <v>157</v>
      </c>
    </row>
    <row r="787" spans="9:22" x14ac:dyDescent="0.45">
      <c r="I787" t="s">
        <v>235</v>
      </c>
      <c r="J787" t="s">
        <v>787</v>
      </c>
      <c r="K787">
        <v>2.5645704408057517E-3</v>
      </c>
      <c r="L787" t="s">
        <v>157</v>
      </c>
      <c r="N787" t="s">
        <v>346</v>
      </c>
      <c r="O787" t="s">
        <v>787</v>
      </c>
      <c r="P787">
        <v>2.2970510444628108E-2</v>
      </c>
      <c r="Q787" t="s">
        <v>157</v>
      </c>
      <c r="S787" t="s">
        <v>457</v>
      </c>
      <c r="T787" t="s">
        <v>787</v>
      </c>
      <c r="U787">
        <v>2.0938345526852139E-2</v>
      </c>
      <c r="V787" t="s">
        <v>157</v>
      </c>
    </row>
    <row r="788" spans="9:22" x14ac:dyDescent="0.45">
      <c r="I788" t="s">
        <v>235</v>
      </c>
      <c r="J788" t="s">
        <v>788</v>
      </c>
      <c r="K788">
        <v>0.34370523098168648</v>
      </c>
      <c r="L788" t="s">
        <v>157</v>
      </c>
      <c r="N788" t="s">
        <v>346</v>
      </c>
      <c r="O788" t="s">
        <v>788</v>
      </c>
      <c r="P788">
        <v>0.10880443202741623</v>
      </c>
      <c r="Q788" t="s">
        <v>157</v>
      </c>
      <c r="S788" t="s">
        <v>457</v>
      </c>
      <c r="T788" t="s">
        <v>788</v>
      </c>
      <c r="U788">
        <v>0.11938457683583097</v>
      </c>
      <c r="V788" t="s">
        <v>157</v>
      </c>
    </row>
    <row r="789" spans="9:22" x14ac:dyDescent="0.45">
      <c r="I789" t="s">
        <v>235</v>
      </c>
      <c r="J789" t="s">
        <v>789</v>
      </c>
      <c r="K789">
        <v>1.5924702955551682E-2</v>
      </c>
      <c r="L789" t="s">
        <v>157</v>
      </c>
      <c r="N789" t="s">
        <v>346</v>
      </c>
      <c r="O789" t="s">
        <v>789</v>
      </c>
      <c r="P789">
        <v>0.10143826419134983</v>
      </c>
      <c r="Q789" t="s">
        <v>157</v>
      </c>
      <c r="S789" t="s">
        <v>457</v>
      </c>
      <c r="T789" t="s">
        <v>789</v>
      </c>
      <c r="U789">
        <v>0.11671100757392329</v>
      </c>
      <c r="V789" t="s">
        <v>157</v>
      </c>
    </row>
    <row r="790" spans="9:22" x14ac:dyDescent="0.45">
      <c r="I790" t="s">
        <v>235</v>
      </c>
      <c r="J790" t="s">
        <v>790</v>
      </c>
      <c r="K790">
        <v>4.7966964632779857E-2</v>
      </c>
      <c r="L790" t="s">
        <v>157</v>
      </c>
      <c r="N790" t="s">
        <v>346</v>
      </c>
      <c r="O790" t="s">
        <v>790</v>
      </c>
      <c r="P790">
        <v>2.1687406923187304E-2</v>
      </c>
      <c r="Q790" t="s">
        <v>157</v>
      </c>
      <c r="S790" t="s">
        <v>457</v>
      </c>
      <c r="T790" t="s">
        <v>790</v>
      </c>
      <c r="U790">
        <v>2.0561608506782132E-2</v>
      </c>
      <c r="V790" t="s">
        <v>157</v>
      </c>
    </row>
    <row r="791" spans="9:22" x14ac:dyDescent="0.45">
      <c r="I791" t="s">
        <v>236</v>
      </c>
      <c r="J791" t="s">
        <v>779</v>
      </c>
      <c r="K791">
        <v>0.27542497085403744</v>
      </c>
      <c r="L791" t="s">
        <v>157</v>
      </c>
      <c r="N791" t="s">
        <v>347</v>
      </c>
      <c r="O791" t="s">
        <v>779</v>
      </c>
      <c r="P791">
        <v>0.1217324351011803</v>
      </c>
      <c r="Q791" t="s">
        <v>157</v>
      </c>
      <c r="S791" t="s">
        <v>458</v>
      </c>
      <c r="T791" t="s">
        <v>779</v>
      </c>
      <c r="U791">
        <v>0.11581374988450414</v>
      </c>
      <c r="V791" t="s">
        <v>157</v>
      </c>
    </row>
    <row r="792" spans="9:22" x14ac:dyDescent="0.45">
      <c r="I792" t="s">
        <v>236</v>
      </c>
      <c r="J792" t="s">
        <v>780</v>
      </c>
      <c r="K792">
        <v>2.8781278450904059E-3</v>
      </c>
      <c r="L792" t="s">
        <v>157</v>
      </c>
      <c r="N792" t="s">
        <v>347</v>
      </c>
      <c r="O792" t="s">
        <v>780</v>
      </c>
      <c r="P792">
        <v>0.11745541729843864</v>
      </c>
      <c r="Q792" t="s">
        <v>157</v>
      </c>
      <c r="S792" t="s">
        <v>458</v>
      </c>
      <c r="T792" t="s">
        <v>780</v>
      </c>
      <c r="U792">
        <v>0.11530667487185108</v>
      </c>
      <c r="V792" t="s">
        <v>157</v>
      </c>
    </row>
    <row r="793" spans="9:22" x14ac:dyDescent="0.45">
      <c r="I793" t="s">
        <v>236</v>
      </c>
      <c r="J793" t="s">
        <v>781</v>
      </c>
      <c r="K793">
        <v>2.4408558665216917E-2</v>
      </c>
      <c r="L793" t="s">
        <v>157</v>
      </c>
      <c r="N793" t="s">
        <v>347</v>
      </c>
      <c r="O793" t="s">
        <v>781</v>
      </c>
      <c r="P793">
        <v>2.2463468888050901E-2</v>
      </c>
      <c r="Q793" t="s">
        <v>157</v>
      </c>
      <c r="S793" t="s">
        <v>458</v>
      </c>
      <c r="T793" t="s">
        <v>781</v>
      </c>
      <c r="U793">
        <v>2.0572008727164425E-2</v>
      </c>
      <c r="V793" t="s">
        <v>157</v>
      </c>
    </row>
    <row r="794" spans="9:22" x14ac:dyDescent="0.45">
      <c r="I794" t="s">
        <v>236</v>
      </c>
      <c r="J794" t="s">
        <v>782</v>
      </c>
      <c r="K794">
        <v>0.18794684729398489</v>
      </c>
      <c r="L794" t="s">
        <v>157</v>
      </c>
      <c r="N794" t="s">
        <v>347</v>
      </c>
      <c r="O794" t="s">
        <v>782</v>
      </c>
      <c r="P794">
        <v>0.11014238639884083</v>
      </c>
      <c r="Q794" t="s">
        <v>157</v>
      </c>
      <c r="S794" t="s">
        <v>458</v>
      </c>
      <c r="T794" t="s">
        <v>782</v>
      </c>
      <c r="U794">
        <v>0.10801675480085877</v>
      </c>
      <c r="V794" t="s">
        <v>157</v>
      </c>
    </row>
    <row r="795" spans="9:22" x14ac:dyDescent="0.45">
      <c r="I795" t="s">
        <v>236</v>
      </c>
      <c r="J795" t="s">
        <v>783</v>
      </c>
      <c r="K795">
        <v>0</v>
      </c>
      <c r="L795" t="s">
        <v>157</v>
      </c>
      <c r="N795" t="s">
        <v>347</v>
      </c>
      <c r="O795" t="s">
        <v>783</v>
      </c>
      <c r="P795">
        <v>0.10511252897270264</v>
      </c>
      <c r="Q795" t="s">
        <v>157</v>
      </c>
      <c r="S795" t="s">
        <v>458</v>
      </c>
      <c r="T795" t="s">
        <v>783</v>
      </c>
      <c r="U795">
        <v>0.10838145669353327</v>
      </c>
      <c r="V795" t="s">
        <v>157</v>
      </c>
    </row>
    <row r="796" spans="9:22" x14ac:dyDescent="0.45">
      <c r="I796" t="s">
        <v>236</v>
      </c>
      <c r="J796" t="s">
        <v>784</v>
      </c>
      <c r="K796">
        <v>1.4147136695633342E-2</v>
      </c>
      <c r="L796" t="s">
        <v>157</v>
      </c>
      <c r="N796" t="s">
        <v>347</v>
      </c>
      <c r="O796" t="s">
        <v>784</v>
      </c>
      <c r="P796">
        <v>2.0514829522441234E-2</v>
      </c>
      <c r="Q796" t="s">
        <v>157</v>
      </c>
      <c r="S796" t="s">
        <v>458</v>
      </c>
      <c r="T796" t="s">
        <v>784</v>
      </c>
      <c r="U796">
        <v>2.0753103789051878E-2</v>
      </c>
      <c r="V796" t="s">
        <v>157</v>
      </c>
    </row>
    <row r="797" spans="9:22" x14ac:dyDescent="0.45">
      <c r="I797" t="s">
        <v>236</v>
      </c>
      <c r="J797" t="s">
        <v>785</v>
      </c>
      <c r="K797">
        <v>0.12229423494996924</v>
      </c>
      <c r="L797" t="s">
        <v>157</v>
      </c>
      <c r="N797" t="s">
        <v>347</v>
      </c>
      <c r="O797" t="s">
        <v>785</v>
      </c>
      <c r="P797">
        <v>0.12188622845897235</v>
      </c>
      <c r="Q797" t="s">
        <v>157</v>
      </c>
      <c r="S797" t="s">
        <v>458</v>
      </c>
      <c r="T797" t="s">
        <v>785</v>
      </c>
      <c r="U797">
        <v>0.11711651912500685</v>
      </c>
      <c r="V797" t="s">
        <v>157</v>
      </c>
    </row>
    <row r="798" spans="9:22" x14ac:dyDescent="0.45">
      <c r="I798" t="s">
        <v>236</v>
      </c>
      <c r="J798" t="s">
        <v>786</v>
      </c>
      <c r="K798">
        <v>0</v>
      </c>
      <c r="L798" t="s">
        <v>157</v>
      </c>
      <c r="N798" t="s">
        <v>347</v>
      </c>
      <c r="O798" t="s">
        <v>786</v>
      </c>
      <c r="P798">
        <v>0.12379903414119793</v>
      </c>
      <c r="Q798" t="s">
        <v>157</v>
      </c>
      <c r="S798" t="s">
        <v>458</v>
      </c>
      <c r="T798" t="s">
        <v>786</v>
      </c>
      <c r="U798">
        <v>0.11533569495284628</v>
      </c>
      <c r="V798" t="s">
        <v>157</v>
      </c>
    </row>
    <row r="799" spans="9:22" x14ac:dyDescent="0.45">
      <c r="I799" t="s">
        <v>236</v>
      </c>
      <c r="J799" t="s">
        <v>787</v>
      </c>
      <c r="K799">
        <v>4.2521724294191142E-3</v>
      </c>
      <c r="L799" t="s">
        <v>157</v>
      </c>
      <c r="N799" t="s">
        <v>347</v>
      </c>
      <c r="O799" t="s">
        <v>787</v>
      </c>
      <c r="P799">
        <v>2.3328317573931768E-2</v>
      </c>
      <c r="Q799" t="s">
        <v>157</v>
      </c>
      <c r="S799" t="s">
        <v>458</v>
      </c>
      <c r="T799" t="s">
        <v>787</v>
      </c>
      <c r="U799">
        <v>2.1242843396165972E-2</v>
      </c>
      <c r="V799" t="s">
        <v>157</v>
      </c>
    </row>
    <row r="800" spans="9:22" x14ac:dyDescent="0.45">
      <c r="I800" t="s">
        <v>236</v>
      </c>
      <c r="J800" t="s">
        <v>788</v>
      </c>
      <c r="K800">
        <v>0.31743379468526933</v>
      </c>
      <c r="L800" t="s">
        <v>157</v>
      </c>
      <c r="N800" t="s">
        <v>347</v>
      </c>
      <c r="O800" t="s">
        <v>788</v>
      </c>
      <c r="P800">
        <v>0.10607809436454244</v>
      </c>
      <c r="Q800" t="s">
        <v>157</v>
      </c>
      <c r="S800" t="s">
        <v>458</v>
      </c>
      <c r="T800" t="s">
        <v>788</v>
      </c>
      <c r="U800">
        <v>0.11989503793611921</v>
      </c>
      <c r="V800" t="s">
        <v>157</v>
      </c>
    </row>
    <row r="801" spans="9:22" x14ac:dyDescent="0.45">
      <c r="I801" t="s">
        <v>236</v>
      </c>
      <c r="J801" t="s">
        <v>789</v>
      </c>
      <c r="K801">
        <v>9.1715757251452142E-3</v>
      </c>
      <c r="L801" t="s">
        <v>157</v>
      </c>
      <c r="N801" t="s">
        <v>347</v>
      </c>
      <c r="O801" t="s">
        <v>789</v>
      </c>
      <c r="P801">
        <v>0.10630073350627357</v>
      </c>
      <c r="Q801" t="s">
        <v>157</v>
      </c>
      <c r="S801" t="s">
        <v>458</v>
      </c>
      <c r="T801" t="s">
        <v>789</v>
      </c>
      <c r="U801">
        <v>0.11671231890451586</v>
      </c>
      <c r="V801" t="s">
        <v>157</v>
      </c>
    </row>
    <row r="802" spans="9:22" x14ac:dyDescent="0.45">
      <c r="I802" t="s">
        <v>236</v>
      </c>
      <c r="J802" t="s">
        <v>790</v>
      </c>
      <c r="K802">
        <v>4.2042580856234066E-2</v>
      </c>
      <c r="L802" t="s">
        <v>157</v>
      </c>
      <c r="N802" t="s">
        <v>347</v>
      </c>
      <c r="O802" t="s">
        <v>790</v>
      </c>
      <c r="P802">
        <v>2.1186525773427414E-2</v>
      </c>
      <c r="Q802" t="s">
        <v>157</v>
      </c>
      <c r="S802" t="s">
        <v>458</v>
      </c>
      <c r="T802" t="s">
        <v>790</v>
      </c>
      <c r="U802">
        <v>2.0853836918382294E-2</v>
      </c>
      <c r="V802" t="s">
        <v>157</v>
      </c>
    </row>
    <row r="803" spans="9:22" x14ac:dyDescent="0.45">
      <c r="I803" t="s">
        <v>237</v>
      </c>
      <c r="J803" t="s">
        <v>779</v>
      </c>
      <c r="K803">
        <v>0.27596677819491394</v>
      </c>
      <c r="L803" t="s">
        <v>157</v>
      </c>
      <c r="N803" t="s">
        <v>348</v>
      </c>
      <c r="O803" t="s">
        <v>779</v>
      </c>
      <c r="P803">
        <v>0.11830791097476107</v>
      </c>
      <c r="Q803" t="s">
        <v>157</v>
      </c>
      <c r="S803" t="s">
        <v>459</v>
      </c>
      <c r="T803" t="s">
        <v>779</v>
      </c>
      <c r="U803">
        <v>0.11455897292039238</v>
      </c>
      <c r="V803" t="s">
        <v>157</v>
      </c>
    </row>
    <row r="804" spans="9:22" x14ac:dyDescent="0.45">
      <c r="I804" t="s">
        <v>237</v>
      </c>
      <c r="J804" t="s">
        <v>780</v>
      </c>
      <c r="K804">
        <v>2.8377173244252723E-3</v>
      </c>
      <c r="L804" t="s">
        <v>157</v>
      </c>
      <c r="N804" t="s">
        <v>348</v>
      </c>
      <c r="O804" t="s">
        <v>780</v>
      </c>
      <c r="P804">
        <v>0.11623699476120022</v>
      </c>
      <c r="Q804" t="s">
        <v>157</v>
      </c>
      <c r="S804" t="s">
        <v>459</v>
      </c>
      <c r="T804" t="s">
        <v>780</v>
      </c>
      <c r="U804">
        <v>0.11354869890018872</v>
      </c>
      <c r="V804" t="s">
        <v>157</v>
      </c>
    </row>
    <row r="805" spans="9:22" x14ac:dyDescent="0.45">
      <c r="I805" t="s">
        <v>237</v>
      </c>
      <c r="J805" t="s">
        <v>781</v>
      </c>
      <c r="K805">
        <v>2.5438010550651362E-2</v>
      </c>
      <c r="L805" t="s">
        <v>157</v>
      </c>
      <c r="N805" t="s">
        <v>348</v>
      </c>
      <c r="O805" t="s">
        <v>781</v>
      </c>
      <c r="P805">
        <v>2.1897778362389018E-2</v>
      </c>
      <c r="Q805" t="s">
        <v>157</v>
      </c>
      <c r="S805" t="s">
        <v>459</v>
      </c>
      <c r="T805" t="s">
        <v>781</v>
      </c>
      <c r="U805">
        <v>2.0439769908913195E-2</v>
      </c>
      <c r="V805" t="s">
        <v>157</v>
      </c>
    </row>
    <row r="806" spans="9:22" x14ac:dyDescent="0.45">
      <c r="I806" t="s">
        <v>237</v>
      </c>
      <c r="J806" t="s">
        <v>782</v>
      </c>
      <c r="K806">
        <v>0.18825821716367946</v>
      </c>
      <c r="L806" t="s">
        <v>157</v>
      </c>
      <c r="N806" t="s">
        <v>348</v>
      </c>
      <c r="O806" t="s">
        <v>782</v>
      </c>
      <c r="P806">
        <v>0.11327382298611335</v>
      </c>
      <c r="Q806" t="s">
        <v>157</v>
      </c>
      <c r="S806" t="s">
        <v>459</v>
      </c>
      <c r="T806" t="s">
        <v>782</v>
      </c>
      <c r="U806">
        <v>0.10877858629836462</v>
      </c>
      <c r="V806" t="s">
        <v>157</v>
      </c>
    </row>
    <row r="807" spans="9:22" x14ac:dyDescent="0.45">
      <c r="I807" t="s">
        <v>237</v>
      </c>
      <c r="J807" t="s">
        <v>783</v>
      </c>
      <c r="K807">
        <v>0</v>
      </c>
      <c r="L807" t="s">
        <v>157</v>
      </c>
      <c r="N807" t="s">
        <v>348</v>
      </c>
      <c r="O807" t="s">
        <v>783</v>
      </c>
      <c r="P807">
        <v>0.10953473654131304</v>
      </c>
      <c r="Q807" t="s">
        <v>157</v>
      </c>
      <c r="S807" t="s">
        <v>459</v>
      </c>
      <c r="T807" t="s">
        <v>783</v>
      </c>
      <c r="U807">
        <v>0.11107544912267407</v>
      </c>
      <c r="V807" t="s">
        <v>157</v>
      </c>
    </row>
    <row r="808" spans="9:22" x14ac:dyDescent="0.45">
      <c r="I808" t="s">
        <v>237</v>
      </c>
      <c r="J808" t="s">
        <v>784</v>
      </c>
      <c r="K808">
        <v>1.4327799434261497E-2</v>
      </c>
      <c r="L808" t="s">
        <v>157</v>
      </c>
      <c r="N808" t="s">
        <v>348</v>
      </c>
      <c r="O808" t="s">
        <v>784</v>
      </c>
      <c r="P808">
        <v>2.0983157436328261E-2</v>
      </c>
      <c r="Q808" t="s">
        <v>157</v>
      </c>
      <c r="S808" t="s">
        <v>459</v>
      </c>
      <c r="T808" t="s">
        <v>784</v>
      </c>
      <c r="U808">
        <v>2.0897356714785736E-2</v>
      </c>
      <c r="V808" t="s">
        <v>157</v>
      </c>
    </row>
    <row r="809" spans="9:22" x14ac:dyDescent="0.45">
      <c r="I809" t="s">
        <v>237</v>
      </c>
      <c r="J809" t="s">
        <v>785</v>
      </c>
      <c r="K809">
        <v>0.12157792374830717</v>
      </c>
      <c r="L809" t="s">
        <v>157</v>
      </c>
      <c r="N809" t="s">
        <v>348</v>
      </c>
      <c r="O809" t="s">
        <v>785</v>
      </c>
      <c r="P809">
        <v>0.11891477528355313</v>
      </c>
      <c r="Q809" t="s">
        <v>157</v>
      </c>
      <c r="S809" t="s">
        <v>459</v>
      </c>
      <c r="T809" t="s">
        <v>785</v>
      </c>
      <c r="U809">
        <v>0.11713814487051444</v>
      </c>
      <c r="V809" t="s">
        <v>157</v>
      </c>
    </row>
    <row r="810" spans="9:22" x14ac:dyDescent="0.45">
      <c r="I810" t="s">
        <v>237</v>
      </c>
      <c r="J810" t="s">
        <v>786</v>
      </c>
      <c r="K810">
        <v>0</v>
      </c>
      <c r="L810" t="s">
        <v>157</v>
      </c>
      <c r="N810" t="s">
        <v>348</v>
      </c>
      <c r="O810" t="s">
        <v>786</v>
      </c>
      <c r="P810">
        <v>0.12048330028336317</v>
      </c>
      <c r="Q810" t="s">
        <v>157</v>
      </c>
      <c r="S810" t="s">
        <v>459</v>
      </c>
      <c r="T810" t="s">
        <v>786</v>
      </c>
      <c r="U810">
        <v>0.1164596091840947</v>
      </c>
      <c r="V810" t="s">
        <v>157</v>
      </c>
    </row>
    <row r="811" spans="9:22" x14ac:dyDescent="0.45">
      <c r="I811" t="s">
        <v>237</v>
      </c>
      <c r="J811" t="s">
        <v>787</v>
      </c>
      <c r="K811">
        <v>4.4703278861474476E-3</v>
      </c>
      <c r="L811" t="s">
        <v>157</v>
      </c>
      <c r="N811" t="s">
        <v>348</v>
      </c>
      <c r="O811" t="s">
        <v>787</v>
      </c>
      <c r="P811">
        <v>2.2692430504492114E-2</v>
      </c>
      <c r="Q811" t="s">
        <v>157</v>
      </c>
      <c r="S811" t="s">
        <v>459</v>
      </c>
      <c r="T811" t="s">
        <v>787</v>
      </c>
      <c r="U811">
        <v>2.1257609851870519E-2</v>
      </c>
      <c r="V811" t="s">
        <v>157</v>
      </c>
    </row>
    <row r="812" spans="9:22" x14ac:dyDescent="0.45">
      <c r="I812" t="s">
        <v>237</v>
      </c>
      <c r="J812" t="s">
        <v>788</v>
      </c>
      <c r="K812">
        <v>0.3158057727730057</v>
      </c>
      <c r="L812" t="s">
        <v>157</v>
      </c>
      <c r="N812" t="s">
        <v>348</v>
      </c>
      <c r="O812" t="s">
        <v>788</v>
      </c>
      <c r="P812">
        <v>0.10773445560730993</v>
      </c>
      <c r="Q812" t="s">
        <v>157</v>
      </c>
      <c r="S812" t="s">
        <v>459</v>
      </c>
      <c r="T812" t="s">
        <v>788</v>
      </c>
      <c r="U812">
        <v>0.1189559941122154</v>
      </c>
      <c r="V812" t="s">
        <v>157</v>
      </c>
    </row>
    <row r="813" spans="9:22" x14ac:dyDescent="0.45">
      <c r="I813" t="s">
        <v>237</v>
      </c>
      <c r="J813" t="s">
        <v>789</v>
      </c>
      <c r="K813">
        <v>8.6432371124080809E-3</v>
      </c>
      <c r="L813" t="s">
        <v>157</v>
      </c>
      <c r="N813" t="s">
        <v>348</v>
      </c>
      <c r="O813" t="s">
        <v>789</v>
      </c>
      <c r="P813">
        <v>0.10932583722609542</v>
      </c>
      <c r="Q813" t="s">
        <v>157</v>
      </c>
      <c r="S813" t="s">
        <v>459</v>
      </c>
      <c r="T813" t="s">
        <v>789</v>
      </c>
      <c r="U813">
        <v>0.11580483263648715</v>
      </c>
      <c r="V813" t="s">
        <v>157</v>
      </c>
    </row>
    <row r="814" spans="9:22" x14ac:dyDescent="0.45">
      <c r="I814" t="s">
        <v>237</v>
      </c>
      <c r="J814" t="s">
        <v>790</v>
      </c>
      <c r="K814">
        <v>4.2674215812200107E-2</v>
      </c>
      <c r="L814" t="s">
        <v>157</v>
      </c>
      <c r="N814" t="s">
        <v>348</v>
      </c>
      <c r="O814" t="s">
        <v>790</v>
      </c>
      <c r="P814">
        <v>2.0614800033081263E-2</v>
      </c>
      <c r="Q814" t="s">
        <v>157</v>
      </c>
      <c r="S814" t="s">
        <v>459</v>
      </c>
      <c r="T814" t="s">
        <v>790</v>
      </c>
      <c r="U814">
        <v>2.1084975479498978E-2</v>
      </c>
      <c r="V814" t="s">
        <v>157</v>
      </c>
    </row>
    <row r="815" spans="9:22" x14ac:dyDescent="0.45">
      <c r="I815" t="s">
        <v>238</v>
      </c>
      <c r="J815" t="s">
        <v>779</v>
      </c>
      <c r="K815">
        <v>0.28234360113850826</v>
      </c>
      <c r="L815" t="s">
        <v>157</v>
      </c>
      <c r="N815" t="s">
        <v>349</v>
      </c>
      <c r="O815" t="s">
        <v>779</v>
      </c>
      <c r="P815">
        <v>0.16811481360624653</v>
      </c>
      <c r="Q815" t="s">
        <v>157</v>
      </c>
      <c r="S815" t="s">
        <v>460</v>
      </c>
      <c r="T815" t="s">
        <v>779</v>
      </c>
      <c r="U815">
        <v>0.1142487679749765</v>
      </c>
      <c r="V815" t="s">
        <v>157</v>
      </c>
    </row>
    <row r="816" spans="9:22" x14ac:dyDescent="0.45">
      <c r="I816" t="s">
        <v>238</v>
      </c>
      <c r="J816" t="s">
        <v>780</v>
      </c>
      <c r="K816">
        <v>6.8624487274248367E-3</v>
      </c>
      <c r="L816" t="s">
        <v>157</v>
      </c>
      <c r="N816" t="s">
        <v>349</v>
      </c>
      <c r="O816" t="s">
        <v>780</v>
      </c>
      <c r="P816">
        <v>0.11649851372511642</v>
      </c>
      <c r="Q816" t="s">
        <v>157</v>
      </c>
      <c r="S816" t="s">
        <v>460</v>
      </c>
      <c r="T816" t="s">
        <v>780</v>
      </c>
      <c r="U816">
        <v>0.11287311925002323</v>
      </c>
      <c r="V816" t="s">
        <v>157</v>
      </c>
    </row>
    <row r="817" spans="9:22" x14ac:dyDescent="0.45">
      <c r="I817" t="s">
        <v>238</v>
      </c>
      <c r="J817" t="s">
        <v>781</v>
      </c>
      <c r="K817">
        <v>3.443881214837869E-2</v>
      </c>
      <c r="L817" t="s">
        <v>157</v>
      </c>
      <c r="N817" t="s">
        <v>349</v>
      </c>
      <c r="O817" t="s">
        <v>781</v>
      </c>
      <c r="P817">
        <v>2.7458691272756318E-2</v>
      </c>
      <c r="Q817" t="s">
        <v>157</v>
      </c>
      <c r="S817" t="s">
        <v>460</v>
      </c>
      <c r="T817" t="s">
        <v>781</v>
      </c>
      <c r="U817">
        <v>2.0353591396377307E-2</v>
      </c>
      <c r="V817" t="s">
        <v>157</v>
      </c>
    </row>
    <row r="818" spans="9:22" x14ac:dyDescent="0.45">
      <c r="I818" t="s">
        <v>238</v>
      </c>
      <c r="J818" t="s">
        <v>782</v>
      </c>
      <c r="K818">
        <v>0.15303617202947109</v>
      </c>
      <c r="L818" t="s">
        <v>157</v>
      </c>
      <c r="N818" t="s">
        <v>349</v>
      </c>
      <c r="O818" t="s">
        <v>782</v>
      </c>
      <c r="P818">
        <v>0.11710365942905709</v>
      </c>
      <c r="Q818" t="s">
        <v>157</v>
      </c>
      <c r="S818" t="s">
        <v>460</v>
      </c>
      <c r="T818" t="s">
        <v>782</v>
      </c>
      <c r="U818">
        <v>0.11091947944227162</v>
      </c>
      <c r="V818" t="s">
        <v>157</v>
      </c>
    </row>
    <row r="819" spans="9:22" x14ac:dyDescent="0.45">
      <c r="I819" t="s">
        <v>238</v>
      </c>
      <c r="J819" t="s">
        <v>783</v>
      </c>
      <c r="K819">
        <v>0</v>
      </c>
      <c r="L819" t="s">
        <v>157</v>
      </c>
      <c r="N819" t="s">
        <v>349</v>
      </c>
      <c r="O819" t="s">
        <v>783</v>
      </c>
      <c r="P819">
        <v>9.5828473537176564E-2</v>
      </c>
      <c r="Q819" t="s">
        <v>157</v>
      </c>
      <c r="S819" t="s">
        <v>460</v>
      </c>
      <c r="T819" t="s">
        <v>783</v>
      </c>
      <c r="U819">
        <v>0.11393060385317857</v>
      </c>
      <c r="V819" t="s">
        <v>157</v>
      </c>
    </row>
    <row r="820" spans="9:22" x14ac:dyDescent="0.45">
      <c r="I820" t="s">
        <v>238</v>
      </c>
      <c r="J820" t="s">
        <v>784</v>
      </c>
      <c r="K820">
        <v>1.7124625764932327E-2</v>
      </c>
      <c r="L820" t="s">
        <v>157</v>
      </c>
      <c r="N820" t="s">
        <v>349</v>
      </c>
      <c r="O820" t="s">
        <v>784</v>
      </c>
      <c r="P820">
        <v>1.9600085442526703E-2</v>
      </c>
      <c r="Q820" t="s">
        <v>157</v>
      </c>
      <c r="S820" t="s">
        <v>460</v>
      </c>
      <c r="T820" t="s">
        <v>784</v>
      </c>
      <c r="U820">
        <v>2.1252923239175232E-2</v>
      </c>
      <c r="V820" t="s">
        <v>157</v>
      </c>
    </row>
    <row r="821" spans="9:22" x14ac:dyDescent="0.45">
      <c r="I821" t="s">
        <v>238</v>
      </c>
      <c r="J821" t="s">
        <v>785</v>
      </c>
      <c r="K821">
        <v>8.8393323578249125E-2</v>
      </c>
      <c r="L821" t="s">
        <v>157</v>
      </c>
      <c r="N821" t="s">
        <v>349</v>
      </c>
      <c r="O821" t="s">
        <v>785</v>
      </c>
      <c r="P821">
        <v>0.10393409037077181</v>
      </c>
      <c r="Q821" t="s">
        <v>157</v>
      </c>
      <c r="S821" t="s">
        <v>460</v>
      </c>
      <c r="T821" t="s">
        <v>785</v>
      </c>
      <c r="U821">
        <v>0.11597546140306285</v>
      </c>
      <c r="V821" t="s">
        <v>157</v>
      </c>
    </row>
    <row r="822" spans="9:22" x14ac:dyDescent="0.45">
      <c r="I822" t="s">
        <v>238</v>
      </c>
      <c r="J822" t="s">
        <v>786</v>
      </c>
      <c r="K822">
        <v>0</v>
      </c>
      <c r="L822" t="s">
        <v>157</v>
      </c>
      <c r="N822" t="s">
        <v>349</v>
      </c>
      <c r="O822" t="s">
        <v>786</v>
      </c>
      <c r="P822">
        <v>0.10425421067292187</v>
      </c>
      <c r="Q822" t="s">
        <v>157</v>
      </c>
      <c r="S822" t="s">
        <v>460</v>
      </c>
      <c r="T822" t="s">
        <v>786</v>
      </c>
      <c r="U822">
        <v>0.11769162269511958</v>
      </c>
      <c r="V822" t="s">
        <v>157</v>
      </c>
    </row>
    <row r="823" spans="9:22" x14ac:dyDescent="0.45">
      <c r="I823" t="s">
        <v>238</v>
      </c>
      <c r="J823" t="s">
        <v>787</v>
      </c>
      <c r="K823">
        <v>3.9330429325741987E-3</v>
      </c>
      <c r="L823" t="s">
        <v>157</v>
      </c>
      <c r="N823" t="s">
        <v>349</v>
      </c>
      <c r="O823" t="s">
        <v>787</v>
      </c>
      <c r="P823">
        <v>1.7893062406780558E-2</v>
      </c>
      <c r="Q823" t="s">
        <v>157</v>
      </c>
      <c r="S823" t="s">
        <v>460</v>
      </c>
      <c r="T823" t="s">
        <v>787</v>
      </c>
      <c r="U823">
        <v>2.092512541350134E-2</v>
      </c>
      <c r="V823" t="s">
        <v>157</v>
      </c>
    </row>
    <row r="824" spans="9:22" x14ac:dyDescent="0.45">
      <c r="I824" t="s">
        <v>238</v>
      </c>
      <c r="J824" t="s">
        <v>788</v>
      </c>
      <c r="K824">
        <v>0.33976393542759242</v>
      </c>
      <c r="L824" t="s">
        <v>157</v>
      </c>
      <c r="N824" t="s">
        <v>349</v>
      </c>
      <c r="O824" t="s">
        <v>788</v>
      </c>
      <c r="P824">
        <v>0.12630442552397556</v>
      </c>
      <c r="Q824" t="s">
        <v>157</v>
      </c>
      <c r="S824" t="s">
        <v>460</v>
      </c>
      <c r="T824" t="s">
        <v>788</v>
      </c>
      <c r="U824">
        <v>0.11631479987366682</v>
      </c>
      <c r="V824" t="s">
        <v>157</v>
      </c>
    </row>
    <row r="825" spans="9:22" x14ac:dyDescent="0.45">
      <c r="I825" t="s">
        <v>238</v>
      </c>
      <c r="J825" t="s">
        <v>789</v>
      </c>
      <c r="K825">
        <v>2.0927086093832137E-2</v>
      </c>
      <c r="L825" t="s">
        <v>157</v>
      </c>
      <c r="N825" t="s">
        <v>349</v>
      </c>
      <c r="O825" t="s">
        <v>789</v>
      </c>
      <c r="P825">
        <v>8.1139607325548702E-2</v>
      </c>
      <c r="Q825" t="s">
        <v>157</v>
      </c>
      <c r="S825" t="s">
        <v>460</v>
      </c>
      <c r="T825" t="s">
        <v>789</v>
      </c>
      <c r="U825">
        <v>0.11431586158277551</v>
      </c>
      <c r="V825" t="s">
        <v>157</v>
      </c>
    </row>
    <row r="826" spans="9:22" x14ac:dyDescent="0.45">
      <c r="I826" t="s">
        <v>238</v>
      </c>
      <c r="J826" t="s">
        <v>790</v>
      </c>
      <c r="K826">
        <v>5.3176952159036818E-2</v>
      </c>
      <c r="L826" t="s">
        <v>157</v>
      </c>
      <c r="N826" t="s">
        <v>349</v>
      </c>
      <c r="O826" t="s">
        <v>790</v>
      </c>
      <c r="P826">
        <v>2.1870366687121855E-2</v>
      </c>
      <c r="Q826" t="s">
        <v>157</v>
      </c>
      <c r="S826" t="s">
        <v>460</v>
      </c>
      <c r="T826" t="s">
        <v>790</v>
      </c>
      <c r="U826">
        <v>2.1198643875871451E-2</v>
      </c>
      <c r="V826" t="s">
        <v>157</v>
      </c>
    </row>
    <row r="827" spans="9:22" x14ac:dyDescent="0.45">
      <c r="I827" t="s">
        <v>239</v>
      </c>
      <c r="J827" t="s">
        <v>779</v>
      </c>
      <c r="K827">
        <v>0.26609322649691675</v>
      </c>
      <c r="L827" t="s">
        <v>157</v>
      </c>
      <c r="N827" t="s">
        <v>350</v>
      </c>
      <c r="O827" t="s">
        <v>779</v>
      </c>
      <c r="P827">
        <v>0.12576080158958436</v>
      </c>
      <c r="Q827" t="s">
        <v>157</v>
      </c>
      <c r="S827" t="s">
        <v>461</v>
      </c>
      <c r="T827" t="s">
        <v>779</v>
      </c>
      <c r="U827">
        <v>0.11567352755874023</v>
      </c>
      <c r="V827" t="s">
        <v>157</v>
      </c>
    </row>
    <row r="828" spans="9:22" x14ac:dyDescent="0.45">
      <c r="I828" t="s">
        <v>239</v>
      </c>
      <c r="J828" t="s">
        <v>780</v>
      </c>
      <c r="K828">
        <v>5.1179449497950604E-3</v>
      </c>
      <c r="L828" t="s">
        <v>157</v>
      </c>
      <c r="N828" t="s">
        <v>350</v>
      </c>
      <c r="O828" t="s">
        <v>780</v>
      </c>
      <c r="P828">
        <v>0.11975073910988489</v>
      </c>
      <c r="Q828" t="s">
        <v>157</v>
      </c>
      <c r="S828" t="s">
        <v>461</v>
      </c>
      <c r="T828" t="s">
        <v>780</v>
      </c>
      <c r="U828">
        <v>0.11406211360271939</v>
      </c>
      <c r="V828" t="s">
        <v>157</v>
      </c>
    </row>
    <row r="829" spans="9:22" x14ac:dyDescent="0.45">
      <c r="I829" t="s">
        <v>239</v>
      </c>
      <c r="J829" t="s">
        <v>781</v>
      </c>
      <c r="K829">
        <v>2.400541919258246E-2</v>
      </c>
      <c r="L829" t="s">
        <v>157</v>
      </c>
      <c r="N829" t="s">
        <v>350</v>
      </c>
      <c r="O829" t="s">
        <v>781</v>
      </c>
      <c r="P829">
        <v>2.2436857712921362E-2</v>
      </c>
      <c r="Q829" t="s">
        <v>157</v>
      </c>
      <c r="S829" t="s">
        <v>461</v>
      </c>
      <c r="T829" t="s">
        <v>781</v>
      </c>
      <c r="U829">
        <v>2.073304578066737E-2</v>
      </c>
      <c r="V829" t="s">
        <v>157</v>
      </c>
    </row>
    <row r="830" spans="9:22" x14ac:dyDescent="0.45">
      <c r="I830" t="s">
        <v>239</v>
      </c>
      <c r="J830" t="s">
        <v>782</v>
      </c>
      <c r="K830">
        <v>0.17376414145853036</v>
      </c>
      <c r="L830" t="s">
        <v>157</v>
      </c>
      <c r="N830" t="s">
        <v>350</v>
      </c>
      <c r="O830" t="s">
        <v>782</v>
      </c>
      <c r="P830">
        <v>0.10279474855029083</v>
      </c>
      <c r="Q830" t="s">
        <v>157</v>
      </c>
      <c r="S830" t="s">
        <v>461</v>
      </c>
      <c r="T830" t="s">
        <v>782</v>
      </c>
      <c r="U830">
        <v>0.11521657243930351</v>
      </c>
      <c r="V830" t="s">
        <v>157</v>
      </c>
    </row>
    <row r="831" spans="9:22" x14ac:dyDescent="0.45">
      <c r="I831" t="s">
        <v>239</v>
      </c>
      <c r="J831" t="s">
        <v>783</v>
      </c>
      <c r="K831">
        <v>0</v>
      </c>
      <c r="L831" t="s">
        <v>157</v>
      </c>
      <c r="N831" t="s">
        <v>350</v>
      </c>
      <c r="O831" t="s">
        <v>783</v>
      </c>
      <c r="P831">
        <v>9.7893438522727472E-2</v>
      </c>
      <c r="Q831" t="s">
        <v>157</v>
      </c>
      <c r="S831" t="s">
        <v>461</v>
      </c>
      <c r="T831" t="s">
        <v>783</v>
      </c>
      <c r="U831">
        <v>0.11704349449788336</v>
      </c>
      <c r="V831" t="s">
        <v>157</v>
      </c>
    </row>
    <row r="832" spans="9:22" x14ac:dyDescent="0.45">
      <c r="I832" t="s">
        <v>239</v>
      </c>
      <c r="J832" t="s">
        <v>784</v>
      </c>
      <c r="K832">
        <v>1.2278070697169675E-2</v>
      </c>
      <c r="L832" t="s">
        <v>157</v>
      </c>
      <c r="N832" t="s">
        <v>350</v>
      </c>
      <c r="O832" t="s">
        <v>784</v>
      </c>
      <c r="P832">
        <v>1.886841798380957E-2</v>
      </c>
      <c r="Q832" t="s">
        <v>157</v>
      </c>
      <c r="S832" t="s">
        <v>461</v>
      </c>
      <c r="T832" t="s">
        <v>784</v>
      </c>
      <c r="U832">
        <v>2.2069231232099678E-2</v>
      </c>
      <c r="V832" t="s">
        <v>157</v>
      </c>
    </row>
    <row r="833" spans="9:22" x14ac:dyDescent="0.45">
      <c r="I833" t="s">
        <v>239</v>
      </c>
      <c r="J833" t="s">
        <v>785</v>
      </c>
      <c r="K833">
        <v>0.11071626392619018</v>
      </c>
      <c r="L833" t="s">
        <v>157</v>
      </c>
      <c r="N833" t="s">
        <v>350</v>
      </c>
      <c r="O833" t="s">
        <v>785</v>
      </c>
      <c r="P833">
        <v>0.11839144545612749</v>
      </c>
      <c r="Q833" t="s">
        <v>157</v>
      </c>
      <c r="S833" t="s">
        <v>461</v>
      </c>
      <c r="T833" t="s">
        <v>785</v>
      </c>
      <c r="U833">
        <v>0.11460007820212691</v>
      </c>
      <c r="V833" t="s">
        <v>157</v>
      </c>
    </row>
    <row r="834" spans="9:22" x14ac:dyDescent="0.45">
      <c r="I834" t="s">
        <v>239</v>
      </c>
      <c r="J834" t="s">
        <v>786</v>
      </c>
      <c r="K834">
        <v>0</v>
      </c>
      <c r="L834" t="s">
        <v>157</v>
      </c>
      <c r="N834" t="s">
        <v>350</v>
      </c>
      <c r="O834" t="s">
        <v>786</v>
      </c>
      <c r="P834">
        <v>0.13027125927879038</v>
      </c>
      <c r="Q834" t="s">
        <v>157</v>
      </c>
      <c r="S834" t="s">
        <v>461</v>
      </c>
      <c r="T834" t="s">
        <v>786</v>
      </c>
      <c r="U834">
        <v>0.11698695052239987</v>
      </c>
      <c r="V834" t="s">
        <v>157</v>
      </c>
    </row>
    <row r="835" spans="9:22" x14ac:dyDescent="0.45">
      <c r="I835" t="s">
        <v>239</v>
      </c>
      <c r="J835" t="s">
        <v>787</v>
      </c>
      <c r="K835">
        <v>2.5011230800706689E-3</v>
      </c>
      <c r="L835" t="s">
        <v>157</v>
      </c>
      <c r="N835" t="s">
        <v>350</v>
      </c>
      <c r="O835" t="s">
        <v>787</v>
      </c>
      <c r="P835">
        <v>2.2303862864912077E-2</v>
      </c>
      <c r="Q835" t="s">
        <v>157</v>
      </c>
      <c r="S835" t="s">
        <v>461</v>
      </c>
      <c r="T835" t="s">
        <v>787</v>
      </c>
      <c r="U835">
        <v>2.066875421351002E-2</v>
      </c>
      <c r="V835" t="s">
        <v>157</v>
      </c>
    </row>
    <row r="836" spans="9:22" x14ac:dyDescent="0.45">
      <c r="I836" t="s">
        <v>239</v>
      </c>
      <c r="J836" t="s">
        <v>788</v>
      </c>
      <c r="K836">
        <v>0.3424821719435398</v>
      </c>
      <c r="L836" t="s">
        <v>157</v>
      </c>
      <c r="N836" t="s">
        <v>350</v>
      </c>
      <c r="O836" t="s">
        <v>788</v>
      </c>
      <c r="P836">
        <v>0.11482101007885316</v>
      </c>
      <c r="Q836" t="s">
        <v>157</v>
      </c>
      <c r="S836" t="s">
        <v>461</v>
      </c>
      <c r="T836" t="s">
        <v>788</v>
      </c>
      <c r="U836">
        <v>0.11195087289600773</v>
      </c>
      <c r="V836" t="s">
        <v>157</v>
      </c>
    </row>
    <row r="837" spans="9:22" x14ac:dyDescent="0.45">
      <c r="I837" t="s">
        <v>239</v>
      </c>
      <c r="J837" t="s">
        <v>789</v>
      </c>
      <c r="K837">
        <v>1.8439878899400363E-2</v>
      </c>
      <c r="L837" t="s">
        <v>157</v>
      </c>
      <c r="N837" t="s">
        <v>350</v>
      </c>
      <c r="O837" t="s">
        <v>789</v>
      </c>
      <c r="P837">
        <v>0.10293609959879019</v>
      </c>
      <c r="Q837" t="s">
        <v>157</v>
      </c>
      <c r="S837" t="s">
        <v>461</v>
      </c>
      <c r="T837" t="s">
        <v>789</v>
      </c>
      <c r="U837">
        <v>0.10999679047193736</v>
      </c>
      <c r="V837" t="s">
        <v>157</v>
      </c>
    </row>
    <row r="838" spans="9:22" x14ac:dyDescent="0.45">
      <c r="I838" t="s">
        <v>239</v>
      </c>
      <c r="J838" t="s">
        <v>790</v>
      </c>
      <c r="K838">
        <v>4.4601759355804689E-2</v>
      </c>
      <c r="L838" t="s">
        <v>157</v>
      </c>
      <c r="N838" t="s">
        <v>350</v>
      </c>
      <c r="O838" t="s">
        <v>790</v>
      </c>
      <c r="P838">
        <v>2.37713192533082E-2</v>
      </c>
      <c r="Q838" t="s">
        <v>157</v>
      </c>
      <c r="S838" t="s">
        <v>461</v>
      </c>
      <c r="T838" t="s">
        <v>790</v>
      </c>
      <c r="U838">
        <v>2.0998568582604585E-2</v>
      </c>
      <c r="V838" t="s">
        <v>157</v>
      </c>
    </row>
    <row r="839" spans="9:22" x14ac:dyDescent="0.45">
      <c r="I839" t="s">
        <v>240</v>
      </c>
      <c r="J839" t="s">
        <v>779</v>
      </c>
      <c r="K839">
        <v>0.26514971630073297</v>
      </c>
      <c r="L839" t="s">
        <v>157</v>
      </c>
      <c r="N839" t="s">
        <v>351</v>
      </c>
      <c r="O839" t="s">
        <v>779</v>
      </c>
      <c r="P839">
        <v>0.15884308621350141</v>
      </c>
      <c r="Q839" t="s">
        <v>157</v>
      </c>
      <c r="S839" t="s">
        <v>462</v>
      </c>
      <c r="T839" t="s">
        <v>779</v>
      </c>
      <c r="U839">
        <v>0.12384584412236879</v>
      </c>
      <c r="V839" t="s">
        <v>157</v>
      </c>
    </row>
    <row r="840" spans="9:22" x14ac:dyDescent="0.45">
      <c r="I840" t="s">
        <v>240</v>
      </c>
      <c r="J840" t="s">
        <v>780</v>
      </c>
      <c r="K840">
        <v>4.9247982925256792E-3</v>
      </c>
      <c r="L840" t="s">
        <v>157</v>
      </c>
      <c r="N840" t="s">
        <v>351</v>
      </c>
      <c r="O840" t="s">
        <v>780</v>
      </c>
      <c r="P840">
        <v>0.11538941532649565</v>
      </c>
      <c r="Q840" t="s">
        <v>157</v>
      </c>
      <c r="S840" t="s">
        <v>462</v>
      </c>
      <c r="T840" t="s">
        <v>780</v>
      </c>
      <c r="U840">
        <v>0.11232488446031244</v>
      </c>
      <c r="V840" t="s">
        <v>157</v>
      </c>
    </row>
    <row r="841" spans="9:22" x14ac:dyDescent="0.45">
      <c r="I841" t="s">
        <v>240</v>
      </c>
      <c r="J841" t="s">
        <v>781</v>
      </c>
      <c r="K841">
        <v>2.353933604538528E-2</v>
      </c>
      <c r="L841" t="s">
        <v>157</v>
      </c>
      <c r="N841" t="s">
        <v>351</v>
      </c>
      <c r="O841" t="s">
        <v>781</v>
      </c>
      <c r="P841">
        <v>2.6260740597596699E-2</v>
      </c>
      <c r="Q841" t="s">
        <v>157</v>
      </c>
      <c r="S841" t="s">
        <v>462</v>
      </c>
      <c r="T841" t="s">
        <v>781</v>
      </c>
      <c r="U841">
        <v>2.2308654840470933E-2</v>
      </c>
      <c r="V841" t="s">
        <v>157</v>
      </c>
    </row>
    <row r="842" spans="9:22" x14ac:dyDescent="0.45">
      <c r="I842" t="s">
        <v>240</v>
      </c>
      <c r="J842" t="s">
        <v>782</v>
      </c>
      <c r="K842">
        <v>0.1730214429392205</v>
      </c>
      <c r="L842" t="s">
        <v>157</v>
      </c>
      <c r="N842" t="s">
        <v>351</v>
      </c>
      <c r="O842" t="s">
        <v>782</v>
      </c>
      <c r="P842">
        <v>9.4225148047036481E-2</v>
      </c>
      <c r="Q842" t="s">
        <v>157</v>
      </c>
      <c r="S842" t="s">
        <v>462</v>
      </c>
      <c r="T842" t="s">
        <v>782</v>
      </c>
      <c r="U842">
        <v>0.11670404327644965</v>
      </c>
      <c r="V842" t="s">
        <v>157</v>
      </c>
    </row>
    <row r="843" spans="9:22" x14ac:dyDescent="0.45">
      <c r="I843" t="s">
        <v>240</v>
      </c>
      <c r="J843" t="s">
        <v>783</v>
      </c>
      <c r="K843">
        <v>0</v>
      </c>
      <c r="L843" t="s">
        <v>157</v>
      </c>
      <c r="N843" t="s">
        <v>351</v>
      </c>
      <c r="O843" t="s">
        <v>783</v>
      </c>
      <c r="P843">
        <v>8.1398797581926627E-2</v>
      </c>
      <c r="Q843" t="s">
        <v>157</v>
      </c>
      <c r="S843" t="s">
        <v>462</v>
      </c>
      <c r="T843" t="s">
        <v>783</v>
      </c>
      <c r="U843">
        <v>0.11658287860725011</v>
      </c>
      <c r="V843" t="s">
        <v>157</v>
      </c>
    </row>
    <row r="844" spans="9:22" x14ac:dyDescent="0.45">
      <c r="I844" t="s">
        <v>240</v>
      </c>
      <c r="J844" t="s">
        <v>784</v>
      </c>
      <c r="K844">
        <v>1.1612879832986794E-2</v>
      </c>
      <c r="L844" t="s">
        <v>157</v>
      </c>
      <c r="N844" t="s">
        <v>351</v>
      </c>
      <c r="O844" t="s">
        <v>784</v>
      </c>
      <c r="P844">
        <v>1.6522867680264338E-2</v>
      </c>
      <c r="Q844" t="s">
        <v>157</v>
      </c>
      <c r="S844" t="s">
        <v>462</v>
      </c>
      <c r="T844" t="s">
        <v>784</v>
      </c>
      <c r="U844">
        <v>2.2817704732820288E-2</v>
      </c>
      <c r="V844" t="s">
        <v>157</v>
      </c>
    </row>
    <row r="845" spans="9:22" x14ac:dyDescent="0.45">
      <c r="I845" t="s">
        <v>240</v>
      </c>
      <c r="J845" t="s">
        <v>785</v>
      </c>
      <c r="K845">
        <v>0.11930477703242905</v>
      </c>
      <c r="L845" t="s">
        <v>157</v>
      </c>
      <c r="N845" t="s">
        <v>351</v>
      </c>
      <c r="O845" t="s">
        <v>785</v>
      </c>
      <c r="P845">
        <v>0.11577896699225043</v>
      </c>
      <c r="Q845" t="s">
        <v>157</v>
      </c>
      <c r="S845" t="s">
        <v>462</v>
      </c>
      <c r="T845" t="s">
        <v>785</v>
      </c>
      <c r="U845">
        <v>0.11254927347026294</v>
      </c>
      <c r="V845" t="s">
        <v>157</v>
      </c>
    </row>
    <row r="846" spans="9:22" x14ac:dyDescent="0.45">
      <c r="I846" t="s">
        <v>240</v>
      </c>
      <c r="J846" t="s">
        <v>786</v>
      </c>
      <c r="K846">
        <v>0</v>
      </c>
      <c r="L846" t="s">
        <v>157</v>
      </c>
      <c r="N846" t="s">
        <v>351</v>
      </c>
      <c r="O846" t="s">
        <v>786</v>
      </c>
      <c r="P846">
        <v>0.12115166714029101</v>
      </c>
      <c r="Q846" t="s">
        <v>157</v>
      </c>
      <c r="S846" t="s">
        <v>462</v>
      </c>
      <c r="T846" t="s">
        <v>786</v>
      </c>
      <c r="U846">
        <v>0.12164160918378472</v>
      </c>
      <c r="V846" t="s">
        <v>157</v>
      </c>
    </row>
    <row r="847" spans="9:22" x14ac:dyDescent="0.45">
      <c r="I847" t="s">
        <v>240</v>
      </c>
      <c r="J847" t="s">
        <v>787</v>
      </c>
      <c r="K847">
        <v>2.4502752787426531E-3</v>
      </c>
      <c r="L847" t="s">
        <v>157</v>
      </c>
      <c r="N847" t="s">
        <v>351</v>
      </c>
      <c r="O847" t="s">
        <v>787</v>
      </c>
      <c r="P847">
        <v>2.1578973329835171E-2</v>
      </c>
      <c r="Q847" t="s">
        <v>157</v>
      </c>
      <c r="S847" t="s">
        <v>462</v>
      </c>
      <c r="T847" t="s">
        <v>787</v>
      </c>
      <c r="U847">
        <v>2.1177794310379014E-2</v>
      </c>
      <c r="V847" t="s">
        <v>157</v>
      </c>
    </row>
    <row r="848" spans="9:22" x14ac:dyDescent="0.45">
      <c r="I848" t="s">
        <v>240</v>
      </c>
      <c r="J848" t="s">
        <v>788</v>
      </c>
      <c r="K848">
        <v>0.33797020813372775</v>
      </c>
      <c r="L848" t="s">
        <v>157</v>
      </c>
      <c r="N848" t="s">
        <v>351</v>
      </c>
      <c r="O848" t="s">
        <v>788</v>
      </c>
      <c r="P848">
        <v>0.14010360690072718</v>
      </c>
      <c r="Q848" t="s">
        <v>157</v>
      </c>
      <c r="S848" t="s">
        <v>462</v>
      </c>
      <c r="T848" t="s">
        <v>788</v>
      </c>
      <c r="U848">
        <v>0.1085147295153777</v>
      </c>
      <c r="V848" t="s">
        <v>157</v>
      </c>
    </row>
    <row r="849" spans="9:22" x14ac:dyDescent="0.45">
      <c r="I849" t="s">
        <v>240</v>
      </c>
      <c r="J849" t="s">
        <v>789</v>
      </c>
      <c r="K849">
        <v>1.7687596026768802E-2</v>
      </c>
      <c r="L849" t="s">
        <v>157</v>
      </c>
      <c r="N849" t="s">
        <v>351</v>
      </c>
      <c r="O849" t="s">
        <v>789</v>
      </c>
      <c r="P849">
        <v>8.4358323775539021E-2</v>
      </c>
      <c r="Q849" t="s">
        <v>157</v>
      </c>
      <c r="S849" t="s">
        <v>462</v>
      </c>
      <c r="T849" t="s">
        <v>789</v>
      </c>
      <c r="U849">
        <v>0.10173450487419904</v>
      </c>
      <c r="V849" t="s">
        <v>157</v>
      </c>
    </row>
    <row r="850" spans="9:22" x14ac:dyDescent="0.45">
      <c r="I850" t="s">
        <v>240</v>
      </c>
      <c r="J850" t="s">
        <v>790</v>
      </c>
      <c r="K850">
        <v>4.4338970117480531E-2</v>
      </c>
      <c r="L850" t="s">
        <v>157</v>
      </c>
      <c r="N850" t="s">
        <v>351</v>
      </c>
      <c r="O850" t="s">
        <v>790</v>
      </c>
      <c r="P850">
        <v>2.4388406414536046E-2</v>
      </c>
      <c r="Q850" t="s">
        <v>157</v>
      </c>
      <c r="S850" t="s">
        <v>462</v>
      </c>
      <c r="T850" t="s">
        <v>790</v>
      </c>
      <c r="U850">
        <v>1.9798078606324366E-2</v>
      </c>
      <c r="V850" t="s">
        <v>157</v>
      </c>
    </row>
    <row r="851" spans="9:22" x14ac:dyDescent="0.45">
      <c r="I851" t="s">
        <v>241</v>
      </c>
      <c r="J851" t="s">
        <v>779</v>
      </c>
      <c r="K851">
        <v>0.26660885014443247</v>
      </c>
      <c r="L851" t="s">
        <v>157</v>
      </c>
      <c r="N851" t="s">
        <v>352</v>
      </c>
      <c r="O851" t="s">
        <v>779</v>
      </c>
      <c r="P851">
        <v>0.17705540665829264</v>
      </c>
      <c r="Q851" t="s">
        <v>157</v>
      </c>
      <c r="S851" t="s">
        <v>463</v>
      </c>
      <c r="T851" t="s">
        <v>779</v>
      </c>
      <c r="U851">
        <v>0.13090172026744451</v>
      </c>
      <c r="V851" t="s">
        <v>157</v>
      </c>
    </row>
    <row r="852" spans="9:22" x14ac:dyDescent="0.45">
      <c r="I852" t="s">
        <v>241</v>
      </c>
      <c r="J852" t="s">
        <v>780</v>
      </c>
      <c r="K852">
        <v>5.0796505331865286E-3</v>
      </c>
      <c r="L852" t="s">
        <v>157</v>
      </c>
      <c r="N852" t="s">
        <v>352</v>
      </c>
      <c r="O852" t="s">
        <v>780</v>
      </c>
      <c r="P852">
        <v>0.13514686687462871</v>
      </c>
      <c r="Q852" t="s">
        <v>157</v>
      </c>
      <c r="S852" t="s">
        <v>463</v>
      </c>
      <c r="T852" t="s">
        <v>780</v>
      </c>
      <c r="U852">
        <v>0.11719845824096763</v>
      </c>
      <c r="V852" t="s">
        <v>157</v>
      </c>
    </row>
    <row r="853" spans="9:22" x14ac:dyDescent="0.45">
      <c r="I853" t="s">
        <v>241</v>
      </c>
      <c r="J853" t="s">
        <v>781</v>
      </c>
      <c r="K853">
        <v>2.4728892353208205E-2</v>
      </c>
      <c r="L853" t="s">
        <v>157</v>
      </c>
      <c r="N853" t="s">
        <v>352</v>
      </c>
      <c r="O853" t="s">
        <v>781</v>
      </c>
      <c r="P853">
        <v>2.9500320982499793E-2</v>
      </c>
      <c r="Q853" t="s">
        <v>157</v>
      </c>
      <c r="S853" t="s">
        <v>463</v>
      </c>
      <c r="T853" t="s">
        <v>781</v>
      </c>
      <c r="U853">
        <v>2.4993814191971282E-2</v>
      </c>
      <c r="V853" t="s">
        <v>157</v>
      </c>
    </row>
    <row r="854" spans="9:22" x14ac:dyDescent="0.45">
      <c r="I854" t="s">
        <v>241</v>
      </c>
      <c r="J854" t="s">
        <v>782</v>
      </c>
      <c r="K854">
        <v>0.1745514026015845</v>
      </c>
      <c r="L854" t="s">
        <v>157</v>
      </c>
      <c r="N854" t="s">
        <v>352</v>
      </c>
      <c r="O854" t="s">
        <v>782</v>
      </c>
      <c r="P854">
        <v>9.473197870140887E-2</v>
      </c>
      <c r="Q854" t="s">
        <v>157</v>
      </c>
      <c r="S854" t="s">
        <v>463</v>
      </c>
      <c r="T854" t="s">
        <v>782</v>
      </c>
      <c r="U854">
        <v>0.11291884547675619</v>
      </c>
      <c r="V854" t="s">
        <v>157</v>
      </c>
    </row>
    <row r="855" spans="9:22" x14ac:dyDescent="0.45">
      <c r="I855" t="s">
        <v>241</v>
      </c>
      <c r="J855" t="s">
        <v>783</v>
      </c>
      <c r="K855">
        <v>0</v>
      </c>
      <c r="L855" t="s">
        <v>157</v>
      </c>
      <c r="N855" t="s">
        <v>352</v>
      </c>
      <c r="O855" t="s">
        <v>783</v>
      </c>
      <c r="P855">
        <v>7.8470176267323721E-2</v>
      </c>
      <c r="Q855" t="s">
        <v>157</v>
      </c>
      <c r="S855" t="s">
        <v>463</v>
      </c>
      <c r="T855" t="s">
        <v>783</v>
      </c>
      <c r="U855">
        <v>0.11566977201362172</v>
      </c>
      <c r="V855" t="s">
        <v>157</v>
      </c>
    </row>
    <row r="856" spans="9:22" x14ac:dyDescent="0.45">
      <c r="I856" t="s">
        <v>241</v>
      </c>
      <c r="J856" t="s">
        <v>784</v>
      </c>
      <c r="K856">
        <v>1.1835049034512121E-2</v>
      </c>
      <c r="L856" t="s">
        <v>157</v>
      </c>
      <c r="N856" t="s">
        <v>352</v>
      </c>
      <c r="O856" t="s">
        <v>784</v>
      </c>
      <c r="P856">
        <v>1.7045132441333578E-2</v>
      </c>
      <c r="Q856" t="s">
        <v>157</v>
      </c>
      <c r="S856" t="s">
        <v>463</v>
      </c>
      <c r="T856" t="s">
        <v>784</v>
      </c>
      <c r="U856">
        <v>2.2482893144502029E-2</v>
      </c>
      <c r="V856" t="s">
        <v>157</v>
      </c>
    </row>
    <row r="857" spans="9:22" x14ac:dyDescent="0.45">
      <c r="I857" t="s">
        <v>241</v>
      </c>
      <c r="J857" t="s">
        <v>785</v>
      </c>
      <c r="K857">
        <v>0.1119309050874789</v>
      </c>
      <c r="L857" t="s">
        <v>157</v>
      </c>
      <c r="N857" t="s">
        <v>352</v>
      </c>
      <c r="O857" t="s">
        <v>785</v>
      </c>
      <c r="P857">
        <v>0.10776336029441985</v>
      </c>
      <c r="Q857" t="s">
        <v>157</v>
      </c>
      <c r="S857" t="s">
        <v>463</v>
      </c>
      <c r="T857" t="s">
        <v>785</v>
      </c>
      <c r="U857">
        <v>0.10798735965978598</v>
      </c>
      <c r="V857" t="s">
        <v>157</v>
      </c>
    </row>
    <row r="858" spans="9:22" x14ac:dyDescent="0.45">
      <c r="I858" t="s">
        <v>241</v>
      </c>
      <c r="J858" t="s">
        <v>786</v>
      </c>
      <c r="K858">
        <v>0</v>
      </c>
      <c r="L858" t="s">
        <v>157</v>
      </c>
      <c r="N858" t="s">
        <v>352</v>
      </c>
      <c r="O858" t="s">
        <v>786</v>
      </c>
      <c r="P858">
        <v>0.10886935815637451</v>
      </c>
      <c r="Q858" t="s">
        <v>157</v>
      </c>
      <c r="S858" t="s">
        <v>463</v>
      </c>
      <c r="T858" t="s">
        <v>786</v>
      </c>
      <c r="U858">
        <v>0.11921214394159531</v>
      </c>
      <c r="V858" t="s">
        <v>157</v>
      </c>
    </row>
    <row r="859" spans="9:22" x14ac:dyDescent="0.45">
      <c r="I859" t="s">
        <v>241</v>
      </c>
      <c r="J859" t="s">
        <v>787</v>
      </c>
      <c r="K859">
        <v>2.3701030906854749E-3</v>
      </c>
      <c r="L859" t="s">
        <v>157</v>
      </c>
      <c r="N859" t="s">
        <v>352</v>
      </c>
      <c r="O859" t="s">
        <v>787</v>
      </c>
      <c r="P859">
        <v>1.9023453769493381E-2</v>
      </c>
      <c r="Q859" t="s">
        <v>157</v>
      </c>
      <c r="S859" t="s">
        <v>463</v>
      </c>
      <c r="T859" t="s">
        <v>787</v>
      </c>
      <c r="U859">
        <v>2.0007464522761996E-2</v>
      </c>
      <c r="V859" t="s">
        <v>157</v>
      </c>
    </row>
    <row r="860" spans="9:22" x14ac:dyDescent="0.45">
      <c r="I860" t="s">
        <v>241</v>
      </c>
      <c r="J860" t="s">
        <v>788</v>
      </c>
      <c r="K860">
        <v>0.3394242627239657</v>
      </c>
      <c r="L860" t="s">
        <v>157</v>
      </c>
      <c r="N860" t="s">
        <v>352</v>
      </c>
      <c r="O860" t="s">
        <v>788</v>
      </c>
      <c r="P860">
        <v>0.1236883702893249</v>
      </c>
      <c r="Q860" t="s">
        <v>157</v>
      </c>
      <c r="S860" t="s">
        <v>463</v>
      </c>
      <c r="T860" t="s">
        <v>788</v>
      </c>
      <c r="U860">
        <v>0.10629531326429958</v>
      </c>
      <c r="V860" t="s">
        <v>157</v>
      </c>
    </row>
    <row r="861" spans="9:22" x14ac:dyDescent="0.45">
      <c r="I861" t="s">
        <v>241</v>
      </c>
      <c r="J861" t="s">
        <v>789</v>
      </c>
      <c r="K861">
        <v>1.7303625226524146E-2</v>
      </c>
      <c r="L861" t="s">
        <v>157</v>
      </c>
      <c r="N861" t="s">
        <v>352</v>
      </c>
      <c r="O861" t="s">
        <v>789</v>
      </c>
      <c r="P861">
        <v>8.7408556048607963E-2</v>
      </c>
      <c r="Q861" t="s">
        <v>157</v>
      </c>
      <c r="S861" t="s">
        <v>463</v>
      </c>
      <c r="T861" t="s">
        <v>789</v>
      </c>
      <c r="U861">
        <v>0.10201975904773891</v>
      </c>
      <c r="V861" t="s">
        <v>157</v>
      </c>
    </row>
    <row r="862" spans="9:22" x14ac:dyDescent="0.45">
      <c r="I862" t="s">
        <v>241</v>
      </c>
      <c r="J862" t="s">
        <v>790</v>
      </c>
      <c r="K862">
        <v>4.6167259204421975E-2</v>
      </c>
      <c r="L862" t="s">
        <v>157</v>
      </c>
      <c r="N862" t="s">
        <v>352</v>
      </c>
      <c r="O862" t="s">
        <v>790</v>
      </c>
      <c r="P862">
        <v>2.1297019516292062E-2</v>
      </c>
      <c r="Q862" t="s">
        <v>157</v>
      </c>
      <c r="S862" t="s">
        <v>463</v>
      </c>
      <c r="T862" t="s">
        <v>790</v>
      </c>
      <c r="U862">
        <v>2.0312456228554869E-2</v>
      </c>
      <c r="V862" t="s">
        <v>157</v>
      </c>
    </row>
    <row r="863" spans="9:22" x14ac:dyDescent="0.45">
      <c r="I863" t="s">
        <v>242</v>
      </c>
      <c r="J863" t="s">
        <v>779</v>
      </c>
      <c r="K863">
        <v>0.26827728238185189</v>
      </c>
      <c r="L863" t="s">
        <v>157</v>
      </c>
      <c r="N863" t="s">
        <v>353</v>
      </c>
      <c r="O863" t="s">
        <v>779</v>
      </c>
      <c r="P863">
        <v>0.15488413259261241</v>
      </c>
      <c r="Q863" t="s">
        <v>157</v>
      </c>
      <c r="S863" t="s">
        <v>464</v>
      </c>
      <c r="T863" t="s">
        <v>779</v>
      </c>
      <c r="U863">
        <v>0.16567369009973351</v>
      </c>
      <c r="V863" t="s">
        <v>157</v>
      </c>
    </row>
    <row r="864" spans="9:22" x14ac:dyDescent="0.45">
      <c r="I864" t="s">
        <v>242</v>
      </c>
      <c r="J864" t="s">
        <v>780</v>
      </c>
      <c r="K864">
        <v>5.1267060351656143E-3</v>
      </c>
      <c r="L864" t="s">
        <v>157</v>
      </c>
      <c r="N864" t="s">
        <v>353</v>
      </c>
      <c r="O864" t="s">
        <v>780</v>
      </c>
      <c r="P864">
        <v>0.13174167003376991</v>
      </c>
      <c r="Q864" t="s">
        <v>157</v>
      </c>
      <c r="S864" t="s">
        <v>464</v>
      </c>
      <c r="T864" t="s">
        <v>780</v>
      </c>
      <c r="U864">
        <v>0.11477532186215642</v>
      </c>
      <c r="V864" t="s">
        <v>157</v>
      </c>
    </row>
    <row r="865" spans="9:22" x14ac:dyDescent="0.45">
      <c r="I865" t="s">
        <v>242</v>
      </c>
      <c r="J865" t="s">
        <v>781</v>
      </c>
      <c r="K865">
        <v>2.5881942018456641E-2</v>
      </c>
      <c r="L865" t="s">
        <v>157</v>
      </c>
      <c r="N865" t="s">
        <v>353</v>
      </c>
      <c r="O865" t="s">
        <v>781</v>
      </c>
      <c r="P865">
        <v>3.0718940856779845E-2</v>
      </c>
      <c r="Q865" t="s">
        <v>157</v>
      </c>
      <c r="S865" t="s">
        <v>464</v>
      </c>
      <c r="T865" t="s">
        <v>781</v>
      </c>
      <c r="U865">
        <v>2.5370183939454744E-2</v>
      </c>
      <c r="V865" t="s">
        <v>157</v>
      </c>
    </row>
    <row r="866" spans="9:22" x14ac:dyDescent="0.45">
      <c r="I866" t="s">
        <v>242</v>
      </c>
      <c r="J866" t="s">
        <v>782</v>
      </c>
      <c r="K866">
        <v>0.17581041233509964</v>
      </c>
      <c r="L866" t="s">
        <v>157</v>
      </c>
      <c r="N866" t="s">
        <v>353</v>
      </c>
      <c r="O866" t="s">
        <v>782</v>
      </c>
      <c r="P866">
        <v>9.7971443937024172E-2</v>
      </c>
      <c r="Q866" t="s">
        <v>157</v>
      </c>
      <c r="S866" t="s">
        <v>464</v>
      </c>
      <c r="T866" t="s">
        <v>782</v>
      </c>
      <c r="U866">
        <v>0.10453194518055575</v>
      </c>
      <c r="V866" t="s">
        <v>157</v>
      </c>
    </row>
    <row r="867" spans="9:22" x14ac:dyDescent="0.45">
      <c r="I867" t="s">
        <v>242</v>
      </c>
      <c r="J867" t="s">
        <v>783</v>
      </c>
      <c r="K867">
        <v>0</v>
      </c>
      <c r="L867" t="s">
        <v>157</v>
      </c>
      <c r="N867" t="s">
        <v>353</v>
      </c>
      <c r="O867" t="s">
        <v>783</v>
      </c>
      <c r="P867">
        <v>8.8294501134100756E-2</v>
      </c>
      <c r="Q867" t="s">
        <v>157</v>
      </c>
      <c r="S867" t="s">
        <v>464</v>
      </c>
      <c r="T867" t="s">
        <v>783</v>
      </c>
      <c r="U867">
        <v>9.0537756683205808E-2</v>
      </c>
      <c r="V867" t="s">
        <v>157</v>
      </c>
    </row>
    <row r="868" spans="9:22" x14ac:dyDescent="0.45">
      <c r="I868" t="s">
        <v>242</v>
      </c>
      <c r="J868" t="s">
        <v>784</v>
      </c>
      <c r="K868">
        <v>1.2596517931696893E-2</v>
      </c>
      <c r="L868" t="s">
        <v>157</v>
      </c>
      <c r="N868" t="s">
        <v>353</v>
      </c>
      <c r="O868" t="s">
        <v>784</v>
      </c>
      <c r="P868">
        <v>2.0548232718734155E-2</v>
      </c>
      <c r="Q868" t="s">
        <v>157</v>
      </c>
      <c r="S868" t="s">
        <v>464</v>
      </c>
      <c r="T868" t="s">
        <v>784</v>
      </c>
      <c r="U868">
        <v>1.7897224937978563E-2</v>
      </c>
      <c r="V868" t="s">
        <v>157</v>
      </c>
    </row>
    <row r="869" spans="9:22" x14ac:dyDescent="0.45">
      <c r="I869" t="s">
        <v>242</v>
      </c>
      <c r="J869" t="s">
        <v>785</v>
      </c>
      <c r="K869">
        <v>0.10767753443988627</v>
      </c>
      <c r="L869" t="s">
        <v>157</v>
      </c>
      <c r="N869" t="s">
        <v>353</v>
      </c>
      <c r="O869" t="s">
        <v>785</v>
      </c>
      <c r="P869">
        <v>0.11581034912196531</v>
      </c>
      <c r="Q869" t="s">
        <v>157</v>
      </c>
      <c r="S869" t="s">
        <v>464</v>
      </c>
      <c r="T869" t="s">
        <v>785</v>
      </c>
      <c r="U869">
        <v>0.13091013264106749</v>
      </c>
      <c r="V869" t="s">
        <v>157</v>
      </c>
    </row>
    <row r="870" spans="9:22" x14ac:dyDescent="0.45">
      <c r="I870" t="s">
        <v>242</v>
      </c>
      <c r="J870" t="s">
        <v>786</v>
      </c>
      <c r="K870">
        <v>0</v>
      </c>
      <c r="L870" t="s">
        <v>157</v>
      </c>
      <c r="N870" t="s">
        <v>353</v>
      </c>
      <c r="O870" t="s">
        <v>786</v>
      </c>
      <c r="P870">
        <v>0.11663150160996361</v>
      </c>
      <c r="Q870" t="s">
        <v>157</v>
      </c>
      <c r="S870" t="s">
        <v>464</v>
      </c>
      <c r="T870" t="s">
        <v>786</v>
      </c>
      <c r="U870">
        <v>0.13240265835558684</v>
      </c>
      <c r="V870" t="s">
        <v>157</v>
      </c>
    </row>
    <row r="871" spans="9:22" x14ac:dyDescent="0.45">
      <c r="I871" t="s">
        <v>242</v>
      </c>
      <c r="J871" t="s">
        <v>787</v>
      </c>
      <c r="K871">
        <v>2.1622836447398246E-3</v>
      </c>
      <c r="L871" t="s">
        <v>157</v>
      </c>
      <c r="N871" t="s">
        <v>353</v>
      </c>
      <c r="O871" t="s">
        <v>787</v>
      </c>
      <c r="P871">
        <v>2.3141479826603348E-2</v>
      </c>
      <c r="Q871" t="s">
        <v>157</v>
      </c>
      <c r="S871" t="s">
        <v>464</v>
      </c>
      <c r="T871" t="s">
        <v>787</v>
      </c>
      <c r="U871">
        <v>2.1857587158873731E-2</v>
      </c>
      <c r="V871" t="s">
        <v>157</v>
      </c>
    </row>
    <row r="872" spans="9:22" x14ac:dyDescent="0.45">
      <c r="I872" t="s">
        <v>242</v>
      </c>
      <c r="J872" t="s">
        <v>788</v>
      </c>
      <c r="K872">
        <v>0.33828669992782118</v>
      </c>
      <c r="L872" t="s">
        <v>157</v>
      </c>
      <c r="N872" t="s">
        <v>353</v>
      </c>
      <c r="O872" t="s">
        <v>788</v>
      </c>
      <c r="P872">
        <v>0.10611612686595617</v>
      </c>
      <c r="Q872" t="s">
        <v>157</v>
      </c>
      <c r="S872" t="s">
        <v>464</v>
      </c>
      <c r="T872" t="s">
        <v>788</v>
      </c>
      <c r="U872">
        <v>0.10907760777617659</v>
      </c>
      <c r="V872" t="s">
        <v>157</v>
      </c>
    </row>
    <row r="873" spans="9:22" x14ac:dyDescent="0.45">
      <c r="I873" t="s">
        <v>242</v>
      </c>
      <c r="J873" t="s">
        <v>789</v>
      </c>
      <c r="K873">
        <v>1.6637941642693575E-2</v>
      </c>
      <c r="L873" t="s">
        <v>157</v>
      </c>
      <c r="N873" t="s">
        <v>353</v>
      </c>
      <c r="O873" t="s">
        <v>789</v>
      </c>
      <c r="P873">
        <v>9.0774774272938494E-2</v>
      </c>
      <c r="Q873" t="s">
        <v>157</v>
      </c>
      <c r="S873" t="s">
        <v>464</v>
      </c>
      <c r="T873" t="s">
        <v>789</v>
      </c>
      <c r="U873">
        <v>6.8751806085494804E-2</v>
      </c>
      <c r="V873" t="s">
        <v>157</v>
      </c>
    </row>
    <row r="874" spans="9:22" x14ac:dyDescent="0.45">
      <c r="I874" t="s">
        <v>242</v>
      </c>
      <c r="J874" t="s">
        <v>790</v>
      </c>
      <c r="K874">
        <v>4.7542679642588404E-2</v>
      </c>
      <c r="L874" t="s">
        <v>157</v>
      </c>
      <c r="N874" t="s">
        <v>353</v>
      </c>
      <c r="O874" t="s">
        <v>790</v>
      </c>
      <c r="P874">
        <v>2.3366847029551871E-2</v>
      </c>
      <c r="Q874" t="s">
        <v>157</v>
      </c>
      <c r="S874" t="s">
        <v>464</v>
      </c>
      <c r="T874" t="s">
        <v>790</v>
      </c>
      <c r="U874">
        <v>1.8214085279715759E-2</v>
      </c>
      <c r="V874" t="s">
        <v>157</v>
      </c>
    </row>
    <row r="875" spans="9:22" x14ac:dyDescent="0.45">
      <c r="I875" t="s">
        <v>243</v>
      </c>
      <c r="J875" t="s">
        <v>779</v>
      </c>
      <c r="K875">
        <v>0.26443656956863643</v>
      </c>
      <c r="L875" t="s">
        <v>157</v>
      </c>
      <c r="N875" t="s">
        <v>354</v>
      </c>
      <c r="O875" t="s">
        <v>779</v>
      </c>
      <c r="P875">
        <v>0.13010622170370947</v>
      </c>
      <c r="Q875" t="s">
        <v>157</v>
      </c>
      <c r="S875" t="s">
        <v>465</v>
      </c>
      <c r="T875" t="s">
        <v>779</v>
      </c>
      <c r="U875">
        <v>0.13424306303325387</v>
      </c>
      <c r="V875" t="s">
        <v>157</v>
      </c>
    </row>
    <row r="876" spans="9:22" x14ac:dyDescent="0.45">
      <c r="I876" t="s">
        <v>243</v>
      </c>
      <c r="J876" t="s">
        <v>780</v>
      </c>
      <c r="K876">
        <v>3.9425077820070195E-3</v>
      </c>
      <c r="L876" t="s">
        <v>157</v>
      </c>
      <c r="N876" t="s">
        <v>354</v>
      </c>
      <c r="O876" t="s">
        <v>780</v>
      </c>
      <c r="P876">
        <v>0.12865114984285825</v>
      </c>
      <c r="Q876" t="s">
        <v>157</v>
      </c>
      <c r="S876" t="s">
        <v>465</v>
      </c>
      <c r="T876" t="s">
        <v>780</v>
      </c>
      <c r="U876">
        <v>0.11953524925915683</v>
      </c>
      <c r="V876" t="s">
        <v>157</v>
      </c>
    </row>
    <row r="877" spans="9:22" x14ac:dyDescent="0.45">
      <c r="I877" t="s">
        <v>243</v>
      </c>
      <c r="J877" t="s">
        <v>781</v>
      </c>
      <c r="K877">
        <v>2.4717417020953827E-2</v>
      </c>
      <c r="L877" t="s">
        <v>157</v>
      </c>
      <c r="N877" t="s">
        <v>354</v>
      </c>
      <c r="O877" t="s">
        <v>781</v>
      </c>
      <c r="P877">
        <v>2.4816788637918322E-2</v>
      </c>
      <c r="Q877" t="s">
        <v>157</v>
      </c>
      <c r="S877" t="s">
        <v>465</v>
      </c>
      <c r="T877" t="s">
        <v>781</v>
      </c>
      <c r="U877">
        <v>2.6809238904414424E-2</v>
      </c>
      <c r="V877" t="s">
        <v>157</v>
      </c>
    </row>
    <row r="878" spans="9:22" x14ac:dyDescent="0.45">
      <c r="I878" t="s">
        <v>243</v>
      </c>
      <c r="J878" t="s">
        <v>782</v>
      </c>
      <c r="K878">
        <v>0.18481695711953389</v>
      </c>
      <c r="L878" t="s">
        <v>157</v>
      </c>
      <c r="N878" t="s">
        <v>354</v>
      </c>
      <c r="O878" t="s">
        <v>782</v>
      </c>
      <c r="P878">
        <v>9.7435466401973841E-2</v>
      </c>
      <c r="Q878" t="s">
        <v>157</v>
      </c>
      <c r="S878" t="s">
        <v>465</v>
      </c>
      <c r="T878" t="s">
        <v>782</v>
      </c>
      <c r="U878">
        <v>9.9059059047683196E-2</v>
      </c>
      <c r="V878" t="s">
        <v>157</v>
      </c>
    </row>
    <row r="879" spans="9:22" x14ac:dyDescent="0.45">
      <c r="I879" t="s">
        <v>243</v>
      </c>
      <c r="J879" t="s">
        <v>783</v>
      </c>
      <c r="K879">
        <v>0</v>
      </c>
      <c r="L879" t="s">
        <v>157</v>
      </c>
      <c r="N879" t="s">
        <v>354</v>
      </c>
      <c r="O879" t="s">
        <v>783</v>
      </c>
      <c r="P879">
        <v>9.6615426063706294E-2</v>
      </c>
      <c r="Q879" t="s">
        <v>157</v>
      </c>
      <c r="S879" t="s">
        <v>465</v>
      </c>
      <c r="T879" t="s">
        <v>783</v>
      </c>
      <c r="U879">
        <v>9.0030564752664549E-2</v>
      </c>
      <c r="V879" t="s">
        <v>157</v>
      </c>
    </row>
    <row r="880" spans="9:22" x14ac:dyDescent="0.45">
      <c r="I880" t="s">
        <v>243</v>
      </c>
      <c r="J880" t="s">
        <v>784</v>
      </c>
      <c r="K880">
        <v>1.3515579283944071E-2</v>
      </c>
      <c r="L880" t="s">
        <v>157</v>
      </c>
      <c r="N880" t="s">
        <v>354</v>
      </c>
      <c r="O880" t="s">
        <v>784</v>
      </c>
      <c r="P880">
        <v>1.8252948814029821E-2</v>
      </c>
      <c r="Q880" t="s">
        <v>157</v>
      </c>
      <c r="S880" t="s">
        <v>465</v>
      </c>
      <c r="T880" t="s">
        <v>784</v>
      </c>
      <c r="U880">
        <v>1.919487373819586E-2</v>
      </c>
      <c r="V880" t="s">
        <v>157</v>
      </c>
    </row>
    <row r="881" spans="9:22" x14ac:dyDescent="0.45">
      <c r="I881" t="s">
        <v>243</v>
      </c>
      <c r="J881" t="s">
        <v>785</v>
      </c>
      <c r="K881">
        <v>0.10801009444536293</v>
      </c>
      <c r="L881" t="s">
        <v>157</v>
      </c>
      <c r="N881" t="s">
        <v>354</v>
      </c>
      <c r="O881" t="s">
        <v>785</v>
      </c>
      <c r="P881">
        <v>0.12626165841185552</v>
      </c>
      <c r="Q881" t="s">
        <v>157</v>
      </c>
      <c r="S881" t="s">
        <v>465</v>
      </c>
      <c r="T881" t="s">
        <v>785</v>
      </c>
      <c r="U881">
        <v>0.13116869993986041</v>
      </c>
      <c r="V881" t="s">
        <v>157</v>
      </c>
    </row>
    <row r="882" spans="9:22" x14ac:dyDescent="0.45">
      <c r="I882" t="s">
        <v>243</v>
      </c>
      <c r="J882" t="s">
        <v>786</v>
      </c>
      <c r="K882">
        <v>0</v>
      </c>
      <c r="L882" t="s">
        <v>157</v>
      </c>
      <c r="N882" t="s">
        <v>354</v>
      </c>
      <c r="O882" t="s">
        <v>786</v>
      </c>
      <c r="P882">
        <v>0.12688115447266274</v>
      </c>
      <c r="Q882" t="s">
        <v>157</v>
      </c>
      <c r="S882" t="s">
        <v>465</v>
      </c>
      <c r="T882" t="s">
        <v>786</v>
      </c>
      <c r="U882">
        <v>0.12358306180650744</v>
      </c>
      <c r="V882" t="s">
        <v>157</v>
      </c>
    </row>
    <row r="883" spans="9:22" x14ac:dyDescent="0.45">
      <c r="I883" t="s">
        <v>243</v>
      </c>
      <c r="J883" t="s">
        <v>787</v>
      </c>
      <c r="K883">
        <v>2.702604173672457E-3</v>
      </c>
      <c r="L883" t="s">
        <v>157</v>
      </c>
      <c r="N883" t="s">
        <v>354</v>
      </c>
      <c r="O883" t="s">
        <v>787</v>
      </c>
      <c r="P883">
        <v>2.3103968779001768E-2</v>
      </c>
      <c r="Q883" t="s">
        <v>157</v>
      </c>
      <c r="S883" t="s">
        <v>465</v>
      </c>
      <c r="T883" t="s">
        <v>787</v>
      </c>
      <c r="U883">
        <v>2.2112269238046378E-2</v>
      </c>
      <c r="V883" t="s">
        <v>157</v>
      </c>
    </row>
    <row r="884" spans="9:22" x14ac:dyDescent="0.45">
      <c r="I884" t="s">
        <v>243</v>
      </c>
      <c r="J884" t="s">
        <v>788</v>
      </c>
      <c r="K884">
        <v>0.33718281574672171</v>
      </c>
      <c r="L884" t="s">
        <v>157</v>
      </c>
      <c r="N884" t="s">
        <v>354</v>
      </c>
      <c r="O884" t="s">
        <v>788</v>
      </c>
      <c r="P884">
        <v>0.10354882381606706</v>
      </c>
      <c r="Q884" t="s">
        <v>157</v>
      </c>
      <c r="S884" t="s">
        <v>465</v>
      </c>
      <c r="T884" t="s">
        <v>788</v>
      </c>
      <c r="U884">
        <v>0.11123669749460925</v>
      </c>
      <c r="V884" t="s">
        <v>157</v>
      </c>
    </row>
    <row r="885" spans="9:22" x14ac:dyDescent="0.45">
      <c r="I885" t="s">
        <v>243</v>
      </c>
      <c r="J885" t="s">
        <v>789</v>
      </c>
      <c r="K885">
        <v>1.362005017156989E-2</v>
      </c>
      <c r="L885" t="s">
        <v>157</v>
      </c>
      <c r="N885" t="s">
        <v>354</v>
      </c>
      <c r="O885" t="s">
        <v>789</v>
      </c>
      <c r="P885">
        <v>0.10514415136678426</v>
      </c>
      <c r="Q885" t="s">
        <v>157</v>
      </c>
      <c r="S885" t="s">
        <v>465</v>
      </c>
      <c r="T885" t="s">
        <v>789</v>
      </c>
      <c r="U885">
        <v>0.10081092366045585</v>
      </c>
      <c r="V885" t="s">
        <v>157</v>
      </c>
    </row>
    <row r="886" spans="9:22" x14ac:dyDescent="0.45">
      <c r="I886" t="s">
        <v>243</v>
      </c>
      <c r="J886" t="s">
        <v>790</v>
      </c>
      <c r="K886">
        <v>4.70554046875978E-2</v>
      </c>
      <c r="L886" t="s">
        <v>157</v>
      </c>
      <c r="N886" t="s">
        <v>354</v>
      </c>
      <c r="O886" t="s">
        <v>790</v>
      </c>
      <c r="P886">
        <v>1.918224168943268E-2</v>
      </c>
      <c r="Q886" t="s">
        <v>157</v>
      </c>
      <c r="S886" t="s">
        <v>465</v>
      </c>
      <c r="T886" t="s">
        <v>790</v>
      </c>
      <c r="U886">
        <v>2.2216299125151988E-2</v>
      </c>
      <c r="V886" t="s">
        <v>157</v>
      </c>
    </row>
    <row r="887" spans="9:22" x14ac:dyDescent="0.45">
      <c r="I887" t="s">
        <v>244</v>
      </c>
      <c r="J887" t="s">
        <v>779</v>
      </c>
      <c r="K887">
        <v>0.27555440396369929</v>
      </c>
      <c r="L887" t="s">
        <v>157</v>
      </c>
      <c r="N887" t="s">
        <v>355</v>
      </c>
      <c r="O887" t="s">
        <v>779</v>
      </c>
      <c r="P887">
        <v>0.13892889598989139</v>
      </c>
      <c r="Q887" t="s">
        <v>157</v>
      </c>
      <c r="S887" t="s">
        <v>466</v>
      </c>
      <c r="T887" t="s">
        <v>779</v>
      </c>
      <c r="U887">
        <v>0.1286516465407149</v>
      </c>
      <c r="V887" t="s">
        <v>157</v>
      </c>
    </row>
    <row r="888" spans="9:22" x14ac:dyDescent="0.45">
      <c r="I888" t="s">
        <v>244</v>
      </c>
      <c r="J888" t="s">
        <v>780</v>
      </c>
      <c r="K888">
        <v>3.8276988695185627E-3</v>
      </c>
      <c r="L888" t="s">
        <v>157</v>
      </c>
      <c r="N888" t="s">
        <v>355</v>
      </c>
      <c r="O888" t="s">
        <v>780</v>
      </c>
      <c r="P888">
        <v>0.11887898185934642</v>
      </c>
      <c r="Q888" t="s">
        <v>157</v>
      </c>
      <c r="S888" t="s">
        <v>466</v>
      </c>
      <c r="T888" t="s">
        <v>780</v>
      </c>
      <c r="U888">
        <v>0.12265708156724332</v>
      </c>
      <c r="V888" t="s">
        <v>157</v>
      </c>
    </row>
    <row r="889" spans="9:22" x14ac:dyDescent="0.45">
      <c r="I889" t="s">
        <v>244</v>
      </c>
      <c r="J889" t="s">
        <v>781</v>
      </c>
      <c r="K889">
        <v>2.204237773188716E-2</v>
      </c>
      <c r="L889" t="s">
        <v>157</v>
      </c>
      <c r="N889" t="s">
        <v>355</v>
      </c>
      <c r="O889" t="s">
        <v>781</v>
      </c>
      <c r="P889">
        <v>2.3125798780636666E-2</v>
      </c>
      <c r="Q889" t="s">
        <v>157</v>
      </c>
      <c r="S889" t="s">
        <v>466</v>
      </c>
      <c r="T889" t="s">
        <v>781</v>
      </c>
      <c r="U889">
        <v>2.7066670106513334E-2</v>
      </c>
      <c r="V889" t="s">
        <v>157</v>
      </c>
    </row>
    <row r="890" spans="9:22" x14ac:dyDescent="0.45">
      <c r="I890" t="s">
        <v>244</v>
      </c>
      <c r="J890" t="s">
        <v>782</v>
      </c>
      <c r="K890">
        <v>0.18886501973596395</v>
      </c>
      <c r="L890" t="s">
        <v>157</v>
      </c>
      <c r="N890" t="s">
        <v>355</v>
      </c>
      <c r="O890" t="s">
        <v>782</v>
      </c>
      <c r="P890">
        <v>0.10159954692104478</v>
      </c>
      <c r="Q890" t="s">
        <v>157</v>
      </c>
      <c r="S890" t="s">
        <v>466</v>
      </c>
      <c r="T890" t="s">
        <v>782</v>
      </c>
      <c r="U890">
        <v>0.10118835385220212</v>
      </c>
      <c r="V890" t="s">
        <v>157</v>
      </c>
    </row>
    <row r="891" spans="9:22" x14ac:dyDescent="0.45">
      <c r="I891" t="s">
        <v>244</v>
      </c>
      <c r="J891" t="s">
        <v>783</v>
      </c>
      <c r="K891">
        <v>0</v>
      </c>
      <c r="L891" t="s">
        <v>157</v>
      </c>
      <c r="N891" t="s">
        <v>355</v>
      </c>
      <c r="O891" t="s">
        <v>783</v>
      </c>
      <c r="P891">
        <v>9.414241516972767E-2</v>
      </c>
      <c r="Q891" t="s">
        <v>157</v>
      </c>
      <c r="S891" t="s">
        <v>466</v>
      </c>
      <c r="T891" t="s">
        <v>783</v>
      </c>
      <c r="U891">
        <v>9.2365247281884916E-2</v>
      </c>
      <c r="V891" t="s">
        <v>157</v>
      </c>
    </row>
    <row r="892" spans="9:22" x14ac:dyDescent="0.45">
      <c r="I892" t="s">
        <v>244</v>
      </c>
      <c r="J892" t="s">
        <v>784</v>
      </c>
      <c r="K892">
        <v>1.3768205523694736E-2</v>
      </c>
      <c r="L892" t="s">
        <v>157</v>
      </c>
      <c r="N892" t="s">
        <v>355</v>
      </c>
      <c r="O892" t="s">
        <v>784</v>
      </c>
      <c r="P892">
        <v>1.9700274043377566E-2</v>
      </c>
      <c r="Q892" t="s">
        <v>157</v>
      </c>
      <c r="S892" t="s">
        <v>466</v>
      </c>
      <c r="T892" t="s">
        <v>784</v>
      </c>
      <c r="U892">
        <v>1.9260066943056424E-2</v>
      </c>
      <c r="V892" t="s">
        <v>157</v>
      </c>
    </row>
    <row r="893" spans="9:22" x14ac:dyDescent="0.45">
      <c r="I893" t="s">
        <v>244</v>
      </c>
      <c r="J893" t="s">
        <v>785</v>
      </c>
      <c r="K893">
        <v>0.12314514946144187</v>
      </c>
      <c r="L893" t="s">
        <v>157</v>
      </c>
      <c r="N893" t="s">
        <v>355</v>
      </c>
      <c r="O893" t="s">
        <v>785</v>
      </c>
      <c r="P893">
        <v>0.12735782853494931</v>
      </c>
      <c r="Q893" t="s">
        <v>157</v>
      </c>
      <c r="S893" t="s">
        <v>466</v>
      </c>
      <c r="T893" t="s">
        <v>785</v>
      </c>
      <c r="U893">
        <v>0.12729110900221843</v>
      </c>
      <c r="V893" t="s">
        <v>157</v>
      </c>
    </row>
    <row r="894" spans="9:22" x14ac:dyDescent="0.45">
      <c r="I894" t="s">
        <v>244</v>
      </c>
      <c r="J894" t="s">
        <v>786</v>
      </c>
      <c r="K894">
        <v>0</v>
      </c>
      <c r="L894" t="s">
        <v>157</v>
      </c>
      <c r="N894" t="s">
        <v>355</v>
      </c>
      <c r="O894" t="s">
        <v>786</v>
      </c>
      <c r="P894">
        <v>0.12722236311118731</v>
      </c>
      <c r="Q894" t="s">
        <v>157</v>
      </c>
      <c r="S894" t="s">
        <v>466</v>
      </c>
      <c r="T894" t="s">
        <v>786</v>
      </c>
      <c r="U894">
        <v>0.12048866360668675</v>
      </c>
      <c r="V894" t="s">
        <v>157</v>
      </c>
    </row>
    <row r="895" spans="9:22" x14ac:dyDescent="0.45">
      <c r="I895" t="s">
        <v>244</v>
      </c>
      <c r="J895" t="s">
        <v>787</v>
      </c>
      <c r="K895">
        <v>3.6672219823778514E-3</v>
      </c>
      <c r="L895" t="s">
        <v>157</v>
      </c>
      <c r="N895" t="s">
        <v>355</v>
      </c>
      <c r="O895" t="s">
        <v>787</v>
      </c>
      <c r="P895">
        <v>2.2209637147032342E-2</v>
      </c>
      <c r="Q895" t="s">
        <v>157</v>
      </c>
      <c r="S895" t="s">
        <v>466</v>
      </c>
      <c r="T895" t="s">
        <v>787</v>
      </c>
      <c r="U895">
        <v>2.1671708993774665E-2</v>
      </c>
      <c r="V895" t="s">
        <v>157</v>
      </c>
    </row>
    <row r="896" spans="9:22" x14ac:dyDescent="0.45">
      <c r="I896" t="s">
        <v>244</v>
      </c>
      <c r="J896" t="s">
        <v>788</v>
      </c>
      <c r="K896">
        <v>0.31872383810750138</v>
      </c>
      <c r="L896" t="s">
        <v>157</v>
      </c>
      <c r="N896" t="s">
        <v>355</v>
      </c>
      <c r="O896" t="s">
        <v>788</v>
      </c>
      <c r="P896">
        <v>0.1116967887511761</v>
      </c>
      <c r="Q896" t="s">
        <v>157</v>
      </c>
      <c r="S896" t="s">
        <v>466</v>
      </c>
      <c r="T896" t="s">
        <v>788</v>
      </c>
      <c r="U896">
        <v>0.10977207702477787</v>
      </c>
      <c r="V896" t="s">
        <v>157</v>
      </c>
    </row>
    <row r="897" spans="9:22" x14ac:dyDescent="0.45">
      <c r="I897" t="s">
        <v>244</v>
      </c>
      <c r="J897" t="s">
        <v>789</v>
      </c>
      <c r="K897">
        <v>9.627289922670812E-3</v>
      </c>
      <c r="L897" t="s">
        <v>157</v>
      </c>
      <c r="N897" t="s">
        <v>355</v>
      </c>
      <c r="O897" t="s">
        <v>789</v>
      </c>
      <c r="P897">
        <v>9.2991119235624933E-2</v>
      </c>
      <c r="Q897" t="s">
        <v>157</v>
      </c>
      <c r="S897" t="s">
        <v>466</v>
      </c>
      <c r="T897" t="s">
        <v>789</v>
      </c>
      <c r="U897">
        <v>0.10731804619052776</v>
      </c>
      <c r="V897" t="s">
        <v>157</v>
      </c>
    </row>
    <row r="898" spans="9:22" x14ac:dyDescent="0.45">
      <c r="I898" t="s">
        <v>244</v>
      </c>
      <c r="J898" t="s">
        <v>790</v>
      </c>
      <c r="K898">
        <v>4.0778794701244417E-2</v>
      </c>
      <c r="L898" t="s">
        <v>157</v>
      </c>
      <c r="N898" t="s">
        <v>355</v>
      </c>
      <c r="O898" t="s">
        <v>790</v>
      </c>
      <c r="P898">
        <v>2.2146350456005531E-2</v>
      </c>
      <c r="Q898" t="s">
        <v>157</v>
      </c>
      <c r="S898" t="s">
        <v>466</v>
      </c>
      <c r="T898" t="s">
        <v>790</v>
      </c>
      <c r="U898">
        <v>2.2269328890399474E-2</v>
      </c>
      <c r="V898" t="s">
        <v>157</v>
      </c>
    </row>
    <row r="899" spans="9:22" x14ac:dyDescent="0.45">
      <c r="I899" t="s">
        <v>245</v>
      </c>
      <c r="J899" t="s">
        <v>779</v>
      </c>
      <c r="K899">
        <v>0.27718296577365426</v>
      </c>
      <c r="L899" t="s">
        <v>157</v>
      </c>
      <c r="N899" t="s">
        <v>356</v>
      </c>
      <c r="O899" t="s">
        <v>779</v>
      </c>
      <c r="P899">
        <v>0.14262228197544546</v>
      </c>
      <c r="Q899" t="s">
        <v>157</v>
      </c>
      <c r="S899" t="s">
        <v>467</v>
      </c>
      <c r="T899" t="s">
        <v>779</v>
      </c>
      <c r="U899">
        <v>0.12476349962303003</v>
      </c>
      <c r="V899" t="s">
        <v>157</v>
      </c>
    </row>
    <row r="900" spans="9:22" x14ac:dyDescent="0.45">
      <c r="I900" t="s">
        <v>245</v>
      </c>
      <c r="J900" t="s">
        <v>780</v>
      </c>
      <c r="K900">
        <v>3.8038579151600687E-3</v>
      </c>
      <c r="L900" t="s">
        <v>157</v>
      </c>
      <c r="N900" t="s">
        <v>356</v>
      </c>
      <c r="O900" t="s">
        <v>780</v>
      </c>
      <c r="P900">
        <v>0.11489547427481317</v>
      </c>
      <c r="Q900" t="s">
        <v>157</v>
      </c>
      <c r="S900" t="s">
        <v>467</v>
      </c>
      <c r="T900" t="s">
        <v>780</v>
      </c>
      <c r="U900">
        <v>0.12611040217369343</v>
      </c>
      <c r="V900" t="s">
        <v>157</v>
      </c>
    </row>
    <row r="901" spans="9:22" x14ac:dyDescent="0.45">
      <c r="I901" t="s">
        <v>245</v>
      </c>
      <c r="J901" t="s">
        <v>781</v>
      </c>
      <c r="K901">
        <v>2.26260417162732E-2</v>
      </c>
      <c r="L901" t="s">
        <v>157</v>
      </c>
      <c r="N901" t="s">
        <v>356</v>
      </c>
      <c r="O901" t="s">
        <v>781</v>
      </c>
      <c r="P901">
        <v>2.3417948992794504E-2</v>
      </c>
      <c r="Q901" t="s">
        <v>157</v>
      </c>
      <c r="S901" t="s">
        <v>467</v>
      </c>
      <c r="T901" t="s">
        <v>781</v>
      </c>
      <c r="U901">
        <v>2.6271994358969902E-2</v>
      </c>
      <c r="V901" t="s">
        <v>157</v>
      </c>
    </row>
    <row r="902" spans="9:22" x14ac:dyDescent="0.45">
      <c r="I902" t="s">
        <v>245</v>
      </c>
      <c r="J902" t="s">
        <v>782</v>
      </c>
      <c r="K902">
        <v>0.18811761122537757</v>
      </c>
      <c r="L902" t="s">
        <v>157</v>
      </c>
      <c r="N902" t="s">
        <v>356</v>
      </c>
      <c r="O902" t="s">
        <v>782</v>
      </c>
      <c r="P902">
        <v>0.10593987751973585</v>
      </c>
      <c r="Q902" t="s">
        <v>157</v>
      </c>
      <c r="S902" t="s">
        <v>467</v>
      </c>
      <c r="T902" t="s">
        <v>782</v>
      </c>
      <c r="U902">
        <v>0.10355397080194251</v>
      </c>
      <c r="V902" t="s">
        <v>157</v>
      </c>
    </row>
    <row r="903" spans="9:22" x14ac:dyDescent="0.45">
      <c r="I903" t="s">
        <v>245</v>
      </c>
      <c r="J903" t="s">
        <v>783</v>
      </c>
      <c r="K903">
        <v>0</v>
      </c>
      <c r="L903" t="s">
        <v>157</v>
      </c>
      <c r="N903" t="s">
        <v>356</v>
      </c>
      <c r="O903" t="s">
        <v>783</v>
      </c>
      <c r="P903">
        <v>9.1451211712309619E-2</v>
      </c>
      <c r="Q903" t="s">
        <v>157</v>
      </c>
      <c r="S903" t="s">
        <v>467</v>
      </c>
      <c r="T903" t="s">
        <v>783</v>
      </c>
      <c r="U903">
        <v>9.7703942292140397E-2</v>
      </c>
      <c r="V903" t="s">
        <v>157</v>
      </c>
    </row>
    <row r="904" spans="9:22" x14ac:dyDescent="0.45">
      <c r="I904" t="s">
        <v>245</v>
      </c>
      <c r="J904" t="s">
        <v>784</v>
      </c>
      <c r="K904">
        <v>1.3406488220586264E-2</v>
      </c>
      <c r="L904" t="s">
        <v>157</v>
      </c>
      <c r="N904" t="s">
        <v>356</v>
      </c>
      <c r="O904" t="s">
        <v>784</v>
      </c>
      <c r="P904">
        <v>1.8910986294981655E-2</v>
      </c>
      <c r="Q904" t="s">
        <v>157</v>
      </c>
      <c r="S904" t="s">
        <v>467</v>
      </c>
      <c r="T904" t="s">
        <v>784</v>
      </c>
      <c r="U904">
        <v>1.8723103376085553E-2</v>
      </c>
      <c r="V904" t="s">
        <v>157</v>
      </c>
    </row>
    <row r="905" spans="9:22" x14ac:dyDescent="0.45">
      <c r="I905" t="s">
        <v>245</v>
      </c>
      <c r="J905" t="s">
        <v>785</v>
      </c>
      <c r="K905">
        <v>0.12403918272941038</v>
      </c>
      <c r="L905" t="s">
        <v>157</v>
      </c>
      <c r="N905" t="s">
        <v>356</v>
      </c>
      <c r="O905" t="s">
        <v>785</v>
      </c>
      <c r="P905">
        <v>0.12757628607890506</v>
      </c>
      <c r="Q905" t="s">
        <v>157</v>
      </c>
      <c r="S905" t="s">
        <v>467</v>
      </c>
      <c r="T905" t="s">
        <v>785</v>
      </c>
      <c r="U905">
        <v>0.12919380462700961</v>
      </c>
      <c r="V905" t="s">
        <v>157</v>
      </c>
    </row>
    <row r="906" spans="9:22" x14ac:dyDescent="0.45">
      <c r="I906" t="s">
        <v>245</v>
      </c>
      <c r="J906" t="s">
        <v>786</v>
      </c>
      <c r="K906">
        <v>0</v>
      </c>
      <c r="L906" t="s">
        <v>157</v>
      </c>
      <c r="N906" t="s">
        <v>356</v>
      </c>
      <c r="O906" t="s">
        <v>786</v>
      </c>
      <c r="P906">
        <v>0.12147697289969295</v>
      </c>
      <c r="Q906" t="s">
        <v>157</v>
      </c>
      <c r="S906" t="s">
        <v>467</v>
      </c>
      <c r="T906" t="s">
        <v>786</v>
      </c>
      <c r="U906">
        <v>0.12304586903221146</v>
      </c>
      <c r="V906" t="s">
        <v>157</v>
      </c>
    </row>
    <row r="907" spans="9:22" x14ac:dyDescent="0.45">
      <c r="I907" t="s">
        <v>245</v>
      </c>
      <c r="J907" t="s">
        <v>787</v>
      </c>
      <c r="K907">
        <v>3.7103393586877934E-3</v>
      </c>
      <c r="L907" t="s">
        <v>157</v>
      </c>
      <c r="N907" t="s">
        <v>356</v>
      </c>
      <c r="O907" t="s">
        <v>787</v>
      </c>
      <c r="P907">
        <v>2.202277662250755E-2</v>
      </c>
      <c r="Q907" t="s">
        <v>157</v>
      </c>
      <c r="S907" t="s">
        <v>467</v>
      </c>
      <c r="T907" t="s">
        <v>787</v>
      </c>
      <c r="U907">
        <v>2.1882594681139737E-2</v>
      </c>
      <c r="V907" t="s">
        <v>157</v>
      </c>
    </row>
    <row r="908" spans="9:22" x14ac:dyDescent="0.45">
      <c r="I908" t="s">
        <v>245</v>
      </c>
      <c r="J908" t="s">
        <v>788</v>
      </c>
      <c r="K908">
        <v>0.31729305096114441</v>
      </c>
      <c r="L908" t="s">
        <v>157</v>
      </c>
      <c r="N908" t="s">
        <v>356</v>
      </c>
      <c r="O908" t="s">
        <v>788</v>
      </c>
      <c r="P908">
        <v>0.11608111233507104</v>
      </c>
      <c r="Q908" t="s">
        <v>157</v>
      </c>
      <c r="S908" t="s">
        <v>467</v>
      </c>
      <c r="T908" t="s">
        <v>788</v>
      </c>
      <c r="U908">
        <v>0.10264045958107576</v>
      </c>
      <c r="V908" t="s">
        <v>157</v>
      </c>
    </row>
    <row r="909" spans="9:22" x14ac:dyDescent="0.45">
      <c r="I909" t="s">
        <v>245</v>
      </c>
      <c r="J909" t="s">
        <v>789</v>
      </c>
      <c r="K909">
        <v>9.2587255161522969E-3</v>
      </c>
      <c r="L909" t="s">
        <v>157</v>
      </c>
      <c r="N909" t="s">
        <v>356</v>
      </c>
      <c r="O909" t="s">
        <v>789</v>
      </c>
      <c r="P909">
        <v>9.3538206633248702E-2</v>
      </c>
      <c r="Q909" t="s">
        <v>157</v>
      </c>
      <c r="S909" t="s">
        <v>467</v>
      </c>
      <c r="T909" t="s">
        <v>789</v>
      </c>
      <c r="U909">
        <v>0.10562580277732747</v>
      </c>
      <c r="V909" t="s">
        <v>157</v>
      </c>
    </row>
    <row r="910" spans="9:22" x14ac:dyDescent="0.45">
      <c r="I910" t="s">
        <v>245</v>
      </c>
      <c r="J910" t="s">
        <v>790</v>
      </c>
      <c r="K910">
        <v>4.0561736583553817E-2</v>
      </c>
      <c r="L910" t="s">
        <v>157</v>
      </c>
      <c r="N910" t="s">
        <v>356</v>
      </c>
      <c r="O910" t="s">
        <v>790</v>
      </c>
      <c r="P910">
        <v>2.2066864660494363E-2</v>
      </c>
      <c r="Q910" t="s">
        <v>157</v>
      </c>
      <c r="S910" t="s">
        <v>467</v>
      </c>
      <c r="T910" t="s">
        <v>790</v>
      </c>
      <c r="U910">
        <v>2.0484556675374129E-2</v>
      </c>
      <c r="V910" t="s">
        <v>157</v>
      </c>
    </row>
    <row r="911" spans="9:22" x14ac:dyDescent="0.45">
      <c r="I911" t="s">
        <v>246</v>
      </c>
      <c r="J911" t="s">
        <v>779</v>
      </c>
      <c r="K911">
        <v>0.27798631890979369</v>
      </c>
      <c r="L911" t="s">
        <v>157</v>
      </c>
      <c r="N911" t="s">
        <v>357</v>
      </c>
      <c r="O911" t="s">
        <v>779</v>
      </c>
      <c r="P911">
        <v>0.13201988370698262</v>
      </c>
      <c r="Q911" t="s">
        <v>157</v>
      </c>
      <c r="S911" t="s">
        <v>468</v>
      </c>
      <c r="T911" t="s">
        <v>779</v>
      </c>
      <c r="U911">
        <v>0.11537052646745871</v>
      </c>
      <c r="V911" t="s">
        <v>157</v>
      </c>
    </row>
    <row r="912" spans="9:22" x14ac:dyDescent="0.45">
      <c r="I912" t="s">
        <v>246</v>
      </c>
      <c r="J912" t="s">
        <v>780</v>
      </c>
      <c r="K912">
        <v>3.7502168370005407E-3</v>
      </c>
      <c r="L912" t="s">
        <v>157</v>
      </c>
      <c r="N912" t="s">
        <v>357</v>
      </c>
      <c r="O912" t="s">
        <v>780</v>
      </c>
      <c r="P912">
        <v>0.11574648891299022</v>
      </c>
      <c r="Q912" t="s">
        <v>157</v>
      </c>
      <c r="S912" t="s">
        <v>468</v>
      </c>
      <c r="T912" t="s">
        <v>780</v>
      </c>
      <c r="U912">
        <v>0.11035623309485902</v>
      </c>
      <c r="V912" t="s">
        <v>157</v>
      </c>
    </row>
    <row r="913" spans="9:22" x14ac:dyDescent="0.45">
      <c r="I913" t="s">
        <v>246</v>
      </c>
      <c r="J913" t="s">
        <v>781</v>
      </c>
      <c r="K913">
        <v>2.3478318557526613E-2</v>
      </c>
      <c r="L913" t="s">
        <v>157</v>
      </c>
      <c r="N913" t="s">
        <v>357</v>
      </c>
      <c r="O913" t="s">
        <v>781</v>
      </c>
      <c r="P913">
        <v>2.4183357497857435E-2</v>
      </c>
      <c r="Q913" t="s">
        <v>157</v>
      </c>
      <c r="S913" t="s">
        <v>468</v>
      </c>
      <c r="T913" t="s">
        <v>781</v>
      </c>
      <c r="U913">
        <v>2.0760436228083191E-2</v>
      </c>
      <c r="V913" t="s">
        <v>157</v>
      </c>
    </row>
    <row r="914" spans="9:22" x14ac:dyDescent="0.45">
      <c r="I914" t="s">
        <v>246</v>
      </c>
      <c r="J914" t="s">
        <v>782</v>
      </c>
      <c r="K914">
        <v>0.18920480489215274</v>
      </c>
      <c r="L914" t="s">
        <v>157</v>
      </c>
      <c r="N914" t="s">
        <v>357</v>
      </c>
      <c r="O914" t="s">
        <v>782</v>
      </c>
      <c r="P914">
        <v>0.10707319801370081</v>
      </c>
      <c r="Q914" t="s">
        <v>157</v>
      </c>
      <c r="S914" t="s">
        <v>468</v>
      </c>
      <c r="T914" t="s">
        <v>782</v>
      </c>
      <c r="U914">
        <v>0.1157250619163238</v>
      </c>
      <c r="V914" t="s">
        <v>157</v>
      </c>
    </row>
    <row r="915" spans="9:22" x14ac:dyDescent="0.45">
      <c r="I915" t="s">
        <v>246</v>
      </c>
      <c r="J915" t="s">
        <v>783</v>
      </c>
      <c r="K915">
        <v>0</v>
      </c>
      <c r="L915" t="s">
        <v>157</v>
      </c>
      <c r="N915" t="s">
        <v>357</v>
      </c>
      <c r="O915" t="s">
        <v>783</v>
      </c>
      <c r="P915">
        <v>9.9848020576884647E-2</v>
      </c>
      <c r="Q915" t="s">
        <v>157</v>
      </c>
      <c r="S915" t="s">
        <v>468</v>
      </c>
      <c r="T915" t="s">
        <v>783</v>
      </c>
      <c r="U915">
        <v>0.11466558097055483</v>
      </c>
      <c r="V915" t="s">
        <v>157</v>
      </c>
    </row>
    <row r="916" spans="9:22" x14ac:dyDescent="0.45">
      <c r="I916" t="s">
        <v>246</v>
      </c>
      <c r="J916" t="s">
        <v>784</v>
      </c>
      <c r="K916">
        <v>1.3438979110577669E-2</v>
      </c>
      <c r="L916" t="s">
        <v>157</v>
      </c>
      <c r="N916" t="s">
        <v>357</v>
      </c>
      <c r="O916" t="s">
        <v>784</v>
      </c>
      <c r="P916">
        <v>1.9657901732517736E-2</v>
      </c>
      <c r="Q916" t="s">
        <v>157</v>
      </c>
      <c r="S916" t="s">
        <v>468</v>
      </c>
      <c r="T916" t="s">
        <v>784</v>
      </c>
      <c r="U916">
        <v>2.1829171906009876E-2</v>
      </c>
      <c r="V916" t="s">
        <v>157</v>
      </c>
    </row>
    <row r="917" spans="9:22" x14ac:dyDescent="0.45">
      <c r="I917" t="s">
        <v>246</v>
      </c>
      <c r="J917" t="s">
        <v>785</v>
      </c>
      <c r="K917">
        <v>0.12317430299862113</v>
      </c>
      <c r="L917" t="s">
        <v>157</v>
      </c>
      <c r="N917" t="s">
        <v>357</v>
      </c>
      <c r="O917" t="s">
        <v>785</v>
      </c>
      <c r="P917">
        <v>0.12081262460794356</v>
      </c>
      <c r="Q917" t="s">
        <v>157</v>
      </c>
      <c r="S917" t="s">
        <v>468</v>
      </c>
      <c r="T917" t="s">
        <v>785</v>
      </c>
      <c r="U917">
        <v>0.11865933078145206</v>
      </c>
      <c r="V917" t="s">
        <v>157</v>
      </c>
    </row>
    <row r="918" spans="9:22" x14ac:dyDescent="0.45">
      <c r="I918" t="s">
        <v>246</v>
      </c>
      <c r="J918" t="s">
        <v>786</v>
      </c>
      <c r="K918">
        <v>0</v>
      </c>
      <c r="L918" t="s">
        <v>157</v>
      </c>
      <c r="N918" t="s">
        <v>357</v>
      </c>
      <c r="O918" t="s">
        <v>786</v>
      </c>
      <c r="P918">
        <v>0.11918546205019488</v>
      </c>
      <c r="Q918" t="s">
        <v>157</v>
      </c>
      <c r="S918" t="s">
        <v>468</v>
      </c>
      <c r="T918" t="s">
        <v>786</v>
      </c>
      <c r="U918">
        <v>0.11534970381049398</v>
      </c>
      <c r="V918" t="s">
        <v>157</v>
      </c>
    </row>
    <row r="919" spans="9:22" x14ac:dyDescent="0.45">
      <c r="I919" t="s">
        <v>246</v>
      </c>
      <c r="J919" t="s">
        <v>787</v>
      </c>
      <c r="K919">
        <v>3.7432601737563283E-3</v>
      </c>
      <c r="L919" t="s">
        <v>157</v>
      </c>
      <c r="N919" t="s">
        <v>357</v>
      </c>
      <c r="O919" t="s">
        <v>787</v>
      </c>
      <c r="P919">
        <v>2.2159188534816469E-2</v>
      </c>
      <c r="Q919" t="s">
        <v>157</v>
      </c>
      <c r="S919" t="s">
        <v>468</v>
      </c>
      <c r="T919" t="s">
        <v>787</v>
      </c>
      <c r="U919">
        <v>2.0718833003055385E-2</v>
      </c>
      <c r="V919" t="s">
        <v>157</v>
      </c>
    </row>
    <row r="920" spans="9:22" x14ac:dyDescent="0.45">
      <c r="I920" t="s">
        <v>246</v>
      </c>
      <c r="J920" t="s">
        <v>788</v>
      </c>
      <c r="K920">
        <v>0.31568708752515928</v>
      </c>
      <c r="L920" t="s">
        <v>157</v>
      </c>
      <c r="N920" t="s">
        <v>357</v>
      </c>
      <c r="O920" t="s">
        <v>788</v>
      </c>
      <c r="P920">
        <v>0.11282579835452215</v>
      </c>
      <c r="Q920" t="s">
        <v>157</v>
      </c>
      <c r="S920" t="s">
        <v>468</v>
      </c>
      <c r="T920" t="s">
        <v>788</v>
      </c>
      <c r="U920">
        <v>0.11467652802371697</v>
      </c>
      <c r="V920" t="s">
        <v>157</v>
      </c>
    </row>
    <row r="921" spans="9:22" x14ac:dyDescent="0.45">
      <c r="I921" t="s">
        <v>246</v>
      </c>
      <c r="J921" t="s">
        <v>789</v>
      </c>
      <c r="K921">
        <v>8.6056455718571505E-3</v>
      </c>
      <c r="L921" t="s">
        <v>157</v>
      </c>
      <c r="N921" t="s">
        <v>357</v>
      </c>
      <c r="O921" t="s">
        <v>789</v>
      </c>
      <c r="P921">
        <v>0.10426223156378739</v>
      </c>
      <c r="Q921" t="s">
        <v>157</v>
      </c>
      <c r="S921" t="s">
        <v>468</v>
      </c>
      <c r="T921" t="s">
        <v>789</v>
      </c>
      <c r="U921">
        <v>0.11063158776921868</v>
      </c>
      <c r="V921" t="s">
        <v>157</v>
      </c>
    </row>
    <row r="922" spans="9:22" x14ac:dyDescent="0.45">
      <c r="I922" t="s">
        <v>246</v>
      </c>
      <c r="J922" t="s">
        <v>790</v>
      </c>
      <c r="K922">
        <v>4.0931065423554867E-2</v>
      </c>
      <c r="L922" t="s">
        <v>157</v>
      </c>
      <c r="N922" t="s">
        <v>357</v>
      </c>
      <c r="O922" t="s">
        <v>790</v>
      </c>
      <c r="P922">
        <v>2.2225844447802141E-2</v>
      </c>
      <c r="Q922" t="s">
        <v>157</v>
      </c>
      <c r="S922" t="s">
        <v>468</v>
      </c>
      <c r="T922" t="s">
        <v>790</v>
      </c>
      <c r="U922">
        <v>2.1257006028773544E-2</v>
      </c>
      <c r="V922" t="s">
        <v>157</v>
      </c>
    </row>
    <row r="923" spans="9:22" x14ac:dyDescent="0.45">
      <c r="I923" t="s">
        <v>247</v>
      </c>
      <c r="J923" t="s">
        <v>779</v>
      </c>
      <c r="K923">
        <v>0.26572293634021077</v>
      </c>
      <c r="L923" t="s">
        <v>157</v>
      </c>
      <c r="N923" t="s">
        <v>358</v>
      </c>
      <c r="O923" t="s">
        <v>779</v>
      </c>
      <c r="P923">
        <v>0.13095527967046894</v>
      </c>
      <c r="Q923" t="s">
        <v>157</v>
      </c>
      <c r="S923" t="s">
        <v>469</v>
      </c>
      <c r="T923" t="s">
        <v>779</v>
      </c>
      <c r="U923">
        <v>0.11688342954561305</v>
      </c>
      <c r="V923" t="s">
        <v>157</v>
      </c>
    </row>
    <row r="924" spans="9:22" x14ac:dyDescent="0.45">
      <c r="I924" t="s">
        <v>247</v>
      </c>
      <c r="J924" t="s">
        <v>780</v>
      </c>
      <c r="K924">
        <v>4.8816487590176818E-3</v>
      </c>
      <c r="L924" t="s">
        <v>157</v>
      </c>
      <c r="N924" t="s">
        <v>358</v>
      </c>
      <c r="O924" t="s">
        <v>780</v>
      </c>
      <c r="P924">
        <v>0.12378289710088476</v>
      </c>
      <c r="Q924" t="s">
        <v>157</v>
      </c>
      <c r="S924" t="s">
        <v>469</v>
      </c>
      <c r="T924" t="s">
        <v>780</v>
      </c>
      <c r="U924">
        <v>0.11095025979073793</v>
      </c>
      <c r="V924" t="s">
        <v>157</v>
      </c>
    </row>
    <row r="925" spans="9:22" x14ac:dyDescent="0.45">
      <c r="I925" t="s">
        <v>247</v>
      </c>
      <c r="J925" t="s">
        <v>781</v>
      </c>
      <c r="K925">
        <v>2.5095347819481823E-2</v>
      </c>
      <c r="L925" t="s">
        <v>157</v>
      </c>
      <c r="N925" t="s">
        <v>358</v>
      </c>
      <c r="O925" t="s">
        <v>781</v>
      </c>
      <c r="P925">
        <v>2.4979870100109887E-2</v>
      </c>
      <c r="Q925" t="s">
        <v>157</v>
      </c>
      <c r="S925" t="s">
        <v>469</v>
      </c>
      <c r="T925" t="s">
        <v>781</v>
      </c>
      <c r="U925">
        <v>2.083971536161161E-2</v>
      </c>
      <c r="V925" t="s">
        <v>157</v>
      </c>
    </row>
    <row r="926" spans="9:22" x14ac:dyDescent="0.45">
      <c r="I926" t="s">
        <v>247</v>
      </c>
      <c r="J926" t="s">
        <v>782</v>
      </c>
      <c r="K926">
        <v>0.17858793104759041</v>
      </c>
      <c r="L926" t="s">
        <v>157</v>
      </c>
      <c r="N926" t="s">
        <v>358</v>
      </c>
      <c r="O926" t="s">
        <v>782</v>
      </c>
      <c r="P926">
        <v>0.10963458378663676</v>
      </c>
      <c r="Q926" t="s">
        <v>157</v>
      </c>
      <c r="S926" t="s">
        <v>469</v>
      </c>
      <c r="T926" t="s">
        <v>782</v>
      </c>
      <c r="U926">
        <v>0.11425229020690957</v>
      </c>
      <c r="V926" t="s">
        <v>157</v>
      </c>
    </row>
    <row r="927" spans="9:22" x14ac:dyDescent="0.45">
      <c r="I927" t="s">
        <v>247</v>
      </c>
      <c r="J927" t="s">
        <v>783</v>
      </c>
      <c r="K927">
        <v>0</v>
      </c>
      <c r="L927" t="s">
        <v>157</v>
      </c>
      <c r="N927" t="s">
        <v>358</v>
      </c>
      <c r="O927" t="s">
        <v>783</v>
      </c>
      <c r="P927">
        <v>0.10461170586993133</v>
      </c>
      <c r="Q927" t="s">
        <v>157</v>
      </c>
      <c r="S927" t="s">
        <v>469</v>
      </c>
      <c r="T927" t="s">
        <v>783</v>
      </c>
      <c r="U927">
        <v>0.113591779386887</v>
      </c>
      <c r="V927" t="s">
        <v>157</v>
      </c>
    </row>
    <row r="928" spans="9:22" x14ac:dyDescent="0.45">
      <c r="I928" t="s">
        <v>247</v>
      </c>
      <c r="J928" t="s">
        <v>784</v>
      </c>
      <c r="K928">
        <v>1.2301409052984299E-2</v>
      </c>
      <c r="L928" t="s">
        <v>157</v>
      </c>
      <c r="N928" t="s">
        <v>358</v>
      </c>
      <c r="O928" t="s">
        <v>784</v>
      </c>
      <c r="P928">
        <v>2.0648954182371278E-2</v>
      </c>
      <c r="Q928" t="s">
        <v>157</v>
      </c>
      <c r="S928" t="s">
        <v>469</v>
      </c>
      <c r="T928" t="s">
        <v>784</v>
      </c>
      <c r="U928">
        <v>2.1376779985232009E-2</v>
      </c>
      <c r="V928" t="s">
        <v>157</v>
      </c>
    </row>
    <row r="929" spans="9:22" x14ac:dyDescent="0.45">
      <c r="I929" t="s">
        <v>247</v>
      </c>
      <c r="J929" t="s">
        <v>785</v>
      </c>
      <c r="K929">
        <v>0.10354630189064672</v>
      </c>
      <c r="L929" t="s">
        <v>157</v>
      </c>
      <c r="N929" t="s">
        <v>358</v>
      </c>
      <c r="O929" t="s">
        <v>785</v>
      </c>
      <c r="P929">
        <v>0.11626064218069394</v>
      </c>
      <c r="Q929" t="s">
        <v>157</v>
      </c>
      <c r="S929" t="s">
        <v>469</v>
      </c>
      <c r="T929" t="s">
        <v>785</v>
      </c>
      <c r="U929">
        <v>0.11800638620015926</v>
      </c>
      <c r="V929" t="s">
        <v>157</v>
      </c>
    </row>
    <row r="930" spans="9:22" x14ac:dyDescent="0.45">
      <c r="I930" t="s">
        <v>247</v>
      </c>
      <c r="J930" t="s">
        <v>786</v>
      </c>
      <c r="K930">
        <v>0</v>
      </c>
      <c r="L930" t="s">
        <v>157</v>
      </c>
      <c r="N930" t="s">
        <v>358</v>
      </c>
      <c r="O930" t="s">
        <v>786</v>
      </c>
      <c r="P930">
        <v>0.11811823017718708</v>
      </c>
      <c r="Q930" t="s">
        <v>157</v>
      </c>
      <c r="S930" t="s">
        <v>469</v>
      </c>
      <c r="T930" t="s">
        <v>786</v>
      </c>
      <c r="U930">
        <v>0.11465793366238702</v>
      </c>
      <c r="V930" t="s">
        <v>157</v>
      </c>
    </row>
    <row r="931" spans="9:22" x14ac:dyDescent="0.45">
      <c r="I931" t="s">
        <v>247</v>
      </c>
      <c r="J931" t="s">
        <v>787</v>
      </c>
      <c r="K931">
        <v>1.8485920098532016E-3</v>
      </c>
      <c r="L931" t="s">
        <v>157</v>
      </c>
      <c r="N931" t="s">
        <v>358</v>
      </c>
      <c r="O931" t="s">
        <v>787</v>
      </c>
      <c r="P931">
        <v>2.1166459569976055E-2</v>
      </c>
      <c r="Q931" t="s">
        <v>157</v>
      </c>
      <c r="S931" t="s">
        <v>469</v>
      </c>
      <c r="T931" t="s">
        <v>787</v>
      </c>
      <c r="U931">
        <v>2.0819004915558856E-2</v>
      </c>
      <c r="V931" t="s">
        <v>157</v>
      </c>
    </row>
    <row r="932" spans="9:22" x14ac:dyDescent="0.45">
      <c r="I932" t="s">
        <v>247</v>
      </c>
      <c r="J932" t="s">
        <v>788</v>
      </c>
      <c r="K932">
        <v>0.34467661625186941</v>
      </c>
      <c r="L932" t="s">
        <v>157</v>
      </c>
      <c r="N932" t="s">
        <v>358</v>
      </c>
      <c r="O932" t="s">
        <v>788</v>
      </c>
      <c r="P932">
        <v>0.10428734787248084</v>
      </c>
      <c r="Q932" t="s">
        <v>157</v>
      </c>
      <c r="S932" t="s">
        <v>469</v>
      </c>
      <c r="T932" t="s">
        <v>788</v>
      </c>
      <c r="U932">
        <v>0.11573284735880292</v>
      </c>
      <c r="V932" t="s">
        <v>157</v>
      </c>
    </row>
    <row r="933" spans="9:22" x14ac:dyDescent="0.45">
      <c r="I933" t="s">
        <v>247</v>
      </c>
      <c r="J933" t="s">
        <v>789</v>
      </c>
      <c r="K933">
        <v>1.5605648130291562E-2</v>
      </c>
      <c r="L933" t="s">
        <v>157</v>
      </c>
      <c r="N933" t="s">
        <v>358</v>
      </c>
      <c r="O933" t="s">
        <v>789</v>
      </c>
      <c r="P933">
        <v>0.10439834715122291</v>
      </c>
      <c r="Q933" t="s">
        <v>157</v>
      </c>
      <c r="S933" t="s">
        <v>469</v>
      </c>
      <c r="T933" t="s">
        <v>789</v>
      </c>
      <c r="U933">
        <v>0.11145014660531892</v>
      </c>
      <c r="V933" t="s">
        <v>157</v>
      </c>
    </row>
    <row r="934" spans="9:22" x14ac:dyDescent="0.45">
      <c r="I934" t="s">
        <v>247</v>
      </c>
      <c r="J934" t="s">
        <v>790</v>
      </c>
      <c r="K934">
        <v>4.7733568698054105E-2</v>
      </c>
      <c r="L934" t="s">
        <v>157</v>
      </c>
      <c r="N934" t="s">
        <v>358</v>
      </c>
      <c r="O934" t="s">
        <v>790</v>
      </c>
      <c r="P934">
        <v>2.1155682338036226E-2</v>
      </c>
      <c r="Q934" t="s">
        <v>157</v>
      </c>
      <c r="S934" t="s">
        <v>469</v>
      </c>
      <c r="T934" t="s">
        <v>790</v>
      </c>
      <c r="U934">
        <v>2.1439426980781825E-2</v>
      </c>
      <c r="V934" t="s">
        <v>157</v>
      </c>
    </row>
    <row r="935" spans="9:22" x14ac:dyDescent="0.45">
      <c r="I935" t="s">
        <v>248</v>
      </c>
      <c r="J935" t="s">
        <v>779</v>
      </c>
      <c r="K935">
        <v>0.26079776168299273</v>
      </c>
      <c r="L935" t="s">
        <v>157</v>
      </c>
      <c r="N935" t="s">
        <v>359</v>
      </c>
      <c r="O935" t="s">
        <v>779</v>
      </c>
      <c r="P935">
        <v>0.13426537757024734</v>
      </c>
      <c r="Q935" t="s">
        <v>157</v>
      </c>
      <c r="S935" t="s">
        <v>470</v>
      </c>
      <c r="T935" t="s">
        <v>779</v>
      </c>
      <c r="U935">
        <v>0.11781456548716189</v>
      </c>
      <c r="V935" t="s">
        <v>157</v>
      </c>
    </row>
    <row r="936" spans="9:22" x14ac:dyDescent="0.45">
      <c r="I936" t="s">
        <v>248</v>
      </c>
      <c r="J936" t="s">
        <v>780</v>
      </c>
      <c r="K936">
        <v>4.465542918998696E-3</v>
      </c>
      <c r="L936" t="s">
        <v>157</v>
      </c>
      <c r="N936" t="s">
        <v>359</v>
      </c>
      <c r="O936" t="s">
        <v>780</v>
      </c>
      <c r="P936">
        <v>0.13044439829127857</v>
      </c>
      <c r="Q936" t="s">
        <v>157</v>
      </c>
      <c r="S936" t="s">
        <v>470</v>
      </c>
      <c r="T936" t="s">
        <v>780</v>
      </c>
      <c r="U936">
        <v>0.11218016192431665</v>
      </c>
      <c r="V936" t="s">
        <v>157</v>
      </c>
    </row>
    <row r="937" spans="9:22" x14ac:dyDescent="0.45">
      <c r="I937" t="s">
        <v>248</v>
      </c>
      <c r="J937" t="s">
        <v>781</v>
      </c>
      <c r="K937">
        <v>2.4826402430050038E-2</v>
      </c>
      <c r="L937" t="s">
        <v>157</v>
      </c>
      <c r="N937" t="s">
        <v>359</v>
      </c>
      <c r="O937" t="s">
        <v>781</v>
      </c>
      <c r="P937">
        <v>2.6251868313202992E-2</v>
      </c>
      <c r="Q937" t="s">
        <v>157</v>
      </c>
      <c r="S937" t="s">
        <v>470</v>
      </c>
      <c r="T937" t="s">
        <v>781</v>
      </c>
      <c r="U937">
        <v>2.0771833492635179E-2</v>
      </c>
      <c r="V937" t="s">
        <v>157</v>
      </c>
    </row>
    <row r="938" spans="9:22" x14ac:dyDescent="0.45">
      <c r="I938" t="s">
        <v>248</v>
      </c>
      <c r="J938" t="s">
        <v>782</v>
      </c>
      <c r="K938">
        <v>0.18410630745353598</v>
      </c>
      <c r="L938" t="s">
        <v>157</v>
      </c>
      <c r="N938" t="s">
        <v>359</v>
      </c>
      <c r="O938" t="s">
        <v>782</v>
      </c>
      <c r="P938">
        <v>9.8298870172136843E-2</v>
      </c>
      <c r="Q938" t="s">
        <v>157</v>
      </c>
      <c r="S938" t="s">
        <v>470</v>
      </c>
      <c r="T938" t="s">
        <v>782</v>
      </c>
      <c r="U938">
        <v>0.11289092658725472</v>
      </c>
      <c r="V938" t="s">
        <v>157</v>
      </c>
    </row>
    <row r="939" spans="9:22" x14ac:dyDescent="0.45">
      <c r="I939" t="s">
        <v>248</v>
      </c>
      <c r="J939" t="s">
        <v>783</v>
      </c>
      <c r="K939">
        <v>0</v>
      </c>
      <c r="L939" t="s">
        <v>157</v>
      </c>
      <c r="N939" t="s">
        <v>359</v>
      </c>
      <c r="O939" t="s">
        <v>783</v>
      </c>
      <c r="P939">
        <v>9.5057517397691138E-2</v>
      </c>
      <c r="Q939" t="s">
        <v>157</v>
      </c>
      <c r="S939" t="s">
        <v>470</v>
      </c>
      <c r="T939" t="s">
        <v>783</v>
      </c>
      <c r="U939">
        <v>0.1126593304796346</v>
      </c>
      <c r="V939" t="s">
        <v>157</v>
      </c>
    </row>
    <row r="940" spans="9:22" x14ac:dyDescent="0.45">
      <c r="I940" t="s">
        <v>248</v>
      </c>
      <c r="J940" t="s">
        <v>784</v>
      </c>
      <c r="K940">
        <v>1.2999381546170589E-2</v>
      </c>
      <c r="L940" t="s">
        <v>157</v>
      </c>
      <c r="N940" t="s">
        <v>359</v>
      </c>
      <c r="O940" t="s">
        <v>784</v>
      </c>
      <c r="P940">
        <v>1.8845053519135364E-2</v>
      </c>
      <c r="Q940" t="s">
        <v>157</v>
      </c>
      <c r="S940" t="s">
        <v>470</v>
      </c>
      <c r="T940" t="s">
        <v>784</v>
      </c>
      <c r="U940">
        <v>2.1059292518422111E-2</v>
      </c>
      <c r="V940" t="s">
        <v>157</v>
      </c>
    </row>
    <row r="941" spans="9:22" x14ac:dyDescent="0.45">
      <c r="I941" t="s">
        <v>248</v>
      </c>
      <c r="J941" t="s">
        <v>785</v>
      </c>
      <c r="K941">
        <v>0.10684681855730717</v>
      </c>
      <c r="L941" t="s">
        <v>157</v>
      </c>
      <c r="N941" t="s">
        <v>359</v>
      </c>
      <c r="O941" t="s">
        <v>785</v>
      </c>
      <c r="P941">
        <v>0.12550875423712873</v>
      </c>
      <c r="Q941" t="s">
        <v>157</v>
      </c>
      <c r="S941" t="s">
        <v>470</v>
      </c>
      <c r="T941" t="s">
        <v>785</v>
      </c>
      <c r="U941">
        <v>0.11717188439965853</v>
      </c>
      <c r="V941" t="s">
        <v>157</v>
      </c>
    </row>
    <row r="942" spans="9:22" x14ac:dyDescent="0.45">
      <c r="I942" t="s">
        <v>248</v>
      </c>
      <c r="J942" t="s">
        <v>786</v>
      </c>
      <c r="K942">
        <v>0</v>
      </c>
      <c r="L942" t="s">
        <v>157</v>
      </c>
      <c r="N942" t="s">
        <v>359</v>
      </c>
      <c r="O942" t="s">
        <v>786</v>
      </c>
      <c r="P942">
        <v>0.1241359425974847</v>
      </c>
      <c r="Q942" t="s">
        <v>157</v>
      </c>
      <c r="S942" t="s">
        <v>470</v>
      </c>
      <c r="T942" t="s">
        <v>786</v>
      </c>
      <c r="U942">
        <v>0.11441196855867704</v>
      </c>
      <c r="V942" t="s">
        <v>157</v>
      </c>
    </row>
    <row r="943" spans="9:22" x14ac:dyDescent="0.45">
      <c r="I943" t="s">
        <v>248</v>
      </c>
      <c r="J943" t="s">
        <v>787</v>
      </c>
      <c r="K943">
        <v>2.1811667081623322E-3</v>
      </c>
      <c r="L943" t="s">
        <v>157</v>
      </c>
      <c r="N943" t="s">
        <v>359</v>
      </c>
      <c r="O943" t="s">
        <v>787</v>
      </c>
      <c r="P943">
        <v>2.3015192244982063E-2</v>
      </c>
      <c r="Q943" t="s">
        <v>157</v>
      </c>
      <c r="S943" t="s">
        <v>470</v>
      </c>
      <c r="T943" t="s">
        <v>787</v>
      </c>
      <c r="U943">
        <v>2.0548623106671344E-2</v>
      </c>
      <c r="V943" t="s">
        <v>157</v>
      </c>
    </row>
    <row r="944" spans="9:22" x14ac:dyDescent="0.45">
      <c r="I944" t="s">
        <v>248</v>
      </c>
      <c r="J944" t="s">
        <v>788</v>
      </c>
      <c r="K944">
        <v>0.34081740455766718</v>
      </c>
      <c r="L944" t="s">
        <v>157</v>
      </c>
      <c r="N944" t="s">
        <v>359</v>
      </c>
      <c r="O944" t="s">
        <v>788</v>
      </c>
      <c r="P944">
        <v>0.10265936435724307</v>
      </c>
      <c r="Q944" t="s">
        <v>157</v>
      </c>
      <c r="S944" t="s">
        <v>470</v>
      </c>
      <c r="T944" t="s">
        <v>788</v>
      </c>
      <c r="U944">
        <v>0.11590174088260734</v>
      </c>
      <c r="V944" t="s">
        <v>157</v>
      </c>
    </row>
    <row r="945" spans="9:22" x14ac:dyDescent="0.45">
      <c r="I945" t="s">
        <v>248</v>
      </c>
      <c r="J945" t="s">
        <v>789</v>
      </c>
      <c r="K945">
        <v>1.4715144283576438E-2</v>
      </c>
      <c r="L945" t="s">
        <v>157</v>
      </c>
      <c r="N945" t="s">
        <v>359</v>
      </c>
      <c r="O945" t="s">
        <v>789</v>
      </c>
      <c r="P945">
        <v>0.10088535454523097</v>
      </c>
      <c r="Q945" t="s">
        <v>157</v>
      </c>
      <c r="S945" t="s">
        <v>470</v>
      </c>
      <c r="T945" t="s">
        <v>789</v>
      </c>
      <c r="U945">
        <v>0.11295647640700245</v>
      </c>
      <c r="V945" t="s">
        <v>157</v>
      </c>
    </row>
    <row r="946" spans="9:22" x14ac:dyDescent="0.45">
      <c r="I946" t="s">
        <v>248</v>
      </c>
      <c r="J946" t="s">
        <v>790</v>
      </c>
      <c r="K946">
        <v>4.8244069861538841E-2</v>
      </c>
      <c r="L946" t="s">
        <v>157</v>
      </c>
      <c r="N946" t="s">
        <v>359</v>
      </c>
      <c r="O946" t="s">
        <v>790</v>
      </c>
      <c r="P946">
        <v>2.0632306754238165E-2</v>
      </c>
      <c r="Q946" t="s">
        <v>157</v>
      </c>
      <c r="S946" t="s">
        <v>470</v>
      </c>
      <c r="T946" t="s">
        <v>790</v>
      </c>
      <c r="U946">
        <v>2.1633196155958122E-2</v>
      </c>
      <c r="V946" t="s">
        <v>157</v>
      </c>
    </row>
    <row r="947" spans="9:22" x14ac:dyDescent="0.45">
      <c r="I947" t="s">
        <v>249</v>
      </c>
      <c r="J947" t="s">
        <v>779</v>
      </c>
      <c r="K947">
        <v>0.28238179258621116</v>
      </c>
      <c r="L947" t="s">
        <v>157</v>
      </c>
      <c r="N947" t="s">
        <v>360</v>
      </c>
      <c r="O947" t="s">
        <v>779</v>
      </c>
      <c r="P947">
        <v>0.16333699048455605</v>
      </c>
      <c r="Q947" t="s">
        <v>157</v>
      </c>
      <c r="S947" t="s">
        <v>471</v>
      </c>
      <c r="T947" t="s">
        <v>779</v>
      </c>
      <c r="U947">
        <v>0.11846040777902485</v>
      </c>
      <c r="V947" t="s">
        <v>157</v>
      </c>
    </row>
    <row r="948" spans="9:22" x14ac:dyDescent="0.45">
      <c r="I948" t="s">
        <v>249</v>
      </c>
      <c r="J948" t="s">
        <v>780</v>
      </c>
      <c r="K948">
        <v>7.0958404198993054E-3</v>
      </c>
      <c r="L948" t="s">
        <v>157</v>
      </c>
      <c r="N948" t="s">
        <v>360</v>
      </c>
      <c r="O948" t="s">
        <v>780</v>
      </c>
      <c r="P948">
        <v>0.11617122684645895</v>
      </c>
      <c r="Q948" t="s">
        <v>157</v>
      </c>
      <c r="S948" t="s">
        <v>471</v>
      </c>
      <c r="T948" t="s">
        <v>780</v>
      </c>
      <c r="U948">
        <v>0.11351628656011614</v>
      </c>
      <c r="V948" t="s">
        <v>157</v>
      </c>
    </row>
    <row r="949" spans="9:22" x14ac:dyDescent="0.45">
      <c r="I949" t="s">
        <v>249</v>
      </c>
      <c r="J949" t="s">
        <v>781</v>
      </c>
      <c r="K949">
        <v>3.5140302218197347E-2</v>
      </c>
      <c r="L949" t="s">
        <v>157</v>
      </c>
      <c r="N949" t="s">
        <v>360</v>
      </c>
      <c r="O949" t="s">
        <v>781</v>
      </c>
      <c r="P949">
        <v>2.6927918888060252E-2</v>
      </c>
      <c r="Q949" t="s">
        <v>157</v>
      </c>
      <c r="S949" t="s">
        <v>471</v>
      </c>
      <c r="T949" t="s">
        <v>781</v>
      </c>
      <c r="U949">
        <v>2.0639680692605508E-2</v>
      </c>
      <c r="V949" t="s">
        <v>157</v>
      </c>
    </row>
    <row r="950" spans="9:22" x14ac:dyDescent="0.45">
      <c r="I950" t="s">
        <v>249</v>
      </c>
      <c r="J950" t="s">
        <v>782</v>
      </c>
      <c r="K950">
        <v>0.15665896477226335</v>
      </c>
      <c r="L950" t="s">
        <v>157</v>
      </c>
      <c r="N950" t="s">
        <v>360</v>
      </c>
      <c r="O950" t="s">
        <v>782</v>
      </c>
      <c r="P950">
        <v>0.11833657432248816</v>
      </c>
      <c r="Q950" t="s">
        <v>157</v>
      </c>
      <c r="S950" t="s">
        <v>471</v>
      </c>
      <c r="T950" t="s">
        <v>782</v>
      </c>
      <c r="U950">
        <v>0.11210387925878315</v>
      </c>
      <c r="V950" t="s">
        <v>157</v>
      </c>
    </row>
    <row r="951" spans="9:22" x14ac:dyDescent="0.45">
      <c r="I951" t="s">
        <v>249</v>
      </c>
      <c r="J951" t="s">
        <v>783</v>
      </c>
      <c r="K951">
        <v>0</v>
      </c>
      <c r="L951" t="s">
        <v>157</v>
      </c>
      <c r="N951" t="s">
        <v>360</v>
      </c>
      <c r="O951" t="s">
        <v>783</v>
      </c>
      <c r="P951">
        <v>9.8042900274436171E-2</v>
      </c>
      <c r="Q951" t="s">
        <v>157</v>
      </c>
      <c r="S951" t="s">
        <v>471</v>
      </c>
      <c r="T951" t="s">
        <v>783</v>
      </c>
      <c r="U951">
        <v>0.11043674145368144</v>
      </c>
      <c r="V951" t="s">
        <v>157</v>
      </c>
    </row>
    <row r="952" spans="9:22" x14ac:dyDescent="0.45">
      <c r="I952" t="s">
        <v>249</v>
      </c>
      <c r="J952" t="s">
        <v>784</v>
      </c>
      <c r="K952">
        <v>1.78576479788208E-2</v>
      </c>
      <c r="L952" t="s">
        <v>157</v>
      </c>
      <c r="N952" t="s">
        <v>360</v>
      </c>
      <c r="O952" t="s">
        <v>784</v>
      </c>
      <c r="P952">
        <v>1.9034515605879921E-2</v>
      </c>
      <c r="Q952" t="s">
        <v>157</v>
      </c>
      <c r="S952" t="s">
        <v>471</v>
      </c>
      <c r="T952" t="s">
        <v>784</v>
      </c>
      <c r="U952">
        <v>2.0544257757779447E-2</v>
      </c>
      <c r="V952" t="s">
        <v>157</v>
      </c>
    </row>
    <row r="953" spans="9:22" x14ac:dyDescent="0.45">
      <c r="I953" t="s">
        <v>249</v>
      </c>
      <c r="J953" t="s">
        <v>785</v>
      </c>
      <c r="K953">
        <v>8.864591954955077E-2</v>
      </c>
      <c r="L953" t="s">
        <v>157</v>
      </c>
      <c r="N953" t="s">
        <v>360</v>
      </c>
      <c r="O953" t="s">
        <v>785</v>
      </c>
      <c r="P953">
        <v>0.11405323008915141</v>
      </c>
      <c r="Q953" t="s">
        <v>157</v>
      </c>
      <c r="S953" t="s">
        <v>471</v>
      </c>
      <c r="T953" t="s">
        <v>785</v>
      </c>
      <c r="U953">
        <v>0.11562256445786748</v>
      </c>
      <c r="V953" t="s">
        <v>157</v>
      </c>
    </row>
    <row r="954" spans="9:22" x14ac:dyDescent="0.45">
      <c r="I954" t="s">
        <v>249</v>
      </c>
      <c r="J954" t="s">
        <v>786</v>
      </c>
      <c r="K954">
        <v>0</v>
      </c>
      <c r="L954" t="s">
        <v>157</v>
      </c>
      <c r="N954" t="s">
        <v>360</v>
      </c>
      <c r="O954" t="s">
        <v>786</v>
      </c>
      <c r="P954">
        <v>0.11217529128257993</v>
      </c>
      <c r="Q954" t="s">
        <v>157</v>
      </c>
      <c r="S954" t="s">
        <v>471</v>
      </c>
      <c r="T954" t="s">
        <v>786</v>
      </c>
      <c r="U954">
        <v>0.11541581625256991</v>
      </c>
      <c r="V954" t="s">
        <v>157</v>
      </c>
    </row>
    <row r="955" spans="9:22" x14ac:dyDescent="0.45">
      <c r="I955" t="s">
        <v>249</v>
      </c>
      <c r="J955" t="s">
        <v>787</v>
      </c>
      <c r="K955">
        <v>3.8583323760426553E-3</v>
      </c>
      <c r="L955" t="s">
        <v>157</v>
      </c>
      <c r="N955" t="s">
        <v>360</v>
      </c>
      <c r="O955" t="s">
        <v>787</v>
      </c>
      <c r="P955">
        <v>1.9512739173842403E-2</v>
      </c>
      <c r="Q955" t="s">
        <v>157</v>
      </c>
      <c r="S955" t="s">
        <v>471</v>
      </c>
      <c r="T955" t="s">
        <v>787</v>
      </c>
      <c r="U955">
        <v>2.015161423651755E-2</v>
      </c>
      <c r="V955" t="s">
        <v>157</v>
      </c>
    </row>
    <row r="956" spans="9:22" x14ac:dyDescent="0.45">
      <c r="I956" t="s">
        <v>249</v>
      </c>
      <c r="J956" t="s">
        <v>788</v>
      </c>
      <c r="K956">
        <v>0.33458664848558711</v>
      </c>
      <c r="L956" t="s">
        <v>157</v>
      </c>
      <c r="N956" t="s">
        <v>360</v>
      </c>
      <c r="O956" t="s">
        <v>788</v>
      </c>
      <c r="P956">
        <v>0.11442706586088675</v>
      </c>
      <c r="Q956" t="s">
        <v>157</v>
      </c>
      <c r="S956" t="s">
        <v>471</v>
      </c>
      <c r="T956" t="s">
        <v>788</v>
      </c>
      <c r="U956">
        <v>0.11598430164680076</v>
      </c>
      <c r="V956" t="s">
        <v>157</v>
      </c>
    </row>
    <row r="957" spans="9:22" x14ac:dyDescent="0.45">
      <c r="I957" t="s">
        <v>249</v>
      </c>
      <c r="J957" t="s">
        <v>789</v>
      </c>
      <c r="K957">
        <v>2.0413011062895059E-2</v>
      </c>
      <c r="L957" t="s">
        <v>157</v>
      </c>
      <c r="N957" t="s">
        <v>360</v>
      </c>
      <c r="O957" t="s">
        <v>789</v>
      </c>
      <c r="P957">
        <v>7.8160277107943307E-2</v>
      </c>
      <c r="Q957" t="s">
        <v>157</v>
      </c>
      <c r="S957" t="s">
        <v>471</v>
      </c>
      <c r="T957" t="s">
        <v>789</v>
      </c>
      <c r="U957">
        <v>0.11550596230925235</v>
      </c>
      <c r="V957" t="s">
        <v>157</v>
      </c>
    </row>
    <row r="958" spans="9:22" x14ac:dyDescent="0.45">
      <c r="I958" t="s">
        <v>249</v>
      </c>
      <c r="J958" t="s">
        <v>790</v>
      </c>
      <c r="K958">
        <v>5.3361540550532494E-2</v>
      </c>
      <c r="L958" t="s">
        <v>157</v>
      </c>
      <c r="N958" t="s">
        <v>360</v>
      </c>
      <c r="O958" t="s">
        <v>790</v>
      </c>
      <c r="P958">
        <v>1.982127006371676E-2</v>
      </c>
      <c r="Q958" t="s">
        <v>157</v>
      </c>
      <c r="S958" t="s">
        <v>471</v>
      </c>
      <c r="T958" t="s">
        <v>790</v>
      </c>
      <c r="U958">
        <v>2.1618487595001411E-2</v>
      </c>
      <c r="V958" t="s">
        <v>157</v>
      </c>
    </row>
    <row r="959" spans="9:22" x14ac:dyDescent="0.45">
      <c r="I959" t="s">
        <v>250</v>
      </c>
      <c r="J959" t="s">
        <v>779</v>
      </c>
      <c r="K959">
        <v>0.26115120738884873</v>
      </c>
      <c r="L959" t="s">
        <v>157</v>
      </c>
      <c r="N959" t="s">
        <v>361</v>
      </c>
      <c r="O959" t="s">
        <v>779</v>
      </c>
      <c r="P959">
        <v>0.13831516671598695</v>
      </c>
      <c r="Q959" t="s">
        <v>157</v>
      </c>
      <c r="S959" t="s">
        <v>472</v>
      </c>
      <c r="T959" t="s">
        <v>779</v>
      </c>
      <c r="U959">
        <v>0.11854031268840798</v>
      </c>
      <c r="V959" t="s">
        <v>157</v>
      </c>
    </row>
    <row r="960" spans="9:22" x14ac:dyDescent="0.45">
      <c r="I960" t="s">
        <v>250</v>
      </c>
      <c r="J960" t="s">
        <v>780</v>
      </c>
      <c r="K960">
        <v>4.5281708955813536E-3</v>
      </c>
      <c r="L960" t="s">
        <v>157</v>
      </c>
      <c r="N960" t="s">
        <v>361</v>
      </c>
      <c r="O960" t="s">
        <v>780</v>
      </c>
      <c r="P960">
        <v>0.1317714093535399</v>
      </c>
      <c r="Q960" t="s">
        <v>157</v>
      </c>
      <c r="S960" t="s">
        <v>472</v>
      </c>
      <c r="T960" t="s">
        <v>780</v>
      </c>
      <c r="U960">
        <v>0.11514744617862459</v>
      </c>
      <c r="V960" t="s">
        <v>157</v>
      </c>
    </row>
    <row r="961" spans="9:22" x14ac:dyDescent="0.45">
      <c r="I961" t="s">
        <v>250</v>
      </c>
      <c r="J961" t="s">
        <v>781</v>
      </c>
      <c r="K961">
        <v>2.4353026515253447E-2</v>
      </c>
      <c r="L961" t="s">
        <v>157</v>
      </c>
      <c r="N961" t="s">
        <v>361</v>
      </c>
      <c r="O961" t="s">
        <v>781</v>
      </c>
      <c r="P961">
        <v>2.6208201338624205E-2</v>
      </c>
      <c r="Q961" t="s">
        <v>157</v>
      </c>
      <c r="S961" t="s">
        <v>472</v>
      </c>
      <c r="T961" t="s">
        <v>781</v>
      </c>
      <c r="U961">
        <v>2.0702774813599827E-2</v>
      </c>
      <c r="V961" t="s">
        <v>157</v>
      </c>
    </row>
    <row r="962" spans="9:22" x14ac:dyDescent="0.45">
      <c r="I962" t="s">
        <v>250</v>
      </c>
      <c r="J962" t="s">
        <v>782</v>
      </c>
      <c r="K962">
        <v>0.18752959263001148</v>
      </c>
      <c r="L962" t="s">
        <v>157</v>
      </c>
      <c r="N962" t="s">
        <v>361</v>
      </c>
      <c r="O962" t="s">
        <v>782</v>
      </c>
      <c r="P962">
        <v>0.10144413079256397</v>
      </c>
      <c r="Q962" t="s">
        <v>157</v>
      </c>
      <c r="S962" t="s">
        <v>472</v>
      </c>
      <c r="T962" t="s">
        <v>782</v>
      </c>
      <c r="U962">
        <v>0.11191943368316894</v>
      </c>
      <c r="V962" t="s">
        <v>157</v>
      </c>
    </row>
    <row r="963" spans="9:22" x14ac:dyDescent="0.45">
      <c r="I963" t="s">
        <v>250</v>
      </c>
      <c r="J963" t="s">
        <v>783</v>
      </c>
      <c r="K963">
        <v>0</v>
      </c>
      <c r="L963" t="s">
        <v>157</v>
      </c>
      <c r="N963" t="s">
        <v>361</v>
      </c>
      <c r="O963" t="s">
        <v>783</v>
      </c>
      <c r="P963">
        <v>9.2348290901715868E-2</v>
      </c>
      <c r="Q963" t="s">
        <v>157</v>
      </c>
      <c r="S963" t="s">
        <v>472</v>
      </c>
      <c r="T963" t="s">
        <v>783</v>
      </c>
      <c r="U963">
        <v>0.10959112299722155</v>
      </c>
      <c r="V963" t="s">
        <v>157</v>
      </c>
    </row>
    <row r="964" spans="9:22" x14ac:dyDescent="0.45">
      <c r="I964" t="s">
        <v>250</v>
      </c>
      <c r="J964" t="s">
        <v>784</v>
      </c>
      <c r="K964">
        <v>1.2972089412322387E-2</v>
      </c>
      <c r="L964" t="s">
        <v>157</v>
      </c>
      <c r="N964" t="s">
        <v>361</v>
      </c>
      <c r="O964" t="s">
        <v>784</v>
      </c>
      <c r="P964">
        <v>1.9445608986216237E-2</v>
      </c>
      <c r="Q964" t="s">
        <v>157</v>
      </c>
      <c r="S964" t="s">
        <v>472</v>
      </c>
      <c r="T964" t="s">
        <v>784</v>
      </c>
      <c r="U964">
        <v>2.0368052186322112E-2</v>
      </c>
      <c r="V964" t="s">
        <v>157</v>
      </c>
    </row>
    <row r="965" spans="9:22" x14ac:dyDescent="0.45">
      <c r="I965" t="s">
        <v>250</v>
      </c>
      <c r="J965" t="s">
        <v>785</v>
      </c>
      <c r="K965">
        <v>0.10858665879546398</v>
      </c>
      <c r="L965" t="s">
        <v>157</v>
      </c>
      <c r="N965" t="s">
        <v>361</v>
      </c>
      <c r="O965" t="s">
        <v>785</v>
      </c>
      <c r="P965">
        <v>0.12634224990469425</v>
      </c>
      <c r="Q965" t="s">
        <v>157</v>
      </c>
      <c r="S965" t="s">
        <v>472</v>
      </c>
      <c r="T965" t="s">
        <v>785</v>
      </c>
      <c r="U965">
        <v>0.11444841892105234</v>
      </c>
      <c r="V965" t="s">
        <v>157</v>
      </c>
    </row>
    <row r="966" spans="9:22" x14ac:dyDescent="0.45">
      <c r="I966" t="s">
        <v>250</v>
      </c>
      <c r="J966" t="s">
        <v>786</v>
      </c>
      <c r="K966">
        <v>0</v>
      </c>
      <c r="L966" t="s">
        <v>157</v>
      </c>
      <c r="N966" t="s">
        <v>361</v>
      </c>
      <c r="O966" t="s">
        <v>786</v>
      </c>
      <c r="P966">
        <v>0.12115570530259746</v>
      </c>
      <c r="Q966" t="s">
        <v>157</v>
      </c>
      <c r="S966" t="s">
        <v>472</v>
      </c>
      <c r="T966" t="s">
        <v>786</v>
      </c>
      <c r="U966">
        <v>0.11585813943207086</v>
      </c>
      <c r="V966" t="s">
        <v>157</v>
      </c>
    </row>
    <row r="967" spans="9:22" x14ac:dyDescent="0.45">
      <c r="I967" t="s">
        <v>250</v>
      </c>
      <c r="J967" t="s">
        <v>787</v>
      </c>
      <c r="K967">
        <v>2.2525835929790724E-3</v>
      </c>
      <c r="L967" t="s">
        <v>157</v>
      </c>
      <c r="N967" t="s">
        <v>361</v>
      </c>
      <c r="O967" t="s">
        <v>787</v>
      </c>
      <c r="P967">
        <v>2.2235803187316688E-2</v>
      </c>
      <c r="Q967" t="s">
        <v>157</v>
      </c>
      <c r="S967" t="s">
        <v>472</v>
      </c>
      <c r="T967" t="s">
        <v>787</v>
      </c>
      <c r="U967">
        <v>1.9984142417572612E-2</v>
      </c>
      <c r="V967" t="s">
        <v>157</v>
      </c>
    </row>
    <row r="968" spans="9:22" x14ac:dyDescent="0.45">
      <c r="I968" t="s">
        <v>250</v>
      </c>
      <c r="J968" t="s">
        <v>788</v>
      </c>
      <c r="K968">
        <v>0.3373348972189571</v>
      </c>
      <c r="L968" t="s">
        <v>157</v>
      </c>
      <c r="N968" t="s">
        <v>361</v>
      </c>
      <c r="O968" t="s">
        <v>788</v>
      </c>
      <c r="P968">
        <v>0.10645972093234898</v>
      </c>
      <c r="Q968" t="s">
        <v>157</v>
      </c>
      <c r="S968" t="s">
        <v>472</v>
      </c>
      <c r="T968" t="s">
        <v>788</v>
      </c>
      <c r="U968">
        <v>0.1159558338900008</v>
      </c>
      <c r="V968" t="s">
        <v>157</v>
      </c>
    </row>
    <row r="969" spans="9:22" x14ac:dyDescent="0.45">
      <c r="I969" t="s">
        <v>250</v>
      </c>
      <c r="J969" t="s">
        <v>789</v>
      </c>
      <c r="K969">
        <v>1.358942348708056E-2</v>
      </c>
      <c r="L969" t="s">
        <v>157</v>
      </c>
      <c r="N969" t="s">
        <v>361</v>
      </c>
      <c r="O969" t="s">
        <v>789</v>
      </c>
      <c r="P969">
        <v>9.3866879578948778E-2</v>
      </c>
      <c r="Q969" t="s">
        <v>157</v>
      </c>
      <c r="S969" t="s">
        <v>472</v>
      </c>
      <c r="T969" t="s">
        <v>789</v>
      </c>
      <c r="U969">
        <v>0.1161350625429573</v>
      </c>
      <c r="V969" t="s">
        <v>157</v>
      </c>
    </row>
    <row r="970" spans="9:22" x14ac:dyDescent="0.45">
      <c r="I970" t="s">
        <v>250</v>
      </c>
      <c r="J970" t="s">
        <v>790</v>
      </c>
      <c r="K970">
        <v>4.7702350063501854E-2</v>
      </c>
      <c r="L970" t="s">
        <v>157</v>
      </c>
      <c r="N970" t="s">
        <v>361</v>
      </c>
      <c r="O970" t="s">
        <v>790</v>
      </c>
      <c r="P970">
        <v>2.040683300544666E-2</v>
      </c>
      <c r="Q970" t="s">
        <v>157</v>
      </c>
      <c r="S970" t="s">
        <v>472</v>
      </c>
      <c r="T970" t="s">
        <v>790</v>
      </c>
      <c r="U970">
        <v>2.1349260249001051E-2</v>
      </c>
      <c r="V970" t="s">
        <v>157</v>
      </c>
    </row>
    <row r="971" spans="9:22" x14ac:dyDescent="0.45">
      <c r="I971" t="s">
        <v>251</v>
      </c>
      <c r="J971" t="s">
        <v>779</v>
      </c>
      <c r="K971">
        <v>0.26336733659723793</v>
      </c>
      <c r="L971" t="s">
        <v>157</v>
      </c>
      <c r="N971" t="s">
        <v>362</v>
      </c>
      <c r="O971" t="s">
        <v>779</v>
      </c>
      <c r="P971">
        <v>0.13315909831950379</v>
      </c>
      <c r="Q971" t="s">
        <v>157</v>
      </c>
      <c r="S971" t="s">
        <v>473</v>
      </c>
      <c r="T971" t="s">
        <v>779</v>
      </c>
      <c r="U971">
        <v>0.11842550597871429</v>
      </c>
      <c r="V971" t="s">
        <v>157</v>
      </c>
    </row>
    <row r="972" spans="9:22" x14ac:dyDescent="0.45">
      <c r="I972" t="s">
        <v>251</v>
      </c>
      <c r="J972" t="s">
        <v>780</v>
      </c>
      <c r="K972">
        <v>4.7457804579651422E-3</v>
      </c>
      <c r="L972" t="s">
        <v>157</v>
      </c>
      <c r="N972" t="s">
        <v>362</v>
      </c>
      <c r="O972" t="s">
        <v>780</v>
      </c>
      <c r="P972">
        <v>0.13431036928133669</v>
      </c>
      <c r="Q972" t="s">
        <v>157</v>
      </c>
      <c r="S972" t="s">
        <v>473</v>
      </c>
      <c r="T972" t="s">
        <v>780</v>
      </c>
      <c r="U972">
        <v>0.11661922125097042</v>
      </c>
      <c r="V972" t="s">
        <v>157</v>
      </c>
    </row>
    <row r="973" spans="9:22" x14ac:dyDescent="0.45">
      <c r="I973" t="s">
        <v>251</v>
      </c>
      <c r="J973" t="s">
        <v>781</v>
      </c>
      <c r="K973">
        <v>2.372332595889658E-2</v>
      </c>
      <c r="L973" t="s">
        <v>157</v>
      </c>
      <c r="N973" t="s">
        <v>362</v>
      </c>
      <c r="O973" t="s">
        <v>781</v>
      </c>
      <c r="P973">
        <v>2.5016994655493938E-2</v>
      </c>
      <c r="Q973" t="s">
        <v>157</v>
      </c>
      <c r="S973" t="s">
        <v>473</v>
      </c>
      <c r="T973" t="s">
        <v>781</v>
      </c>
      <c r="U973">
        <v>2.0869127336368868E-2</v>
      </c>
      <c r="V973" t="s">
        <v>157</v>
      </c>
    </row>
    <row r="974" spans="9:22" x14ac:dyDescent="0.45">
      <c r="I974" t="s">
        <v>251</v>
      </c>
      <c r="J974" t="s">
        <v>782</v>
      </c>
      <c r="K974">
        <v>0.18889928294592384</v>
      </c>
      <c r="L974" t="s">
        <v>157</v>
      </c>
      <c r="N974" t="s">
        <v>362</v>
      </c>
      <c r="O974" t="s">
        <v>782</v>
      </c>
      <c r="P974">
        <v>9.9369397265587342E-2</v>
      </c>
      <c r="Q974" t="s">
        <v>157</v>
      </c>
      <c r="S974" t="s">
        <v>473</v>
      </c>
      <c r="T974" t="s">
        <v>782</v>
      </c>
      <c r="U974">
        <v>0.11135011430735461</v>
      </c>
      <c r="V974" t="s">
        <v>157</v>
      </c>
    </row>
    <row r="975" spans="9:22" x14ac:dyDescent="0.45">
      <c r="I975" t="s">
        <v>251</v>
      </c>
      <c r="J975" t="s">
        <v>783</v>
      </c>
      <c r="K975">
        <v>0</v>
      </c>
      <c r="L975" t="s">
        <v>157</v>
      </c>
      <c r="N975" t="s">
        <v>362</v>
      </c>
      <c r="O975" t="s">
        <v>783</v>
      </c>
      <c r="P975">
        <v>0.10197794473034383</v>
      </c>
      <c r="Q975" t="s">
        <v>157</v>
      </c>
      <c r="S975" t="s">
        <v>473</v>
      </c>
      <c r="T975" t="s">
        <v>783</v>
      </c>
      <c r="U975">
        <v>0.10910489444541176</v>
      </c>
      <c r="V975" t="s">
        <v>157</v>
      </c>
    </row>
    <row r="976" spans="9:22" x14ac:dyDescent="0.45">
      <c r="I976" t="s">
        <v>251</v>
      </c>
      <c r="J976" t="s">
        <v>784</v>
      </c>
      <c r="K976">
        <v>1.2924389003441781E-2</v>
      </c>
      <c r="L976" t="s">
        <v>157</v>
      </c>
      <c r="N976" t="s">
        <v>362</v>
      </c>
      <c r="O976" t="s">
        <v>784</v>
      </c>
      <c r="P976">
        <v>2.0706574620843913E-2</v>
      </c>
      <c r="Q976" t="s">
        <v>157</v>
      </c>
      <c r="S976" t="s">
        <v>473</v>
      </c>
      <c r="T976" t="s">
        <v>784</v>
      </c>
      <c r="U976">
        <v>2.0548498768160388E-2</v>
      </c>
      <c r="V976" t="s">
        <v>157</v>
      </c>
    </row>
    <row r="977" spans="9:22" x14ac:dyDescent="0.45">
      <c r="I977" t="s">
        <v>251</v>
      </c>
      <c r="J977" t="s">
        <v>785</v>
      </c>
      <c r="K977">
        <v>0.10941181930857669</v>
      </c>
      <c r="L977" t="s">
        <v>157</v>
      </c>
      <c r="N977" t="s">
        <v>362</v>
      </c>
      <c r="O977" t="s">
        <v>785</v>
      </c>
      <c r="P977">
        <v>0.12419727099932683</v>
      </c>
      <c r="Q977" t="s">
        <v>157</v>
      </c>
      <c r="S977" t="s">
        <v>473</v>
      </c>
      <c r="T977" t="s">
        <v>785</v>
      </c>
      <c r="U977">
        <v>0.11439371608854794</v>
      </c>
      <c r="V977" t="s">
        <v>157</v>
      </c>
    </row>
    <row r="978" spans="9:22" x14ac:dyDescent="0.45">
      <c r="I978" t="s">
        <v>251</v>
      </c>
      <c r="J978" t="s">
        <v>786</v>
      </c>
      <c r="K978">
        <v>0</v>
      </c>
      <c r="L978" t="s">
        <v>157</v>
      </c>
      <c r="N978" t="s">
        <v>362</v>
      </c>
      <c r="O978" t="s">
        <v>786</v>
      </c>
      <c r="P978">
        <v>0.12116634673037265</v>
      </c>
      <c r="Q978" t="s">
        <v>157</v>
      </c>
      <c r="S978" t="s">
        <v>473</v>
      </c>
      <c r="T978" t="s">
        <v>786</v>
      </c>
      <c r="U978">
        <v>0.115690942591746</v>
      </c>
      <c r="V978" t="s">
        <v>157</v>
      </c>
    </row>
    <row r="979" spans="9:22" x14ac:dyDescent="0.45">
      <c r="I979" t="s">
        <v>251</v>
      </c>
      <c r="J979" t="s">
        <v>787</v>
      </c>
      <c r="K979">
        <v>2.3959554055253151E-3</v>
      </c>
      <c r="L979" t="s">
        <v>157</v>
      </c>
      <c r="N979" t="s">
        <v>362</v>
      </c>
      <c r="O979" t="s">
        <v>787</v>
      </c>
      <c r="P979">
        <v>2.207317977344744E-2</v>
      </c>
      <c r="Q979" t="s">
        <v>157</v>
      </c>
      <c r="S979" t="s">
        <v>473</v>
      </c>
      <c r="T979" t="s">
        <v>787</v>
      </c>
      <c r="U979">
        <v>2.0067108072837229E-2</v>
      </c>
      <c r="V979" t="s">
        <v>157</v>
      </c>
    </row>
    <row r="980" spans="9:22" x14ac:dyDescent="0.45">
      <c r="I980" t="s">
        <v>251</v>
      </c>
      <c r="J980" t="s">
        <v>788</v>
      </c>
      <c r="K980">
        <v>0.33488891906958246</v>
      </c>
      <c r="L980" t="s">
        <v>157</v>
      </c>
      <c r="N980" t="s">
        <v>362</v>
      </c>
      <c r="O980" t="s">
        <v>788</v>
      </c>
      <c r="P980">
        <v>0.10133969562856818</v>
      </c>
      <c r="Q980" t="s">
        <v>157</v>
      </c>
      <c r="S980" t="s">
        <v>473</v>
      </c>
      <c r="T980" t="s">
        <v>788</v>
      </c>
      <c r="U980">
        <v>0.11629603347006989</v>
      </c>
      <c r="V980" t="s">
        <v>157</v>
      </c>
    </row>
    <row r="981" spans="9:22" x14ac:dyDescent="0.45">
      <c r="I981" t="s">
        <v>251</v>
      </c>
      <c r="J981" t="s">
        <v>789</v>
      </c>
      <c r="K981">
        <v>1.2683636674681854E-2</v>
      </c>
      <c r="L981" t="s">
        <v>157</v>
      </c>
      <c r="N981" t="s">
        <v>362</v>
      </c>
      <c r="O981" t="s">
        <v>789</v>
      </c>
      <c r="P981">
        <v>9.5953071518974364E-2</v>
      </c>
      <c r="Q981" t="s">
        <v>157</v>
      </c>
      <c r="S981" t="s">
        <v>473</v>
      </c>
      <c r="T981" t="s">
        <v>789</v>
      </c>
      <c r="U981">
        <v>0.11581661131405918</v>
      </c>
      <c r="V981" t="s">
        <v>157</v>
      </c>
    </row>
    <row r="982" spans="9:22" x14ac:dyDescent="0.45">
      <c r="I982" t="s">
        <v>251</v>
      </c>
      <c r="J982" t="s">
        <v>790</v>
      </c>
      <c r="K982">
        <v>4.6959554578168382E-2</v>
      </c>
      <c r="L982" t="s">
        <v>157</v>
      </c>
      <c r="N982" t="s">
        <v>362</v>
      </c>
      <c r="O982" t="s">
        <v>790</v>
      </c>
      <c r="P982">
        <v>2.0730056476200999E-2</v>
      </c>
      <c r="Q982" t="s">
        <v>157</v>
      </c>
      <c r="S982" t="s">
        <v>473</v>
      </c>
      <c r="T982" t="s">
        <v>790</v>
      </c>
      <c r="U982">
        <v>2.0818226375759447E-2</v>
      </c>
      <c r="V982" t="s">
        <v>157</v>
      </c>
    </row>
    <row r="983" spans="9:22" x14ac:dyDescent="0.45">
      <c r="I983" t="s">
        <v>252</v>
      </c>
      <c r="J983" t="s">
        <v>779</v>
      </c>
      <c r="K983">
        <v>0.27091290630057258</v>
      </c>
      <c r="L983" t="s">
        <v>157</v>
      </c>
      <c r="N983" t="s">
        <v>363</v>
      </c>
      <c r="O983" t="s">
        <v>779</v>
      </c>
      <c r="P983">
        <v>0.13152586190239685</v>
      </c>
      <c r="Q983" t="s">
        <v>157</v>
      </c>
      <c r="S983" t="s">
        <v>474</v>
      </c>
      <c r="T983" t="s">
        <v>779</v>
      </c>
      <c r="U983">
        <v>0.11790219718850665</v>
      </c>
      <c r="V983" t="s">
        <v>157</v>
      </c>
    </row>
    <row r="984" spans="9:22" x14ac:dyDescent="0.45">
      <c r="I984" t="s">
        <v>252</v>
      </c>
      <c r="J984" t="s">
        <v>780</v>
      </c>
      <c r="K984">
        <v>4.3965894509185241E-3</v>
      </c>
      <c r="L984" t="s">
        <v>157</v>
      </c>
      <c r="N984" t="s">
        <v>363</v>
      </c>
      <c r="O984" t="s">
        <v>780</v>
      </c>
      <c r="P984">
        <v>0.13439933722541134</v>
      </c>
      <c r="Q984" t="s">
        <v>157</v>
      </c>
      <c r="S984" t="s">
        <v>474</v>
      </c>
      <c r="T984" t="s">
        <v>780</v>
      </c>
      <c r="U984">
        <v>0.1172089944748321</v>
      </c>
      <c r="V984" t="s">
        <v>157</v>
      </c>
    </row>
    <row r="985" spans="9:22" x14ac:dyDescent="0.45">
      <c r="I985" t="s">
        <v>252</v>
      </c>
      <c r="J985" t="s">
        <v>781</v>
      </c>
      <c r="K985">
        <v>2.1204067387559321E-2</v>
      </c>
      <c r="L985" t="s">
        <v>157</v>
      </c>
      <c r="N985" t="s">
        <v>363</v>
      </c>
      <c r="O985" t="s">
        <v>781</v>
      </c>
      <c r="P985">
        <v>2.3985298747895317E-2</v>
      </c>
      <c r="Q985" t="s">
        <v>157</v>
      </c>
      <c r="S985" t="s">
        <v>474</v>
      </c>
      <c r="T985" t="s">
        <v>781</v>
      </c>
      <c r="U985">
        <v>2.0800956800943179E-2</v>
      </c>
      <c r="V985" t="s">
        <v>157</v>
      </c>
    </row>
    <row r="986" spans="9:22" x14ac:dyDescent="0.45">
      <c r="I986" t="s">
        <v>252</v>
      </c>
      <c r="J986" t="s">
        <v>782</v>
      </c>
      <c r="K986">
        <v>0.1925006287205546</v>
      </c>
      <c r="L986" t="s">
        <v>157</v>
      </c>
      <c r="N986" t="s">
        <v>363</v>
      </c>
      <c r="O986" t="s">
        <v>782</v>
      </c>
      <c r="P986">
        <v>9.2613815912950107E-2</v>
      </c>
      <c r="Q986" t="s">
        <v>157</v>
      </c>
      <c r="S986" t="s">
        <v>474</v>
      </c>
      <c r="T986" t="s">
        <v>782</v>
      </c>
      <c r="U986">
        <v>0.10998277009078639</v>
      </c>
      <c r="V986" t="s">
        <v>157</v>
      </c>
    </row>
    <row r="987" spans="9:22" x14ac:dyDescent="0.45">
      <c r="I987" t="s">
        <v>252</v>
      </c>
      <c r="J987" t="s">
        <v>783</v>
      </c>
      <c r="K987">
        <v>0</v>
      </c>
      <c r="L987" t="s">
        <v>157</v>
      </c>
      <c r="N987" t="s">
        <v>363</v>
      </c>
      <c r="O987" t="s">
        <v>783</v>
      </c>
      <c r="P987">
        <v>0.1053365936226521</v>
      </c>
      <c r="Q987" t="s">
        <v>157</v>
      </c>
      <c r="S987" t="s">
        <v>474</v>
      </c>
      <c r="T987" t="s">
        <v>783</v>
      </c>
      <c r="U987">
        <v>0.10835208967673385</v>
      </c>
      <c r="V987" t="s">
        <v>157</v>
      </c>
    </row>
    <row r="988" spans="9:22" x14ac:dyDescent="0.45">
      <c r="I988" t="s">
        <v>252</v>
      </c>
      <c r="J988" t="s">
        <v>784</v>
      </c>
      <c r="K988">
        <v>1.268555346360202E-2</v>
      </c>
      <c r="L988" t="s">
        <v>157</v>
      </c>
      <c r="N988" t="s">
        <v>363</v>
      </c>
      <c r="O988" t="s">
        <v>784</v>
      </c>
      <c r="P988">
        <v>2.0171459343018897E-2</v>
      </c>
      <c r="Q988" t="s">
        <v>157</v>
      </c>
      <c r="S988" t="s">
        <v>474</v>
      </c>
      <c r="T988" t="s">
        <v>784</v>
      </c>
      <c r="U988">
        <v>2.0782025754846507E-2</v>
      </c>
      <c r="V988" t="s">
        <v>157</v>
      </c>
    </row>
    <row r="989" spans="9:22" x14ac:dyDescent="0.45">
      <c r="I989" t="s">
        <v>252</v>
      </c>
      <c r="J989" t="s">
        <v>785</v>
      </c>
      <c r="K989">
        <v>0.11668672435996721</v>
      </c>
      <c r="L989" t="s">
        <v>157</v>
      </c>
      <c r="N989" t="s">
        <v>363</v>
      </c>
      <c r="O989" t="s">
        <v>785</v>
      </c>
      <c r="P989">
        <v>0.12027516799126498</v>
      </c>
      <c r="Q989" t="s">
        <v>157</v>
      </c>
      <c r="S989" t="s">
        <v>474</v>
      </c>
      <c r="T989" t="s">
        <v>785</v>
      </c>
      <c r="U989">
        <v>0.11558757015350085</v>
      </c>
      <c r="V989" t="s">
        <v>157</v>
      </c>
    </row>
    <row r="990" spans="9:22" x14ac:dyDescent="0.45">
      <c r="I990" t="s">
        <v>252</v>
      </c>
      <c r="J990" t="s">
        <v>786</v>
      </c>
      <c r="K990">
        <v>0</v>
      </c>
      <c r="L990" t="s">
        <v>157</v>
      </c>
      <c r="N990" t="s">
        <v>363</v>
      </c>
      <c r="O990" t="s">
        <v>786</v>
      </c>
      <c r="P990">
        <v>0.13222221403211126</v>
      </c>
      <c r="Q990" t="s">
        <v>157</v>
      </c>
      <c r="S990" t="s">
        <v>474</v>
      </c>
      <c r="T990" t="s">
        <v>786</v>
      </c>
      <c r="U990">
        <v>0.11504218583560286</v>
      </c>
      <c r="V990" t="s">
        <v>157</v>
      </c>
    </row>
    <row r="991" spans="9:22" x14ac:dyDescent="0.45">
      <c r="I991" t="s">
        <v>252</v>
      </c>
      <c r="J991" t="s">
        <v>787</v>
      </c>
      <c r="K991">
        <v>2.9106378919676055E-3</v>
      </c>
      <c r="L991" t="s">
        <v>157</v>
      </c>
      <c r="N991" t="s">
        <v>363</v>
      </c>
      <c r="O991" t="s">
        <v>787</v>
      </c>
      <c r="P991">
        <v>2.2327258688232699E-2</v>
      </c>
      <c r="Q991" t="s">
        <v>157</v>
      </c>
      <c r="S991" t="s">
        <v>474</v>
      </c>
      <c r="T991" t="s">
        <v>787</v>
      </c>
      <c r="U991">
        <v>2.0322052687206084E-2</v>
      </c>
      <c r="V991" t="s">
        <v>157</v>
      </c>
    </row>
    <row r="992" spans="9:22" x14ac:dyDescent="0.45">
      <c r="I992" t="s">
        <v>252</v>
      </c>
      <c r="J992" t="s">
        <v>788</v>
      </c>
      <c r="K992">
        <v>0.32575046252570861</v>
      </c>
      <c r="L992" t="s">
        <v>157</v>
      </c>
      <c r="N992" t="s">
        <v>363</v>
      </c>
      <c r="O992" t="s">
        <v>788</v>
      </c>
      <c r="P992">
        <v>9.9098097193532575E-2</v>
      </c>
      <c r="Q992" t="s">
        <v>157</v>
      </c>
      <c r="S992" t="s">
        <v>474</v>
      </c>
      <c r="T992" t="s">
        <v>788</v>
      </c>
      <c r="U992">
        <v>0.11791651833977934</v>
      </c>
      <c r="V992" t="s">
        <v>157</v>
      </c>
    </row>
    <row r="993" spans="9:22" x14ac:dyDescent="0.45">
      <c r="I993" t="s">
        <v>252</v>
      </c>
      <c r="J993" t="s">
        <v>789</v>
      </c>
      <c r="K993">
        <v>1.0142611356648503E-2</v>
      </c>
      <c r="L993" t="s">
        <v>157</v>
      </c>
      <c r="N993" t="s">
        <v>363</v>
      </c>
      <c r="O993" t="s">
        <v>789</v>
      </c>
      <c r="P993">
        <v>9.7235346865003056E-2</v>
      </c>
      <c r="Q993" t="s">
        <v>157</v>
      </c>
      <c r="S993" t="s">
        <v>474</v>
      </c>
      <c r="T993" t="s">
        <v>789</v>
      </c>
      <c r="U993">
        <v>0.11539871443585209</v>
      </c>
      <c r="V993" t="s">
        <v>157</v>
      </c>
    </row>
    <row r="994" spans="9:22" x14ac:dyDescent="0.45">
      <c r="I994" t="s">
        <v>252</v>
      </c>
      <c r="J994" t="s">
        <v>790</v>
      </c>
      <c r="K994">
        <v>4.2809818542501057E-2</v>
      </c>
      <c r="L994" t="s">
        <v>157</v>
      </c>
      <c r="N994" t="s">
        <v>363</v>
      </c>
      <c r="O994" t="s">
        <v>790</v>
      </c>
      <c r="P994">
        <v>2.0809548475530751E-2</v>
      </c>
      <c r="Q994" t="s">
        <v>157</v>
      </c>
      <c r="S994" t="s">
        <v>474</v>
      </c>
      <c r="T994" t="s">
        <v>790</v>
      </c>
      <c r="U994">
        <v>2.0703924561410056E-2</v>
      </c>
      <c r="V994" t="s">
        <v>157</v>
      </c>
    </row>
    <row r="995" spans="9:22" x14ac:dyDescent="0.45">
      <c r="I995" t="s">
        <v>253</v>
      </c>
      <c r="J995" t="s">
        <v>779</v>
      </c>
      <c r="K995">
        <v>0.27350087160219599</v>
      </c>
      <c r="L995" t="s">
        <v>157</v>
      </c>
      <c r="N995" t="s">
        <v>364</v>
      </c>
      <c r="O995" t="s">
        <v>779</v>
      </c>
      <c r="P995">
        <v>0.13370214043237458</v>
      </c>
      <c r="Q995" t="s">
        <v>157</v>
      </c>
      <c r="S995" t="s">
        <v>475</v>
      </c>
      <c r="T995" t="s">
        <v>779</v>
      </c>
      <c r="U995">
        <v>0.11670749201051933</v>
      </c>
      <c r="V995" t="s">
        <v>157</v>
      </c>
    </row>
    <row r="996" spans="9:22" x14ac:dyDescent="0.45">
      <c r="I996" t="s">
        <v>253</v>
      </c>
      <c r="J996" t="s">
        <v>780</v>
      </c>
      <c r="K996">
        <v>4.3873557227165688E-3</v>
      </c>
      <c r="L996" t="s">
        <v>157</v>
      </c>
      <c r="N996" t="s">
        <v>364</v>
      </c>
      <c r="O996" t="s">
        <v>780</v>
      </c>
      <c r="P996">
        <v>0.13013125151339197</v>
      </c>
      <c r="Q996" t="s">
        <v>157</v>
      </c>
      <c r="S996" t="s">
        <v>475</v>
      </c>
      <c r="T996" t="s">
        <v>780</v>
      </c>
      <c r="U996">
        <v>0.1167768773605789</v>
      </c>
      <c r="V996" t="s">
        <v>157</v>
      </c>
    </row>
    <row r="997" spans="9:22" x14ac:dyDescent="0.45">
      <c r="I997" t="s">
        <v>253</v>
      </c>
      <c r="J997" t="s">
        <v>781</v>
      </c>
      <c r="K997">
        <v>2.1114467540106291E-2</v>
      </c>
      <c r="L997" t="s">
        <v>157</v>
      </c>
      <c r="N997" t="s">
        <v>364</v>
      </c>
      <c r="O997" t="s">
        <v>781</v>
      </c>
      <c r="P997">
        <v>2.3739851418404744E-2</v>
      </c>
      <c r="Q997" t="s">
        <v>157</v>
      </c>
      <c r="S997" t="s">
        <v>475</v>
      </c>
      <c r="T997" t="s">
        <v>781</v>
      </c>
      <c r="U997">
        <v>2.0848176059656252E-2</v>
      </c>
      <c r="V997" t="s">
        <v>157</v>
      </c>
    </row>
    <row r="998" spans="9:22" x14ac:dyDescent="0.45">
      <c r="I998" t="s">
        <v>253</v>
      </c>
      <c r="J998" t="s">
        <v>782</v>
      </c>
      <c r="K998">
        <v>0.19213262143299609</v>
      </c>
      <c r="L998" t="s">
        <v>157</v>
      </c>
      <c r="N998" t="s">
        <v>364</v>
      </c>
      <c r="O998" t="s">
        <v>782</v>
      </c>
      <c r="P998">
        <v>9.2040459859547688E-2</v>
      </c>
      <c r="Q998" t="s">
        <v>157</v>
      </c>
      <c r="S998" t="s">
        <v>475</v>
      </c>
      <c r="T998" t="s">
        <v>782</v>
      </c>
      <c r="U998">
        <v>0.10894098046709831</v>
      </c>
      <c r="V998" t="s">
        <v>157</v>
      </c>
    </row>
    <row r="999" spans="9:22" x14ac:dyDescent="0.45">
      <c r="I999" t="s">
        <v>253</v>
      </c>
      <c r="J999" t="s">
        <v>783</v>
      </c>
      <c r="K999">
        <v>0</v>
      </c>
      <c r="L999" t="s">
        <v>157</v>
      </c>
      <c r="N999" t="s">
        <v>364</v>
      </c>
      <c r="O999" t="s">
        <v>783</v>
      </c>
      <c r="P999">
        <v>0.10400602521067057</v>
      </c>
      <c r="Q999" t="s">
        <v>157</v>
      </c>
      <c r="S999" t="s">
        <v>475</v>
      </c>
      <c r="T999" t="s">
        <v>783</v>
      </c>
      <c r="U999">
        <v>0.10790927829452392</v>
      </c>
      <c r="V999" t="s">
        <v>157</v>
      </c>
    </row>
    <row r="1000" spans="9:22" x14ac:dyDescent="0.45">
      <c r="I1000" t="s">
        <v>253</v>
      </c>
      <c r="J1000" t="s">
        <v>784</v>
      </c>
      <c r="K1000">
        <v>1.2759331144536167E-2</v>
      </c>
      <c r="L1000" t="s">
        <v>157</v>
      </c>
      <c r="N1000" t="s">
        <v>364</v>
      </c>
      <c r="O1000" t="s">
        <v>784</v>
      </c>
      <c r="P1000">
        <v>2.0123453076965413E-2</v>
      </c>
      <c r="Q1000" t="s">
        <v>157</v>
      </c>
      <c r="S1000" t="s">
        <v>475</v>
      </c>
      <c r="T1000" t="s">
        <v>784</v>
      </c>
      <c r="U1000">
        <v>2.0779169153565084E-2</v>
      </c>
      <c r="V1000" t="s">
        <v>157</v>
      </c>
    </row>
    <row r="1001" spans="9:22" x14ac:dyDescent="0.45">
      <c r="I1001" t="s">
        <v>253</v>
      </c>
      <c r="J1001" t="s">
        <v>785</v>
      </c>
      <c r="K1001">
        <v>0.11857179991801353</v>
      </c>
      <c r="L1001" t="s">
        <v>157</v>
      </c>
      <c r="N1001" t="s">
        <v>364</v>
      </c>
      <c r="O1001" t="s">
        <v>785</v>
      </c>
      <c r="P1001">
        <v>0.12073774420793566</v>
      </c>
      <c r="Q1001" t="s">
        <v>157</v>
      </c>
      <c r="S1001" t="s">
        <v>475</v>
      </c>
      <c r="T1001" t="s">
        <v>785</v>
      </c>
      <c r="U1001">
        <v>0.1165101086230162</v>
      </c>
      <c r="V1001" t="s">
        <v>157</v>
      </c>
    </row>
    <row r="1002" spans="9:22" x14ac:dyDescent="0.45">
      <c r="I1002" t="s">
        <v>253</v>
      </c>
      <c r="J1002" t="s">
        <v>786</v>
      </c>
      <c r="K1002">
        <v>0</v>
      </c>
      <c r="L1002" t="s">
        <v>157</v>
      </c>
      <c r="N1002" t="s">
        <v>364</v>
      </c>
      <c r="O1002" t="s">
        <v>786</v>
      </c>
      <c r="P1002">
        <v>0.12999043854056155</v>
      </c>
      <c r="Q1002" t="s">
        <v>157</v>
      </c>
      <c r="S1002" t="s">
        <v>475</v>
      </c>
      <c r="T1002" t="s">
        <v>786</v>
      </c>
      <c r="U1002">
        <v>0.11466396851564327</v>
      </c>
      <c r="V1002" t="s">
        <v>157</v>
      </c>
    </row>
    <row r="1003" spans="9:22" x14ac:dyDescent="0.45">
      <c r="I1003" t="s">
        <v>253</v>
      </c>
      <c r="J1003" t="s">
        <v>787</v>
      </c>
      <c r="K1003">
        <v>3.1781936517761636E-3</v>
      </c>
      <c r="L1003" t="s">
        <v>157</v>
      </c>
      <c r="N1003" t="s">
        <v>364</v>
      </c>
      <c r="O1003" t="s">
        <v>787</v>
      </c>
      <c r="P1003">
        <v>2.2074996111072408E-2</v>
      </c>
      <c r="Q1003" t="s">
        <v>157</v>
      </c>
      <c r="S1003" t="s">
        <v>475</v>
      </c>
      <c r="T1003" t="s">
        <v>787</v>
      </c>
      <c r="U1003">
        <v>2.0587465840667101E-2</v>
      </c>
      <c r="V1003" t="s">
        <v>157</v>
      </c>
    </row>
    <row r="1004" spans="9:22" x14ac:dyDescent="0.45">
      <c r="I1004" t="s">
        <v>253</v>
      </c>
      <c r="J1004" t="s">
        <v>788</v>
      </c>
      <c r="K1004">
        <v>0.32312393251028593</v>
      </c>
      <c r="L1004" t="s">
        <v>157</v>
      </c>
      <c r="N1004" t="s">
        <v>364</v>
      </c>
      <c r="O1004" t="s">
        <v>788</v>
      </c>
      <c r="P1004">
        <v>0.10410152308914415</v>
      </c>
      <c r="Q1004" t="s">
        <v>157</v>
      </c>
      <c r="S1004" t="s">
        <v>475</v>
      </c>
      <c r="T1004" t="s">
        <v>788</v>
      </c>
      <c r="U1004">
        <v>0.11946051739125016</v>
      </c>
      <c r="V1004" t="s">
        <v>157</v>
      </c>
    </row>
    <row r="1005" spans="9:22" x14ac:dyDescent="0.45">
      <c r="I1005" t="s">
        <v>253</v>
      </c>
      <c r="J1005" t="s">
        <v>789</v>
      </c>
      <c r="K1005">
        <v>9.7549971265538556E-3</v>
      </c>
      <c r="L1005" t="s">
        <v>157</v>
      </c>
      <c r="N1005" t="s">
        <v>364</v>
      </c>
      <c r="O1005" t="s">
        <v>789</v>
      </c>
      <c r="P1005">
        <v>9.8140267952179006E-2</v>
      </c>
      <c r="Q1005" t="s">
        <v>157</v>
      </c>
      <c r="S1005" t="s">
        <v>475</v>
      </c>
      <c r="T1005" t="s">
        <v>789</v>
      </c>
      <c r="U1005">
        <v>0.11592774750204177</v>
      </c>
      <c r="V1005" t="s">
        <v>157</v>
      </c>
    </row>
    <row r="1006" spans="9:22" x14ac:dyDescent="0.45">
      <c r="I1006" t="s">
        <v>253</v>
      </c>
      <c r="J1006" t="s">
        <v>790</v>
      </c>
      <c r="K1006">
        <v>4.1476429350819473E-2</v>
      </c>
      <c r="L1006" t="s">
        <v>157</v>
      </c>
      <c r="N1006" t="s">
        <v>364</v>
      </c>
      <c r="O1006" t="s">
        <v>790</v>
      </c>
      <c r="P1006">
        <v>2.1211848587752314E-2</v>
      </c>
      <c r="Q1006" t="s">
        <v>157</v>
      </c>
      <c r="S1006" t="s">
        <v>475</v>
      </c>
      <c r="T1006" t="s">
        <v>790</v>
      </c>
      <c r="U1006">
        <v>2.0888218781439708E-2</v>
      </c>
      <c r="V1006" t="s">
        <v>157</v>
      </c>
    </row>
    <row r="1007" spans="9:22" x14ac:dyDescent="0.45">
      <c r="I1007" t="s">
        <v>254</v>
      </c>
      <c r="J1007" t="s">
        <v>779</v>
      </c>
      <c r="K1007">
        <v>0.27565647182388597</v>
      </c>
      <c r="L1007" t="s">
        <v>157</v>
      </c>
      <c r="N1007" t="s">
        <v>365</v>
      </c>
      <c r="O1007" t="s">
        <v>779</v>
      </c>
      <c r="P1007">
        <v>0.13587478896768321</v>
      </c>
      <c r="Q1007" t="s">
        <v>157</v>
      </c>
      <c r="S1007" t="s">
        <v>476</v>
      </c>
      <c r="T1007" t="s">
        <v>779</v>
      </c>
      <c r="U1007">
        <v>0.1154945867531013</v>
      </c>
      <c r="V1007" t="s">
        <v>157</v>
      </c>
    </row>
    <row r="1008" spans="9:22" x14ac:dyDescent="0.45">
      <c r="I1008" t="s">
        <v>254</v>
      </c>
      <c r="J1008" t="s">
        <v>780</v>
      </c>
      <c r="K1008">
        <v>4.2967076647713086E-3</v>
      </c>
      <c r="L1008" t="s">
        <v>157</v>
      </c>
      <c r="N1008" t="s">
        <v>365</v>
      </c>
      <c r="O1008" t="s">
        <v>780</v>
      </c>
      <c r="P1008">
        <v>0.12571965052509174</v>
      </c>
      <c r="Q1008" t="s">
        <v>157</v>
      </c>
      <c r="S1008" t="s">
        <v>476</v>
      </c>
      <c r="T1008" t="s">
        <v>780</v>
      </c>
      <c r="U1008">
        <v>0.11536141530743631</v>
      </c>
      <c r="V1008" t="s">
        <v>157</v>
      </c>
    </row>
    <row r="1009" spans="9:22" x14ac:dyDescent="0.45">
      <c r="I1009" t="s">
        <v>254</v>
      </c>
      <c r="J1009" t="s">
        <v>781</v>
      </c>
      <c r="K1009">
        <v>2.1326812447476771E-2</v>
      </c>
      <c r="L1009" t="s">
        <v>157</v>
      </c>
      <c r="N1009" t="s">
        <v>365</v>
      </c>
      <c r="O1009" t="s">
        <v>781</v>
      </c>
      <c r="P1009">
        <v>2.3518336229285827E-2</v>
      </c>
      <c r="Q1009" t="s">
        <v>157</v>
      </c>
      <c r="S1009" t="s">
        <v>476</v>
      </c>
      <c r="T1009" t="s">
        <v>781</v>
      </c>
      <c r="U1009">
        <v>2.0909164580114395E-2</v>
      </c>
      <c r="V1009" t="s">
        <v>157</v>
      </c>
    </row>
    <row r="1010" spans="9:22" x14ac:dyDescent="0.45">
      <c r="I1010" t="s">
        <v>254</v>
      </c>
      <c r="J1010" t="s">
        <v>782</v>
      </c>
      <c r="K1010">
        <v>0.19184037453462791</v>
      </c>
      <c r="L1010" t="s">
        <v>157</v>
      </c>
      <c r="N1010" t="s">
        <v>365</v>
      </c>
      <c r="O1010" t="s">
        <v>782</v>
      </c>
      <c r="P1010">
        <v>9.3709808378800094E-2</v>
      </c>
      <c r="Q1010" t="s">
        <v>157</v>
      </c>
      <c r="S1010" t="s">
        <v>476</v>
      </c>
      <c r="T1010" t="s">
        <v>782</v>
      </c>
      <c r="U1010">
        <v>0.10890095279163345</v>
      </c>
      <c r="V1010" t="s">
        <v>157</v>
      </c>
    </row>
    <row r="1011" spans="9:22" x14ac:dyDescent="0.45">
      <c r="I1011" t="s">
        <v>254</v>
      </c>
      <c r="J1011" t="s">
        <v>783</v>
      </c>
      <c r="K1011">
        <v>0</v>
      </c>
      <c r="L1011" t="s">
        <v>157</v>
      </c>
      <c r="N1011" t="s">
        <v>365</v>
      </c>
      <c r="O1011" t="s">
        <v>783</v>
      </c>
      <c r="P1011">
        <v>9.9494482850732632E-2</v>
      </c>
      <c r="Q1011" t="s">
        <v>157</v>
      </c>
      <c r="S1011" t="s">
        <v>476</v>
      </c>
      <c r="T1011" t="s">
        <v>783</v>
      </c>
      <c r="U1011">
        <v>0.10931316666985601</v>
      </c>
      <c r="V1011" t="s">
        <v>157</v>
      </c>
    </row>
    <row r="1012" spans="9:22" x14ac:dyDescent="0.45">
      <c r="I1012" t="s">
        <v>254</v>
      </c>
      <c r="J1012" t="s">
        <v>784</v>
      </c>
      <c r="K1012">
        <v>1.289506622247032E-2</v>
      </c>
      <c r="L1012" t="s">
        <v>157</v>
      </c>
      <c r="N1012" t="s">
        <v>365</v>
      </c>
      <c r="O1012" t="s">
        <v>784</v>
      </c>
      <c r="P1012">
        <v>1.9667957903850397E-2</v>
      </c>
      <c r="Q1012" t="s">
        <v>157</v>
      </c>
      <c r="S1012" t="s">
        <v>476</v>
      </c>
      <c r="T1012" t="s">
        <v>784</v>
      </c>
      <c r="U1012">
        <v>2.0663450083175345E-2</v>
      </c>
      <c r="V1012" t="s">
        <v>157</v>
      </c>
    </row>
    <row r="1013" spans="9:22" x14ac:dyDescent="0.45">
      <c r="I1013" t="s">
        <v>254</v>
      </c>
      <c r="J1013" t="s">
        <v>785</v>
      </c>
      <c r="K1013">
        <v>0.12064422217590369</v>
      </c>
      <c r="L1013" t="s">
        <v>157</v>
      </c>
      <c r="N1013" t="s">
        <v>365</v>
      </c>
      <c r="O1013" t="s">
        <v>785</v>
      </c>
      <c r="P1013">
        <v>0.12218477089103494</v>
      </c>
      <c r="Q1013" t="s">
        <v>157</v>
      </c>
      <c r="S1013" t="s">
        <v>476</v>
      </c>
      <c r="T1013" t="s">
        <v>785</v>
      </c>
      <c r="U1013">
        <v>0.11715250473015835</v>
      </c>
      <c r="V1013" t="s">
        <v>157</v>
      </c>
    </row>
    <row r="1014" spans="9:22" x14ac:dyDescent="0.45">
      <c r="I1014" t="s">
        <v>254</v>
      </c>
      <c r="J1014" t="s">
        <v>786</v>
      </c>
      <c r="K1014">
        <v>0</v>
      </c>
      <c r="L1014" t="s">
        <v>157</v>
      </c>
      <c r="N1014" t="s">
        <v>365</v>
      </c>
      <c r="O1014" t="s">
        <v>786</v>
      </c>
      <c r="P1014">
        <v>0.12635806589882206</v>
      </c>
      <c r="Q1014" t="s">
        <v>157</v>
      </c>
      <c r="S1014" t="s">
        <v>476</v>
      </c>
      <c r="T1014" t="s">
        <v>786</v>
      </c>
      <c r="U1014">
        <v>0.11544577909610484</v>
      </c>
      <c r="V1014" t="s">
        <v>157</v>
      </c>
    </row>
    <row r="1015" spans="9:22" x14ac:dyDescent="0.45">
      <c r="I1015" t="s">
        <v>254</v>
      </c>
      <c r="J1015" t="s">
        <v>787</v>
      </c>
      <c r="K1015">
        <v>3.400420765952079E-3</v>
      </c>
      <c r="L1015" t="s">
        <v>157</v>
      </c>
      <c r="N1015" t="s">
        <v>365</v>
      </c>
      <c r="O1015" t="s">
        <v>787</v>
      </c>
      <c r="P1015">
        <v>2.2049377193093116E-2</v>
      </c>
      <c r="Q1015" t="s">
        <v>157</v>
      </c>
      <c r="S1015" t="s">
        <v>476</v>
      </c>
      <c r="T1015" t="s">
        <v>787</v>
      </c>
      <c r="U1015">
        <v>2.0844862136697673E-2</v>
      </c>
      <c r="V1015" t="s">
        <v>157</v>
      </c>
    </row>
    <row r="1016" spans="9:22" x14ac:dyDescent="0.45">
      <c r="I1016" t="s">
        <v>254</v>
      </c>
      <c r="J1016" t="s">
        <v>788</v>
      </c>
      <c r="K1016">
        <v>0.31993520247546009</v>
      </c>
      <c r="L1016" t="s">
        <v>157</v>
      </c>
      <c r="N1016" t="s">
        <v>365</v>
      </c>
      <c r="O1016" t="s">
        <v>788</v>
      </c>
      <c r="P1016">
        <v>0.10991242095942826</v>
      </c>
      <c r="Q1016" t="s">
        <v>157</v>
      </c>
      <c r="S1016" t="s">
        <v>476</v>
      </c>
      <c r="T1016" t="s">
        <v>788</v>
      </c>
      <c r="U1016">
        <v>0.11913914636393723</v>
      </c>
      <c r="V1016" t="s">
        <v>157</v>
      </c>
    </row>
    <row r="1017" spans="9:22" x14ac:dyDescent="0.45">
      <c r="I1017" t="s">
        <v>254</v>
      </c>
      <c r="J1017" t="s">
        <v>789</v>
      </c>
      <c r="K1017">
        <v>9.3756127266084958E-3</v>
      </c>
      <c r="L1017" t="s">
        <v>157</v>
      </c>
      <c r="N1017" t="s">
        <v>365</v>
      </c>
      <c r="O1017" t="s">
        <v>789</v>
      </c>
      <c r="P1017">
        <v>9.9577827854047896E-2</v>
      </c>
      <c r="Q1017" t="s">
        <v>157</v>
      </c>
      <c r="S1017" t="s">
        <v>476</v>
      </c>
      <c r="T1017" t="s">
        <v>789</v>
      </c>
      <c r="U1017">
        <v>0.11573719295290344</v>
      </c>
      <c r="V1017" t="s">
        <v>157</v>
      </c>
    </row>
    <row r="1018" spans="9:22" x14ac:dyDescent="0.45">
      <c r="I1018" t="s">
        <v>254</v>
      </c>
      <c r="J1018" t="s">
        <v>790</v>
      </c>
      <c r="K1018">
        <v>4.0629109162843347E-2</v>
      </c>
      <c r="L1018" t="s">
        <v>157</v>
      </c>
      <c r="N1018" t="s">
        <v>365</v>
      </c>
      <c r="O1018" t="s">
        <v>790</v>
      </c>
      <c r="P1018">
        <v>2.1932512348129804E-2</v>
      </c>
      <c r="Q1018" t="s">
        <v>157</v>
      </c>
      <c r="S1018" t="s">
        <v>476</v>
      </c>
      <c r="T1018" t="s">
        <v>790</v>
      </c>
      <c r="U1018">
        <v>2.103777853488158E-2</v>
      </c>
      <c r="V1018" t="s">
        <v>157</v>
      </c>
    </row>
    <row r="1019" spans="9:22" x14ac:dyDescent="0.45">
      <c r="I1019" t="s">
        <v>255</v>
      </c>
      <c r="J1019" t="s">
        <v>779</v>
      </c>
      <c r="K1019">
        <v>0.27707223549005999</v>
      </c>
      <c r="L1019" t="s">
        <v>157</v>
      </c>
      <c r="N1019" t="s">
        <v>366</v>
      </c>
      <c r="O1019" t="s">
        <v>779</v>
      </c>
      <c r="P1019">
        <v>0.13514889296364513</v>
      </c>
      <c r="Q1019" t="s">
        <v>157</v>
      </c>
      <c r="S1019" t="s">
        <v>477</v>
      </c>
      <c r="T1019" t="s">
        <v>779</v>
      </c>
      <c r="U1019">
        <v>0.11468133748782632</v>
      </c>
      <c r="V1019" t="s">
        <v>157</v>
      </c>
    </row>
    <row r="1020" spans="9:22" x14ac:dyDescent="0.45">
      <c r="I1020" t="s">
        <v>255</v>
      </c>
      <c r="J1020" t="s">
        <v>780</v>
      </c>
      <c r="K1020">
        <v>4.340936269580019E-3</v>
      </c>
      <c r="L1020" t="s">
        <v>157</v>
      </c>
      <c r="N1020" t="s">
        <v>366</v>
      </c>
      <c r="O1020" t="s">
        <v>780</v>
      </c>
      <c r="P1020">
        <v>0.12137479331339096</v>
      </c>
      <c r="Q1020" t="s">
        <v>157</v>
      </c>
      <c r="S1020" t="s">
        <v>477</v>
      </c>
      <c r="T1020" t="s">
        <v>780</v>
      </c>
      <c r="U1020">
        <v>0.11419859249760463</v>
      </c>
      <c r="V1020" t="s">
        <v>157</v>
      </c>
    </row>
    <row r="1021" spans="9:22" x14ac:dyDescent="0.45">
      <c r="I1021" t="s">
        <v>255</v>
      </c>
      <c r="J1021" t="s">
        <v>781</v>
      </c>
      <c r="K1021">
        <v>2.146311915683017E-2</v>
      </c>
      <c r="L1021" t="s">
        <v>157</v>
      </c>
      <c r="N1021" t="s">
        <v>366</v>
      </c>
      <c r="O1021" t="s">
        <v>781</v>
      </c>
      <c r="P1021">
        <v>2.3482393075161506E-2</v>
      </c>
      <c r="Q1021" t="s">
        <v>157</v>
      </c>
      <c r="S1021" t="s">
        <v>477</v>
      </c>
      <c r="T1021" t="s">
        <v>781</v>
      </c>
      <c r="U1021">
        <v>2.0764192562534714E-2</v>
      </c>
      <c r="V1021" t="s">
        <v>157</v>
      </c>
    </row>
    <row r="1022" spans="9:22" x14ac:dyDescent="0.45">
      <c r="I1022" t="s">
        <v>255</v>
      </c>
      <c r="J1022" t="s">
        <v>782</v>
      </c>
      <c r="K1022">
        <v>0.19215640846858711</v>
      </c>
      <c r="L1022" t="s">
        <v>157</v>
      </c>
      <c r="N1022" t="s">
        <v>366</v>
      </c>
      <c r="O1022" t="s">
        <v>782</v>
      </c>
      <c r="P1022">
        <v>9.7719875099029893E-2</v>
      </c>
      <c r="Q1022" t="s">
        <v>157</v>
      </c>
      <c r="S1022" t="s">
        <v>477</v>
      </c>
      <c r="T1022" t="s">
        <v>782</v>
      </c>
      <c r="U1022">
        <v>0.11038591324082639</v>
      </c>
      <c r="V1022" t="s">
        <v>157</v>
      </c>
    </row>
    <row r="1023" spans="9:22" x14ac:dyDescent="0.45">
      <c r="I1023" t="s">
        <v>255</v>
      </c>
      <c r="J1023" t="s">
        <v>783</v>
      </c>
      <c r="K1023">
        <v>0</v>
      </c>
      <c r="L1023" t="s">
        <v>157</v>
      </c>
      <c r="N1023" t="s">
        <v>366</v>
      </c>
      <c r="O1023" t="s">
        <v>783</v>
      </c>
      <c r="P1023">
        <v>9.5272339485288043E-2</v>
      </c>
      <c r="Q1023" t="s">
        <v>157</v>
      </c>
      <c r="S1023" t="s">
        <v>477</v>
      </c>
      <c r="T1023" t="s">
        <v>783</v>
      </c>
      <c r="U1023">
        <v>0.11289614429003551</v>
      </c>
      <c r="V1023" t="s">
        <v>157</v>
      </c>
    </row>
    <row r="1024" spans="9:22" x14ac:dyDescent="0.45">
      <c r="I1024" t="s">
        <v>255</v>
      </c>
      <c r="J1024" t="s">
        <v>784</v>
      </c>
      <c r="K1024">
        <v>1.3046351226442531E-2</v>
      </c>
      <c r="L1024" t="s">
        <v>157</v>
      </c>
      <c r="N1024" t="s">
        <v>366</v>
      </c>
      <c r="O1024" t="s">
        <v>784</v>
      </c>
      <c r="P1024">
        <v>1.9118574369866595E-2</v>
      </c>
      <c r="Q1024" t="s">
        <v>157</v>
      </c>
      <c r="S1024" t="s">
        <v>477</v>
      </c>
      <c r="T1024" t="s">
        <v>784</v>
      </c>
      <c r="U1024">
        <v>2.0756974062820146E-2</v>
      </c>
      <c r="V1024" t="s">
        <v>157</v>
      </c>
    </row>
    <row r="1025" spans="9:22" x14ac:dyDescent="0.45">
      <c r="I1025" t="s">
        <v>255</v>
      </c>
      <c r="J1025" t="s">
        <v>785</v>
      </c>
      <c r="K1025">
        <v>0.12243325618466715</v>
      </c>
      <c r="L1025" t="s">
        <v>157</v>
      </c>
      <c r="N1025" t="s">
        <v>366</v>
      </c>
      <c r="O1025" t="s">
        <v>785</v>
      </c>
      <c r="P1025">
        <v>0.12337222579813535</v>
      </c>
      <c r="Q1025" t="s">
        <v>157</v>
      </c>
      <c r="S1025" t="s">
        <v>477</v>
      </c>
      <c r="T1025" t="s">
        <v>785</v>
      </c>
      <c r="U1025">
        <v>0.11782888654277936</v>
      </c>
      <c r="V1025" t="s">
        <v>157</v>
      </c>
    </row>
    <row r="1026" spans="9:22" x14ac:dyDescent="0.45">
      <c r="I1026" t="s">
        <v>255</v>
      </c>
      <c r="J1026" t="s">
        <v>786</v>
      </c>
      <c r="K1026">
        <v>0</v>
      </c>
      <c r="L1026" t="s">
        <v>157</v>
      </c>
      <c r="N1026" t="s">
        <v>366</v>
      </c>
      <c r="O1026" t="s">
        <v>786</v>
      </c>
      <c r="P1026">
        <v>0.12359891323097756</v>
      </c>
      <c r="Q1026" t="s">
        <v>157</v>
      </c>
      <c r="S1026" t="s">
        <v>477</v>
      </c>
      <c r="T1026" t="s">
        <v>786</v>
      </c>
      <c r="U1026">
        <v>0.11734118700004958</v>
      </c>
      <c r="V1026" t="s">
        <v>157</v>
      </c>
    </row>
    <row r="1027" spans="9:22" x14ac:dyDescent="0.45">
      <c r="I1027" t="s">
        <v>255</v>
      </c>
      <c r="J1027" t="s">
        <v>787</v>
      </c>
      <c r="K1027">
        <v>3.4234829920875053E-3</v>
      </c>
      <c r="L1027" t="s">
        <v>157</v>
      </c>
      <c r="N1027" t="s">
        <v>366</v>
      </c>
      <c r="O1027" t="s">
        <v>787</v>
      </c>
      <c r="P1027">
        <v>2.2129739495853343E-2</v>
      </c>
      <c r="Q1027" t="s">
        <v>157</v>
      </c>
      <c r="S1027" t="s">
        <v>477</v>
      </c>
      <c r="T1027" t="s">
        <v>787</v>
      </c>
      <c r="U1027">
        <v>2.0903578507155546E-2</v>
      </c>
      <c r="V1027" t="s">
        <v>157</v>
      </c>
    </row>
    <row r="1028" spans="9:22" x14ac:dyDescent="0.45">
      <c r="I1028" t="s">
        <v>255</v>
      </c>
      <c r="J1028" t="s">
        <v>788</v>
      </c>
      <c r="K1028">
        <v>0.31705377041302263</v>
      </c>
      <c r="L1028" t="s">
        <v>157</v>
      </c>
      <c r="N1028" t="s">
        <v>366</v>
      </c>
      <c r="O1028" t="s">
        <v>788</v>
      </c>
      <c r="P1028">
        <v>0.11268592354266434</v>
      </c>
      <c r="Q1028" t="s">
        <v>157</v>
      </c>
      <c r="S1028" t="s">
        <v>477</v>
      </c>
      <c r="T1028" t="s">
        <v>788</v>
      </c>
      <c r="U1028">
        <v>0.1162136458812896</v>
      </c>
      <c r="V1028" t="s">
        <v>157</v>
      </c>
    </row>
    <row r="1029" spans="9:22" x14ac:dyDescent="0.45">
      <c r="I1029" t="s">
        <v>255</v>
      </c>
      <c r="J1029" t="s">
        <v>789</v>
      </c>
      <c r="K1029">
        <v>8.820451566610826E-3</v>
      </c>
      <c r="L1029" t="s">
        <v>157</v>
      </c>
      <c r="N1029" t="s">
        <v>366</v>
      </c>
      <c r="O1029" t="s">
        <v>789</v>
      </c>
      <c r="P1029">
        <v>0.10365520485589677</v>
      </c>
      <c r="Q1029" t="s">
        <v>157</v>
      </c>
      <c r="S1029" t="s">
        <v>477</v>
      </c>
      <c r="T1029" t="s">
        <v>789</v>
      </c>
      <c r="U1029">
        <v>0.11327587071001352</v>
      </c>
      <c r="V1029" t="s">
        <v>157</v>
      </c>
    </row>
    <row r="1030" spans="9:22" x14ac:dyDescent="0.45">
      <c r="I1030" t="s">
        <v>255</v>
      </c>
      <c r="J1030" t="s">
        <v>790</v>
      </c>
      <c r="K1030">
        <v>4.0189988232112089E-2</v>
      </c>
      <c r="L1030" t="s">
        <v>157</v>
      </c>
      <c r="N1030" t="s">
        <v>366</v>
      </c>
      <c r="O1030" t="s">
        <v>790</v>
      </c>
      <c r="P1030">
        <v>2.2441124770090443E-2</v>
      </c>
      <c r="Q1030" t="s">
        <v>157</v>
      </c>
      <c r="S1030" t="s">
        <v>477</v>
      </c>
      <c r="T1030" t="s">
        <v>790</v>
      </c>
      <c r="U1030">
        <v>2.0753677217064694E-2</v>
      </c>
      <c r="V1030" t="s">
        <v>157</v>
      </c>
    </row>
    <row r="1031" spans="9:22" x14ac:dyDescent="0.45">
      <c r="I1031" t="s">
        <v>256</v>
      </c>
      <c r="J1031" t="s">
        <v>779</v>
      </c>
      <c r="K1031">
        <v>0.27866141347932882</v>
      </c>
      <c r="L1031" t="s">
        <v>157</v>
      </c>
      <c r="N1031" t="s">
        <v>367</v>
      </c>
      <c r="O1031" t="s">
        <v>779</v>
      </c>
      <c r="P1031">
        <v>0.12839527033185727</v>
      </c>
      <c r="Q1031" t="s">
        <v>157</v>
      </c>
      <c r="S1031" t="s">
        <v>478</v>
      </c>
      <c r="T1031" t="s">
        <v>779</v>
      </c>
      <c r="U1031">
        <v>0.11453186625358608</v>
      </c>
      <c r="V1031" t="s">
        <v>157</v>
      </c>
    </row>
    <row r="1032" spans="9:22" x14ac:dyDescent="0.45">
      <c r="I1032" t="s">
        <v>256</v>
      </c>
      <c r="J1032" t="s">
        <v>780</v>
      </c>
      <c r="K1032">
        <v>4.3212574123735262E-3</v>
      </c>
      <c r="L1032" t="s">
        <v>157</v>
      </c>
      <c r="N1032" t="s">
        <v>367</v>
      </c>
      <c r="O1032" t="s">
        <v>780</v>
      </c>
      <c r="P1032">
        <v>0.12017744767202834</v>
      </c>
      <c r="Q1032" t="s">
        <v>157</v>
      </c>
      <c r="S1032" t="s">
        <v>478</v>
      </c>
      <c r="T1032" t="s">
        <v>780</v>
      </c>
      <c r="U1032">
        <v>0.11467084826975718</v>
      </c>
      <c r="V1032" t="s">
        <v>157</v>
      </c>
    </row>
    <row r="1033" spans="9:22" x14ac:dyDescent="0.45">
      <c r="I1033" t="s">
        <v>256</v>
      </c>
      <c r="J1033" t="s">
        <v>781</v>
      </c>
      <c r="K1033">
        <v>2.1896419856295059E-2</v>
      </c>
      <c r="L1033" t="s">
        <v>157</v>
      </c>
      <c r="N1033" t="s">
        <v>367</v>
      </c>
      <c r="O1033" t="s">
        <v>781</v>
      </c>
      <c r="P1033">
        <v>2.4017428909111377E-2</v>
      </c>
      <c r="Q1033" t="s">
        <v>157</v>
      </c>
      <c r="S1033" t="s">
        <v>478</v>
      </c>
      <c r="T1033" t="s">
        <v>781</v>
      </c>
      <c r="U1033">
        <v>2.0535127277179311E-2</v>
      </c>
      <c r="V1033" t="s">
        <v>157</v>
      </c>
    </row>
    <row r="1034" spans="9:22" x14ac:dyDescent="0.45">
      <c r="I1034" t="s">
        <v>256</v>
      </c>
      <c r="J1034" t="s">
        <v>782</v>
      </c>
      <c r="K1034">
        <v>0.19208835121153314</v>
      </c>
      <c r="L1034" t="s">
        <v>157</v>
      </c>
      <c r="N1034" t="s">
        <v>367</v>
      </c>
      <c r="O1034" t="s">
        <v>782</v>
      </c>
      <c r="P1034">
        <v>0.10221005773411938</v>
      </c>
      <c r="Q1034" t="s">
        <v>157</v>
      </c>
      <c r="S1034" t="s">
        <v>478</v>
      </c>
      <c r="T1034" t="s">
        <v>782</v>
      </c>
      <c r="U1034">
        <v>0.11349118184683826</v>
      </c>
      <c r="V1034" t="s">
        <v>157</v>
      </c>
    </row>
    <row r="1035" spans="9:22" x14ac:dyDescent="0.45">
      <c r="I1035" t="s">
        <v>256</v>
      </c>
      <c r="J1035" t="s">
        <v>783</v>
      </c>
      <c r="K1035">
        <v>0</v>
      </c>
      <c r="L1035" t="s">
        <v>157</v>
      </c>
      <c r="N1035" t="s">
        <v>367</v>
      </c>
      <c r="O1035" t="s">
        <v>783</v>
      </c>
      <c r="P1035">
        <v>9.8128517303808782E-2</v>
      </c>
      <c r="Q1035" t="s">
        <v>157</v>
      </c>
      <c r="S1035" t="s">
        <v>478</v>
      </c>
      <c r="T1035" t="s">
        <v>783</v>
      </c>
      <c r="U1035">
        <v>0.11716750072753793</v>
      </c>
      <c r="V1035" t="s">
        <v>157</v>
      </c>
    </row>
    <row r="1036" spans="9:22" x14ac:dyDescent="0.45">
      <c r="I1036" t="s">
        <v>256</v>
      </c>
      <c r="J1036" t="s">
        <v>784</v>
      </c>
      <c r="K1036">
        <v>1.3162355726274761E-2</v>
      </c>
      <c r="L1036" t="s">
        <v>157</v>
      </c>
      <c r="N1036" t="s">
        <v>367</v>
      </c>
      <c r="O1036" t="s">
        <v>784</v>
      </c>
      <c r="P1036">
        <v>1.9612692585798699E-2</v>
      </c>
      <c r="Q1036" t="s">
        <v>157</v>
      </c>
      <c r="S1036" t="s">
        <v>478</v>
      </c>
      <c r="T1036" t="s">
        <v>784</v>
      </c>
      <c r="U1036">
        <v>2.1256018534901191E-2</v>
      </c>
      <c r="V1036" t="s">
        <v>157</v>
      </c>
    </row>
    <row r="1037" spans="9:22" x14ac:dyDescent="0.45">
      <c r="I1037" t="s">
        <v>256</v>
      </c>
      <c r="J1037" t="s">
        <v>785</v>
      </c>
      <c r="K1037">
        <v>0.12311201131886011</v>
      </c>
      <c r="L1037" t="s">
        <v>157</v>
      </c>
      <c r="N1037" t="s">
        <v>367</v>
      </c>
      <c r="O1037" t="s">
        <v>785</v>
      </c>
      <c r="P1037">
        <v>0.12142579090640775</v>
      </c>
      <c r="Q1037" t="s">
        <v>157</v>
      </c>
      <c r="S1037" t="s">
        <v>478</v>
      </c>
      <c r="T1037" t="s">
        <v>785</v>
      </c>
      <c r="U1037">
        <v>0.11842078431452176</v>
      </c>
      <c r="V1037" t="s">
        <v>157</v>
      </c>
    </row>
    <row r="1038" spans="9:22" x14ac:dyDescent="0.45">
      <c r="I1038" t="s">
        <v>256</v>
      </c>
      <c r="J1038" t="s">
        <v>786</v>
      </c>
      <c r="K1038">
        <v>0</v>
      </c>
      <c r="L1038" t="s">
        <v>157</v>
      </c>
      <c r="N1038" t="s">
        <v>367</v>
      </c>
      <c r="O1038" t="s">
        <v>786</v>
      </c>
      <c r="P1038">
        <v>0.1225276215713066</v>
      </c>
      <c r="Q1038" t="s">
        <v>157</v>
      </c>
      <c r="S1038" t="s">
        <v>478</v>
      </c>
      <c r="T1038" t="s">
        <v>786</v>
      </c>
      <c r="U1038">
        <v>0.11948529303934871</v>
      </c>
      <c r="V1038" t="s">
        <v>157</v>
      </c>
    </row>
    <row r="1039" spans="9:22" x14ac:dyDescent="0.45">
      <c r="I1039" t="s">
        <v>256</v>
      </c>
      <c r="J1039" t="s">
        <v>787</v>
      </c>
      <c r="K1039">
        <v>3.4169993680889651E-3</v>
      </c>
      <c r="L1039" t="s">
        <v>157</v>
      </c>
      <c r="N1039" t="s">
        <v>367</v>
      </c>
      <c r="O1039" t="s">
        <v>787</v>
      </c>
      <c r="P1039">
        <v>2.2282252610755785E-2</v>
      </c>
      <c r="Q1039" t="s">
        <v>157</v>
      </c>
      <c r="S1039" t="s">
        <v>478</v>
      </c>
      <c r="T1039" t="s">
        <v>787</v>
      </c>
      <c r="U1039">
        <v>2.0860850383799385E-2</v>
      </c>
      <c r="V1039" t="s">
        <v>157</v>
      </c>
    </row>
    <row r="1040" spans="9:22" x14ac:dyDescent="0.45">
      <c r="I1040" t="s">
        <v>256</v>
      </c>
      <c r="J1040" t="s">
        <v>788</v>
      </c>
      <c r="K1040">
        <v>0.31556323136263287</v>
      </c>
      <c r="L1040" t="s">
        <v>157</v>
      </c>
      <c r="N1040" t="s">
        <v>367</v>
      </c>
      <c r="O1040" t="s">
        <v>788</v>
      </c>
      <c r="P1040">
        <v>0.11032761407848496</v>
      </c>
      <c r="Q1040" t="s">
        <v>157</v>
      </c>
      <c r="S1040" t="s">
        <v>478</v>
      </c>
      <c r="T1040" t="s">
        <v>788</v>
      </c>
      <c r="U1040">
        <v>0.11104193832013348</v>
      </c>
      <c r="V1040" t="s">
        <v>157</v>
      </c>
    </row>
    <row r="1041" spans="9:22" x14ac:dyDescent="0.45">
      <c r="I1041" t="s">
        <v>256</v>
      </c>
      <c r="J1041" t="s">
        <v>789</v>
      </c>
      <c r="K1041">
        <v>7.5593298983834831E-3</v>
      </c>
      <c r="L1041" t="s">
        <v>157</v>
      </c>
      <c r="N1041" t="s">
        <v>367</v>
      </c>
      <c r="O1041" t="s">
        <v>789</v>
      </c>
      <c r="P1041">
        <v>0.10865220135783012</v>
      </c>
      <c r="Q1041" t="s">
        <v>157</v>
      </c>
      <c r="S1041" t="s">
        <v>478</v>
      </c>
      <c r="T1041" t="s">
        <v>789</v>
      </c>
      <c r="U1041">
        <v>0.10871437882951664</v>
      </c>
      <c r="V1041" t="s">
        <v>157</v>
      </c>
    </row>
    <row r="1042" spans="9:22" x14ac:dyDescent="0.45">
      <c r="I1042" t="s">
        <v>256</v>
      </c>
      <c r="J1042" t="s">
        <v>790</v>
      </c>
      <c r="K1042">
        <v>4.0218630366229198E-2</v>
      </c>
      <c r="L1042" t="s">
        <v>157</v>
      </c>
      <c r="N1042" t="s">
        <v>367</v>
      </c>
      <c r="O1042" t="s">
        <v>790</v>
      </c>
      <c r="P1042">
        <v>2.2243104938490937E-2</v>
      </c>
      <c r="Q1042" t="s">
        <v>157</v>
      </c>
      <c r="S1042" t="s">
        <v>478</v>
      </c>
      <c r="T1042" t="s">
        <v>790</v>
      </c>
      <c r="U1042">
        <v>1.9824212202879988E-2</v>
      </c>
      <c r="V1042" t="s">
        <v>157</v>
      </c>
    </row>
    <row r="1043" spans="9:22" x14ac:dyDescent="0.45">
      <c r="I1043" t="s">
        <v>257</v>
      </c>
      <c r="J1043" t="s">
        <v>779</v>
      </c>
      <c r="K1043">
        <v>0.26571675989013332</v>
      </c>
      <c r="L1043" t="s">
        <v>157</v>
      </c>
      <c r="N1043" t="s">
        <v>368</v>
      </c>
      <c r="O1043" t="s">
        <v>779</v>
      </c>
      <c r="P1043">
        <v>0.12348214621523965</v>
      </c>
      <c r="Q1043" t="s">
        <v>157</v>
      </c>
      <c r="S1043" t="s">
        <v>479</v>
      </c>
      <c r="T1043" t="s">
        <v>779</v>
      </c>
      <c r="U1043">
        <v>0.11618812134598906</v>
      </c>
      <c r="V1043" t="s">
        <v>157</v>
      </c>
    </row>
    <row r="1044" spans="9:22" x14ac:dyDescent="0.45">
      <c r="I1044" t="s">
        <v>257</v>
      </c>
      <c r="J1044" t="s">
        <v>780</v>
      </c>
      <c r="K1044">
        <v>4.8825742719813322E-3</v>
      </c>
      <c r="L1044" t="s">
        <v>157</v>
      </c>
      <c r="N1044" t="s">
        <v>368</v>
      </c>
      <c r="O1044" t="s">
        <v>780</v>
      </c>
      <c r="P1044">
        <v>0.12690389404937305</v>
      </c>
      <c r="Q1044" t="s">
        <v>157</v>
      </c>
      <c r="S1044" t="s">
        <v>479</v>
      </c>
      <c r="T1044" t="s">
        <v>780</v>
      </c>
      <c r="U1044">
        <v>0.11587948504149288</v>
      </c>
      <c r="V1044" t="s">
        <v>157</v>
      </c>
    </row>
    <row r="1045" spans="9:22" x14ac:dyDescent="0.45">
      <c r="I1045" t="s">
        <v>257</v>
      </c>
      <c r="J1045" t="s">
        <v>781</v>
      </c>
      <c r="K1045">
        <v>2.4182022728123431E-2</v>
      </c>
      <c r="L1045" t="s">
        <v>157</v>
      </c>
      <c r="N1045" t="s">
        <v>368</v>
      </c>
      <c r="O1045" t="s">
        <v>781</v>
      </c>
      <c r="P1045">
        <v>2.2201153820809828E-2</v>
      </c>
      <c r="Q1045" t="s">
        <v>157</v>
      </c>
      <c r="S1045" t="s">
        <v>479</v>
      </c>
      <c r="T1045" t="s">
        <v>781</v>
      </c>
      <c r="U1045">
        <v>2.0728733478352045E-2</v>
      </c>
      <c r="V1045" t="s">
        <v>157</v>
      </c>
    </row>
    <row r="1046" spans="9:22" x14ac:dyDescent="0.45">
      <c r="I1046" t="s">
        <v>257</v>
      </c>
      <c r="J1046" t="s">
        <v>782</v>
      </c>
      <c r="K1046">
        <v>0.17727882191788777</v>
      </c>
      <c r="L1046" t="s">
        <v>157</v>
      </c>
      <c r="N1046" t="s">
        <v>368</v>
      </c>
      <c r="O1046" t="s">
        <v>782</v>
      </c>
      <c r="P1046">
        <v>0.10590985117025403</v>
      </c>
      <c r="Q1046" t="s">
        <v>157</v>
      </c>
      <c r="S1046" t="s">
        <v>479</v>
      </c>
      <c r="T1046" t="s">
        <v>782</v>
      </c>
      <c r="U1046">
        <v>0.11664905262749294</v>
      </c>
      <c r="V1046" t="s">
        <v>157</v>
      </c>
    </row>
    <row r="1047" spans="9:22" x14ac:dyDescent="0.45">
      <c r="I1047" t="s">
        <v>257</v>
      </c>
      <c r="J1047" t="s">
        <v>783</v>
      </c>
      <c r="K1047">
        <v>0</v>
      </c>
      <c r="L1047" t="s">
        <v>157</v>
      </c>
      <c r="N1047" t="s">
        <v>368</v>
      </c>
      <c r="O1047" t="s">
        <v>783</v>
      </c>
      <c r="P1047">
        <v>0.109497545792329</v>
      </c>
      <c r="Q1047" t="s">
        <v>157</v>
      </c>
      <c r="S1047" t="s">
        <v>479</v>
      </c>
      <c r="T1047" t="s">
        <v>783</v>
      </c>
      <c r="U1047">
        <v>0.12005320612285074</v>
      </c>
      <c r="V1047" t="s">
        <v>157</v>
      </c>
    </row>
    <row r="1048" spans="9:22" x14ac:dyDescent="0.45">
      <c r="I1048" t="s">
        <v>257</v>
      </c>
      <c r="J1048" t="s">
        <v>784</v>
      </c>
      <c r="K1048">
        <v>1.1355681141069626E-2</v>
      </c>
      <c r="L1048" t="s">
        <v>157</v>
      </c>
      <c r="N1048" t="s">
        <v>368</v>
      </c>
      <c r="O1048" t="s">
        <v>784</v>
      </c>
      <c r="P1048">
        <v>1.9263243745675732E-2</v>
      </c>
      <c r="Q1048" t="s">
        <v>157</v>
      </c>
      <c r="S1048" t="s">
        <v>479</v>
      </c>
      <c r="T1048" t="s">
        <v>784</v>
      </c>
      <c r="U1048">
        <v>2.1971516832729649E-2</v>
      </c>
      <c r="V1048" t="s">
        <v>157</v>
      </c>
    </row>
    <row r="1049" spans="9:22" x14ac:dyDescent="0.45">
      <c r="I1049" t="s">
        <v>257</v>
      </c>
      <c r="J1049" t="s">
        <v>785</v>
      </c>
      <c r="K1049">
        <v>0.10232336161326067</v>
      </c>
      <c r="L1049" t="s">
        <v>157</v>
      </c>
      <c r="N1049" t="s">
        <v>368</v>
      </c>
      <c r="O1049" t="s">
        <v>785</v>
      </c>
      <c r="P1049">
        <v>0.11973661032072047</v>
      </c>
      <c r="Q1049" t="s">
        <v>157</v>
      </c>
      <c r="S1049" t="s">
        <v>479</v>
      </c>
      <c r="T1049" t="s">
        <v>785</v>
      </c>
      <c r="U1049">
        <v>0.11886439525200418</v>
      </c>
      <c r="V1049" t="s">
        <v>157</v>
      </c>
    </row>
    <row r="1050" spans="9:22" x14ac:dyDescent="0.45">
      <c r="I1050" t="s">
        <v>257</v>
      </c>
      <c r="J1050" t="s">
        <v>786</v>
      </c>
      <c r="K1050">
        <v>0</v>
      </c>
      <c r="L1050" t="s">
        <v>157</v>
      </c>
      <c r="N1050" t="s">
        <v>368</v>
      </c>
      <c r="O1050" t="s">
        <v>786</v>
      </c>
      <c r="P1050">
        <v>0.12068726835686568</v>
      </c>
      <c r="Q1050" t="s">
        <v>157</v>
      </c>
      <c r="S1050" t="s">
        <v>479</v>
      </c>
      <c r="T1050" t="s">
        <v>786</v>
      </c>
      <c r="U1050">
        <v>0.12152011281169503</v>
      </c>
      <c r="V1050" t="s">
        <v>157</v>
      </c>
    </row>
    <row r="1051" spans="9:22" x14ac:dyDescent="0.45">
      <c r="I1051" t="s">
        <v>257</v>
      </c>
      <c r="J1051" t="s">
        <v>787</v>
      </c>
      <c r="K1051">
        <v>1.7970796278469624E-3</v>
      </c>
      <c r="L1051" t="s">
        <v>157</v>
      </c>
      <c r="N1051" t="s">
        <v>368</v>
      </c>
      <c r="O1051" t="s">
        <v>787</v>
      </c>
      <c r="P1051">
        <v>2.152366317956245E-2</v>
      </c>
      <c r="Q1051" t="s">
        <v>157</v>
      </c>
      <c r="S1051" t="s">
        <v>479</v>
      </c>
      <c r="T1051" t="s">
        <v>787</v>
      </c>
      <c r="U1051">
        <v>2.1585663872860039E-2</v>
      </c>
      <c r="V1051" t="s">
        <v>157</v>
      </c>
    </row>
    <row r="1052" spans="9:22" x14ac:dyDescent="0.45">
      <c r="I1052" t="s">
        <v>257</v>
      </c>
      <c r="J1052" t="s">
        <v>788</v>
      </c>
      <c r="K1052">
        <v>0.34965599691126464</v>
      </c>
      <c r="L1052" t="s">
        <v>157</v>
      </c>
      <c r="N1052" t="s">
        <v>368</v>
      </c>
      <c r="O1052" t="s">
        <v>788</v>
      </c>
      <c r="P1052">
        <v>9.9506757080933664E-2</v>
      </c>
      <c r="Q1052" t="s">
        <v>157</v>
      </c>
      <c r="S1052" t="s">
        <v>479</v>
      </c>
      <c r="T1052" t="s">
        <v>788</v>
      </c>
      <c r="U1052">
        <v>0.10462740512825644</v>
      </c>
      <c r="V1052" t="s">
        <v>157</v>
      </c>
    </row>
    <row r="1053" spans="9:22" x14ac:dyDescent="0.45">
      <c r="I1053" t="s">
        <v>257</v>
      </c>
      <c r="J1053" t="s">
        <v>789</v>
      </c>
      <c r="K1053">
        <v>1.6134978515034568E-2</v>
      </c>
      <c r="L1053" t="s">
        <v>157</v>
      </c>
      <c r="N1053" t="s">
        <v>368</v>
      </c>
      <c r="O1053" t="s">
        <v>789</v>
      </c>
      <c r="P1053">
        <v>0.11160011839029117</v>
      </c>
      <c r="Q1053" t="s">
        <v>157</v>
      </c>
      <c r="S1053" t="s">
        <v>479</v>
      </c>
      <c r="T1053" t="s">
        <v>789</v>
      </c>
      <c r="U1053">
        <v>0.10332307715585931</v>
      </c>
      <c r="V1053" t="s">
        <v>157</v>
      </c>
    </row>
    <row r="1054" spans="9:22" x14ac:dyDescent="0.45">
      <c r="I1054" t="s">
        <v>257</v>
      </c>
      <c r="J1054" t="s">
        <v>790</v>
      </c>
      <c r="K1054">
        <v>4.667272338339773E-2</v>
      </c>
      <c r="L1054" t="s">
        <v>157</v>
      </c>
      <c r="N1054" t="s">
        <v>368</v>
      </c>
      <c r="O1054" t="s">
        <v>790</v>
      </c>
      <c r="P1054">
        <v>1.9687747877945194E-2</v>
      </c>
      <c r="Q1054" t="s">
        <v>157</v>
      </c>
      <c r="S1054" t="s">
        <v>479</v>
      </c>
      <c r="T1054" t="s">
        <v>790</v>
      </c>
      <c r="U1054">
        <v>1.8609230330417666E-2</v>
      </c>
      <c r="V1054" t="s">
        <v>157</v>
      </c>
    </row>
    <row r="1055" spans="9:22" x14ac:dyDescent="0.45">
      <c r="I1055" t="s">
        <v>258</v>
      </c>
      <c r="J1055" t="s">
        <v>779</v>
      </c>
      <c r="K1055">
        <v>0.26185909898842291</v>
      </c>
      <c r="L1055" t="s">
        <v>157</v>
      </c>
      <c r="N1055" t="s">
        <v>369</v>
      </c>
      <c r="O1055" t="s">
        <v>779</v>
      </c>
      <c r="P1055">
        <v>0.13698656858880429</v>
      </c>
      <c r="Q1055" t="s">
        <v>157</v>
      </c>
      <c r="S1055" t="s">
        <v>480</v>
      </c>
      <c r="T1055" t="s">
        <v>779</v>
      </c>
      <c r="U1055">
        <v>0.11987912283998937</v>
      </c>
      <c r="V1055" t="s">
        <v>157</v>
      </c>
    </row>
    <row r="1056" spans="9:22" x14ac:dyDescent="0.45">
      <c r="I1056" t="s">
        <v>258</v>
      </c>
      <c r="J1056" t="s">
        <v>780</v>
      </c>
      <c r="K1056">
        <v>4.4374765824135342E-3</v>
      </c>
      <c r="L1056" t="s">
        <v>157</v>
      </c>
      <c r="N1056" t="s">
        <v>369</v>
      </c>
      <c r="O1056" t="s">
        <v>780</v>
      </c>
      <c r="P1056">
        <v>0.12961793581844791</v>
      </c>
      <c r="Q1056" t="s">
        <v>157</v>
      </c>
      <c r="S1056" t="s">
        <v>480</v>
      </c>
      <c r="T1056" t="s">
        <v>780</v>
      </c>
      <c r="U1056">
        <v>0.11592513577445362</v>
      </c>
      <c r="V1056" t="s">
        <v>157</v>
      </c>
    </row>
    <row r="1057" spans="9:22" x14ac:dyDescent="0.45">
      <c r="I1057" t="s">
        <v>258</v>
      </c>
      <c r="J1057" t="s">
        <v>781</v>
      </c>
      <c r="K1057">
        <v>2.4047153506393814E-2</v>
      </c>
      <c r="L1057" t="s">
        <v>157</v>
      </c>
      <c r="N1057" t="s">
        <v>369</v>
      </c>
      <c r="O1057" t="s">
        <v>781</v>
      </c>
      <c r="P1057">
        <v>2.4426721106269308E-2</v>
      </c>
      <c r="Q1057" t="s">
        <v>157</v>
      </c>
      <c r="S1057" t="s">
        <v>480</v>
      </c>
      <c r="T1057" t="s">
        <v>781</v>
      </c>
      <c r="U1057">
        <v>2.1816373896808423E-2</v>
      </c>
      <c r="V1057" t="s">
        <v>157</v>
      </c>
    </row>
    <row r="1058" spans="9:22" x14ac:dyDescent="0.45">
      <c r="I1058" t="s">
        <v>258</v>
      </c>
      <c r="J1058" t="s">
        <v>782</v>
      </c>
      <c r="K1058">
        <v>0.17881687830537657</v>
      </c>
      <c r="L1058" t="s">
        <v>157</v>
      </c>
      <c r="N1058" t="s">
        <v>369</v>
      </c>
      <c r="O1058" t="s">
        <v>782</v>
      </c>
      <c r="P1058">
        <v>0.10459321717463214</v>
      </c>
      <c r="Q1058" t="s">
        <v>157</v>
      </c>
      <c r="S1058" t="s">
        <v>480</v>
      </c>
      <c r="T1058" t="s">
        <v>782</v>
      </c>
      <c r="U1058">
        <v>0.11667370403187032</v>
      </c>
      <c r="V1058" t="s">
        <v>157</v>
      </c>
    </row>
    <row r="1059" spans="9:22" x14ac:dyDescent="0.45">
      <c r="I1059" t="s">
        <v>258</v>
      </c>
      <c r="J1059" t="s">
        <v>783</v>
      </c>
      <c r="K1059">
        <v>0</v>
      </c>
      <c r="L1059" t="s">
        <v>157</v>
      </c>
      <c r="N1059" t="s">
        <v>369</v>
      </c>
      <c r="O1059" t="s">
        <v>783</v>
      </c>
      <c r="P1059">
        <v>9.8012682618159208E-2</v>
      </c>
      <c r="Q1059" t="s">
        <v>157</v>
      </c>
      <c r="S1059" t="s">
        <v>480</v>
      </c>
      <c r="T1059" t="s">
        <v>783</v>
      </c>
      <c r="U1059">
        <v>0.12013111213145443</v>
      </c>
      <c r="V1059" t="s">
        <v>157</v>
      </c>
    </row>
    <row r="1060" spans="9:22" x14ac:dyDescent="0.45">
      <c r="I1060" t="s">
        <v>258</v>
      </c>
      <c r="J1060" t="s">
        <v>784</v>
      </c>
      <c r="K1060">
        <v>1.2038992173936013E-2</v>
      </c>
      <c r="L1060" t="s">
        <v>157</v>
      </c>
      <c r="N1060" t="s">
        <v>369</v>
      </c>
      <c r="O1060" t="s">
        <v>784</v>
      </c>
      <c r="P1060">
        <v>1.7841819065782059E-2</v>
      </c>
      <c r="Q1060" t="s">
        <v>157</v>
      </c>
      <c r="S1060" t="s">
        <v>480</v>
      </c>
      <c r="T1060" t="s">
        <v>784</v>
      </c>
      <c r="U1060">
        <v>2.2105195552979701E-2</v>
      </c>
      <c r="V1060" t="s">
        <v>157</v>
      </c>
    </row>
    <row r="1061" spans="9:22" x14ac:dyDescent="0.45">
      <c r="I1061" t="s">
        <v>258</v>
      </c>
      <c r="J1061" t="s">
        <v>785</v>
      </c>
      <c r="K1061">
        <v>0.10226058857844847</v>
      </c>
      <c r="L1061" t="s">
        <v>157</v>
      </c>
      <c r="N1061" t="s">
        <v>369</v>
      </c>
      <c r="O1061" t="s">
        <v>785</v>
      </c>
      <c r="P1061">
        <v>0.12130785103182079</v>
      </c>
      <c r="Q1061" t="s">
        <v>157</v>
      </c>
      <c r="S1061" t="s">
        <v>480</v>
      </c>
      <c r="T1061" t="s">
        <v>785</v>
      </c>
      <c r="U1061">
        <v>0.11817513992422274</v>
      </c>
      <c r="V1061" t="s">
        <v>157</v>
      </c>
    </row>
    <row r="1062" spans="9:22" x14ac:dyDescent="0.45">
      <c r="I1062" t="s">
        <v>258</v>
      </c>
      <c r="J1062" t="s">
        <v>786</v>
      </c>
      <c r="K1062">
        <v>0</v>
      </c>
      <c r="L1062" t="s">
        <v>157</v>
      </c>
      <c r="N1062" t="s">
        <v>369</v>
      </c>
      <c r="O1062" t="s">
        <v>786</v>
      </c>
      <c r="P1062">
        <v>0.11968362565806714</v>
      </c>
      <c r="Q1062" t="s">
        <v>157</v>
      </c>
      <c r="S1062" t="s">
        <v>480</v>
      </c>
      <c r="T1062" t="s">
        <v>786</v>
      </c>
      <c r="U1062">
        <v>0.12499127315137569</v>
      </c>
      <c r="V1062" t="s">
        <v>157</v>
      </c>
    </row>
    <row r="1063" spans="9:22" x14ac:dyDescent="0.45">
      <c r="I1063" t="s">
        <v>258</v>
      </c>
      <c r="J1063" t="s">
        <v>787</v>
      </c>
      <c r="K1063">
        <v>1.8885102551626819E-3</v>
      </c>
      <c r="L1063" t="s">
        <v>157</v>
      </c>
      <c r="N1063" t="s">
        <v>369</v>
      </c>
      <c r="O1063" t="s">
        <v>787</v>
      </c>
      <c r="P1063">
        <v>2.1318285206834296E-2</v>
      </c>
      <c r="Q1063" t="s">
        <v>157</v>
      </c>
      <c r="S1063" t="s">
        <v>480</v>
      </c>
      <c r="T1063" t="s">
        <v>787</v>
      </c>
      <c r="U1063">
        <v>2.2025730653320932E-2</v>
      </c>
      <c r="V1063" t="s">
        <v>157</v>
      </c>
    </row>
    <row r="1064" spans="9:22" x14ac:dyDescent="0.45">
      <c r="I1064" t="s">
        <v>258</v>
      </c>
      <c r="J1064" t="s">
        <v>788</v>
      </c>
      <c r="K1064">
        <v>0.35155386809625161</v>
      </c>
      <c r="L1064" t="s">
        <v>157</v>
      </c>
      <c r="N1064" t="s">
        <v>369</v>
      </c>
      <c r="O1064" t="s">
        <v>788</v>
      </c>
      <c r="P1064">
        <v>0.10213602109456937</v>
      </c>
      <c r="Q1064" t="s">
        <v>157</v>
      </c>
      <c r="S1064" t="s">
        <v>480</v>
      </c>
      <c r="T1064" t="s">
        <v>788</v>
      </c>
      <c r="U1064">
        <v>0.10010811870041809</v>
      </c>
      <c r="V1064" t="s">
        <v>157</v>
      </c>
    </row>
    <row r="1065" spans="9:22" x14ac:dyDescent="0.45">
      <c r="I1065" t="s">
        <v>258</v>
      </c>
      <c r="J1065" t="s">
        <v>789</v>
      </c>
      <c r="K1065">
        <v>1.5316076471997111E-2</v>
      </c>
      <c r="L1065" t="s">
        <v>157</v>
      </c>
      <c r="N1065" t="s">
        <v>369</v>
      </c>
      <c r="O1065" t="s">
        <v>789</v>
      </c>
      <c r="P1065">
        <v>0.10509448606532688</v>
      </c>
      <c r="Q1065" t="s">
        <v>157</v>
      </c>
      <c r="S1065" t="s">
        <v>480</v>
      </c>
      <c r="T1065" t="s">
        <v>789</v>
      </c>
      <c r="U1065">
        <v>0.10018777206419062</v>
      </c>
      <c r="V1065" t="s">
        <v>157</v>
      </c>
    </row>
    <row r="1066" spans="9:22" x14ac:dyDescent="0.45">
      <c r="I1066" t="s">
        <v>258</v>
      </c>
      <c r="J1066" t="s">
        <v>790</v>
      </c>
      <c r="K1066">
        <v>4.7781357041597264E-2</v>
      </c>
      <c r="L1066" t="s">
        <v>157</v>
      </c>
      <c r="N1066" t="s">
        <v>369</v>
      </c>
      <c r="O1066" t="s">
        <v>790</v>
      </c>
      <c r="P1066">
        <v>1.8980786571286531E-2</v>
      </c>
      <c r="Q1066" t="s">
        <v>157</v>
      </c>
      <c r="S1066" t="s">
        <v>480</v>
      </c>
      <c r="T1066" t="s">
        <v>790</v>
      </c>
      <c r="U1066">
        <v>1.7981321278916079E-2</v>
      </c>
      <c r="V1066" t="s">
        <v>157</v>
      </c>
    </row>
    <row r="1067" spans="9:22" x14ac:dyDescent="0.45">
      <c r="I1067" t="s">
        <v>259</v>
      </c>
      <c r="J1067" t="s">
        <v>779</v>
      </c>
      <c r="K1067">
        <v>0.26183556764838989</v>
      </c>
      <c r="L1067" t="s">
        <v>157</v>
      </c>
      <c r="N1067" t="s">
        <v>370</v>
      </c>
      <c r="O1067" t="s">
        <v>779</v>
      </c>
      <c r="P1067">
        <v>0.14425122605871979</v>
      </c>
      <c r="Q1067" t="s">
        <v>157</v>
      </c>
      <c r="S1067" t="s">
        <v>481</v>
      </c>
      <c r="T1067" t="s">
        <v>779</v>
      </c>
      <c r="U1067">
        <v>0.13343922167207758</v>
      </c>
      <c r="V1067" t="s">
        <v>157</v>
      </c>
    </row>
    <row r="1068" spans="9:22" x14ac:dyDescent="0.45">
      <c r="I1068" t="s">
        <v>259</v>
      </c>
      <c r="J1068" t="s">
        <v>780</v>
      </c>
      <c r="K1068">
        <v>4.353890307690427E-3</v>
      </c>
      <c r="L1068" t="s">
        <v>157</v>
      </c>
      <c r="N1068" t="s">
        <v>370</v>
      </c>
      <c r="O1068" t="s">
        <v>780</v>
      </c>
      <c r="P1068">
        <v>0.13643397436403271</v>
      </c>
      <c r="Q1068" t="s">
        <v>157</v>
      </c>
      <c r="S1068" t="s">
        <v>481</v>
      </c>
      <c r="T1068" t="s">
        <v>780</v>
      </c>
      <c r="U1068">
        <v>0.11776109283930347</v>
      </c>
      <c r="V1068" t="s">
        <v>157</v>
      </c>
    </row>
    <row r="1069" spans="9:22" x14ac:dyDescent="0.45">
      <c r="I1069" t="s">
        <v>259</v>
      </c>
      <c r="J1069" t="s">
        <v>781</v>
      </c>
      <c r="K1069">
        <v>2.4155313978827406E-2</v>
      </c>
      <c r="L1069" t="s">
        <v>157</v>
      </c>
      <c r="N1069" t="s">
        <v>370</v>
      </c>
      <c r="O1069" t="s">
        <v>781</v>
      </c>
      <c r="P1069">
        <v>2.6785137755747715E-2</v>
      </c>
      <c r="Q1069" t="s">
        <v>157</v>
      </c>
      <c r="S1069" t="s">
        <v>481</v>
      </c>
      <c r="T1069" t="s">
        <v>781</v>
      </c>
      <c r="U1069">
        <v>2.4856678928231849E-2</v>
      </c>
      <c r="V1069" t="s">
        <v>157</v>
      </c>
    </row>
    <row r="1070" spans="9:22" x14ac:dyDescent="0.45">
      <c r="I1070" t="s">
        <v>259</v>
      </c>
      <c r="J1070" t="s">
        <v>782</v>
      </c>
      <c r="K1070">
        <v>0.17938829760459546</v>
      </c>
      <c r="L1070" t="s">
        <v>157</v>
      </c>
      <c r="N1070" t="s">
        <v>370</v>
      </c>
      <c r="O1070" t="s">
        <v>782</v>
      </c>
      <c r="P1070">
        <v>9.8791090592139988E-2</v>
      </c>
      <c r="Q1070" t="s">
        <v>157</v>
      </c>
      <c r="S1070" t="s">
        <v>481</v>
      </c>
      <c r="T1070" t="s">
        <v>782</v>
      </c>
      <c r="U1070">
        <v>0.10986199985427103</v>
      </c>
      <c r="V1070" t="s">
        <v>157</v>
      </c>
    </row>
    <row r="1071" spans="9:22" x14ac:dyDescent="0.45">
      <c r="I1071" t="s">
        <v>259</v>
      </c>
      <c r="J1071" t="s">
        <v>783</v>
      </c>
      <c r="K1071">
        <v>0</v>
      </c>
      <c r="L1071" t="s">
        <v>157</v>
      </c>
      <c r="N1071" t="s">
        <v>370</v>
      </c>
      <c r="O1071" t="s">
        <v>783</v>
      </c>
      <c r="P1071">
        <v>9.0828911708914176E-2</v>
      </c>
      <c r="Q1071" t="s">
        <v>157</v>
      </c>
      <c r="S1071" t="s">
        <v>481</v>
      </c>
      <c r="T1071" t="s">
        <v>783</v>
      </c>
      <c r="U1071">
        <v>0.11225424242989529</v>
      </c>
      <c r="V1071" t="s">
        <v>157</v>
      </c>
    </row>
    <row r="1072" spans="9:22" x14ac:dyDescent="0.45">
      <c r="I1072" t="s">
        <v>259</v>
      </c>
      <c r="J1072" t="s">
        <v>784</v>
      </c>
      <c r="K1072">
        <v>1.2225187526380679E-2</v>
      </c>
      <c r="L1072" t="s">
        <v>157</v>
      </c>
      <c r="N1072" t="s">
        <v>370</v>
      </c>
      <c r="O1072" t="s">
        <v>784</v>
      </c>
      <c r="P1072">
        <v>1.7698231227076658E-2</v>
      </c>
      <c r="Q1072" t="s">
        <v>157</v>
      </c>
      <c r="S1072" t="s">
        <v>481</v>
      </c>
      <c r="T1072" t="s">
        <v>784</v>
      </c>
      <c r="U1072">
        <v>2.0940243252850859E-2</v>
      </c>
      <c r="V1072" t="s">
        <v>157</v>
      </c>
    </row>
    <row r="1073" spans="9:22" x14ac:dyDescent="0.45">
      <c r="I1073" t="s">
        <v>259</v>
      </c>
      <c r="J1073" t="s">
        <v>785</v>
      </c>
      <c r="K1073">
        <v>0.10389063928781378</v>
      </c>
      <c r="L1073" t="s">
        <v>157</v>
      </c>
      <c r="N1073" t="s">
        <v>370</v>
      </c>
      <c r="O1073" t="s">
        <v>785</v>
      </c>
      <c r="P1073">
        <v>0.12543023803938416</v>
      </c>
      <c r="Q1073" t="s">
        <v>157</v>
      </c>
      <c r="S1073" t="s">
        <v>481</v>
      </c>
      <c r="T1073" t="s">
        <v>785</v>
      </c>
      <c r="U1073">
        <v>0.11360767648959731</v>
      </c>
      <c r="V1073" t="s">
        <v>157</v>
      </c>
    </row>
    <row r="1074" spans="9:22" x14ac:dyDescent="0.45">
      <c r="I1074" t="s">
        <v>259</v>
      </c>
      <c r="J1074" t="s">
        <v>786</v>
      </c>
      <c r="K1074">
        <v>0</v>
      </c>
      <c r="L1074" t="s">
        <v>157</v>
      </c>
      <c r="N1074" t="s">
        <v>370</v>
      </c>
      <c r="O1074" t="s">
        <v>786</v>
      </c>
      <c r="P1074">
        <v>0.12312503782325512</v>
      </c>
      <c r="Q1074" t="s">
        <v>157</v>
      </c>
      <c r="S1074" t="s">
        <v>481</v>
      </c>
      <c r="T1074" t="s">
        <v>786</v>
      </c>
      <c r="U1074">
        <v>0.12218479862452172</v>
      </c>
      <c r="V1074" t="s">
        <v>157</v>
      </c>
    </row>
    <row r="1075" spans="9:22" x14ac:dyDescent="0.45">
      <c r="I1075" t="s">
        <v>259</v>
      </c>
      <c r="J1075" t="s">
        <v>787</v>
      </c>
      <c r="K1075">
        <v>1.9214552002469005E-3</v>
      </c>
      <c r="L1075" t="s">
        <v>157</v>
      </c>
      <c r="N1075" t="s">
        <v>370</v>
      </c>
      <c r="O1075" t="s">
        <v>787</v>
      </c>
      <c r="P1075">
        <v>2.2526775608939644E-2</v>
      </c>
      <c r="Q1075" t="s">
        <v>157</v>
      </c>
      <c r="S1075" t="s">
        <v>481</v>
      </c>
      <c r="T1075" t="s">
        <v>787</v>
      </c>
      <c r="U1075">
        <v>2.1333491405899387E-2</v>
      </c>
      <c r="V1075" t="s">
        <v>157</v>
      </c>
    </row>
    <row r="1076" spans="9:22" x14ac:dyDescent="0.45">
      <c r="I1076" t="s">
        <v>259</v>
      </c>
      <c r="J1076" t="s">
        <v>788</v>
      </c>
      <c r="K1076">
        <v>0.34957033753344002</v>
      </c>
      <c r="L1076" t="s">
        <v>157</v>
      </c>
      <c r="N1076" t="s">
        <v>370</v>
      </c>
      <c r="O1076" t="s">
        <v>788</v>
      </c>
      <c r="P1076">
        <v>9.8220286704122764E-2</v>
      </c>
      <c r="Q1076" t="s">
        <v>157</v>
      </c>
      <c r="S1076" t="s">
        <v>481</v>
      </c>
      <c r="T1076" t="s">
        <v>788</v>
      </c>
      <c r="U1076">
        <v>0.105551717803712</v>
      </c>
      <c r="V1076" t="s">
        <v>157</v>
      </c>
    </row>
    <row r="1077" spans="9:22" x14ac:dyDescent="0.45">
      <c r="I1077" t="s">
        <v>259</v>
      </c>
      <c r="J1077" t="s">
        <v>789</v>
      </c>
      <c r="K1077">
        <v>1.4764426889089839E-2</v>
      </c>
      <c r="L1077" t="s">
        <v>157</v>
      </c>
      <c r="N1077" t="s">
        <v>370</v>
      </c>
      <c r="O1077" t="s">
        <v>789</v>
      </c>
      <c r="P1077">
        <v>9.7179099413130271E-2</v>
      </c>
      <c r="Q1077" t="s">
        <v>157</v>
      </c>
      <c r="S1077" t="s">
        <v>481</v>
      </c>
      <c r="T1077" t="s">
        <v>789</v>
      </c>
      <c r="U1077">
        <v>0.10014295793675267</v>
      </c>
      <c r="V1077" t="s">
        <v>157</v>
      </c>
    </row>
    <row r="1078" spans="9:22" x14ac:dyDescent="0.45">
      <c r="I1078" t="s">
        <v>259</v>
      </c>
      <c r="J1078" t="s">
        <v>790</v>
      </c>
      <c r="K1078">
        <v>4.7894884023525562E-2</v>
      </c>
      <c r="L1078" t="s">
        <v>157</v>
      </c>
      <c r="N1078" t="s">
        <v>370</v>
      </c>
      <c r="O1078" t="s">
        <v>790</v>
      </c>
      <c r="P1078">
        <v>1.8729990704537011E-2</v>
      </c>
      <c r="Q1078" t="s">
        <v>157</v>
      </c>
      <c r="S1078" t="s">
        <v>481</v>
      </c>
      <c r="T1078" t="s">
        <v>790</v>
      </c>
      <c r="U1078">
        <v>1.8065878762886817E-2</v>
      </c>
      <c r="V1078" t="s">
        <v>157</v>
      </c>
    </row>
    <row r="1079" spans="9:22" x14ac:dyDescent="0.45">
      <c r="I1079" t="s">
        <v>260</v>
      </c>
      <c r="J1079" t="s">
        <v>779</v>
      </c>
      <c r="K1079">
        <v>0.27668253637989199</v>
      </c>
      <c r="L1079" t="s">
        <v>157</v>
      </c>
      <c r="N1079" t="s">
        <v>371</v>
      </c>
      <c r="O1079" t="s">
        <v>779</v>
      </c>
      <c r="P1079">
        <v>0.1407160818839048</v>
      </c>
      <c r="Q1079" t="s">
        <v>157</v>
      </c>
      <c r="S1079" t="s">
        <v>482</v>
      </c>
      <c r="T1079" t="s">
        <v>779</v>
      </c>
      <c r="U1079">
        <v>0.13229233722183789</v>
      </c>
      <c r="V1079" t="s">
        <v>157</v>
      </c>
    </row>
    <row r="1080" spans="9:22" x14ac:dyDescent="0.45">
      <c r="I1080" t="s">
        <v>260</v>
      </c>
      <c r="J1080" t="s">
        <v>780</v>
      </c>
      <c r="K1080">
        <v>7.3489415204572462E-3</v>
      </c>
      <c r="L1080" t="s">
        <v>157</v>
      </c>
      <c r="N1080" t="s">
        <v>371</v>
      </c>
      <c r="O1080" t="s">
        <v>780</v>
      </c>
      <c r="P1080">
        <v>0.11554920732164124</v>
      </c>
      <c r="Q1080" t="s">
        <v>157</v>
      </c>
      <c r="S1080" t="s">
        <v>482</v>
      </c>
      <c r="T1080" t="s">
        <v>780</v>
      </c>
      <c r="U1080">
        <v>0.11732818770910733</v>
      </c>
      <c r="V1080" t="s">
        <v>157</v>
      </c>
    </row>
    <row r="1081" spans="9:22" x14ac:dyDescent="0.45">
      <c r="I1081" t="s">
        <v>260</v>
      </c>
      <c r="J1081" t="s">
        <v>781</v>
      </c>
      <c r="K1081">
        <v>3.5546349557903464E-2</v>
      </c>
      <c r="L1081" t="s">
        <v>157</v>
      </c>
      <c r="N1081" t="s">
        <v>371</v>
      </c>
      <c r="O1081" t="s">
        <v>781</v>
      </c>
      <c r="P1081">
        <v>2.5653611854207736E-2</v>
      </c>
      <c r="Q1081" t="s">
        <v>157</v>
      </c>
      <c r="S1081" t="s">
        <v>482</v>
      </c>
      <c r="T1081" t="s">
        <v>781</v>
      </c>
      <c r="U1081">
        <v>2.6198626336902418E-2</v>
      </c>
      <c r="V1081" t="s">
        <v>157</v>
      </c>
    </row>
    <row r="1082" spans="9:22" x14ac:dyDescent="0.45">
      <c r="I1082" t="s">
        <v>260</v>
      </c>
      <c r="J1082" t="s">
        <v>782</v>
      </c>
      <c r="K1082">
        <v>0.16263517286996187</v>
      </c>
      <c r="L1082" t="s">
        <v>157</v>
      </c>
      <c r="N1082" t="s">
        <v>371</v>
      </c>
      <c r="O1082" t="s">
        <v>782</v>
      </c>
      <c r="P1082">
        <v>0.10744867338947096</v>
      </c>
      <c r="Q1082" t="s">
        <v>157</v>
      </c>
      <c r="S1082" t="s">
        <v>482</v>
      </c>
      <c r="T1082" t="s">
        <v>782</v>
      </c>
      <c r="U1082">
        <v>9.5442105821600537E-2</v>
      </c>
      <c r="V1082" t="s">
        <v>157</v>
      </c>
    </row>
    <row r="1083" spans="9:22" x14ac:dyDescent="0.45">
      <c r="I1083" t="s">
        <v>260</v>
      </c>
      <c r="J1083" t="s">
        <v>783</v>
      </c>
      <c r="K1083">
        <v>0</v>
      </c>
      <c r="L1083" t="s">
        <v>157</v>
      </c>
      <c r="N1083" t="s">
        <v>371</v>
      </c>
      <c r="O1083" t="s">
        <v>783</v>
      </c>
      <c r="P1083">
        <v>0.10152181242823551</v>
      </c>
      <c r="Q1083" t="s">
        <v>157</v>
      </c>
      <c r="S1083" t="s">
        <v>482</v>
      </c>
      <c r="T1083" t="s">
        <v>783</v>
      </c>
      <c r="U1083">
        <v>9.0600718752065212E-2</v>
      </c>
      <c r="V1083" t="s">
        <v>157</v>
      </c>
    </row>
    <row r="1084" spans="9:22" x14ac:dyDescent="0.45">
      <c r="I1084" t="s">
        <v>260</v>
      </c>
      <c r="J1084" t="s">
        <v>784</v>
      </c>
      <c r="K1084">
        <v>1.8076191917988167E-2</v>
      </c>
      <c r="L1084" t="s">
        <v>157</v>
      </c>
      <c r="N1084" t="s">
        <v>371</v>
      </c>
      <c r="O1084" t="s">
        <v>784</v>
      </c>
      <c r="P1084">
        <v>1.9455096786738079E-2</v>
      </c>
      <c r="Q1084" t="s">
        <v>157</v>
      </c>
      <c r="S1084" t="s">
        <v>482</v>
      </c>
      <c r="T1084" t="s">
        <v>784</v>
      </c>
      <c r="U1084">
        <v>1.8624028974059601E-2</v>
      </c>
      <c r="V1084" t="s">
        <v>157</v>
      </c>
    </row>
    <row r="1085" spans="9:22" x14ac:dyDescent="0.45">
      <c r="I1085" t="s">
        <v>260</v>
      </c>
      <c r="J1085" t="s">
        <v>785</v>
      </c>
      <c r="K1085">
        <v>9.0143296939647066E-2</v>
      </c>
      <c r="L1085" t="s">
        <v>157</v>
      </c>
      <c r="N1085" t="s">
        <v>371</v>
      </c>
      <c r="O1085" t="s">
        <v>785</v>
      </c>
      <c r="P1085">
        <v>0.12840488219242427</v>
      </c>
      <c r="Q1085" t="s">
        <v>157</v>
      </c>
      <c r="S1085" t="s">
        <v>482</v>
      </c>
      <c r="T1085" t="s">
        <v>785</v>
      </c>
      <c r="U1085">
        <v>0.13102816074400919</v>
      </c>
      <c r="V1085" t="s">
        <v>157</v>
      </c>
    </row>
    <row r="1086" spans="9:22" x14ac:dyDescent="0.45">
      <c r="I1086" t="s">
        <v>260</v>
      </c>
      <c r="J1086" t="s">
        <v>786</v>
      </c>
      <c r="K1086">
        <v>0</v>
      </c>
      <c r="L1086" t="s">
        <v>157</v>
      </c>
      <c r="N1086" t="s">
        <v>371</v>
      </c>
      <c r="O1086" t="s">
        <v>786</v>
      </c>
      <c r="P1086">
        <v>0.12626829089798194</v>
      </c>
      <c r="Q1086" t="s">
        <v>157</v>
      </c>
      <c r="S1086" t="s">
        <v>482</v>
      </c>
      <c r="T1086" t="s">
        <v>786</v>
      </c>
      <c r="U1086">
        <v>0.12648954299105244</v>
      </c>
      <c r="V1086" t="s">
        <v>157</v>
      </c>
    </row>
    <row r="1087" spans="9:22" x14ac:dyDescent="0.45">
      <c r="I1087" t="s">
        <v>260</v>
      </c>
      <c r="J1087" t="s">
        <v>787</v>
      </c>
      <c r="K1087">
        <v>3.8713125227581671E-3</v>
      </c>
      <c r="L1087" t="s">
        <v>157</v>
      </c>
      <c r="N1087" t="s">
        <v>371</v>
      </c>
      <c r="O1087" t="s">
        <v>787</v>
      </c>
      <c r="P1087">
        <v>2.2776792571617039E-2</v>
      </c>
      <c r="Q1087" t="s">
        <v>157</v>
      </c>
      <c r="S1087" t="s">
        <v>482</v>
      </c>
      <c r="T1087" t="s">
        <v>787</v>
      </c>
      <c r="U1087">
        <v>2.3296333251503099E-2</v>
      </c>
      <c r="V1087" t="s">
        <v>157</v>
      </c>
    </row>
    <row r="1088" spans="9:22" x14ac:dyDescent="0.45">
      <c r="I1088" t="s">
        <v>260</v>
      </c>
      <c r="J1088" t="s">
        <v>788</v>
      </c>
      <c r="K1088">
        <v>0.33366639411913818</v>
      </c>
      <c r="L1088" t="s">
        <v>157</v>
      </c>
      <c r="N1088" t="s">
        <v>371</v>
      </c>
      <c r="O1088" t="s">
        <v>788</v>
      </c>
      <c r="P1088">
        <v>0.10289788546985344</v>
      </c>
      <c r="Q1088" t="s">
        <v>157</v>
      </c>
      <c r="S1088" t="s">
        <v>482</v>
      </c>
      <c r="T1088" t="s">
        <v>788</v>
      </c>
      <c r="U1088">
        <v>0.11784155622302794</v>
      </c>
      <c r="V1088" t="s">
        <v>157</v>
      </c>
    </row>
    <row r="1089" spans="9:22" x14ac:dyDescent="0.45">
      <c r="I1089" t="s">
        <v>260</v>
      </c>
      <c r="J1089" t="s">
        <v>789</v>
      </c>
      <c r="K1089">
        <v>1.9644782512548625E-2</v>
      </c>
      <c r="L1089" t="s">
        <v>157</v>
      </c>
      <c r="N1089" t="s">
        <v>371</v>
      </c>
      <c r="O1089" t="s">
        <v>789</v>
      </c>
      <c r="P1089">
        <v>8.9597027919858144E-2</v>
      </c>
      <c r="Q1089" t="s">
        <v>157</v>
      </c>
      <c r="S1089" t="s">
        <v>482</v>
      </c>
      <c r="T1089" t="s">
        <v>789</v>
      </c>
      <c r="U1089">
        <v>9.7833884500585847E-2</v>
      </c>
      <c r="V1089" t="s">
        <v>157</v>
      </c>
    </row>
    <row r="1090" spans="9:22" x14ac:dyDescent="0.45">
      <c r="I1090" t="s">
        <v>260</v>
      </c>
      <c r="J1090" t="s">
        <v>790</v>
      </c>
      <c r="K1090">
        <v>5.2385021659705169E-2</v>
      </c>
      <c r="L1090" t="s">
        <v>157</v>
      </c>
      <c r="N1090" t="s">
        <v>371</v>
      </c>
      <c r="O1090" t="s">
        <v>790</v>
      </c>
      <c r="P1090">
        <v>1.9710637284066749E-2</v>
      </c>
      <c r="Q1090" t="s">
        <v>157</v>
      </c>
      <c r="S1090" t="s">
        <v>482</v>
      </c>
      <c r="T1090" t="s">
        <v>790</v>
      </c>
      <c r="U1090">
        <v>2.3024517474248482E-2</v>
      </c>
      <c r="V1090" t="s">
        <v>157</v>
      </c>
    </row>
    <row r="1091" spans="9:22" x14ac:dyDescent="0.45">
      <c r="I1091" t="s">
        <v>261</v>
      </c>
      <c r="J1091" t="s">
        <v>779</v>
      </c>
      <c r="K1091">
        <v>0.26090904159352635</v>
      </c>
      <c r="L1091" t="s">
        <v>157</v>
      </c>
      <c r="N1091" t="s">
        <v>372</v>
      </c>
      <c r="O1091" t="s">
        <v>779</v>
      </c>
      <c r="P1091">
        <v>0.1427537947870467</v>
      </c>
      <c r="Q1091" t="s">
        <v>157</v>
      </c>
      <c r="S1091" t="s">
        <v>483</v>
      </c>
      <c r="T1091" t="s">
        <v>779</v>
      </c>
      <c r="U1091">
        <v>0.12644052133776501</v>
      </c>
      <c r="V1091" t="s">
        <v>157</v>
      </c>
    </row>
    <row r="1092" spans="9:22" x14ac:dyDescent="0.45">
      <c r="I1092" t="s">
        <v>261</v>
      </c>
      <c r="J1092" t="s">
        <v>780</v>
      </c>
      <c r="K1092">
        <v>4.3735366742912677E-3</v>
      </c>
      <c r="L1092" t="s">
        <v>157</v>
      </c>
      <c r="N1092" t="s">
        <v>372</v>
      </c>
      <c r="O1092" t="s">
        <v>780</v>
      </c>
      <c r="P1092">
        <v>0.13902712650391705</v>
      </c>
      <c r="Q1092" t="s">
        <v>157</v>
      </c>
      <c r="S1092" t="s">
        <v>483</v>
      </c>
      <c r="T1092" t="s">
        <v>780</v>
      </c>
      <c r="U1092">
        <v>0.12399356380754673</v>
      </c>
      <c r="V1092" t="s">
        <v>157</v>
      </c>
    </row>
    <row r="1093" spans="9:22" x14ac:dyDescent="0.45">
      <c r="I1093" t="s">
        <v>261</v>
      </c>
      <c r="J1093" t="s">
        <v>781</v>
      </c>
      <c r="K1093">
        <v>2.3986384237814799E-2</v>
      </c>
      <c r="L1093" t="s">
        <v>157</v>
      </c>
      <c r="N1093" t="s">
        <v>372</v>
      </c>
      <c r="O1093" t="s">
        <v>781</v>
      </c>
      <c r="P1093">
        <v>2.7072391991984378E-2</v>
      </c>
      <c r="Q1093" t="s">
        <v>157</v>
      </c>
      <c r="S1093" t="s">
        <v>483</v>
      </c>
      <c r="T1093" t="s">
        <v>781</v>
      </c>
      <c r="U1093">
        <v>2.6155123957495977E-2</v>
      </c>
      <c r="V1093" t="s">
        <v>157</v>
      </c>
    </row>
    <row r="1094" spans="9:22" x14ac:dyDescent="0.45">
      <c r="I1094" t="s">
        <v>261</v>
      </c>
      <c r="J1094" t="s">
        <v>782</v>
      </c>
      <c r="K1094">
        <v>0.18291231684893319</v>
      </c>
      <c r="L1094" t="s">
        <v>157</v>
      </c>
      <c r="N1094" t="s">
        <v>372</v>
      </c>
      <c r="O1094" t="s">
        <v>782</v>
      </c>
      <c r="P1094">
        <v>9.3660790794486221E-2</v>
      </c>
      <c r="Q1094" t="s">
        <v>157</v>
      </c>
      <c r="S1094" t="s">
        <v>483</v>
      </c>
      <c r="T1094" t="s">
        <v>782</v>
      </c>
      <c r="U1094">
        <v>0.10059274956217648</v>
      </c>
      <c r="V1094" t="s">
        <v>157</v>
      </c>
    </row>
    <row r="1095" spans="9:22" x14ac:dyDescent="0.45">
      <c r="I1095" t="s">
        <v>261</v>
      </c>
      <c r="J1095" t="s">
        <v>783</v>
      </c>
      <c r="K1095">
        <v>0</v>
      </c>
      <c r="L1095" t="s">
        <v>157</v>
      </c>
      <c r="N1095" t="s">
        <v>372</v>
      </c>
      <c r="O1095" t="s">
        <v>783</v>
      </c>
      <c r="P1095">
        <v>9.223135142820886E-2</v>
      </c>
      <c r="Q1095" t="s">
        <v>157</v>
      </c>
      <c r="S1095" t="s">
        <v>483</v>
      </c>
      <c r="T1095" t="s">
        <v>783</v>
      </c>
      <c r="U1095">
        <v>9.3661756422411938E-2</v>
      </c>
      <c r="V1095" t="s">
        <v>157</v>
      </c>
    </row>
    <row r="1096" spans="9:22" x14ac:dyDescent="0.45">
      <c r="I1096" t="s">
        <v>261</v>
      </c>
      <c r="J1096" t="s">
        <v>784</v>
      </c>
      <c r="K1096">
        <v>1.2200842511259625E-2</v>
      </c>
      <c r="L1096" t="s">
        <v>157</v>
      </c>
      <c r="N1096" t="s">
        <v>372</v>
      </c>
      <c r="O1096" t="s">
        <v>784</v>
      </c>
      <c r="P1096">
        <v>1.8053424886866724E-2</v>
      </c>
      <c r="Q1096" t="s">
        <v>157</v>
      </c>
      <c r="S1096" t="s">
        <v>483</v>
      </c>
      <c r="T1096" t="s">
        <v>784</v>
      </c>
      <c r="U1096">
        <v>1.9329458638176585E-2</v>
      </c>
      <c r="V1096" t="s">
        <v>157</v>
      </c>
    </row>
    <row r="1097" spans="9:22" x14ac:dyDescent="0.45">
      <c r="I1097" t="s">
        <v>261</v>
      </c>
      <c r="J1097" t="s">
        <v>785</v>
      </c>
      <c r="K1097">
        <v>0.10473088152279401</v>
      </c>
      <c r="L1097" t="s">
        <v>157</v>
      </c>
      <c r="N1097" t="s">
        <v>372</v>
      </c>
      <c r="O1097" t="s">
        <v>785</v>
      </c>
      <c r="P1097">
        <v>0.12658014694024794</v>
      </c>
      <c r="Q1097" t="s">
        <v>157</v>
      </c>
      <c r="S1097" t="s">
        <v>483</v>
      </c>
      <c r="T1097" t="s">
        <v>785</v>
      </c>
      <c r="U1097">
        <v>0.12322741507587459</v>
      </c>
      <c r="V1097" t="s">
        <v>157</v>
      </c>
    </row>
    <row r="1098" spans="9:22" x14ac:dyDescent="0.45">
      <c r="I1098" t="s">
        <v>261</v>
      </c>
      <c r="J1098" t="s">
        <v>786</v>
      </c>
      <c r="K1098">
        <v>0</v>
      </c>
      <c r="L1098" t="s">
        <v>157</v>
      </c>
      <c r="N1098" t="s">
        <v>372</v>
      </c>
      <c r="O1098" t="s">
        <v>786</v>
      </c>
      <c r="P1098">
        <v>0.12744890170390188</v>
      </c>
      <c r="Q1098" t="s">
        <v>157</v>
      </c>
      <c r="S1098" t="s">
        <v>483</v>
      </c>
      <c r="T1098" t="s">
        <v>786</v>
      </c>
      <c r="U1098">
        <v>0.1201094000348167</v>
      </c>
      <c r="V1098" t="s">
        <v>157</v>
      </c>
    </row>
    <row r="1099" spans="9:22" x14ac:dyDescent="0.45">
      <c r="I1099" t="s">
        <v>261</v>
      </c>
      <c r="J1099" t="s">
        <v>787</v>
      </c>
      <c r="K1099">
        <v>1.9724145265490422E-3</v>
      </c>
      <c r="L1099" t="s">
        <v>157</v>
      </c>
      <c r="N1099" t="s">
        <v>372</v>
      </c>
      <c r="O1099" t="s">
        <v>787</v>
      </c>
      <c r="P1099">
        <v>2.3271164760742948E-2</v>
      </c>
      <c r="Q1099" t="s">
        <v>157</v>
      </c>
      <c r="S1099" t="s">
        <v>483</v>
      </c>
      <c r="T1099" t="s">
        <v>787</v>
      </c>
      <c r="U1099">
        <v>2.2165163390861567E-2</v>
      </c>
      <c r="V1099" t="s">
        <v>157</v>
      </c>
    </row>
    <row r="1100" spans="9:22" x14ac:dyDescent="0.45">
      <c r="I1100" t="s">
        <v>261</v>
      </c>
      <c r="J1100" t="s">
        <v>788</v>
      </c>
      <c r="K1100">
        <v>0.34696637953435094</v>
      </c>
      <c r="L1100" t="s">
        <v>157</v>
      </c>
      <c r="N1100" t="s">
        <v>372</v>
      </c>
      <c r="O1100" t="s">
        <v>788</v>
      </c>
      <c r="P1100">
        <v>9.6145962550925196E-2</v>
      </c>
      <c r="Q1100" t="s">
        <v>157</v>
      </c>
      <c r="S1100" t="s">
        <v>483</v>
      </c>
      <c r="T1100" t="s">
        <v>788</v>
      </c>
      <c r="U1100">
        <v>0.11501153060207278</v>
      </c>
      <c r="V1100" t="s">
        <v>157</v>
      </c>
    </row>
    <row r="1101" spans="9:22" x14ac:dyDescent="0.45">
      <c r="I1101" t="s">
        <v>261</v>
      </c>
      <c r="J1101" t="s">
        <v>789</v>
      </c>
      <c r="K1101">
        <v>1.4413806904399605E-2</v>
      </c>
      <c r="L1101" t="s">
        <v>157</v>
      </c>
      <c r="N1101" t="s">
        <v>372</v>
      </c>
      <c r="O1101" t="s">
        <v>789</v>
      </c>
      <c r="P1101">
        <v>9.4794795953266509E-2</v>
      </c>
      <c r="Q1101" t="s">
        <v>157</v>
      </c>
      <c r="S1101" t="s">
        <v>483</v>
      </c>
      <c r="T1101" t="s">
        <v>789</v>
      </c>
      <c r="U1101">
        <v>0.10613853796576203</v>
      </c>
      <c r="V1101" t="s">
        <v>157</v>
      </c>
    </row>
    <row r="1102" spans="9:22" x14ac:dyDescent="0.45">
      <c r="I1102" t="s">
        <v>261</v>
      </c>
      <c r="J1102" t="s">
        <v>790</v>
      </c>
      <c r="K1102">
        <v>4.7534395646081119E-2</v>
      </c>
      <c r="L1102" t="s">
        <v>157</v>
      </c>
      <c r="N1102" t="s">
        <v>372</v>
      </c>
      <c r="O1102" t="s">
        <v>790</v>
      </c>
      <c r="P1102">
        <v>1.8960147698405615E-2</v>
      </c>
      <c r="Q1102" t="s">
        <v>157</v>
      </c>
      <c r="S1102" t="s">
        <v>483</v>
      </c>
      <c r="T1102" t="s">
        <v>790</v>
      </c>
      <c r="U1102">
        <v>2.3174779205039631E-2</v>
      </c>
      <c r="V1102" t="s">
        <v>157</v>
      </c>
    </row>
    <row r="1103" spans="9:22" x14ac:dyDescent="0.45">
      <c r="I1103" t="s">
        <v>262</v>
      </c>
      <c r="J1103" t="s">
        <v>779</v>
      </c>
      <c r="K1103">
        <v>0.25733658310776614</v>
      </c>
      <c r="L1103" t="s">
        <v>157</v>
      </c>
      <c r="N1103" t="s">
        <v>373</v>
      </c>
      <c r="O1103" t="s">
        <v>779</v>
      </c>
      <c r="P1103">
        <v>0.14199616103554596</v>
      </c>
      <c r="Q1103" t="s">
        <v>157</v>
      </c>
      <c r="S1103" t="s">
        <v>484</v>
      </c>
      <c r="T1103" t="s">
        <v>779</v>
      </c>
      <c r="U1103">
        <v>0.12492147637175509</v>
      </c>
      <c r="V1103" t="s">
        <v>157</v>
      </c>
    </row>
    <row r="1104" spans="9:22" x14ac:dyDescent="0.45">
      <c r="I1104" t="s">
        <v>262</v>
      </c>
      <c r="J1104" t="s">
        <v>780</v>
      </c>
      <c r="K1104">
        <v>4.4218514145460339E-3</v>
      </c>
      <c r="L1104" t="s">
        <v>157</v>
      </c>
      <c r="N1104" t="s">
        <v>373</v>
      </c>
      <c r="O1104" t="s">
        <v>780</v>
      </c>
      <c r="P1104">
        <v>0.13788557252753827</v>
      </c>
      <c r="Q1104" t="s">
        <v>157</v>
      </c>
      <c r="S1104" t="s">
        <v>484</v>
      </c>
      <c r="T1104" t="s">
        <v>780</v>
      </c>
      <c r="U1104">
        <v>0.12824401588530221</v>
      </c>
      <c r="V1104" t="s">
        <v>157</v>
      </c>
    </row>
    <row r="1105" spans="9:22" x14ac:dyDescent="0.45">
      <c r="I1105" t="s">
        <v>262</v>
      </c>
      <c r="J1105" t="s">
        <v>781</v>
      </c>
      <c r="K1105">
        <v>2.348511433978227E-2</v>
      </c>
      <c r="L1105" t="s">
        <v>157</v>
      </c>
      <c r="N1105" t="s">
        <v>373</v>
      </c>
      <c r="O1105" t="s">
        <v>781</v>
      </c>
      <c r="P1105">
        <v>2.6752877975685187E-2</v>
      </c>
      <c r="Q1105" t="s">
        <v>157</v>
      </c>
      <c r="S1105" t="s">
        <v>484</v>
      </c>
      <c r="T1105" t="s">
        <v>781</v>
      </c>
      <c r="U1105">
        <v>2.5209008831963878E-2</v>
      </c>
      <c r="V1105" t="s">
        <v>157</v>
      </c>
    </row>
    <row r="1106" spans="9:22" x14ac:dyDescent="0.45">
      <c r="I1106" t="s">
        <v>262</v>
      </c>
      <c r="J1106" t="s">
        <v>782</v>
      </c>
      <c r="K1106">
        <v>0.18887661039687251</v>
      </c>
      <c r="L1106" t="s">
        <v>157</v>
      </c>
      <c r="N1106" t="s">
        <v>373</v>
      </c>
      <c r="O1106" t="s">
        <v>782</v>
      </c>
      <c r="P1106">
        <v>9.4846622794754032E-2</v>
      </c>
      <c r="Q1106" t="s">
        <v>157</v>
      </c>
      <c r="S1106" t="s">
        <v>484</v>
      </c>
      <c r="T1106" t="s">
        <v>782</v>
      </c>
      <c r="U1106">
        <v>0.10343733156512269</v>
      </c>
      <c r="V1106" t="s">
        <v>157</v>
      </c>
    </row>
    <row r="1107" spans="9:22" x14ac:dyDescent="0.45">
      <c r="I1107" t="s">
        <v>262</v>
      </c>
      <c r="J1107" t="s">
        <v>783</v>
      </c>
      <c r="K1107">
        <v>0</v>
      </c>
      <c r="L1107" t="s">
        <v>157</v>
      </c>
      <c r="N1107" t="s">
        <v>373</v>
      </c>
      <c r="O1107" t="s">
        <v>783</v>
      </c>
      <c r="P1107">
        <v>9.3537721622834663E-2</v>
      </c>
      <c r="Q1107" t="s">
        <v>157</v>
      </c>
      <c r="S1107" t="s">
        <v>484</v>
      </c>
      <c r="T1107" t="s">
        <v>783</v>
      </c>
      <c r="U1107">
        <v>9.6413845644834892E-2</v>
      </c>
      <c r="V1107" t="s">
        <v>157</v>
      </c>
    </row>
    <row r="1108" spans="9:22" x14ac:dyDescent="0.45">
      <c r="I1108" t="s">
        <v>262</v>
      </c>
      <c r="J1108" t="s">
        <v>784</v>
      </c>
      <c r="K1108">
        <v>1.2259995588684406E-2</v>
      </c>
      <c r="L1108" t="s">
        <v>157</v>
      </c>
      <c r="N1108" t="s">
        <v>373</v>
      </c>
      <c r="O1108" t="s">
        <v>784</v>
      </c>
      <c r="P1108">
        <v>1.8403463184944246E-2</v>
      </c>
      <c r="Q1108" t="s">
        <v>157</v>
      </c>
      <c r="S1108" t="s">
        <v>484</v>
      </c>
      <c r="T1108" t="s">
        <v>784</v>
      </c>
      <c r="U1108">
        <v>1.8984807863211505E-2</v>
      </c>
      <c r="V1108" t="s">
        <v>157</v>
      </c>
    </row>
    <row r="1109" spans="9:22" x14ac:dyDescent="0.45">
      <c r="I1109" t="s">
        <v>262</v>
      </c>
      <c r="J1109" t="s">
        <v>785</v>
      </c>
      <c r="K1109">
        <v>0.10455893759552445</v>
      </c>
      <c r="L1109" t="s">
        <v>157</v>
      </c>
      <c r="N1109" t="s">
        <v>373</v>
      </c>
      <c r="O1109" t="s">
        <v>785</v>
      </c>
      <c r="P1109">
        <v>0.12662084631856707</v>
      </c>
      <c r="Q1109" t="s">
        <v>157</v>
      </c>
      <c r="S1109" t="s">
        <v>484</v>
      </c>
      <c r="T1109" t="s">
        <v>785</v>
      </c>
      <c r="U1109">
        <v>0.12863680542886166</v>
      </c>
      <c r="V1109" t="s">
        <v>157</v>
      </c>
    </row>
    <row r="1110" spans="9:22" x14ac:dyDescent="0.45">
      <c r="I1110" t="s">
        <v>262</v>
      </c>
      <c r="J1110" t="s">
        <v>786</v>
      </c>
      <c r="K1110">
        <v>0</v>
      </c>
      <c r="L1110" t="s">
        <v>157</v>
      </c>
      <c r="N1110" t="s">
        <v>373</v>
      </c>
      <c r="O1110" t="s">
        <v>786</v>
      </c>
      <c r="P1110">
        <v>0.1268559968918265</v>
      </c>
      <c r="Q1110" t="s">
        <v>157</v>
      </c>
      <c r="S1110" t="s">
        <v>484</v>
      </c>
      <c r="T1110" t="s">
        <v>786</v>
      </c>
      <c r="U1110">
        <v>0.12150336010450763</v>
      </c>
      <c r="V1110" t="s">
        <v>157</v>
      </c>
    </row>
    <row r="1111" spans="9:22" x14ac:dyDescent="0.45">
      <c r="I1111" t="s">
        <v>262</v>
      </c>
      <c r="J1111" t="s">
        <v>787</v>
      </c>
      <c r="K1111">
        <v>2.027677824579033E-3</v>
      </c>
      <c r="L1111" t="s">
        <v>157</v>
      </c>
      <c r="N1111" t="s">
        <v>373</v>
      </c>
      <c r="O1111" t="s">
        <v>787</v>
      </c>
      <c r="P1111">
        <v>2.28233981522479E-2</v>
      </c>
      <c r="Q1111" t="s">
        <v>157</v>
      </c>
      <c r="S1111" t="s">
        <v>484</v>
      </c>
      <c r="T1111" t="s">
        <v>787</v>
      </c>
      <c r="U1111">
        <v>2.2358653460491762E-2</v>
      </c>
      <c r="V1111" t="s">
        <v>157</v>
      </c>
    </row>
    <row r="1112" spans="9:22" x14ac:dyDescent="0.45">
      <c r="I1112" t="s">
        <v>262</v>
      </c>
      <c r="J1112" t="s">
        <v>788</v>
      </c>
      <c r="K1112">
        <v>0.34553449472416781</v>
      </c>
      <c r="L1112" t="s">
        <v>157</v>
      </c>
      <c r="N1112" t="s">
        <v>373</v>
      </c>
      <c r="O1112" t="s">
        <v>788</v>
      </c>
      <c r="P1112">
        <v>9.8690091373143843E-2</v>
      </c>
      <c r="Q1112" t="s">
        <v>157</v>
      </c>
      <c r="S1112" t="s">
        <v>484</v>
      </c>
      <c r="T1112" t="s">
        <v>788</v>
      </c>
      <c r="U1112">
        <v>0.10399272750169705</v>
      </c>
      <c r="V1112" t="s">
        <v>157</v>
      </c>
    </row>
    <row r="1113" spans="9:22" x14ac:dyDescent="0.45">
      <c r="I1113" t="s">
        <v>262</v>
      </c>
      <c r="J1113" t="s">
        <v>789</v>
      </c>
      <c r="K1113">
        <v>1.4064936223274848E-2</v>
      </c>
      <c r="L1113" t="s">
        <v>157</v>
      </c>
      <c r="N1113" t="s">
        <v>373</v>
      </c>
      <c r="O1113" t="s">
        <v>789</v>
      </c>
      <c r="P1113">
        <v>9.2222545558434524E-2</v>
      </c>
      <c r="Q1113" t="s">
        <v>157</v>
      </c>
      <c r="S1113" t="s">
        <v>484</v>
      </c>
      <c r="T1113" t="s">
        <v>789</v>
      </c>
      <c r="U1113">
        <v>0.10584774801974926</v>
      </c>
      <c r="V1113" t="s">
        <v>157</v>
      </c>
    </row>
    <row r="1114" spans="9:22" x14ac:dyDescent="0.45">
      <c r="I1114" t="s">
        <v>262</v>
      </c>
      <c r="J1114" t="s">
        <v>790</v>
      </c>
      <c r="K1114">
        <v>4.7433798784802535E-2</v>
      </c>
      <c r="L1114" t="s">
        <v>157</v>
      </c>
      <c r="N1114" t="s">
        <v>373</v>
      </c>
      <c r="O1114" t="s">
        <v>790</v>
      </c>
      <c r="P1114">
        <v>1.9364702564477844E-2</v>
      </c>
      <c r="Q1114" t="s">
        <v>157</v>
      </c>
      <c r="S1114" t="s">
        <v>484</v>
      </c>
      <c r="T1114" t="s">
        <v>790</v>
      </c>
      <c r="U1114">
        <v>2.0450219322502315E-2</v>
      </c>
      <c r="V1114" t="s">
        <v>157</v>
      </c>
    </row>
    <row r="1115" spans="9:22" x14ac:dyDescent="0.45">
      <c r="I1115" t="s">
        <v>263</v>
      </c>
      <c r="J1115" t="s">
        <v>779</v>
      </c>
      <c r="K1115">
        <v>0.25489677253796245</v>
      </c>
      <c r="L1115" t="s">
        <v>157</v>
      </c>
      <c r="N1115" t="s">
        <v>374</v>
      </c>
      <c r="O1115" t="s">
        <v>779</v>
      </c>
      <c r="P1115">
        <v>0.15109046097678677</v>
      </c>
      <c r="Q1115" t="s">
        <v>157</v>
      </c>
      <c r="S1115" t="s">
        <v>485</v>
      </c>
      <c r="T1115" t="s">
        <v>779</v>
      </c>
      <c r="U1115">
        <v>0.12655982019554762</v>
      </c>
      <c r="V1115" t="s">
        <v>157</v>
      </c>
    </row>
    <row r="1116" spans="9:22" x14ac:dyDescent="0.45">
      <c r="I1116" t="s">
        <v>263</v>
      </c>
      <c r="J1116" t="s">
        <v>780</v>
      </c>
      <c r="K1116">
        <v>4.7654911331951062E-3</v>
      </c>
      <c r="L1116" t="s">
        <v>157</v>
      </c>
      <c r="N1116" t="s">
        <v>374</v>
      </c>
      <c r="O1116" t="s">
        <v>780</v>
      </c>
      <c r="P1116">
        <v>0.13612000049772197</v>
      </c>
      <c r="Q1116" t="s">
        <v>157</v>
      </c>
      <c r="S1116" t="s">
        <v>485</v>
      </c>
      <c r="T1116" t="s">
        <v>780</v>
      </c>
      <c r="U1116">
        <v>0.12986612190472946</v>
      </c>
      <c r="V1116" t="s">
        <v>157</v>
      </c>
    </row>
    <row r="1117" spans="9:22" x14ac:dyDescent="0.45">
      <c r="I1117" t="s">
        <v>263</v>
      </c>
      <c r="J1117" t="s">
        <v>781</v>
      </c>
      <c r="K1117">
        <v>2.307869224739232E-2</v>
      </c>
      <c r="L1117" t="s">
        <v>157</v>
      </c>
      <c r="N1117" t="s">
        <v>374</v>
      </c>
      <c r="O1117" t="s">
        <v>781</v>
      </c>
      <c r="P1117">
        <v>2.7377764256096733E-2</v>
      </c>
      <c r="Q1117" t="s">
        <v>157</v>
      </c>
      <c r="S1117" t="s">
        <v>485</v>
      </c>
      <c r="T1117" t="s">
        <v>781</v>
      </c>
      <c r="U1117">
        <v>2.5227165340785764E-2</v>
      </c>
      <c r="V1117" t="s">
        <v>157</v>
      </c>
    </row>
    <row r="1118" spans="9:22" x14ac:dyDescent="0.45">
      <c r="I1118" t="s">
        <v>263</v>
      </c>
      <c r="J1118" t="s">
        <v>782</v>
      </c>
      <c r="K1118">
        <v>0.19226012242588378</v>
      </c>
      <c r="L1118" t="s">
        <v>157</v>
      </c>
      <c r="N1118" t="s">
        <v>374</v>
      </c>
      <c r="O1118" t="s">
        <v>782</v>
      </c>
      <c r="P1118">
        <v>0.10136855548896825</v>
      </c>
      <c r="Q1118" t="s">
        <v>157</v>
      </c>
      <c r="S1118" t="s">
        <v>485</v>
      </c>
      <c r="T1118" t="s">
        <v>782</v>
      </c>
      <c r="U1118">
        <v>0.10329352435893013</v>
      </c>
      <c r="V1118" t="s">
        <v>157</v>
      </c>
    </row>
    <row r="1119" spans="9:22" x14ac:dyDescent="0.45">
      <c r="I1119" t="s">
        <v>263</v>
      </c>
      <c r="J1119" t="s">
        <v>783</v>
      </c>
      <c r="K1119">
        <v>0</v>
      </c>
      <c r="L1119" t="s">
        <v>157</v>
      </c>
      <c r="N1119" t="s">
        <v>374</v>
      </c>
      <c r="O1119" t="s">
        <v>783</v>
      </c>
      <c r="P1119">
        <v>9.1434340173801615E-2</v>
      </c>
      <c r="Q1119" t="s">
        <v>157</v>
      </c>
      <c r="S1119" t="s">
        <v>485</v>
      </c>
      <c r="T1119" t="s">
        <v>783</v>
      </c>
      <c r="U1119">
        <v>9.9618290651990224E-2</v>
      </c>
      <c r="V1119" t="s">
        <v>157</v>
      </c>
    </row>
    <row r="1120" spans="9:22" x14ac:dyDescent="0.45">
      <c r="I1120" t="s">
        <v>263</v>
      </c>
      <c r="J1120" t="s">
        <v>784</v>
      </c>
      <c r="K1120">
        <v>1.2174420210070298E-2</v>
      </c>
      <c r="L1120" t="s">
        <v>157</v>
      </c>
      <c r="N1120" t="s">
        <v>374</v>
      </c>
      <c r="O1120" t="s">
        <v>784</v>
      </c>
      <c r="P1120">
        <v>1.902659552762026E-2</v>
      </c>
      <c r="Q1120" t="s">
        <v>157</v>
      </c>
      <c r="S1120" t="s">
        <v>485</v>
      </c>
      <c r="T1120" t="s">
        <v>784</v>
      </c>
      <c r="U1120">
        <v>1.8392193785627599E-2</v>
      </c>
      <c r="V1120" t="s">
        <v>157</v>
      </c>
    </row>
    <row r="1121" spans="9:22" x14ac:dyDescent="0.45">
      <c r="I1121" t="s">
        <v>263</v>
      </c>
      <c r="J1121" t="s">
        <v>785</v>
      </c>
      <c r="K1121">
        <v>0.10531304483829697</v>
      </c>
      <c r="L1121" t="s">
        <v>157</v>
      </c>
      <c r="N1121" t="s">
        <v>374</v>
      </c>
      <c r="O1121" t="s">
        <v>785</v>
      </c>
      <c r="P1121">
        <v>0.12807303822990335</v>
      </c>
      <c r="Q1121" t="s">
        <v>157</v>
      </c>
      <c r="S1121" t="s">
        <v>485</v>
      </c>
      <c r="T1121" t="s">
        <v>785</v>
      </c>
      <c r="U1121">
        <v>0.13254661656308669</v>
      </c>
      <c r="V1121" t="s">
        <v>157</v>
      </c>
    </row>
    <row r="1122" spans="9:22" x14ac:dyDescent="0.45">
      <c r="I1122" t="s">
        <v>263</v>
      </c>
      <c r="J1122" t="s">
        <v>786</v>
      </c>
      <c r="K1122">
        <v>0</v>
      </c>
      <c r="L1122" t="s">
        <v>157</v>
      </c>
      <c r="N1122" t="s">
        <v>374</v>
      </c>
      <c r="O1122" t="s">
        <v>786</v>
      </c>
      <c r="P1122">
        <v>0.11821324657839025</v>
      </c>
      <c r="Q1122" t="s">
        <v>157</v>
      </c>
      <c r="S1122" t="s">
        <v>485</v>
      </c>
      <c r="T1122" t="s">
        <v>786</v>
      </c>
      <c r="U1122">
        <v>0.12398351347651204</v>
      </c>
      <c r="V1122" t="s">
        <v>157</v>
      </c>
    </row>
    <row r="1123" spans="9:22" x14ac:dyDescent="0.45">
      <c r="I1123" t="s">
        <v>263</v>
      </c>
      <c r="J1123" t="s">
        <v>787</v>
      </c>
      <c r="K1123">
        <v>2.0527804629795034E-3</v>
      </c>
      <c r="L1123" t="s">
        <v>157</v>
      </c>
      <c r="N1123" t="s">
        <v>374</v>
      </c>
      <c r="O1123" t="s">
        <v>787</v>
      </c>
      <c r="P1123">
        <v>2.1502788602425587E-2</v>
      </c>
      <c r="Q1123" t="s">
        <v>157</v>
      </c>
      <c r="S1123" t="s">
        <v>485</v>
      </c>
      <c r="T1123" t="s">
        <v>787</v>
      </c>
      <c r="U1123">
        <v>2.2944952779142443E-2</v>
      </c>
      <c r="V1123" t="s">
        <v>157</v>
      </c>
    </row>
    <row r="1124" spans="9:22" x14ac:dyDescent="0.45">
      <c r="I1124" t="s">
        <v>263</v>
      </c>
      <c r="J1124" t="s">
        <v>788</v>
      </c>
      <c r="K1124">
        <v>0.34406006451677168</v>
      </c>
      <c r="L1124" t="s">
        <v>157</v>
      </c>
      <c r="N1124" t="s">
        <v>374</v>
      </c>
      <c r="O1124" t="s">
        <v>788</v>
      </c>
      <c r="P1124">
        <v>0.10302707852027744</v>
      </c>
      <c r="Q1124" t="s">
        <v>157</v>
      </c>
      <c r="S1124" t="s">
        <v>485</v>
      </c>
      <c r="T1124" t="s">
        <v>788</v>
      </c>
      <c r="U1124">
        <v>9.8515797394435431E-2</v>
      </c>
      <c r="V1124" t="s">
        <v>157</v>
      </c>
    </row>
    <row r="1125" spans="9:22" x14ac:dyDescent="0.45">
      <c r="I1125" t="s">
        <v>263</v>
      </c>
      <c r="J1125" t="s">
        <v>789</v>
      </c>
      <c r="K1125">
        <v>1.3573998090792161E-2</v>
      </c>
      <c r="L1125" t="s">
        <v>157</v>
      </c>
      <c r="N1125" t="s">
        <v>374</v>
      </c>
      <c r="O1125" t="s">
        <v>789</v>
      </c>
      <c r="P1125">
        <v>8.2556525377909501E-2</v>
      </c>
      <c r="Q1125" t="s">
        <v>157</v>
      </c>
      <c r="S1125" t="s">
        <v>485</v>
      </c>
      <c r="T1125" t="s">
        <v>789</v>
      </c>
      <c r="U1125">
        <v>0.10036458259754709</v>
      </c>
      <c r="V1125" t="s">
        <v>157</v>
      </c>
    </row>
    <row r="1126" spans="9:22" x14ac:dyDescent="0.45">
      <c r="I1126" t="s">
        <v>263</v>
      </c>
      <c r="J1126" t="s">
        <v>790</v>
      </c>
      <c r="K1126">
        <v>4.7824613536655784E-2</v>
      </c>
      <c r="L1126" t="s">
        <v>157</v>
      </c>
      <c r="N1126" t="s">
        <v>374</v>
      </c>
      <c r="O1126" t="s">
        <v>790</v>
      </c>
      <c r="P1126">
        <v>2.0209605770098192E-2</v>
      </c>
      <c r="Q1126" t="s">
        <v>157</v>
      </c>
      <c r="S1126" t="s">
        <v>485</v>
      </c>
      <c r="T1126" t="s">
        <v>790</v>
      </c>
      <c r="U1126">
        <v>1.8687420951665507E-2</v>
      </c>
      <c r="V1126" t="s">
        <v>157</v>
      </c>
    </row>
    <row r="1127" spans="9:22" x14ac:dyDescent="0.45">
      <c r="I1127" t="s">
        <v>264</v>
      </c>
      <c r="J1127" t="s">
        <v>779</v>
      </c>
      <c r="K1127">
        <v>0.25674206699239432</v>
      </c>
      <c r="L1127" t="s">
        <v>157</v>
      </c>
      <c r="N1127" t="s">
        <v>375</v>
      </c>
      <c r="O1127" t="s">
        <v>779</v>
      </c>
      <c r="P1127">
        <v>0.17186322347700633</v>
      </c>
      <c r="Q1127" t="s">
        <v>157</v>
      </c>
      <c r="S1127" t="s">
        <v>486</v>
      </c>
      <c r="T1127" t="s">
        <v>779</v>
      </c>
      <c r="U1127">
        <v>0.12622627463358754</v>
      </c>
      <c r="V1127" t="s">
        <v>157</v>
      </c>
    </row>
    <row r="1128" spans="9:22" x14ac:dyDescent="0.45">
      <c r="I1128" t="s">
        <v>264</v>
      </c>
      <c r="J1128" t="s">
        <v>780</v>
      </c>
      <c r="K1128">
        <v>5.3076524468947525E-3</v>
      </c>
      <c r="L1128" t="s">
        <v>157</v>
      </c>
      <c r="N1128" t="s">
        <v>375</v>
      </c>
      <c r="O1128" t="s">
        <v>780</v>
      </c>
      <c r="P1128">
        <v>0.13240866046905722</v>
      </c>
      <c r="Q1128" t="s">
        <v>157</v>
      </c>
      <c r="S1128" t="s">
        <v>486</v>
      </c>
      <c r="T1128" t="s">
        <v>780</v>
      </c>
      <c r="U1128">
        <v>0.13140549386988568</v>
      </c>
      <c r="V1128" t="s">
        <v>157</v>
      </c>
    </row>
    <row r="1129" spans="9:22" x14ac:dyDescent="0.45">
      <c r="I1129" t="s">
        <v>264</v>
      </c>
      <c r="J1129" t="s">
        <v>781</v>
      </c>
      <c r="K1129">
        <v>2.3112179144800068E-2</v>
      </c>
      <c r="L1129" t="s">
        <v>157</v>
      </c>
      <c r="N1129" t="s">
        <v>375</v>
      </c>
      <c r="O1129" t="s">
        <v>781</v>
      </c>
      <c r="P1129">
        <v>2.7634072724474216E-2</v>
      </c>
      <c r="Q1129" t="s">
        <v>157</v>
      </c>
      <c r="S1129" t="s">
        <v>486</v>
      </c>
      <c r="T1129" t="s">
        <v>781</v>
      </c>
      <c r="U1129">
        <v>2.5156526356021228E-2</v>
      </c>
      <c r="V1129" t="s">
        <v>157</v>
      </c>
    </row>
    <row r="1130" spans="9:22" x14ac:dyDescent="0.45">
      <c r="I1130" t="s">
        <v>264</v>
      </c>
      <c r="J1130" t="s">
        <v>782</v>
      </c>
      <c r="K1130">
        <v>0.19027739016402062</v>
      </c>
      <c r="L1130" t="s">
        <v>157</v>
      </c>
      <c r="N1130" t="s">
        <v>375</v>
      </c>
      <c r="O1130" t="s">
        <v>782</v>
      </c>
      <c r="P1130">
        <v>9.9908171563643913E-2</v>
      </c>
      <c r="Q1130" t="s">
        <v>157</v>
      </c>
      <c r="S1130" t="s">
        <v>486</v>
      </c>
      <c r="T1130" t="s">
        <v>782</v>
      </c>
      <c r="U1130">
        <v>0.10234302304057394</v>
      </c>
      <c r="V1130" t="s">
        <v>157</v>
      </c>
    </row>
    <row r="1131" spans="9:22" x14ac:dyDescent="0.45">
      <c r="I1131" t="s">
        <v>264</v>
      </c>
      <c r="J1131" t="s">
        <v>783</v>
      </c>
      <c r="K1131">
        <v>0</v>
      </c>
      <c r="L1131" t="s">
        <v>157</v>
      </c>
      <c r="N1131" t="s">
        <v>375</v>
      </c>
      <c r="O1131" t="s">
        <v>783</v>
      </c>
      <c r="P1131">
        <v>9.4119717448653481E-2</v>
      </c>
      <c r="Q1131" t="s">
        <v>157</v>
      </c>
      <c r="S1131" t="s">
        <v>486</v>
      </c>
      <c r="T1131" t="s">
        <v>783</v>
      </c>
      <c r="U1131">
        <v>0.10396257981389137</v>
      </c>
      <c r="V1131" t="s">
        <v>157</v>
      </c>
    </row>
    <row r="1132" spans="9:22" x14ac:dyDescent="0.45">
      <c r="I1132" t="s">
        <v>264</v>
      </c>
      <c r="J1132" t="s">
        <v>784</v>
      </c>
      <c r="K1132">
        <v>1.1678327072283487E-2</v>
      </c>
      <c r="L1132" t="s">
        <v>157</v>
      </c>
      <c r="N1132" t="s">
        <v>375</v>
      </c>
      <c r="O1132" t="s">
        <v>784</v>
      </c>
      <c r="P1132">
        <v>1.9320770083305606E-2</v>
      </c>
      <c r="Q1132" t="s">
        <v>157</v>
      </c>
      <c r="S1132" t="s">
        <v>486</v>
      </c>
      <c r="T1132" t="s">
        <v>784</v>
      </c>
      <c r="U1132">
        <v>1.8019611235988903E-2</v>
      </c>
      <c r="V1132" t="s">
        <v>157</v>
      </c>
    </row>
    <row r="1133" spans="9:22" x14ac:dyDescent="0.45">
      <c r="I1133" t="s">
        <v>264</v>
      </c>
      <c r="J1133" t="s">
        <v>785</v>
      </c>
      <c r="K1133">
        <v>0.10803876065308105</v>
      </c>
      <c r="L1133" t="s">
        <v>157</v>
      </c>
      <c r="N1133" t="s">
        <v>375</v>
      </c>
      <c r="O1133" t="s">
        <v>785</v>
      </c>
      <c r="P1133">
        <v>0.12513523547494265</v>
      </c>
      <c r="Q1133" t="s">
        <v>157</v>
      </c>
      <c r="S1133" t="s">
        <v>486</v>
      </c>
      <c r="T1133" t="s">
        <v>785</v>
      </c>
      <c r="U1133">
        <v>0.13499330787070646</v>
      </c>
      <c r="V1133" t="s">
        <v>157</v>
      </c>
    </row>
    <row r="1134" spans="9:22" x14ac:dyDescent="0.45">
      <c r="I1134" t="s">
        <v>264</v>
      </c>
      <c r="J1134" t="s">
        <v>786</v>
      </c>
      <c r="K1134">
        <v>0</v>
      </c>
      <c r="L1134" t="s">
        <v>157</v>
      </c>
      <c r="N1134" t="s">
        <v>375</v>
      </c>
      <c r="O1134" t="s">
        <v>786</v>
      </c>
      <c r="P1134">
        <v>0.10697113612036101</v>
      </c>
      <c r="Q1134" t="s">
        <v>157</v>
      </c>
      <c r="S1134" t="s">
        <v>486</v>
      </c>
      <c r="T1134" t="s">
        <v>786</v>
      </c>
      <c r="U1134">
        <v>0.12636423654297538</v>
      </c>
      <c r="V1134" t="s">
        <v>157</v>
      </c>
    </row>
    <row r="1135" spans="9:22" x14ac:dyDescent="0.45">
      <c r="I1135" t="s">
        <v>264</v>
      </c>
      <c r="J1135" t="s">
        <v>787</v>
      </c>
      <c r="K1135">
        <v>2.1182670026378566E-3</v>
      </c>
      <c r="L1135" t="s">
        <v>157</v>
      </c>
      <c r="N1135" t="s">
        <v>375</v>
      </c>
      <c r="O1135" t="s">
        <v>787</v>
      </c>
      <c r="P1135">
        <v>2.0283588564001517E-2</v>
      </c>
      <c r="Q1135" t="s">
        <v>157</v>
      </c>
      <c r="S1135" t="s">
        <v>486</v>
      </c>
      <c r="T1135" t="s">
        <v>787</v>
      </c>
      <c r="U1135">
        <v>2.3977054172142416E-2</v>
      </c>
      <c r="V1135" t="s">
        <v>157</v>
      </c>
    </row>
    <row r="1136" spans="9:22" x14ac:dyDescent="0.45">
      <c r="I1136" t="s">
        <v>264</v>
      </c>
      <c r="J1136" t="s">
        <v>788</v>
      </c>
      <c r="K1136">
        <v>0.34160014974155334</v>
      </c>
      <c r="L1136" t="s">
        <v>157</v>
      </c>
      <c r="N1136" t="s">
        <v>375</v>
      </c>
      <c r="O1136" t="s">
        <v>788</v>
      </c>
      <c r="P1136">
        <v>0.10515022842695576</v>
      </c>
      <c r="Q1136" t="s">
        <v>157</v>
      </c>
      <c r="S1136" t="s">
        <v>486</v>
      </c>
      <c r="T1136" t="s">
        <v>788</v>
      </c>
      <c r="U1136">
        <v>9.5473734851299688E-2</v>
      </c>
      <c r="V1136" t="s">
        <v>157</v>
      </c>
    </row>
    <row r="1137" spans="9:22" x14ac:dyDescent="0.45">
      <c r="I1137" t="s">
        <v>264</v>
      </c>
      <c r="J1137" t="s">
        <v>789</v>
      </c>
      <c r="K1137">
        <v>1.27563476699171E-2</v>
      </c>
      <c r="L1137" t="s">
        <v>157</v>
      </c>
      <c r="N1137" t="s">
        <v>375</v>
      </c>
      <c r="O1137" t="s">
        <v>789</v>
      </c>
      <c r="P1137">
        <v>7.5272050704975169E-2</v>
      </c>
      <c r="Q1137" t="s">
        <v>157</v>
      </c>
      <c r="S1137" t="s">
        <v>486</v>
      </c>
      <c r="T1137" t="s">
        <v>789</v>
      </c>
      <c r="U1137">
        <v>9.4913837215746186E-2</v>
      </c>
      <c r="V1137" t="s">
        <v>157</v>
      </c>
    </row>
    <row r="1138" spans="9:22" x14ac:dyDescent="0.45">
      <c r="I1138" t="s">
        <v>264</v>
      </c>
      <c r="J1138" t="s">
        <v>790</v>
      </c>
      <c r="K1138">
        <v>4.8368859112417312E-2</v>
      </c>
      <c r="L1138" t="s">
        <v>157</v>
      </c>
      <c r="N1138" t="s">
        <v>375</v>
      </c>
      <c r="O1138" t="s">
        <v>790</v>
      </c>
      <c r="P1138">
        <v>2.1933144942623148E-2</v>
      </c>
      <c r="Q1138" t="s">
        <v>157</v>
      </c>
      <c r="S1138" t="s">
        <v>486</v>
      </c>
      <c r="T1138" t="s">
        <v>790</v>
      </c>
      <c r="U1138">
        <v>1.7164320397181205E-2</v>
      </c>
      <c r="V1138" t="s">
        <v>157</v>
      </c>
    </row>
    <row r="1139" spans="9:22" x14ac:dyDescent="0.45">
      <c r="I1139" t="s">
        <v>265</v>
      </c>
      <c r="J1139" t="s">
        <v>779</v>
      </c>
      <c r="K1139">
        <v>0.25795108898317437</v>
      </c>
      <c r="L1139" t="s">
        <v>157</v>
      </c>
      <c r="N1139" t="s">
        <v>376</v>
      </c>
      <c r="O1139" t="s">
        <v>779</v>
      </c>
      <c r="P1139">
        <v>0.16740694238234416</v>
      </c>
      <c r="Q1139" t="s">
        <v>157</v>
      </c>
      <c r="S1139" t="s">
        <v>487</v>
      </c>
      <c r="T1139" t="s">
        <v>779</v>
      </c>
      <c r="U1139">
        <v>0.12578290210982254</v>
      </c>
      <c r="V1139" t="s">
        <v>157</v>
      </c>
    </row>
    <row r="1140" spans="9:22" x14ac:dyDescent="0.45">
      <c r="I1140" t="s">
        <v>265</v>
      </c>
      <c r="J1140" t="s">
        <v>780</v>
      </c>
      <c r="K1140">
        <v>5.0419878299776807E-3</v>
      </c>
      <c r="L1140" t="s">
        <v>157</v>
      </c>
      <c r="N1140" t="s">
        <v>376</v>
      </c>
      <c r="O1140" t="s">
        <v>780</v>
      </c>
      <c r="P1140">
        <v>0.13379844385127598</v>
      </c>
      <c r="Q1140" t="s">
        <v>157</v>
      </c>
      <c r="S1140" t="s">
        <v>487</v>
      </c>
      <c r="T1140" t="s">
        <v>780</v>
      </c>
      <c r="U1140">
        <v>0.1304671995289837</v>
      </c>
      <c r="V1140" t="s">
        <v>157</v>
      </c>
    </row>
    <row r="1141" spans="9:22" x14ac:dyDescent="0.45">
      <c r="I1141" t="s">
        <v>265</v>
      </c>
      <c r="J1141" t="s">
        <v>781</v>
      </c>
      <c r="K1141">
        <v>2.3346906598255335E-2</v>
      </c>
      <c r="L1141" t="s">
        <v>157</v>
      </c>
      <c r="N1141" t="s">
        <v>376</v>
      </c>
      <c r="O1141" t="s">
        <v>781</v>
      </c>
      <c r="P1141">
        <v>2.6256270239869751E-2</v>
      </c>
      <c r="Q1141" t="s">
        <v>157</v>
      </c>
      <c r="S1141" t="s">
        <v>487</v>
      </c>
      <c r="T1141" t="s">
        <v>781</v>
      </c>
      <c r="U1141">
        <v>2.4513215300326401E-2</v>
      </c>
      <c r="V1141" t="s">
        <v>157</v>
      </c>
    </row>
    <row r="1142" spans="9:22" x14ac:dyDescent="0.45">
      <c r="I1142" t="s">
        <v>265</v>
      </c>
      <c r="J1142" t="s">
        <v>782</v>
      </c>
      <c r="K1142">
        <v>0.19005387471217408</v>
      </c>
      <c r="L1142" t="s">
        <v>157</v>
      </c>
      <c r="N1142" t="s">
        <v>376</v>
      </c>
      <c r="O1142" t="s">
        <v>782</v>
      </c>
      <c r="P1142">
        <v>9.4404195405126207E-2</v>
      </c>
      <c r="Q1142" t="s">
        <v>157</v>
      </c>
      <c r="S1142" t="s">
        <v>487</v>
      </c>
      <c r="T1142" t="s">
        <v>782</v>
      </c>
      <c r="U1142">
        <v>0.10228068888466299</v>
      </c>
      <c r="V1142" t="s">
        <v>157</v>
      </c>
    </row>
    <row r="1143" spans="9:22" x14ac:dyDescent="0.45">
      <c r="I1143" t="s">
        <v>265</v>
      </c>
      <c r="J1143" t="s">
        <v>783</v>
      </c>
      <c r="K1143">
        <v>0</v>
      </c>
      <c r="L1143" t="s">
        <v>157</v>
      </c>
      <c r="N1143" t="s">
        <v>376</v>
      </c>
      <c r="O1143" t="s">
        <v>783</v>
      </c>
      <c r="P1143">
        <v>9.662836146298312E-2</v>
      </c>
      <c r="Q1143" t="s">
        <v>157</v>
      </c>
      <c r="S1143" t="s">
        <v>487</v>
      </c>
      <c r="T1143" t="s">
        <v>783</v>
      </c>
      <c r="U1143">
        <v>0.10626540420021249</v>
      </c>
      <c r="V1143" t="s">
        <v>157</v>
      </c>
    </row>
    <row r="1144" spans="9:22" x14ac:dyDescent="0.45">
      <c r="I1144" t="s">
        <v>265</v>
      </c>
      <c r="J1144" t="s">
        <v>784</v>
      </c>
      <c r="K1144">
        <v>1.1462479913994383E-2</v>
      </c>
      <c r="L1144" t="s">
        <v>157</v>
      </c>
      <c r="N1144" t="s">
        <v>376</v>
      </c>
      <c r="O1144" t="s">
        <v>784</v>
      </c>
      <c r="P1144">
        <v>1.9659644110068625E-2</v>
      </c>
      <c r="Q1144" t="s">
        <v>157</v>
      </c>
      <c r="S1144" t="s">
        <v>487</v>
      </c>
      <c r="T1144" t="s">
        <v>784</v>
      </c>
      <c r="U1144">
        <v>1.8173389931732089E-2</v>
      </c>
      <c r="V1144" t="s">
        <v>157</v>
      </c>
    </row>
    <row r="1145" spans="9:22" x14ac:dyDescent="0.45">
      <c r="I1145" t="s">
        <v>265</v>
      </c>
      <c r="J1145" t="s">
        <v>785</v>
      </c>
      <c r="K1145">
        <v>0.11099752806043831</v>
      </c>
      <c r="L1145" t="s">
        <v>157</v>
      </c>
      <c r="N1145" t="s">
        <v>376</v>
      </c>
      <c r="O1145" t="s">
        <v>785</v>
      </c>
      <c r="P1145">
        <v>0.1233112964482526</v>
      </c>
      <c r="Q1145" t="s">
        <v>157</v>
      </c>
      <c r="S1145" t="s">
        <v>487</v>
      </c>
      <c r="T1145" t="s">
        <v>785</v>
      </c>
      <c r="U1145">
        <v>0.13572428410631862</v>
      </c>
      <c r="V1145" t="s">
        <v>157</v>
      </c>
    </row>
    <row r="1146" spans="9:22" x14ac:dyDescent="0.45">
      <c r="I1146" t="s">
        <v>265</v>
      </c>
      <c r="J1146" t="s">
        <v>786</v>
      </c>
      <c r="K1146">
        <v>0</v>
      </c>
      <c r="L1146" t="s">
        <v>157</v>
      </c>
      <c r="N1146" t="s">
        <v>376</v>
      </c>
      <c r="O1146" t="s">
        <v>786</v>
      </c>
      <c r="P1146">
        <v>0.10958748981400347</v>
      </c>
      <c r="Q1146" t="s">
        <v>157</v>
      </c>
      <c r="S1146" t="s">
        <v>487</v>
      </c>
      <c r="T1146" t="s">
        <v>786</v>
      </c>
      <c r="U1146">
        <v>0.12719637042081464</v>
      </c>
      <c r="V1146" t="s">
        <v>157</v>
      </c>
    </row>
    <row r="1147" spans="9:22" x14ac:dyDescent="0.45">
      <c r="I1147" t="s">
        <v>265</v>
      </c>
      <c r="J1147" t="s">
        <v>787</v>
      </c>
      <c r="K1147">
        <v>2.1690905762331608E-3</v>
      </c>
      <c r="L1147" t="s">
        <v>157</v>
      </c>
      <c r="N1147" t="s">
        <v>376</v>
      </c>
      <c r="O1147" t="s">
        <v>787</v>
      </c>
      <c r="P1147">
        <v>2.1341091608628918E-2</v>
      </c>
      <c r="Q1147" t="s">
        <v>157</v>
      </c>
      <c r="S1147" t="s">
        <v>487</v>
      </c>
      <c r="T1147" t="s">
        <v>787</v>
      </c>
      <c r="U1147">
        <v>2.4306822679148788E-2</v>
      </c>
      <c r="V1147" t="s">
        <v>157</v>
      </c>
    </row>
    <row r="1148" spans="9:22" x14ac:dyDescent="0.45">
      <c r="I1148" t="s">
        <v>265</v>
      </c>
      <c r="J1148" t="s">
        <v>788</v>
      </c>
      <c r="K1148">
        <v>0.33940183889742787</v>
      </c>
      <c r="L1148" t="s">
        <v>157</v>
      </c>
      <c r="N1148" t="s">
        <v>376</v>
      </c>
      <c r="O1148" t="s">
        <v>788</v>
      </c>
      <c r="P1148">
        <v>0.10240904729198784</v>
      </c>
      <c r="Q1148" t="s">
        <v>157</v>
      </c>
      <c r="S1148" t="s">
        <v>487</v>
      </c>
      <c r="T1148" t="s">
        <v>788</v>
      </c>
      <c r="U1148">
        <v>9.4873338151971312E-2</v>
      </c>
      <c r="V1148" t="s">
        <v>157</v>
      </c>
    </row>
    <row r="1149" spans="9:22" x14ac:dyDescent="0.45">
      <c r="I1149" t="s">
        <v>265</v>
      </c>
      <c r="J1149" t="s">
        <v>789</v>
      </c>
      <c r="K1149">
        <v>1.1537770166612941E-2</v>
      </c>
      <c r="L1149" t="s">
        <v>157</v>
      </c>
      <c r="N1149" t="s">
        <v>376</v>
      </c>
      <c r="O1149" t="s">
        <v>789</v>
      </c>
      <c r="P1149">
        <v>8.2993070370957822E-2</v>
      </c>
      <c r="Q1149" t="s">
        <v>157</v>
      </c>
      <c r="S1149" t="s">
        <v>487</v>
      </c>
      <c r="T1149" t="s">
        <v>789</v>
      </c>
      <c r="U1149">
        <v>9.3556855251232376E-2</v>
      </c>
      <c r="V1149" t="s">
        <v>157</v>
      </c>
    </row>
    <row r="1150" spans="9:22" x14ac:dyDescent="0.45">
      <c r="I1150" t="s">
        <v>265</v>
      </c>
      <c r="J1150" t="s">
        <v>790</v>
      </c>
      <c r="K1150">
        <v>4.8037434261711788E-2</v>
      </c>
      <c r="L1150" t="s">
        <v>157</v>
      </c>
      <c r="N1150" t="s">
        <v>376</v>
      </c>
      <c r="O1150" t="s">
        <v>790</v>
      </c>
      <c r="P1150">
        <v>2.220414701450163E-2</v>
      </c>
      <c r="Q1150" t="s">
        <v>157</v>
      </c>
      <c r="S1150" t="s">
        <v>487</v>
      </c>
      <c r="T1150" t="s">
        <v>790</v>
      </c>
      <c r="U1150">
        <v>1.685952943477401E-2</v>
      </c>
      <c r="V1150" t="s">
        <v>157</v>
      </c>
    </row>
    <row r="1151" spans="9:22" x14ac:dyDescent="0.45">
      <c r="I1151" t="s">
        <v>266</v>
      </c>
      <c r="J1151" t="s">
        <v>779</v>
      </c>
      <c r="K1151">
        <v>0.26090685511089012</v>
      </c>
      <c r="L1151" t="s">
        <v>157</v>
      </c>
      <c r="N1151" t="s">
        <v>377</v>
      </c>
      <c r="O1151" t="s">
        <v>779</v>
      </c>
      <c r="P1151">
        <v>0.17337280730649787</v>
      </c>
      <c r="Q1151" t="s">
        <v>157</v>
      </c>
      <c r="S1151" t="s">
        <v>488</v>
      </c>
      <c r="T1151" t="s">
        <v>779</v>
      </c>
      <c r="U1151">
        <v>0.11508532103605845</v>
      </c>
      <c r="V1151" t="s">
        <v>157</v>
      </c>
    </row>
    <row r="1152" spans="9:22" x14ac:dyDescent="0.45">
      <c r="I1152" t="s">
        <v>266</v>
      </c>
      <c r="J1152" t="s">
        <v>780</v>
      </c>
      <c r="K1152">
        <v>4.7864021622942904E-3</v>
      </c>
      <c r="L1152" t="s">
        <v>157</v>
      </c>
      <c r="N1152" t="s">
        <v>377</v>
      </c>
      <c r="O1152" t="s">
        <v>780</v>
      </c>
      <c r="P1152">
        <v>0.13594219978439465</v>
      </c>
      <c r="Q1152" t="s">
        <v>157</v>
      </c>
      <c r="S1152" t="s">
        <v>488</v>
      </c>
      <c r="T1152" t="s">
        <v>780</v>
      </c>
      <c r="U1152">
        <v>0.11057742093177605</v>
      </c>
      <c r="V1152" t="s">
        <v>157</v>
      </c>
    </row>
    <row r="1153" spans="9:22" x14ac:dyDescent="0.45">
      <c r="I1153" t="s">
        <v>266</v>
      </c>
      <c r="J1153" t="s">
        <v>781</v>
      </c>
      <c r="K1153">
        <v>2.3007173292140488E-2</v>
      </c>
      <c r="L1153" t="s">
        <v>157</v>
      </c>
      <c r="N1153" t="s">
        <v>377</v>
      </c>
      <c r="O1153" t="s">
        <v>781</v>
      </c>
      <c r="P1153">
        <v>2.7182945128889611E-2</v>
      </c>
      <c r="Q1153" t="s">
        <v>157</v>
      </c>
      <c r="S1153" t="s">
        <v>488</v>
      </c>
      <c r="T1153" t="s">
        <v>781</v>
      </c>
      <c r="U1153">
        <v>2.0657070907016479E-2</v>
      </c>
      <c r="V1153" t="s">
        <v>157</v>
      </c>
    </row>
    <row r="1154" spans="9:22" x14ac:dyDescent="0.45">
      <c r="I1154" t="s">
        <v>266</v>
      </c>
      <c r="J1154" t="s">
        <v>782</v>
      </c>
      <c r="K1154">
        <v>0.19023066176542877</v>
      </c>
      <c r="L1154" t="s">
        <v>157</v>
      </c>
      <c r="N1154" t="s">
        <v>377</v>
      </c>
      <c r="O1154" t="s">
        <v>782</v>
      </c>
      <c r="P1154">
        <v>9.1039819386855986E-2</v>
      </c>
      <c r="Q1154" t="s">
        <v>157</v>
      </c>
      <c r="S1154" t="s">
        <v>488</v>
      </c>
      <c r="T1154" t="s">
        <v>782</v>
      </c>
      <c r="U1154">
        <v>0.11510475944978867</v>
      </c>
      <c r="V1154" t="s">
        <v>157</v>
      </c>
    </row>
    <row r="1155" spans="9:22" x14ac:dyDescent="0.45">
      <c r="I1155" t="s">
        <v>266</v>
      </c>
      <c r="J1155" t="s">
        <v>783</v>
      </c>
      <c r="K1155">
        <v>0</v>
      </c>
      <c r="L1155" t="s">
        <v>157</v>
      </c>
      <c r="N1155" t="s">
        <v>377</v>
      </c>
      <c r="O1155" t="s">
        <v>783</v>
      </c>
      <c r="P1155">
        <v>8.9163182909710578E-2</v>
      </c>
      <c r="Q1155" t="s">
        <v>157</v>
      </c>
      <c r="S1155" t="s">
        <v>488</v>
      </c>
      <c r="T1155" t="s">
        <v>783</v>
      </c>
      <c r="U1155">
        <v>0.11448954080307536</v>
      </c>
      <c r="V1155" t="s">
        <v>157</v>
      </c>
    </row>
    <row r="1156" spans="9:22" x14ac:dyDescent="0.45">
      <c r="I1156" t="s">
        <v>266</v>
      </c>
      <c r="J1156" t="s">
        <v>784</v>
      </c>
      <c r="K1156">
        <v>1.1300342650516276E-2</v>
      </c>
      <c r="L1156" t="s">
        <v>157</v>
      </c>
      <c r="N1156" t="s">
        <v>377</v>
      </c>
      <c r="O1156" t="s">
        <v>784</v>
      </c>
      <c r="P1156">
        <v>1.9341033977051444E-2</v>
      </c>
      <c r="Q1156" t="s">
        <v>157</v>
      </c>
      <c r="S1156" t="s">
        <v>488</v>
      </c>
      <c r="T1156" t="s">
        <v>784</v>
      </c>
      <c r="U1156">
        <v>2.1694262929222947E-2</v>
      </c>
      <c r="V1156" t="s">
        <v>157</v>
      </c>
    </row>
    <row r="1157" spans="9:22" x14ac:dyDescent="0.45">
      <c r="I1157" t="s">
        <v>266</v>
      </c>
      <c r="J1157" t="s">
        <v>785</v>
      </c>
      <c r="K1157">
        <v>0.11413648755658351</v>
      </c>
      <c r="L1157" t="s">
        <v>157</v>
      </c>
      <c r="N1157" t="s">
        <v>377</v>
      </c>
      <c r="O1157" t="s">
        <v>785</v>
      </c>
      <c r="P1157">
        <v>0.11918685399553133</v>
      </c>
      <c r="Q1157" t="s">
        <v>157</v>
      </c>
      <c r="S1157" t="s">
        <v>488</v>
      </c>
      <c r="T1157" t="s">
        <v>785</v>
      </c>
      <c r="U1157">
        <v>0.11939664851232158</v>
      </c>
      <c r="V1157" t="s">
        <v>157</v>
      </c>
    </row>
    <row r="1158" spans="9:22" x14ac:dyDescent="0.45">
      <c r="I1158" t="s">
        <v>266</v>
      </c>
      <c r="J1158" t="s">
        <v>786</v>
      </c>
      <c r="K1158">
        <v>0</v>
      </c>
      <c r="L1158" t="s">
        <v>157</v>
      </c>
      <c r="N1158" t="s">
        <v>377</v>
      </c>
      <c r="O1158" t="s">
        <v>786</v>
      </c>
      <c r="P1158">
        <v>0.10422749331003206</v>
      </c>
      <c r="Q1158" t="s">
        <v>157</v>
      </c>
      <c r="S1158" t="s">
        <v>488</v>
      </c>
      <c r="T1158" t="s">
        <v>786</v>
      </c>
      <c r="U1158">
        <v>0.11627562378725889</v>
      </c>
      <c r="V1158" t="s">
        <v>157</v>
      </c>
    </row>
    <row r="1159" spans="9:22" x14ac:dyDescent="0.45">
      <c r="I1159" t="s">
        <v>266</v>
      </c>
      <c r="J1159" t="s">
        <v>787</v>
      </c>
      <c r="K1159">
        <v>2.18558302194966E-3</v>
      </c>
      <c r="L1159" t="s">
        <v>157</v>
      </c>
      <c r="N1159" t="s">
        <v>377</v>
      </c>
      <c r="O1159" t="s">
        <v>787</v>
      </c>
      <c r="P1159">
        <v>2.2598252307686965E-2</v>
      </c>
      <c r="Q1159" t="s">
        <v>157</v>
      </c>
      <c r="S1159" t="s">
        <v>488</v>
      </c>
      <c r="T1159" t="s">
        <v>787</v>
      </c>
      <c r="U1159">
        <v>2.1030215933225009E-2</v>
      </c>
      <c r="V1159" t="s">
        <v>157</v>
      </c>
    </row>
    <row r="1160" spans="9:22" x14ac:dyDescent="0.45">
      <c r="I1160" t="s">
        <v>266</v>
      </c>
      <c r="J1160" t="s">
        <v>788</v>
      </c>
      <c r="K1160">
        <v>0.33555067532765709</v>
      </c>
      <c r="L1160" t="s">
        <v>157</v>
      </c>
      <c r="N1160" t="s">
        <v>377</v>
      </c>
      <c r="O1160" t="s">
        <v>788</v>
      </c>
      <c r="P1160">
        <v>0.10949382349492456</v>
      </c>
      <c r="Q1160" t="s">
        <v>157</v>
      </c>
      <c r="S1160" t="s">
        <v>488</v>
      </c>
      <c r="T1160" t="s">
        <v>788</v>
      </c>
      <c r="U1160">
        <v>0.11358202414583615</v>
      </c>
      <c r="V1160" t="s">
        <v>157</v>
      </c>
    </row>
    <row r="1161" spans="9:22" x14ac:dyDescent="0.45">
      <c r="I1161" t="s">
        <v>266</v>
      </c>
      <c r="J1161" t="s">
        <v>789</v>
      </c>
      <c r="K1161">
        <v>1.1153948317064549E-2</v>
      </c>
      <c r="L1161" t="s">
        <v>157</v>
      </c>
      <c r="N1161" t="s">
        <v>377</v>
      </c>
      <c r="O1161" t="s">
        <v>789</v>
      </c>
      <c r="P1161">
        <v>8.4198203210550493E-2</v>
      </c>
      <c r="Q1161" t="s">
        <v>157</v>
      </c>
      <c r="S1161" t="s">
        <v>488</v>
      </c>
      <c r="T1161" t="s">
        <v>789</v>
      </c>
      <c r="U1161">
        <v>0.11086458007816641</v>
      </c>
      <c r="V1161" t="s">
        <v>157</v>
      </c>
    </row>
    <row r="1162" spans="9:22" x14ac:dyDescent="0.45">
      <c r="I1162" t="s">
        <v>266</v>
      </c>
      <c r="J1162" t="s">
        <v>790</v>
      </c>
      <c r="K1162">
        <v>4.6741870795475329E-2</v>
      </c>
      <c r="L1162" t="s">
        <v>157</v>
      </c>
      <c r="N1162" t="s">
        <v>377</v>
      </c>
      <c r="O1162" t="s">
        <v>790</v>
      </c>
      <c r="P1162">
        <v>2.4253385187874496E-2</v>
      </c>
      <c r="Q1162" t="s">
        <v>157</v>
      </c>
      <c r="S1162" t="s">
        <v>488</v>
      </c>
      <c r="T1162" t="s">
        <v>790</v>
      </c>
      <c r="U1162">
        <v>2.1242531486253966E-2</v>
      </c>
      <c r="V1162" t="s">
        <v>157</v>
      </c>
    </row>
    <row r="1163" spans="9:22" x14ac:dyDescent="0.45">
      <c r="I1163" t="s">
        <v>267</v>
      </c>
      <c r="J1163" t="s">
        <v>779</v>
      </c>
      <c r="K1163">
        <v>0.2663409127901612</v>
      </c>
      <c r="L1163" t="s">
        <v>157</v>
      </c>
      <c r="N1163" t="s">
        <v>378</v>
      </c>
      <c r="O1163" t="s">
        <v>779</v>
      </c>
      <c r="P1163">
        <v>0.16178337923244848</v>
      </c>
      <c r="Q1163" t="s">
        <v>157</v>
      </c>
      <c r="S1163" t="s">
        <v>489</v>
      </c>
      <c r="T1163" t="s">
        <v>779</v>
      </c>
      <c r="U1163">
        <v>0.11608574294288897</v>
      </c>
      <c r="V1163" t="s">
        <v>157</v>
      </c>
    </row>
    <row r="1164" spans="9:22" x14ac:dyDescent="0.45">
      <c r="I1164" t="s">
        <v>267</v>
      </c>
      <c r="J1164" t="s">
        <v>780</v>
      </c>
      <c r="K1164">
        <v>4.793262280074E-3</v>
      </c>
      <c r="L1164" t="s">
        <v>157</v>
      </c>
      <c r="N1164" t="s">
        <v>378</v>
      </c>
      <c r="O1164" t="s">
        <v>780</v>
      </c>
      <c r="P1164">
        <v>0.13598290494716433</v>
      </c>
      <c r="Q1164" t="s">
        <v>157</v>
      </c>
      <c r="S1164" t="s">
        <v>489</v>
      </c>
      <c r="T1164" t="s">
        <v>780</v>
      </c>
      <c r="U1164">
        <v>0.11137720797553394</v>
      </c>
      <c r="V1164" t="s">
        <v>157</v>
      </c>
    </row>
    <row r="1165" spans="9:22" x14ac:dyDescent="0.45">
      <c r="I1165" t="s">
        <v>267</v>
      </c>
      <c r="J1165" t="s">
        <v>781</v>
      </c>
      <c r="K1165">
        <v>2.2471537548190035E-2</v>
      </c>
      <c r="L1165" t="s">
        <v>157</v>
      </c>
      <c r="N1165" t="s">
        <v>378</v>
      </c>
      <c r="O1165" t="s">
        <v>781</v>
      </c>
      <c r="P1165">
        <v>2.6355189148105036E-2</v>
      </c>
      <c r="Q1165" t="s">
        <v>157</v>
      </c>
      <c r="S1165" t="s">
        <v>489</v>
      </c>
      <c r="T1165" t="s">
        <v>781</v>
      </c>
      <c r="U1165">
        <v>2.0960826084949091E-2</v>
      </c>
      <c r="V1165" t="s">
        <v>157</v>
      </c>
    </row>
    <row r="1166" spans="9:22" x14ac:dyDescent="0.45">
      <c r="I1166" t="s">
        <v>267</v>
      </c>
      <c r="J1166" t="s">
        <v>782</v>
      </c>
      <c r="K1166">
        <v>0.19022932810911411</v>
      </c>
      <c r="L1166" t="s">
        <v>157</v>
      </c>
      <c r="N1166" t="s">
        <v>378</v>
      </c>
      <c r="O1166" t="s">
        <v>782</v>
      </c>
      <c r="P1166">
        <v>9.1196946574264526E-2</v>
      </c>
      <c r="Q1166" t="s">
        <v>157</v>
      </c>
      <c r="S1166" t="s">
        <v>489</v>
      </c>
      <c r="T1166" t="s">
        <v>782</v>
      </c>
      <c r="U1166">
        <v>0.11434218847663703</v>
      </c>
      <c r="V1166" t="s">
        <v>157</v>
      </c>
    </row>
    <row r="1167" spans="9:22" x14ac:dyDescent="0.45">
      <c r="I1167" t="s">
        <v>267</v>
      </c>
      <c r="J1167" t="s">
        <v>783</v>
      </c>
      <c r="K1167">
        <v>0</v>
      </c>
      <c r="L1167" t="s">
        <v>157</v>
      </c>
      <c r="N1167" t="s">
        <v>378</v>
      </c>
      <c r="O1167" t="s">
        <v>783</v>
      </c>
      <c r="P1167">
        <v>9.4133424279194203E-2</v>
      </c>
      <c r="Q1167" t="s">
        <v>157</v>
      </c>
      <c r="S1167" t="s">
        <v>489</v>
      </c>
      <c r="T1167" t="s">
        <v>783</v>
      </c>
      <c r="U1167">
        <v>0.11361122576752887</v>
      </c>
      <c r="V1167" t="s">
        <v>157</v>
      </c>
    </row>
    <row r="1168" spans="9:22" x14ac:dyDescent="0.45">
      <c r="I1168" t="s">
        <v>267</v>
      </c>
      <c r="J1168" t="s">
        <v>784</v>
      </c>
      <c r="K1168">
        <v>1.1260994379205219E-2</v>
      </c>
      <c r="L1168" t="s">
        <v>157</v>
      </c>
      <c r="N1168" t="s">
        <v>378</v>
      </c>
      <c r="O1168" t="s">
        <v>784</v>
      </c>
      <c r="P1168">
        <v>1.9643964149893313E-2</v>
      </c>
      <c r="Q1168" t="s">
        <v>157</v>
      </c>
      <c r="S1168" t="s">
        <v>489</v>
      </c>
      <c r="T1168" t="s">
        <v>784</v>
      </c>
      <c r="U1168">
        <v>2.1254430993920152E-2</v>
      </c>
      <c r="V1168" t="s">
        <v>157</v>
      </c>
    </row>
    <row r="1169" spans="9:22" x14ac:dyDescent="0.45">
      <c r="I1169" t="s">
        <v>267</v>
      </c>
      <c r="J1169" t="s">
        <v>785</v>
      </c>
      <c r="K1169">
        <v>0.11637169140304129</v>
      </c>
      <c r="L1169" t="s">
        <v>157</v>
      </c>
      <c r="N1169" t="s">
        <v>378</v>
      </c>
      <c r="O1169" t="s">
        <v>785</v>
      </c>
      <c r="P1169">
        <v>0.11452824013799247</v>
      </c>
      <c r="Q1169" t="s">
        <v>157</v>
      </c>
      <c r="S1169" t="s">
        <v>489</v>
      </c>
      <c r="T1169" t="s">
        <v>785</v>
      </c>
      <c r="U1169">
        <v>0.11845869079150058</v>
      </c>
      <c r="V1169" t="s">
        <v>157</v>
      </c>
    </row>
    <row r="1170" spans="9:22" x14ac:dyDescent="0.45">
      <c r="I1170" t="s">
        <v>267</v>
      </c>
      <c r="J1170" t="s">
        <v>786</v>
      </c>
      <c r="K1170">
        <v>0</v>
      </c>
      <c r="L1170" t="s">
        <v>157</v>
      </c>
      <c r="N1170" t="s">
        <v>378</v>
      </c>
      <c r="O1170" t="s">
        <v>786</v>
      </c>
      <c r="P1170">
        <v>0.11186930189999575</v>
      </c>
      <c r="Q1170" t="s">
        <v>157</v>
      </c>
      <c r="S1170" t="s">
        <v>489</v>
      </c>
      <c r="T1170" t="s">
        <v>786</v>
      </c>
      <c r="U1170">
        <v>0.11538035143859526</v>
      </c>
      <c r="V1170" t="s">
        <v>157</v>
      </c>
    </row>
    <row r="1171" spans="9:22" x14ac:dyDescent="0.45">
      <c r="I1171" t="s">
        <v>267</v>
      </c>
      <c r="J1171" t="s">
        <v>787</v>
      </c>
      <c r="K1171">
        <v>2.1707935097682505E-3</v>
      </c>
      <c r="L1171" t="s">
        <v>157</v>
      </c>
      <c r="N1171" t="s">
        <v>378</v>
      </c>
      <c r="O1171" t="s">
        <v>787</v>
      </c>
      <c r="P1171">
        <v>2.1901354115419779E-2</v>
      </c>
      <c r="Q1171" t="s">
        <v>157</v>
      </c>
      <c r="S1171" t="s">
        <v>489</v>
      </c>
      <c r="T1171" t="s">
        <v>787</v>
      </c>
      <c r="U1171">
        <v>2.1111678742638956E-2</v>
      </c>
      <c r="V1171" t="s">
        <v>157</v>
      </c>
    </row>
    <row r="1172" spans="9:22" x14ac:dyDescent="0.45">
      <c r="I1172" t="s">
        <v>267</v>
      </c>
      <c r="J1172" t="s">
        <v>788</v>
      </c>
      <c r="K1172">
        <v>0.33067532844567027</v>
      </c>
      <c r="L1172" t="s">
        <v>157</v>
      </c>
      <c r="N1172" t="s">
        <v>378</v>
      </c>
      <c r="O1172" t="s">
        <v>788</v>
      </c>
      <c r="P1172">
        <v>0.1107532971539308</v>
      </c>
      <c r="Q1172" t="s">
        <v>157</v>
      </c>
      <c r="S1172" t="s">
        <v>489</v>
      </c>
      <c r="T1172" t="s">
        <v>788</v>
      </c>
      <c r="U1172">
        <v>0.11432022133838809</v>
      </c>
      <c r="V1172" t="s">
        <v>157</v>
      </c>
    </row>
    <row r="1173" spans="9:22" x14ac:dyDescent="0.45">
      <c r="I1173" t="s">
        <v>267</v>
      </c>
      <c r="J1173" t="s">
        <v>789</v>
      </c>
      <c r="K1173">
        <v>1.1073973397980923E-2</v>
      </c>
      <c r="L1173" t="s">
        <v>157</v>
      </c>
      <c r="N1173" t="s">
        <v>378</v>
      </c>
      <c r="O1173" t="s">
        <v>789</v>
      </c>
      <c r="P1173">
        <v>8.6834354982341669E-2</v>
      </c>
      <c r="Q1173" t="s">
        <v>157</v>
      </c>
      <c r="S1173" t="s">
        <v>489</v>
      </c>
      <c r="T1173" t="s">
        <v>789</v>
      </c>
      <c r="U1173">
        <v>0.11162698803101498</v>
      </c>
      <c r="V1173" t="s">
        <v>157</v>
      </c>
    </row>
    <row r="1174" spans="9:22" x14ac:dyDescent="0.45">
      <c r="I1174" t="s">
        <v>267</v>
      </c>
      <c r="J1174" t="s">
        <v>790</v>
      </c>
      <c r="K1174">
        <v>4.4612178136794738E-2</v>
      </c>
      <c r="L1174" t="s">
        <v>157</v>
      </c>
      <c r="N1174" t="s">
        <v>378</v>
      </c>
      <c r="O1174" t="s">
        <v>790</v>
      </c>
      <c r="P1174">
        <v>2.5017643379249631E-2</v>
      </c>
      <c r="Q1174" t="s">
        <v>157</v>
      </c>
      <c r="S1174" t="s">
        <v>489</v>
      </c>
      <c r="T1174" t="s">
        <v>790</v>
      </c>
      <c r="U1174">
        <v>2.1470447416404029E-2</v>
      </c>
      <c r="V1174" t="s">
        <v>157</v>
      </c>
    </row>
    <row r="1175" spans="9:22" x14ac:dyDescent="0.45">
      <c r="I1175" t="s">
        <v>268</v>
      </c>
      <c r="J1175" t="s">
        <v>779</v>
      </c>
      <c r="K1175">
        <v>0.26934712469969463</v>
      </c>
      <c r="L1175" t="s">
        <v>157</v>
      </c>
      <c r="N1175" t="s">
        <v>379</v>
      </c>
      <c r="O1175" t="s">
        <v>779</v>
      </c>
      <c r="P1175">
        <v>0.15730502963447171</v>
      </c>
      <c r="Q1175" t="s">
        <v>157</v>
      </c>
      <c r="S1175" t="s">
        <v>490</v>
      </c>
      <c r="T1175" t="s">
        <v>779</v>
      </c>
      <c r="U1175">
        <v>0.11743446396380468</v>
      </c>
      <c r="V1175" t="s">
        <v>157</v>
      </c>
    </row>
    <row r="1176" spans="9:22" x14ac:dyDescent="0.45">
      <c r="I1176" t="s">
        <v>268</v>
      </c>
      <c r="J1176" t="s">
        <v>780</v>
      </c>
      <c r="K1176">
        <v>4.8250603418460609E-3</v>
      </c>
      <c r="L1176" t="s">
        <v>157</v>
      </c>
      <c r="N1176" t="s">
        <v>379</v>
      </c>
      <c r="O1176" t="s">
        <v>780</v>
      </c>
      <c r="P1176">
        <v>0.13144602292716723</v>
      </c>
      <c r="Q1176" t="s">
        <v>157</v>
      </c>
      <c r="S1176" t="s">
        <v>490</v>
      </c>
      <c r="T1176" t="s">
        <v>780</v>
      </c>
      <c r="U1176">
        <v>0.1126568861094385</v>
      </c>
      <c r="V1176" t="s">
        <v>157</v>
      </c>
    </row>
    <row r="1177" spans="9:22" x14ac:dyDescent="0.45">
      <c r="I1177" t="s">
        <v>268</v>
      </c>
      <c r="J1177" t="s">
        <v>781</v>
      </c>
      <c r="K1177">
        <v>2.1405287962879459E-2</v>
      </c>
      <c r="L1177" t="s">
        <v>157</v>
      </c>
      <c r="N1177" t="s">
        <v>379</v>
      </c>
      <c r="O1177" t="s">
        <v>781</v>
      </c>
      <c r="P1177">
        <v>2.5284124260484861E-2</v>
      </c>
      <c r="Q1177" t="s">
        <v>157</v>
      </c>
      <c r="S1177" t="s">
        <v>490</v>
      </c>
      <c r="T1177" t="s">
        <v>781</v>
      </c>
      <c r="U1177">
        <v>2.1149695161811918E-2</v>
      </c>
      <c r="V1177" t="s">
        <v>157</v>
      </c>
    </row>
    <row r="1178" spans="9:22" x14ac:dyDescent="0.45">
      <c r="I1178" t="s">
        <v>268</v>
      </c>
      <c r="J1178" t="s">
        <v>782</v>
      </c>
      <c r="K1178">
        <v>0.19238995588501193</v>
      </c>
      <c r="L1178" t="s">
        <v>157</v>
      </c>
      <c r="N1178" t="s">
        <v>379</v>
      </c>
      <c r="O1178" t="s">
        <v>782</v>
      </c>
      <c r="P1178">
        <v>9.3222350392701617E-2</v>
      </c>
      <c r="Q1178" t="s">
        <v>157</v>
      </c>
      <c r="S1178" t="s">
        <v>490</v>
      </c>
      <c r="T1178" t="s">
        <v>782</v>
      </c>
      <c r="U1178">
        <v>0.11359632128232085</v>
      </c>
      <c r="V1178" t="s">
        <v>157</v>
      </c>
    </row>
    <row r="1179" spans="9:22" x14ac:dyDescent="0.45">
      <c r="I1179" t="s">
        <v>268</v>
      </c>
      <c r="J1179" t="s">
        <v>783</v>
      </c>
      <c r="K1179">
        <v>0</v>
      </c>
      <c r="L1179" t="s">
        <v>157</v>
      </c>
      <c r="N1179" t="s">
        <v>379</v>
      </c>
      <c r="O1179" t="s">
        <v>783</v>
      </c>
      <c r="P1179">
        <v>9.6970189680618074E-2</v>
      </c>
      <c r="Q1179" t="s">
        <v>157</v>
      </c>
      <c r="S1179" t="s">
        <v>490</v>
      </c>
      <c r="T1179" t="s">
        <v>783</v>
      </c>
      <c r="U1179">
        <v>0.1124539420452603</v>
      </c>
      <c r="V1179" t="s">
        <v>157</v>
      </c>
    </row>
    <row r="1180" spans="9:22" x14ac:dyDescent="0.45">
      <c r="I1180" t="s">
        <v>268</v>
      </c>
      <c r="J1180" t="s">
        <v>784</v>
      </c>
      <c r="K1180">
        <v>1.1713266307760673E-2</v>
      </c>
      <c r="L1180" t="s">
        <v>157</v>
      </c>
      <c r="N1180" t="s">
        <v>379</v>
      </c>
      <c r="O1180" t="s">
        <v>784</v>
      </c>
      <c r="P1180">
        <v>1.9442182965607933E-2</v>
      </c>
      <c r="Q1180" t="s">
        <v>157</v>
      </c>
      <c r="S1180" t="s">
        <v>490</v>
      </c>
      <c r="T1180" t="s">
        <v>784</v>
      </c>
      <c r="U1180">
        <v>2.0818082486531855E-2</v>
      </c>
      <c r="V1180" t="s">
        <v>157</v>
      </c>
    </row>
    <row r="1181" spans="9:22" x14ac:dyDescent="0.45">
      <c r="I1181" t="s">
        <v>268</v>
      </c>
      <c r="J1181" t="s">
        <v>785</v>
      </c>
      <c r="K1181">
        <v>0.11869406131293987</v>
      </c>
      <c r="L1181" t="s">
        <v>157</v>
      </c>
      <c r="N1181" t="s">
        <v>379</v>
      </c>
      <c r="O1181" t="s">
        <v>785</v>
      </c>
      <c r="P1181">
        <v>0.11466503930439563</v>
      </c>
      <c r="Q1181" t="s">
        <v>157</v>
      </c>
      <c r="S1181" t="s">
        <v>490</v>
      </c>
      <c r="T1181" t="s">
        <v>785</v>
      </c>
      <c r="U1181">
        <v>0.11744117911820696</v>
      </c>
      <c r="V1181" t="s">
        <v>157</v>
      </c>
    </row>
    <row r="1182" spans="9:22" x14ac:dyDescent="0.45">
      <c r="I1182" t="s">
        <v>268</v>
      </c>
      <c r="J1182" t="s">
        <v>786</v>
      </c>
      <c r="K1182">
        <v>0</v>
      </c>
      <c r="L1182" t="s">
        <v>157</v>
      </c>
      <c r="N1182" t="s">
        <v>379</v>
      </c>
      <c r="O1182" t="s">
        <v>786</v>
      </c>
      <c r="P1182">
        <v>0.11478218473002115</v>
      </c>
      <c r="Q1182" t="s">
        <v>157</v>
      </c>
      <c r="S1182" t="s">
        <v>490</v>
      </c>
      <c r="T1182" t="s">
        <v>786</v>
      </c>
      <c r="U1182">
        <v>0.1143112570419216</v>
      </c>
      <c r="V1182" t="s">
        <v>157</v>
      </c>
    </row>
    <row r="1183" spans="9:22" x14ac:dyDescent="0.45">
      <c r="I1183" t="s">
        <v>268</v>
      </c>
      <c r="J1183" t="s">
        <v>787</v>
      </c>
      <c r="K1183">
        <v>2.4715900168484138E-3</v>
      </c>
      <c r="L1183" t="s">
        <v>157</v>
      </c>
      <c r="N1183" t="s">
        <v>379</v>
      </c>
      <c r="O1183" t="s">
        <v>787</v>
      </c>
      <c r="P1183">
        <v>2.1750338296894548E-2</v>
      </c>
      <c r="Q1183" t="s">
        <v>157</v>
      </c>
      <c r="S1183" t="s">
        <v>490</v>
      </c>
      <c r="T1183" t="s">
        <v>787</v>
      </c>
      <c r="U1183">
        <v>2.0739275685272552E-2</v>
      </c>
      <c r="V1183" t="s">
        <v>157</v>
      </c>
    </row>
    <row r="1184" spans="9:22" x14ac:dyDescent="0.45">
      <c r="I1184" t="s">
        <v>268</v>
      </c>
      <c r="J1184" t="s">
        <v>788</v>
      </c>
      <c r="K1184">
        <v>0.32703702420464237</v>
      </c>
      <c r="L1184" t="s">
        <v>157</v>
      </c>
      <c r="N1184" t="s">
        <v>379</v>
      </c>
      <c r="O1184" t="s">
        <v>788</v>
      </c>
      <c r="P1184">
        <v>0.10946948226178563</v>
      </c>
      <c r="Q1184" t="s">
        <v>157</v>
      </c>
      <c r="S1184" t="s">
        <v>490</v>
      </c>
      <c r="T1184" t="s">
        <v>788</v>
      </c>
      <c r="U1184">
        <v>0.11455599829893286</v>
      </c>
      <c r="V1184" t="s">
        <v>157</v>
      </c>
    </row>
    <row r="1185" spans="9:22" x14ac:dyDescent="0.45">
      <c r="I1185" t="s">
        <v>268</v>
      </c>
      <c r="J1185" t="s">
        <v>789</v>
      </c>
      <c r="K1185">
        <v>9.7571422493507032E-3</v>
      </c>
      <c r="L1185" t="s">
        <v>157</v>
      </c>
      <c r="N1185" t="s">
        <v>379</v>
      </c>
      <c r="O1185" t="s">
        <v>789</v>
      </c>
      <c r="P1185">
        <v>9.118303297287457E-2</v>
      </c>
      <c r="Q1185" t="s">
        <v>157</v>
      </c>
      <c r="S1185" t="s">
        <v>490</v>
      </c>
      <c r="T1185" t="s">
        <v>789</v>
      </c>
      <c r="U1185">
        <v>0.11337753414708979</v>
      </c>
      <c r="V1185" t="s">
        <v>157</v>
      </c>
    </row>
    <row r="1186" spans="9:22" x14ac:dyDescent="0.45">
      <c r="I1186" t="s">
        <v>268</v>
      </c>
      <c r="J1186" t="s">
        <v>790</v>
      </c>
      <c r="K1186">
        <v>4.235948701902597E-2</v>
      </c>
      <c r="L1186" t="s">
        <v>157</v>
      </c>
      <c r="N1186" t="s">
        <v>379</v>
      </c>
      <c r="O1186" t="s">
        <v>790</v>
      </c>
      <c r="P1186">
        <v>2.448002257297708E-2</v>
      </c>
      <c r="Q1186" t="s">
        <v>157</v>
      </c>
      <c r="S1186" t="s">
        <v>490</v>
      </c>
      <c r="T1186" t="s">
        <v>790</v>
      </c>
      <c r="U1186">
        <v>2.1465364659408123E-2</v>
      </c>
      <c r="V1186" t="s">
        <v>157</v>
      </c>
    </row>
    <row r="1187" spans="9:22" x14ac:dyDescent="0.45">
      <c r="I1187" t="s">
        <v>269</v>
      </c>
      <c r="J1187" t="s">
        <v>779</v>
      </c>
      <c r="K1187">
        <v>0.27373734790230503</v>
      </c>
      <c r="L1187" t="s">
        <v>157</v>
      </c>
      <c r="N1187" t="s">
        <v>380</v>
      </c>
      <c r="O1187" t="s">
        <v>779</v>
      </c>
      <c r="P1187">
        <v>0.13547513309454071</v>
      </c>
      <c r="Q1187" t="s">
        <v>157</v>
      </c>
      <c r="S1187" t="s">
        <v>491</v>
      </c>
      <c r="T1187" t="s">
        <v>779</v>
      </c>
      <c r="U1187">
        <v>0.11795953144298019</v>
      </c>
      <c r="V1187" t="s">
        <v>157</v>
      </c>
    </row>
    <row r="1188" spans="9:22" x14ac:dyDescent="0.45">
      <c r="I1188" t="s">
        <v>269</v>
      </c>
      <c r="J1188" t="s">
        <v>780</v>
      </c>
      <c r="K1188">
        <v>4.853604434079394E-3</v>
      </c>
      <c r="L1188" t="s">
        <v>157</v>
      </c>
      <c r="N1188" t="s">
        <v>380</v>
      </c>
      <c r="O1188" t="s">
        <v>780</v>
      </c>
      <c r="P1188">
        <v>0.13194604753457684</v>
      </c>
      <c r="Q1188" t="s">
        <v>157</v>
      </c>
      <c r="S1188" t="s">
        <v>491</v>
      </c>
      <c r="T1188" t="s">
        <v>780</v>
      </c>
      <c r="U1188">
        <v>0.11364553332785889</v>
      </c>
      <c r="V1188" t="s">
        <v>157</v>
      </c>
    </row>
    <row r="1189" spans="9:22" x14ac:dyDescent="0.45">
      <c r="I1189" t="s">
        <v>269</v>
      </c>
      <c r="J1189" t="s">
        <v>781</v>
      </c>
      <c r="K1189">
        <v>2.0814336178227297E-2</v>
      </c>
      <c r="L1189" t="s">
        <v>157</v>
      </c>
      <c r="N1189" t="s">
        <v>380</v>
      </c>
      <c r="O1189" t="s">
        <v>781</v>
      </c>
      <c r="P1189">
        <v>2.4238809329930253E-2</v>
      </c>
      <c r="Q1189" t="s">
        <v>157</v>
      </c>
      <c r="S1189" t="s">
        <v>491</v>
      </c>
      <c r="T1189" t="s">
        <v>781</v>
      </c>
      <c r="U1189">
        <v>2.1083787669670451E-2</v>
      </c>
      <c r="V1189" t="s">
        <v>157</v>
      </c>
    </row>
    <row r="1190" spans="9:22" x14ac:dyDescent="0.45">
      <c r="I1190" t="s">
        <v>269</v>
      </c>
      <c r="J1190" t="s">
        <v>782</v>
      </c>
      <c r="K1190">
        <v>0.19300352784012256</v>
      </c>
      <c r="L1190" t="s">
        <v>157</v>
      </c>
      <c r="N1190" t="s">
        <v>380</v>
      </c>
      <c r="O1190" t="s">
        <v>782</v>
      </c>
      <c r="P1190">
        <v>9.0914921181850364E-2</v>
      </c>
      <c r="Q1190" t="s">
        <v>157</v>
      </c>
      <c r="S1190" t="s">
        <v>491</v>
      </c>
      <c r="T1190" t="s">
        <v>782</v>
      </c>
      <c r="U1190">
        <v>0.11339083893273857</v>
      </c>
      <c r="V1190" t="s">
        <v>157</v>
      </c>
    </row>
    <row r="1191" spans="9:22" x14ac:dyDescent="0.45">
      <c r="I1191" t="s">
        <v>269</v>
      </c>
      <c r="J1191" t="s">
        <v>783</v>
      </c>
      <c r="K1191">
        <v>0</v>
      </c>
      <c r="L1191" t="s">
        <v>157</v>
      </c>
      <c r="N1191" t="s">
        <v>380</v>
      </c>
      <c r="O1191" t="s">
        <v>783</v>
      </c>
      <c r="P1191">
        <v>0.10454389525422027</v>
      </c>
      <c r="Q1191" t="s">
        <v>157</v>
      </c>
      <c r="S1191" t="s">
        <v>491</v>
      </c>
      <c r="T1191" t="s">
        <v>783</v>
      </c>
      <c r="U1191">
        <v>0.11020525111592461</v>
      </c>
      <c r="V1191" t="s">
        <v>157</v>
      </c>
    </row>
    <row r="1192" spans="9:22" x14ac:dyDescent="0.45">
      <c r="I1192" t="s">
        <v>269</v>
      </c>
      <c r="J1192" t="s">
        <v>784</v>
      </c>
      <c r="K1192">
        <v>1.2153056595654929E-2</v>
      </c>
      <c r="L1192" t="s">
        <v>157</v>
      </c>
      <c r="N1192" t="s">
        <v>380</v>
      </c>
      <c r="O1192" t="s">
        <v>784</v>
      </c>
      <c r="P1192">
        <v>1.9339996125052661E-2</v>
      </c>
      <c r="Q1192" t="s">
        <v>157</v>
      </c>
      <c r="S1192" t="s">
        <v>491</v>
      </c>
      <c r="T1192" t="s">
        <v>784</v>
      </c>
      <c r="U1192">
        <v>2.0611078959175449E-2</v>
      </c>
      <c r="V1192" t="s">
        <v>157</v>
      </c>
    </row>
    <row r="1193" spans="9:22" x14ac:dyDescent="0.45">
      <c r="I1193" t="s">
        <v>269</v>
      </c>
      <c r="J1193" t="s">
        <v>785</v>
      </c>
      <c r="K1193">
        <v>0.11817784901464272</v>
      </c>
      <c r="L1193" t="s">
        <v>157</v>
      </c>
      <c r="N1193" t="s">
        <v>380</v>
      </c>
      <c r="O1193" t="s">
        <v>785</v>
      </c>
      <c r="P1193">
        <v>0.11495925248687029</v>
      </c>
      <c r="Q1193" t="s">
        <v>157</v>
      </c>
      <c r="S1193" t="s">
        <v>491</v>
      </c>
      <c r="T1193" t="s">
        <v>785</v>
      </c>
      <c r="U1193">
        <v>0.11611672218512957</v>
      </c>
      <c r="V1193" t="s">
        <v>157</v>
      </c>
    </row>
    <row r="1194" spans="9:22" x14ac:dyDescent="0.45">
      <c r="I1194" t="s">
        <v>269</v>
      </c>
      <c r="J1194" t="s">
        <v>786</v>
      </c>
      <c r="K1194">
        <v>0</v>
      </c>
      <c r="L1194" t="s">
        <v>157</v>
      </c>
      <c r="N1194" t="s">
        <v>380</v>
      </c>
      <c r="O1194" t="s">
        <v>786</v>
      </c>
      <c r="P1194">
        <v>0.11960037671342989</v>
      </c>
      <c r="Q1194" t="s">
        <v>157</v>
      </c>
      <c r="S1194" t="s">
        <v>491</v>
      </c>
      <c r="T1194" t="s">
        <v>786</v>
      </c>
      <c r="U1194">
        <v>0.11520344124454074</v>
      </c>
      <c r="V1194" t="s">
        <v>157</v>
      </c>
    </row>
    <row r="1195" spans="9:22" x14ac:dyDescent="0.45">
      <c r="I1195" t="s">
        <v>269</v>
      </c>
      <c r="J1195" t="s">
        <v>787</v>
      </c>
      <c r="K1195">
        <v>2.5943455146415209E-3</v>
      </c>
      <c r="L1195" t="s">
        <v>157</v>
      </c>
      <c r="N1195" t="s">
        <v>380</v>
      </c>
      <c r="O1195" t="s">
        <v>787</v>
      </c>
      <c r="P1195">
        <v>2.2182644708550137E-2</v>
      </c>
      <c r="Q1195" t="s">
        <v>157</v>
      </c>
      <c r="S1195" t="s">
        <v>491</v>
      </c>
      <c r="T1195" t="s">
        <v>787</v>
      </c>
      <c r="U1195">
        <v>2.0505005276416112E-2</v>
      </c>
      <c r="V1195" t="s">
        <v>157</v>
      </c>
    </row>
    <row r="1196" spans="9:22" x14ac:dyDescent="0.45">
      <c r="I1196" t="s">
        <v>269</v>
      </c>
      <c r="J1196" t="s">
        <v>788</v>
      </c>
      <c r="K1196">
        <v>0.32523052186047297</v>
      </c>
      <c r="L1196" t="s">
        <v>157</v>
      </c>
      <c r="N1196" t="s">
        <v>380</v>
      </c>
      <c r="O1196" t="s">
        <v>788</v>
      </c>
      <c r="P1196">
        <v>0.10483807943257717</v>
      </c>
      <c r="Q1196" t="s">
        <v>157</v>
      </c>
      <c r="S1196" t="s">
        <v>491</v>
      </c>
      <c r="T1196" t="s">
        <v>788</v>
      </c>
      <c r="U1196">
        <v>0.11444784330947261</v>
      </c>
      <c r="V1196" t="s">
        <v>157</v>
      </c>
    </row>
    <row r="1197" spans="9:22" x14ac:dyDescent="0.45">
      <c r="I1197" t="s">
        <v>269</v>
      </c>
      <c r="J1197" t="s">
        <v>789</v>
      </c>
      <c r="K1197">
        <v>8.2589645368728211E-3</v>
      </c>
      <c r="L1197" t="s">
        <v>157</v>
      </c>
      <c r="N1197" t="s">
        <v>380</v>
      </c>
      <c r="O1197" t="s">
        <v>789</v>
      </c>
      <c r="P1197">
        <v>0.10937921877084363</v>
      </c>
      <c r="Q1197" t="s">
        <v>157</v>
      </c>
      <c r="S1197" t="s">
        <v>491</v>
      </c>
      <c r="T1197" t="s">
        <v>789</v>
      </c>
      <c r="U1197">
        <v>0.1154461876310693</v>
      </c>
      <c r="V1197" t="s">
        <v>157</v>
      </c>
    </row>
    <row r="1198" spans="9:22" x14ac:dyDescent="0.45">
      <c r="I1198" t="s">
        <v>269</v>
      </c>
      <c r="J1198" t="s">
        <v>790</v>
      </c>
      <c r="K1198">
        <v>4.1176446122980728E-2</v>
      </c>
      <c r="L1198" t="s">
        <v>157</v>
      </c>
      <c r="N1198" t="s">
        <v>380</v>
      </c>
      <c r="O1198" t="s">
        <v>790</v>
      </c>
      <c r="P1198">
        <v>2.2581625367557871E-2</v>
      </c>
      <c r="Q1198" t="s">
        <v>157</v>
      </c>
      <c r="S1198" t="s">
        <v>491</v>
      </c>
      <c r="T1198" t="s">
        <v>790</v>
      </c>
      <c r="U1198">
        <v>2.1384778905023452E-2</v>
      </c>
      <c r="V1198" t="s">
        <v>157</v>
      </c>
    </row>
    <row r="1199" spans="9:22" x14ac:dyDescent="0.45">
      <c r="I1199" t="s">
        <v>270</v>
      </c>
      <c r="J1199" t="s">
        <v>779</v>
      </c>
      <c r="K1199">
        <v>0.27842993114297099</v>
      </c>
      <c r="L1199" t="s">
        <v>157</v>
      </c>
      <c r="N1199" t="s">
        <v>381</v>
      </c>
      <c r="O1199" t="s">
        <v>779</v>
      </c>
      <c r="P1199">
        <v>0.12456659112745516</v>
      </c>
      <c r="Q1199" t="s">
        <v>157</v>
      </c>
      <c r="S1199" t="s">
        <v>492</v>
      </c>
      <c r="T1199" t="s">
        <v>779</v>
      </c>
      <c r="U1199">
        <v>0.11781079759677505</v>
      </c>
      <c r="V1199" t="s">
        <v>157</v>
      </c>
    </row>
    <row r="1200" spans="9:22" x14ac:dyDescent="0.45">
      <c r="I1200" t="s">
        <v>270</v>
      </c>
      <c r="J1200" t="s">
        <v>780</v>
      </c>
      <c r="K1200">
        <v>4.6769269042029838E-3</v>
      </c>
      <c r="L1200" t="s">
        <v>157</v>
      </c>
      <c r="N1200" t="s">
        <v>381</v>
      </c>
      <c r="O1200" t="s">
        <v>780</v>
      </c>
      <c r="P1200">
        <v>0.13159737054331896</v>
      </c>
      <c r="Q1200" t="s">
        <v>157</v>
      </c>
      <c r="S1200" t="s">
        <v>492</v>
      </c>
      <c r="T1200" t="s">
        <v>780</v>
      </c>
      <c r="U1200">
        <v>0.11507357418724931</v>
      </c>
      <c r="V1200" t="s">
        <v>157</v>
      </c>
    </row>
    <row r="1201" spans="9:22" x14ac:dyDescent="0.45">
      <c r="I1201" t="s">
        <v>270</v>
      </c>
      <c r="J1201" t="s">
        <v>781</v>
      </c>
      <c r="K1201">
        <v>2.0797018971437264E-2</v>
      </c>
      <c r="L1201" t="s">
        <v>157</v>
      </c>
      <c r="N1201" t="s">
        <v>381</v>
      </c>
      <c r="O1201" t="s">
        <v>781</v>
      </c>
      <c r="P1201">
        <v>2.4194266647015013E-2</v>
      </c>
      <c r="Q1201" t="s">
        <v>157</v>
      </c>
      <c r="S1201" t="s">
        <v>492</v>
      </c>
      <c r="T1201" t="s">
        <v>781</v>
      </c>
      <c r="U1201">
        <v>2.0982048159158318E-2</v>
      </c>
      <c r="V1201" t="s">
        <v>157</v>
      </c>
    </row>
    <row r="1202" spans="9:22" x14ac:dyDescent="0.45">
      <c r="I1202" t="s">
        <v>270</v>
      </c>
      <c r="J1202" t="s">
        <v>782</v>
      </c>
      <c r="K1202">
        <v>0.19252872639396915</v>
      </c>
      <c r="L1202" t="s">
        <v>157</v>
      </c>
      <c r="N1202" t="s">
        <v>381</v>
      </c>
      <c r="O1202" t="s">
        <v>782</v>
      </c>
      <c r="P1202">
        <v>9.1614785513394997E-2</v>
      </c>
      <c r="Q1202" t="s">
        <v>157</v>
      </c>
      <c r="S1202" t="s">
        <v>492</v>
      </c>
      <c r="T1202" t="s">
        <v>782</v>
      </c>
      <c r="U1202">
        <v>0.11316498385326815</v>
      </c>
      <c r="V1202" t="s">
        <v>157</v>
      </c>
    </row>
    <row r="1203" spans="9:22" x14ac:dyDescent="0.45">
      <c r="I1203" t="s">
        <v>270</v>
      </c>
      <c r="J1203" t="s">
        <v>783</v>
      </c>
      <c r="K1203">
        <v>0</v>
      </c>
      <c r="L1203" t="s">
        <v>157</v>
      </c>
      <c r="N1203" t="s">
        <v>381</v>
      </c>
      <c r="O1203" t="s">
        <v>783</v>
      </c>
      <c r="P1203">
        <v>0.10565735935496288</v>
      </c>
      <c r="Q1203" t="s">
        <v>157</v>
      </c>
      <c r="S1203" t="s">
        <v>492</v>
      </c>
      <c r="T1203" t="s">
        <v>783</v>
      </c>
      <c r="U1203">
        <v>0.10978340953504856</v>
      </c>
      <c r="V1203" t="s">
        <v>157</v>
      </c>
    </row>
    <row r="1204" spans="9:22" x14ac:dyDescent="0.45">
      <c r="I1204" t="s">
        <v>270</v>
      </c>
      <c r="J1204" t="s">
        <v>784</v>
      </c>
      <c r="K1204">
        <v>1.2270596617195243E-2</v>
      </c>
      <c r="L1204" t="s">
        <v>157</v>
      </c>
      <c r="N1204" t="s">
        <v>381</v>
      </c>
      <c r="O1204" t="s">
        <v>784</v>
      </c>
      <c r="P1204">
        <v>1.8988094168847901E-2</v>
      </c>
      <c r="Q1204" t="s">
        <v>157</v>
      </c>
      <c r="S1204" t="s">
        <v>492</v>
      </c>
      <c r="T1204" t="s">
        <v>784</v>
      </c>
      <c r="U1204">
        <v>2.0642708524532049E-2</v>
      </c>
      <c r="V1204" t="s">
        <v>157</v>
      </c>
    </row>
    <row r="1205" spans="9:22" x14ac:dyDescent="0.45">
      <c r="I1205" t="s">
        <v>270</v>
      </c>
      <c r="J1205" t="s">
        <v>785</v>
      </c>
      <c r="K1205">
        <v>0.11745183239486003</v>
      </c>
      <c r="L1205" t="s">
        <v>157</v>
      </c>
      <c r="N1205" t="s">
        <v>381</v>
      </c>
      <c r="O1205" t="s">
        <v>785</v>
      </c>
      <c r="P1205">
        <v>0.11785992844159748</v>
      </c>
      <c r="Q1205" t="s">
        <v>157</v>
      </c>
      <c r="S1205" t="s">
        <v>492</v>
      </c>
      <c r="T1205" t="s">
        <v>785</v>
      </c>
      <c r="U1205">
        <v>0.11498887538190217</v>
      </c>
      <c r="V1205" t="s">
        <v>157</v>
      </c>
    </row>
    <row r="1206" spans="9:22" x14ac:dyDescent="0.45">
      <c r="I1206" t="s">
        <v>270</v>
      </c>
      <c r="J1206" t="s">
        <v>786</v>
      </c>
      <c r="K1206">
        <v>0</v>
      </c>
      <c r="L1206" t="s">
        <v>157</v>
      </c>
      <c r="N1206" t="s">
        <v>381</v>
      </c>
      <c r="O1206" t="s">
        <v>786</v>
      </c>
      <c r="P1206">
        <v>0.12312391371810189</v>
      </c>
      <c r="Q1206" t="s">
        <v>157</v>
      </c>
      <c r="S1206" t="s">
        <v>492</v>
      </c>
      <c r="T1206" t="s">
        <v>786</v>
      </c>
      <c r="U1206">
        <v>0.11577797432530704</v>
      </c>
      <c r="V1206" t="s">
        <v>157</v>
      </c>
    </row>
    <row r="1207" spans="9:22" x14ac:dyDescent="0.45">
      <c r="I1207" t="s">
        <v>270</v>
      </c>
      <c r="J1207" t="s">
        <v>787</v>
      </c>
      <c r="K1207">
        <v>2.6926551221832249E-3</v>
      </c>
      <c r="L1207" t="s">
        <v>157</v>
      </c>
      <c r="N1207" t="s">
        <v>381</v>
      </c>
      <c r="O1207" t="s">
        <v>787</v>
      </c>
      <c r="P1207">
        <v>2.2636380067650248E-2</v>
      </c>
      <c r="Q1207" t="s">
        <v>157</v>
      </c>
      <c r="S1207" t="s">
        <v>492</v>
      </c>
      <c r="T1207" t="s">
        <v>787</v>
      </c>
      <c r="U1207">
        <v>2.0251425704547656E-2</v>
      </c>
      <c r="V1207" t="s">
        <v>157</v>
      </c>
    </row>
    <row r="1208" spans="9:22" x14ac:dyDescent="0.45">
      <c r="I1208" t="s">
        <v>270</v>
      </c>
      <c r="J1208" t="s">
        <v>788</v>
      </c>
      <c r="K1208">
        <v>0.32337505098578789</v>
      </c>
      <c r="L1208" t="s">
        <v>157</v>
      </c>
      <c r="N1208" t="s">
        <v>381</v>
      </c>
      <c r="O1208" t="s">
        <v>788</v>
      </c>
      <c r="P1208">
        <v>0.10329726762939077</v>
      </c>
      <c r="Q1208" t="s">
        <v>157</v>
      </c>
      <c r="S1208" t="s">
        <v>492</v>
      </c>
      <c r="T1208" t="s">
        <v>788</v>
      </c>
      <c r="U1208">
        <v>0.1148976613077136</v>
      </c>
      <c r="V1208" t="s">
        <v>157</v>
      </c>
    </row>
    <row r="1209" spans="9:22" x14ac:dyDescent="0.45">
      <c r="I1209" t="s">
        <v>270</v>
      </c>
      <c r="J1209" t="s">
        <v>789</v>
      </c>
      <c r="K1209">
        <v>7.0084260561086107E-3</v>
      </c>
      <c r="L1209" t="s">
        <v>157</v>
      </c>
      <c r="N1209" t="s">
        <v>381</v>
      </c>
      <c r="O1209" t="s">
        <v>789</v>
      </c>
      <c r="P1209">
        <v>0.11511202917141934</v>
      </c>
      <c r="Q1209" t="s">
        <v>157</v>
      </c>
      <c r="S1209" t="s">
        <v>492</v>
      </c>
      <c r="T1209" t="s">
        <v>789</v>
      </c>
      <c r="U1209">
        <v>0.11565285845572293</v>
      </c>
      <c r="V1209" t="s">
        <v>157</v>
      </c>
    </row>
    <row r="1210" spans="9:22" x14ac:dyDescent="0.45">
      <c r="I1210" t="s">
        <v>270</v>
      </c>
      <c r="J1210" t="s">
        <v>790</v>
      </c>
      <c r="K1210">
        <v>4.0768835411284551E-2</v>
      </c>
      <c r="L1210" t="s">
        <v>157</v>
      </c>
      <c r="N1210" t="s">
        <v>381</v>
      </c>
      <c r="O1210" t="s">
        <v>790</v>
      </c>
      <c r="P1210">
        <v>2.1352013616845369E-2</v>
      </c>
      <c r="Q1210" t="s">
        <v>157</v>
      </c>
      <c r="S1210" t="s">
        <v>492</v>
      </c>
      <c r="T1210" t="s">
        <v>790</v>
      </c>
      <c r="U1210">
        <v>2.0973682968775151E-2</v>
      </c>
      <c r="V1210" t="s">
        <v>157</v>
      </c>
    </row>
    <row r="1211" spans="9:22" x14ac:dyDescent="0.45">
      <c r="I1211" t="s">
        <v>271</v>
      </c>
      <c r="J1211" t="s">
        <v>779</v>
      </c>
      <c r="K1211">
        <v>0.28747156190429046</v>
      </c>
      <c r="L1211" t="s">
        <v>157</v>
      </c>
      <c r="N1211" t="s">
        <v>382</v>
      </c>
      <c r="O1211" t="s">
        <v>779</v>
      </c>
      <c r="P1211">
        <v>0.12651949159937531</v>
      </c>
      <c r="Q1211" t="s">
        <v>157</v>
      </c>
      <c r="S1211" t="s">
        <v>493</v>
      </c>
      <c r="T1211" t="s">
        <v>779</v>
      </c>
      <c r="U1211">
        <v>0.11604561646854293</v>
      </c>
      <c r="V1211" t="s">
        <v>157</v>
      </c>
    </row>
    <row r="1212" spans="9:22" x14ac:dyDescent="0.45">
      <c r="I1212" t="s">
        <v>271</v>
      </c>
      <c r="J1212" t="s">
        <v>780</v>
      </c>
      <c r="K1212">
        <v>7.0478380631508993E-3</v>
      </c>
      <c r="L1212" t="s">
        <v>157</v>
      </c>
      <c r="N1212" t="s">
        <v>382</v>
      </c>
      <c r="O1212" t="s">
        <v>780</v>
      </c>
      <c r="P1212">
        <v>0.11531763076937766</v>
      </c>
      <c r="Q1212" t="s">
        <v>157</v>
      </c>
      <c r="S1212" t="s">
        <v>493</v>
      </c>
      <c r="T1212" t="s">
        <v>780</v>
      </c>
      <c r="U1212">
        <v>0.11604093834126585</v>
      </c>
      <c r="V1212" t="s">
        <v>157</v>
      </c>
    </row>
    <row r="1213" spans="9:22" x14ac:dyDescent="0.45">
      <c r="I1213" t="s">
        <v>271</v>
      </c>
      <c r="J1213" t="s">
        <v>781</v>
      </c>
      <c r="K1213">
        <v>3.628717611079392E-2</v>
      </c>
      <c r="L1213" t="s">
        <v>157</v>
      </c>
      <c r="N1213" t="s">
        <v>382</v>
      </c>
      <c r="O1213" t="s">
        <v>781</v>
      </c>
      <c r="P1213">
        <v>2.4243592195137505E-2</v>
      </c>
      <c r="Q1213" t="s">
        <v>157</v>
      </c>
      <c r="S1213" t="s">
        <v>493</v>
      </c>
      <c r="T1213" t="s">
        <v>781</v>
      </c>
      <c r="U1213">
        <v>2.0791036271144408E-2</v>
      </c>
      <c r="V1213" t="s">
        <v>157</v>
      </c>
    </row>
    <row r="1214" spans="9:22" x14ac:dyDescent="0.45">
      <c r="I1214" t="s">
        <v>271</v>
      </c>
      <c r="J1214" t="s">
        <v>782</v>
      </c>
      <c r="K1214">
        <v>0.15083409113789609</v>
      </c>
      <c r="L1214" t="s">
        <v>157</v>
      </c>
      <c r="N1214" t="s">
        <v>382</v>
      </c>
      <c r="O1214" t="s">
        <v>782</v>
      </c>
      <c r="P1214">
        <v>0.11361154354651858</v>
      </c>
      <c r="Q1214" t="s">
        <v>157</v>
      </c>
      <c r="S1214" t="s">
        <v>493</v>
      </c>
      <c r="T1214" t="s">
        <v>782</v>
      </c>
      <c r="U1214">
        <v>0.10963242504419231</v>
      </c>
      <c r="V1214" t="s">
        <v>157</v>
      </c>
    </row>
    <row r="1215" spans="9:22" x14ac:dyDescent="0.45">
      <c r="I1215" t="s">
        <v>271</v>
      </c>
      <c r="J1215" t="s">
        <v>783</v>
      </c>
      <c r="K1215">
        <v>0</v>
      </c>
      <c r="L1215" t="s">
        <v>157</v>
      </c>
      <c r="N1215" t="s">
        <v>382</v>
      </c>
      <c r="O1215" t="s">
        <v>783</v>
      </c>
      <c r="P1215">
        <v>0.11878496939708566</v>
      </c>
      <c r="Q1215" t="s">
        <v>157</v>
      </c>
      <c r="S1215" t="s">
        <v>493</v>
      </c>
      <c r="T1215" t="s">
        <v>783</v>
      </c>
      <c r="U1215">
        <v>0.10920996038979656</v>
      </c>
      <c r="V1215" t="s">
        <v>157</v>
      </c>
    </row>
    <row r="1216" spans="9:22" x14ac:dyDescent="0.45">
      <c r="I1216" t="s">
        <v>271</v>
      </c>
      <c r="J1216" t="s">
        <v>784</v>
      </c>
      <c r="K1216">
        <v>1.4811841091334144E-2</v>
      </c>
      <c r="L1216" t="s">
        <v>157</v>
      </c>
      <c r="N1216" t="s">
        <v>382</v>
      </c>
      <c r="O1216" t="s">
        <v>784</v>
      </c>
      <c r="P1216">
        <v>2.2271366845161518E-2</v>
      </c>
      <c r="Q1216" t="s">
        <v>157</v>
      </c>
      <c r="S1216" t="s">
        <v>493</v>
      </c>
      <c r="T1216" t="s">
        <v>784</v>
      </c>
      <c r="U1216">
        <v>2.0580637121060705E-2</v>
      </c>
      <c r="V1216" t="s">
        <v>157</v>
      </c>
    </row>
    <row r="1217" spans="9:22" x14ac:dyDescent="0.45">
      <c r="I1217" t="s">
        <v>271</v>
      </c>
      <c r="J1217" t="s">
        <v>785</v>
      </c>
      <c r="K1217">
        <v>9.0320918554475049E-2</v>
      </c>
      <c r="L1217" t="s">
        <v>157</v>
      </c>
      <c r="N1217" t="s">
        <v>382</v>
      </c>
      <c r="O1217" t="s">
        <v>785</v>
      </c>
      <c r="P1217">
        <v>0.10940391157107582</v>
      </c>
      <c r="Q1217" t="s">
        <v>157</v>
      </c>
      <c r="S1217" t="s">
        <v>493</v>
      </c>
      <c r="T1217" t="s">
        <v>785</v>
      </c>
      <c r="U1217">
        <v>0.11792846841115311</v>
      </c>
      <c r="V1217" t="s">
        <v>157</v>
      </c>
    </row>
    <row r="1218" spans="9:22" x14ac:dyDescent="0.45">
      <c r="I1218" t="s">
        <v>271</v>
      </c>
      <c r="J1218" t="s">
        <v>786</v>
      </c>
      <c r="K1218">
        <v>0</v>
      </c>
      <c r="L1218" t="s">
        <v>157</v>
      </c>
      <c r="N1218" t="s">
        <v>382</v>
      </c>
      <c r="O1218" t="s">
        <v>786</v>
      </c>
      <c r="P1218">
        <v>0.12320256581569818</v>
      </c>
      <c r="Q1218" t="s">
        <v>157</v>
      </c>
      <c r="S1218" t="s">
        <v>493</v>
      </c>
      <c r="T1218" t="s">
        <v>786</v>
      </c>
      <c r="U1218">
        <v>0.11519588387051163</v>
      </c>
      <c r="V1218" t="s">
        <v>157</v>
      </c>
    </row>
    <row r="1219" spans="9:22" x14ac:dyDescent="0.45">
      <c r="I1219" t="s">
        <v>271</v>
      </c>
      <c r="J1219" t="s">
        <v>787</v>
      </c>
      <c r="K1219">
        <v>3.7479045656970025E-3</v>
      </c>
      <c r="L1219" t="s">
        <v>157</v>
      </c>
      <c r="N1219" t="s">
        <v>382</v>
      </c>
      <c r="O1219" t="s">
        <v>787</v>
      </c>
      <c r="P1219">
        <v>2.0436460502270676E-2</v>
      </c>
      <c r="Q1219" t="s">
        <v>157</v>
      </c>
      <c r="S1219" t="s">
        <v>493</v>
      </c>
      <c r="T1219" t="s">
        <v>787</v>
      </c>
      <c r="U1219">
        <v>2.0295799307421099E-2</v>
      </c>
      <c r="V1219" t="s">
        <v>157</v>
      </c>
    </row>
    <row r="1220" spans="9:22" x14ac:dyDescent="0.45">
      <c r="I1220" t="s">
        <v>271</v>
      </c>
      <c r="J1220" t="s">
        <v>788</v>
      </c>
      <c r="K1220">
        <v>0.33974426502328409</v>
      </c>
      <c r="L1220" t="s">
        <v>157</v>
      </c>
      <c r="N1220" t="s">
        <v>382</v>
      </c>
      <c r="O1220" t="s">
        <v>788</v>
      </c>
      <c r="P1220">
        <v>0.1052905798776662</v>
      </c>
      <c r="Q1220" t="s">
        <v>157</v>
      </c>
      <c r="S1220" t="s">
        <v>493</v>
      </c>
      <c r="T1220" t="s">
        <v>788</v>
      </c>
      <c r="U1220">
        <v>0.11845575767651645</v>
      </c>
      <c r="V1220" t="s">
        <v>157</v>
      </c>
    </row>
    <row r="1221" spans="9:22" x14ac:dyDescent="0.45">
      <c r="I1221" t="s">
        <v>271</v>
      </c>
      <c r="J1221" t="s">
        <v>789</v>
      </c>
      <c r="K1221">
        <v>2.0751877736093993E-2</v>
      </c>
      <c r="L1221" t="s">
        <v>157</v>
      </c>
      <c r="N1221" t="s">
        <v>382</v>
      </c>
      <c r="O1221" t="s">
        <v>789</v>
      </c>
      <c r="P1221">
        <v>0.1013590522761232</v>
      </c>
      <c r="Q1221" t="s">
        <v>157</v>
      </c>
      <c r="S1221" t="s">
        <v>493</v>
      </c>
      <c r="T1221" t="s">
        <v>789</v>
      </c>
      <c r="U1221">
        <v>0.11474183924332564</v>
      </c>
      <c r="V1221" t="s">
        <v>157</v>
      </c>
    </row>
    <row r="1222" spans="9:22" x14ac:dyDescent="0.45">
      <c r="I1222" t="s">
        <v>271</v>
      </c>
      <c r="J1222" t="s">
        <v>790</v>
      </c>
      <c r="K1222">
        <v>4.8982525812984345E-2</v>
      </c>
      <c r="L1222" t="s">
        <v>157</v>
      </c>
      <c r="N1222" t="s">
        <v>382</v>
      </c>
      <c r="O1222" t="s">
        <v>790</v>
      </c>
      <c r="P1222">
        <v>1.9558835604509658E-2</v>
      </c>
      <c r="Q1222" t="s">
        <v>157</v>
      </c>
      <c r="S1222" t="s">
        <v>493</v>
      </c>
      <c r="T1222" t="s">
        <v>790</v>
      </c>
      <c r="U1222">
        <v>2.10816378550693E-2</v>
      </c>
      <c r="V1222" t="s">
        <v>157</v>
      </c>
    </row>
    <row r="1223" spans="9:22" x14ac:dyDescent="0.45">
      <c r="I1223" t="s">
        <v>272</v>
      </c>
      <c r="J1223" t="s">
        <v>779</v>
      </c>
      <c r="K1223">
        <v>0.26391047618277813</v>
      </c>
      <c r="L1223" t="s">
        <v>157</v>
      </c>
      <c r="N1223" t="s">
        <v>383</v>
      </c>
      <c r="O1223" t="s">
        <v>779</v>
      </c>
      <c r="P1223">
        <v>0.1266076414194568</v>
      </c>
      <c r="Q1223" t="s">
        <v>157</v>
      </c>
      <c r="S1223" t="s">
        <v>494</v>
      </c>
      <c r="T1223" t="s">
        <v>779</v>
      </c>
      <c r="U1223">
        <v>0.11452298873669231</v>
      </c>
      <c r="V1223" t="s">
        <v>157</v>
      </c>
    </row>
    <row r="1224" spans="9:22" x14ac:dyDescent="0.45">
      <c r="I1224" t="s">
        <v>272</v>
      </c>
      <c r="J1224" t="s">
        <v>780</v>
      </c>
      <c r="K1224">
        <v>4.8227948202298424E-3</v>
      </c>
      <c r="L1224" t="s">
        <v>157</v>
      </c>
      <c r="N1224" t="s">
        <v>383</v>
      </c>
      <c r="O1224" t="s">
        <v>780</v>
      </c>
      <c r="P1224">
        <v>0.12581319553086839</v>
      </c>
      <c r="Q1224" t="s">
        <v>157</v>
      </c>
      <c r="S1224" t="s">
        <v>494</v>
      </c>
      <c r="T1224" t="s">
        <v>780</v>
      </c>
      <c r="U1224">
        <v>0.11507312098875774</v>
      </c>
      <c r="V1224" t="s">
        <v>157</v>
      </c>
    </row>
    <row r="1225" spans="9:22" x14ac:dyDescent="0.45">
      <c r="I1225" t="s">
        <v>272</v>
      </c>
      <c r="J1225" t="s">
        <v>781</v>
      </c>
      <c r="K1225">
        <v>2.3414852945027948E-2</v>
      </c>
      <c r="L1225" t="s">
        <v>157</v>
      </c>
      <c r="N1225" t="s">
        <v>383</v>
      </c>
      <c r="O1225" t="s">
        <v>781</v>
      </c>
      <c r="P1225">
        <v>2.225977892081428E-2</v>
      </c>
      <c r="Q1225" t="s">
        <v>157</v>
      </c>
      <c r="S1225" t="s">
        <v>494</v>
      </c>
      <c r="T1225" t="s">
        <v>781</v>
      </c>
      <c r="U1225">
        <v>2.0632485552564365E-2</v>
      </c>
      <c r="V1225" t="s">
        <v>157</v>
      </c>
    </row>
    <row r="1226" spans="9:22" x14ac:dyDescent="0.45">
      <c r="I1226" t="s">
        <v>272</v>
      </c>
      <c r="J1226" t="s">
        <v>782</v>
      </c>
      <c r="K1226">
        <v>0.17974158210535532</v>
      </c>
      <c r="L1226" t="s">
        <v>157</v>
      </c>
      <c r="N1226" t="s">
        <v>383</v>
      </c>
      <c r="O1226" t="s">
        <v>782</v>
      </c>
      <c r="P1226">
        <v>0.10427429773336343</v>
      </c>
      <c r="Q1226" t="s">
        <v>157</v>
      </c>
      <c r="S1226" t="s">
        <v>494</v>
      </c>
      <c r="T1226" t="s">
        <v>782</v>
      </c>
      <c r="U1226">
        <v>0.1104361075664417</v>
      </c>
      <c r="V1226" t="s">
        <v>157</v>
      </c>
    </row>
    <row r="1227" spans="9:22" x14ac:dyDescent="0.45">
      <c r="I1227" t="s">
        <v>272</v>
      </c>
      <c r="J1227" t="s">
        <v>783</v>
      </c>
      <c r="K1227">
        <v>0</v>
      </c>
      <c r="L1227" t="s">
        <v>157</v>
      </c>
      <c r="N1227" t="s">
        <v>383</v>
      </c>
      <c r="O1227" t="s">
        <v>783</v>
      </c>
      <c r="P1227">
        <v>0.10108793905757017</v>
      </c>
      <c r="Q1227" t="s">
        <v>157</v>
      </c>
      <c r="S1227" t="s">
        <v>494</v>
      </c>
      <c r="T1227" t="s">
        <v>783</v>
      </c>
      <c r="U1227">
        <v>0.1109296167838167</v>
      </c>
      <c r="V1227" t="s">
        <v>157</v>
      </c>
    </row>
    <row r="1228" spans="9:22" x14ac:dyDescent="0.45">
      <c r="I1228" t="s">
        <v>272</v>
      </c>
      <c r="J1228" t="s">
        <v>784</v>
      </c>
      <c r="K1228">
        <v>1.0845282793394686E-2</v>
      </c>
      <c r="L1228" t="s">
        <v>157</v>
      </c>
      <c r="N1228" t="s">
        <v>383</v>
      </c>
      <c r="O1228" t="s">
        <v>784</v>
      </c>
      <c r="P1228">
        <v>1.9239830291311877E-2</v>
      </c>
      <c r="Q1228" t="s">
        <v>157</v>
      </c>
      <c r="S1228" t="s">
        <v>494</v>
      </c>
      <c r="T1228" t="s">
        <v>784</v>
      </c>
      <c r="U1228">
        <v>2.0462898651853779E-2</v>
      </c>
      <c r="V1228" t="s">
        <v>157</v>
      </c>
    </row>
    <row r="1229" spans="9:22" x14ac:dyDescent="0.45">
      <c r="I1229" t="s">
        <v>272</v>
      </c>
      <c r="J1229" t="s">
        <v>785</v>
      </c>
      <c r="K1229">
        <v>0.10492915117958536</v>
      </c>
      <c r="L1229" t="s">
        <v>157</v>
      </c>
      <c r="N1229" t="s">
        <v>383</v>
      </c>
      <c r="O1229" t="s">
        <v>785</v>
      </c>
      <c r="P1229">
        <v>0.1260280992586521</v>
      </c>
      <c r="Q1229" t="s">
        <v>157</v>
      </c>
      <c r="S1229" t="s">
        <v>494</v>
      </c>
      <c r="T1229" t="s">
        <v>785</v>
      </c>
      <c r="U1229">
        <v>0.11889967163503062</v>
      </c>
      <c r="V1229" t="s">
        <v>157</v>
      </c>
    </row>
    <row r="1230" spans="9:22" x14ac:dyDescent="0.45">
      <c r="I1230" t="s">
        <v>272</v>
      </c>
      <c r="J1230" t="s">
        <v>786</v>
      </c>
      <c r="K1230">
        <v>0</v>
      </c>
      <c r="L1230" t="s">
        <v>157</v>
      </c>
      <c r="N1230" t="s">
        <v>383</v>
      </c>
      <c r="O1230" t="s">
        <v>786</v>
      </c>
      <c r="P1230">
        <v>0.12642768770327917</v>
      </c>
      <c r="Q1230" t="s">
        <v>157</v>
      </c>
      <c r="S1230" t="s">
        <v>494</v>
      </c>
      <c r="T1230" t="s">
        <v>786</v>
      </c>
      <c r="U1230">
        <v>0.11646716216499921</v>
      </c>
      <c r="V1230" t="s">
        <v>157</v>
      </c>
    </row>
    <row r="1231" spans="9:22" x14ac:dyDescent="0.45">
      <c r="I1231" t="s">
        <v>272</v>
      </c>
      <c r="J1231" t="s">
        <v>787</v>
      </c>
      <c r="K1231">
        <v>1.5200194429642678E-3</v>
      </c>
      <c r="L1231" t="s">
        <v>157</v>
      </c>
      <c r="N1231" t="s">
        <v>383</v>
      </c>
      <c r="O1231" t="s">
        <v>787</v>
      </c>
      <c r="P1231">
        <v>2.2726169549917151E-2</v>
      </c>
      <c r="Q1231" t="s">
        <v>157</v>
      </c>
      <c r="S1231" t="s">
        <v>494</v>
      </c>
      <c r="T1231" t="s">
        <v>787</v>
      </c>
      <c r="U1231">
        <v>2.0468516128551356E-2</v>
      </c>
      <c r="V1231" t="s">
        <v>157</v>
      </c>
    </row>
    <row r="1232" spans="9:22" x14ac:dyDescent="0.45">
      <c r="I1232" t="s">
        <v>272</v>
      </c>
      <c r="J1232" t="s">
        <v>788</v>
      </c>
      <c r="K1232">
        <v>0.349152338714314</v>
      </c>
      <c r="L1232" t="s">
        <v>157</v>
      </c>
      <c r="N1232" t="s">
        <v>383</v>
      </c>
      <c r="O1232" t="s">
        <v>788</v>
      </c>
      <c r="P1232">
        <v>0.1005667684684942</v>
      </c>
      <c r="Q1232" t="s">
        <v>157</v>
      </c>
      <c r="S1232" t="s">
        <v>494</v>
      </c>
      <c r="T1232" t="s">
        <v>788</v>
      </c>
      <c r="U1232">
        <v>0.11716898711991584</v>
      </c>
      <c r="V1232" t="s">
        <v>157</v>
      </c>
    </row>
    <row r="1233" spans="9:22" x14ac:dyDescent="0.45">
      <c r="I1233" t="s">
        <v>272</v>
      </c>
      <c r="J1233" t="s">
        <v>789</v>
      </c>
      <c r="K1233">
        <v>1.5895556921866311E-2</v>
      </c>
      <c r="L1233" t="s">
        <v>157</v>
      </c>
      <c r="N1233" t="s">
        <v>383</v>
      </c>
      <c r="O1233" t="s">
        <v>789</v>
      </c>
      <c r="P1233">
        <v>0.1050437969464014</v>
      </c>
      <c r="Q1233" t="s">
        <v>157</v>
      </c>
      <c r="S1233" t="s">
        <v>494</v>
      </c>
      <c r="T1233" t="s">
        <v>789</v>
      </c>
      <c r="U1233">
        <v>0.11415850273739495</v>
      </c>
      <c r="V1233" t="s">
        <v>157</v>
      </c>
    </row>
    <row r="1234" spans="9:22" x14ac:dyDescent="0.45">
      <c r="I1234" t="s">
        <v>272</v>
      </c>
      <c r="J1234" t="s">
        <v>790</v>
      </c>
      <c r="K1234">
        <v>4.5767944894484165E-2</v>
      </c>
      <c r="L1234" t="s">
        <v>157</v>
      </c>
      <c r="N1234" t="s">
        <v>383</v>
      </c>
      <c r="O1234" t="s">
        <v>790</v>
      </c>
      <c r="P1234">
        <v>1.9924795119871004E-2</v>
      </c>
      <c r="Q1234" t="s">
        <v>157</v>
      </c>
      <c r="S1234" t="s">
        <v>494</v>
      </c>
      <c r="T1234" t="s">
        <v>790</v>
      </c>
      <c r="U1234">
        <v>2.0779941933981416E-2</v>
      </c>
      <c r="V1234" t="s">
        <v>157</v>
      </c>
    </row>
    <row r="1235" spans="9:22" x14ac:dyDescent="0.45">
      <c r="I1235" t="s">
        <v>273</v>
      </c>
      <c r="J1235" t="s">
        <v>779</v>
      </c>
      <c r="K1235">
        <v>0.26122228467251613</v>
      </c>
      <c r="L1235" t="s">
        <v>157</v>
      </c>
      <c r="N1235" t="s">
        <v>384</v>
      </c>
      <c r="O1235" t="s">
        <v>779</v>
      </c>
      <c r="P1235">
        <v>0.14291131507625007</v>
      </c>
      <c r="Q1235" t="s">
        <v>157</v>
      </c>
      <c r="S1235" t="s">
        <v>495</v>
      </c>
      <c r="T1235" t="s">
        <v>779</v>
      </c>
      <c r="U1235">
        <v>0.11407452941186096</v>
      </c>
      <c r="V1235" t="s">
        <v>157</v>
      </c>
    </row>
    <row r="1236" spans="9:22" x14ac:dyDescent="0.45">
      <c r="I1236" t="s">
        <v>273</v>
      </c>
      <c r="J1236" t="s">
        <v>780</v>
      </c>
      <c r="K1236">
        <v>4.419774876950582E-3</v>
      </c>
      <c r="L1236" t="s">
        <v>157</v>
      </c>
      <c r="N1236" t="s">
        <v>384</v>
      </c>
      <c r="O1236" t="s">
        <v>780</v>
      </c>
      <c r="P1236">
        <v>0.13076000613441771</v>
      </c>
      <c r="Q1236" t="s">
        <v>157</v>
      </c>
      <c r="S1236" t="s">
        <v>495</v>
      </c>
      <c r="T1236" t="s">
        <v>780</v>
      </c>
      <c r="U1236">
        <v>0.11420818407260927</v>
      </c>
      <c r="V1236" t="s">
        <v>157</v>
      </c>
    </row>
    <row r="1237" spans="9:22" x14ac:dyDescent="0.45">
      <c r="I1237" t="s">
        <v>273</v>
      </c>
      <c r="J1237" t="s">
        <v>781</v>
      </c>
      <c r="K1237">
        <v>2.3475686201524491E-2</v>
      </c>
      <c r="L1237" t="s">
        <v>157</v>
      </c>
      <c r="N1237" t="s">
        <v>384</v>
      </c>
      <c r="O1237" t="s">
        <v>781</v>
      </c>
      <c r="P1237">
        <v>2.4766308543276345E-2</v>
      </c>
      <c r="Q1237" t="s">
        <v>157</v>
      </c>
      <c r="S1237" t="s">
        <v>495</v>
      </c>
      <c r="T1237" t="s">
        <v>781</v>
      </c>
      <c r="U1237">
        <v>2.0261540169909217E-2</v>
      </c>
      <c r="V1237" t="s">
        <v>157</v>
      </c>
    </row>
    <row r="1238" spans="9:22" x14ac:dyDescent="0.45">
      <c r="I1238" t="s">
        <v>273</v>
      </c>
      <c r="J1238" t="s">
        <v>782</v>
      </c>
      <c r="K1238">
        <v>0.18129295762765971</v>
      </c>
      <c r="L1238" t="s">
        <v>157</v>
      </c>
      <c r="N1238" t="s">
        <v>384</v>
      </c>
      <c r="O1238" t="s">
        <v>782</v>
      </c>
      <c r="P1238">
        <v>9.9532840355106539E-2</v>
      </c>
      <c r="Q1238" t="s">
        <v>157</v>
      </c>
      <c r="S1238" t="s">
        <v>495</v>
      </c>
      <c r="T1238" t="s">
        <v>782</v>
      </c>
      <c r="U1238">
        <v>0.11282072276326408</v>
      </c>
      <c r="V1238" t="s">
        <v>157</v>
      </c>
    </row>
    <row r="1239" spans="9:22" x14ac:dyDescent="0.45">
      <c r="I1239" t="s">
        <v>273</v>
      </c>
      <c r="J1239" t="s">
        <v>783</v>
      </c>
      <c r="K1239">
        <v>0</v>
      </c>
      <c r="L1239" t="s">
        <v>157</v>
      </c>
      <c r="N1239" t="s">
        <v>384</v>
      </c>
      <c r="O1239" t="s">
        <v>783</v>
      </c>
      <c r="P1239">
        <v>8.9565228075741035E-2</v>
      </c>
      <c r="Q1239" t="s">
        <v>157</v>
      </c>
      <c r="S1239" t="s">
        <v>495</v>
      </c>
      <c r="T1239" t="s">
        <v>783</v>
      </c>
      <c r="U1239">
        <v>0.11471793957229773</v>
      </c>
      <c r="V1239" t="s">
        <v>157</v>
      </c>
    </row>
    <row r="1240" spans="9:22" x14ac:dyDescent="0.45">
      <c r="I1240" t="s">
        <v>273</v>
      </c>
      <c r="J1240" t="s">
        <v>784</v>
      </c>
      <c r="K1240">
        <v>1.1068374746835887E-2</v>
      </c>
      <c r="L1240" t="s">
        <v>157</v>
      </c>
      <c r="N1240" t="s">
        <v>384</v>
      </c>
      <c r="O1240" t="s">
        <v>784</v>
      </c>
      <c r="P1240">
        <v>1.7996150216024239E-2</v>
      </c>
      <c r="Q1240" t="s">
        <v>157</v>
      </c>
      <c r="S1240" t="s">
        <v>495</v>
      </c>
      <c r="T1240" t="s">
        <v>784</v>
      </c>
      <c r="U1240">
        <v>2.0592453035697185E-2</v>
      </c>
      <c r="V1240" t="s">
        <v>157</v>
      </c>
    </row>
    <row r="1241" spans="9:22" x14ac:dyDescent="0.45">
      <c r="I1241" t="s">
        <v>273</v>
      </c>
      <c r="J1241" t="s">
        <v>785</v>
      </c>
      <c r="K1241">
        <v>0.10551625671223754</v>
      </c>
      <c r="L1241" t="s">
        <v>157</v>
      </c>
      <c r="N1241" t="s">
        <v>384</v>
      </c>
      <c r="O1241" t="s">
        <v>785</v>
      </c>
      <c r="P1241">
        <v>0.12858671087036738</v>
      </c>
      <c r="Q1241" t="s">
        <v>157</v>
      </c>
      <c r="S1241" t="s">
        <v>495</v>
      </c>
      <c r="T1241" t="s">
        <v>785</v>
      </c>
      <c r="U1241">
        <v>0.12019368668072861</v>
      </c>
      <c r="V1241" t="s">
        <v>157</v>
      </c>
    </row>
    <row r="1242" spans="9:22" x14ac:dyDescent="0.45">
      <c r="I1242" t="s">
        <v>273</v>
      </c>
      <c r="J1242" t="s">
        <v>786</v>
      </c>
      <c r="K1242">
        <v>0</v>
      </c>
      <c r="L1242" t="s">
        <v>157</v>
      </c>
      <c r="N1242" t="s">
        <v>384</v>
      </c>
      <c r="O1242" t="s">
        <v>786</v>
      </c>
      <c r="P1242">
        <v>0.12347216938748558</v>
      </c>
      <c r="Q1242" t="s">
        <v>157</v>
      </c>
      <c r="S1242" t="s">
        <v>495</v>
      </c>
      <c r="T1242" t="s">
        <v>786</v>
      </c>
      <c r="U1242">
        <v>0.11849943287124645</v>
      </c>
      <c r="V1242" t="s">
        <v>157</v>
      </c>
    </row>
    <row r="1243" spans="9:22" x14ac:dyDescent="0.45">
      <c r="I1243" t="s">
        <v>273</v>
      </c>
      <c r="J1243" t="s">
        <v>787</v>
      </c>
      <c r="K1243">
        <v>1.6359012018474319E-3</v>
      </c>
      <c r="L1243" t="s">
        <v>157</v>
      </c>
      <c r="N1243" t="s">
        <v>384</v>
      </c>
      <c r="O1243" t="s">
        <v>787</v>
      </c>
      <c r="P1243">
        <v>2.290333423463144E-2</v>
      </c>
      <c r="Q1243" t="s">
        <v>157</v>
      </c>
      <c r="S1243" t="s">
        <v>495</v>
      </c>
      <c r="T1243" t="s">
        <v>787</v>
      </c>
      <c r="U1243">
        <v>2.0722175620961462E-2</v>
      </c>
      <c r="V1243" t="s">
        <v>157</v>
      </c>
    </row>
    <row r="1244" spans="9:22" x14ac:dyDescent="0.45">
      <c r="I1244" t="s">
        <v>273</v>
      </c>
      <c r="J1244" t="s">
        <v>788</v>
      </c>
      <c r="K1244">
        <v>0.34949379764212724</v>
      </c>
      <c r="L1244" t="s">
        <v>157</v>
      </c>
      <c r="N1244" t="s">
        <v>384</v>
      </c>
      <c r="O1244" t="s">
        <v>788</v>
      </c>
      <c r="P1244">
        <v>0.10231485239686519</v>
      </c>
      <c r="Q1244" t="s">
        <v>157</v>
      </c>
      <c r="S1244" t="s">
        <v>495</v>
      </c>
      <c r="T1244" t="s">
        <v>788</v>
      </c>
      <c r="U1244">
        <v>0.11330729626282464</v>
      </c>
      <c r="V1244" t="s">
        <v>157</v>
      </c>
    </row>
    <row r="1245" spans="9:22" x14ac:dyDescent="0.45">
      <c r="I1245" t="s">
        <v>273</v>
      </c>
      <c r="J1245" t="s">
        <v>789</v>
      </c>
      <c r="K1245">
        <v>1.5265980255863742E-2</v>
      </c>
      <c r="L1245" t="s">
        <v>157</v>
      </c>
      <c r="N1245" t="s">
        <v>384</v>
      </c>
      <c r="O1245" t="s">
        <v>789</v>
      </c>
      <c r="P1245">
        <v>9.7826053570137114E-2</v>
      </c>
      <c r="Q1245" t="s">
        <v>157</v>
      </c>
      <c r="S1245" t="s">
        <v>495</v>
      </c>
      <c r="T1245" t="s">
        <v>789</v>
      </c>
      <c r="U1245">
        <v>0.11075871194486787</v>
      </c>
      <c r="V1245" t="s">
        <v>157</v>
      </c>
    </row>
    <row r="1246" spans="9:22" x14ac:dyDescent="0.45">
      <c r="I1246" t="s">
        <v>273</v>
      </c>
      <c r="J1246" t="s">
        <v>790</v>
      </c>
      <c r="K1246">
        <v>4.6608986062437248E-2</v>
      </c>
      <c r="L1246" t="s">
        <v>157</v>
      </c>
      <c r="N1246" t="s">
        <v>384</v>
      </c>
      <c r="O1246" t="s">
        <v>790</v>
      </c>
      <c r="P1246">
        <v>1.9365031139697328E-2</v>
      </c>
      <c r="Q1246" t="s">
        <v>157</v>
      </c>
      <c r="S1246" t="s">
        <v>495</v>
      </c>
      <c r="T1246" t="s">
        <v>790</v>
      </c>
      <c r="U1246">
        <v>1.984332759373246E-2</v>
      </c>
      <c r="V1246" t="s">
        <v>157</v>
      </c>
    </row>
    <row r="1247" spans="9:22" x14ac:dyDescent="0.45">
      <c r="I1247" t="s">
        <v>274</v>
      </c>
      <c r="J1247" t="s">
        <v>779</v>
      </c>
      <c r="K1247">
        <v>0.25852785150963914</v>
      </c>
      <c r="L1247" t="s">
        <v>157</v>
      </c>
      <c r="N1247" t="s">
        <v>385</v>
      </c>
      <c r="O1247" t="s">
        <v>779</v>
      </c>
      <c r="P1247">
        <v>0.15711119271581975</v>
      </c>
      <c r="Q1247" t="s">
        <v>157</v>
      </c>
      <c r="S1247" t="s">
        <v>496</v>
      </c>
      <c r="T1247" t="s">
        <v>779</v>
      </c>
      <c r="U1247">
        <v>0.1151428582963908</v>
      </c>
      <c r="V1247" t="s">
        <v>157</v>
      </c>
    </row>
    <row r="1248" spans="9:22" x14ac:dyDescent="0.45">
      <c r="I1248" t="s">
        <v>274</v>
      </c>
      <c r="J1248" t="s">
        <v>780</v>
      </c>
      <c r="K1248">
        <v>4.0453316625169494E-3</v>
      </c>
      <c r="L1248" t="s">
        <v>157</v>
      </c>
      <c r="N1248" t="s">
        <v>385</v>
      </c>
      <c r="O1248" t="s">
        <v>780</v>
      </c>
      <c r="P1248">
        <v>0.13635956798698992</v>
      </c>
      <c r="Q1248" t="s">
        <v>157</v>
      </c>
      <c r="S1248" t="s">
        <v>496</v>
      </c>
      <c r="T1248" t="s">
        <v>780</v>
      </c>
      <c r="U1248">
        <v>0.11403471006878881</v>
      </c>
      <c r="V1248" t="s">
        <v>157</v>
      </c>
    </row>
    <row r="1249" spans="9:22" x14ac:dyDescent="0.45">
      <c r="I1249" t="s">
        <v>274</v>
      </c>
      <c r="J1249" t="s">
        <v>781</v>
      </c>
      <c r="K1249">
        <v>2.2992213014351517E-2</v>
      </c>
      <c r="L1249" t="s">
        <v>157</v>
      </c>
      <c r="N1249" t="s">
        <v>385</v>
      </c>
      <c r="O1249" t="s">
        <v>781</v>
      </c>
      <c r="P1249">
        <v>2.6384070565444524E-2</v>
      </c>
      <c r="Q1249" t="s">
        <v>157</v>
      </c>
      <c r="S1249" t="s">
        <v>496</v>
      </c>
      <c r="T1249" t="s">
        <v>781</v>
      </c>
      <c r="U1249">
        <v>2.0107506171463757E-2</v>
      </c>
      <c r="V1249" t="s">
        <v>157</v>
      </c>
    </row>
    <row r="1250" spans="9:22" x14ac:dyDescent="0.45">
      <c r="I1250" t="s">
        <v>274</v>
      </c>
      <c r="J1250" t="s">
        <v>782</v>
      </c>
      <c r="K1250">
        <v>0.1857562165932182</v>
      </c>
      <c r="L1250" t="s">
        <v>157</v>
      </c>
      <c r="N1250" t="s">
        <v>385</v>
      </c>
      <c r="O1250" t="s">
        <v>782</v>
      </c>
      <c r="P1250">
        <v>9.5557638011845955E-2</v>
      </c>
      <c r="Q1250" t="s">
        <v>157</v>
      </c>
      <c r="S1250" t="s">
        <v>496</v>
      </c>
      <c r="T1250" t="s">
        <v>782</v>
      </c>
      <c r="U1250">
        <v>0.1150164991805586</v>
      </c>
      <c r="V1250" t="s">
        <v>157</v>
      </c>
    </row>
    <row r="1251" spans="9:22" x14ac:dyDescent="0.45">
      <c r="I1251" t="s">
        <v>274</v>
      </c>
      <c r="J1251" t="s">
        <v>783</v>
      </c>
      <c r="K1251">
        <v>0</v>
      </c>
      <c r="L1251" t="s">
        <v>157</v>
      </c>
      <c r="N1251" t="s">
        <v>385</v>
      </c>
      <c r="O1251" t="s">
        <v>783</v>
      </c>
      <c r="P1251">
        <v>8.4812633874767826E-2</v>
      </c>
      <c r="Q1251" t="s">
        <v>157</v>
      </c>
      <c r="S1251" t="s">
        <v>496</v>
      </c>
      <c r="T1251" t="s">
        <v>783</v>
      </c>
      <c r="U1251">
        <v>0.11862654230867313</v>
      </c>
      <c r="V1251" t="s">
        <v>157</v>
      </c>
    </row>
    <row r="1252" spans="9:22" x14ac:dyDescent="0.45">
      <c r="I1252" t="s">
        <v>274</v>
      </c>
      <c r="J1252" t="s">
        <v>784</v>
      </c>
      <c r="K1252">
        <v>1.1244224231217121E-2</v>
      </c>
      <c r="L1252" t="s">
        <v>157</v>
      </c>
      <c r="N1252" t="s">
        <v>385</v>
      </c>
      <c r="O1252" t="s">
        <v>784</v>
      </c>
      <c r="P1252">
        <v>1.6675867479388665E-2</v>
      </c>
      <c r="Q1252" t="s">
        <v>157</v>
      </c>
      <c r="S1252" t="s">
        <v>496</v>
      </c>
      <c r="T1252" t="s">
        <v>784</v>
      </c>
      <c r="U1252">
        <v>2.0986024542693653E-2</v>
      </c>
      <c r="V1252" t="s">
        <v>157</v>
      </c>
    </row>
    <row r="1253" spans="9:22" x14ac:dyDescent="0.45">
      <c r="I1253" t="s">
        <v>274</v>
      </c>
      <c r="J1253" t="s">
        <v>785</v>
      </c>
      <c r="K1253">
        <v>0.10487320338076953</v>
      </c>
      <c r="L1253" t="s">
        <v>157</v>
      </c>
      <c r="N1253" t="s">
        <v>385</v>
      </c>
      <c r="O1253" t="s">
        <v>785</v>
      </c>
      <c r="P1253">
        <v>0.12994347993952179</v>
      </c>
      <c r="Q1253" t="s">
        <v>157</v>
      </c>
      <c r="S1253" t="s">
        <v>496</v>
      </c>
      <c r="T1253" t="s">
        <v>785</v>
      </c>
      <c r="U1253">
        <v>0.12172807225483692</v>
      </c>
      <c r="V1253" t="s">
        <v>157</v>
      </c>
    </row>
    <row r="1254" spans="9:22" x14ac:dyDescent="0.45">
      <c r="I1254" t="s">
        <v>274</v>
      </c>
      <c r="J1254" t="s">
        <v>786</v>
      </c>
      <c r="K1254">
        <v>0</v>
      </c>
      <c r="L1254" t="s">
        <v>157</v>
      </c>
      <c r="N1254" t="s">
        <v>385</v>
      </c>
      <c r="O1254" t="s">
        <v>786</v>
      </c>
      <c r="P1254">
        <v>0.11866132297411085</v>
      </c>
      <c r="Q1254" t="s">
        <v>157</v>
      </c>
      <c r="S1254" t="s">
        <v>496</v>
      </c>
      <c r="T1254" t="s">
        <v>786</v>
      </c>
      <c r="U1254">
        <v>0.12110012292056442</v>
      </c>
      <c r="V1254" t="s">
        <v>157</v>
      </c>
    </row>
    <row r="1255" spans="9:22" x14ac:dyDescent="0.45">
      <c r="I1255" t="s">
        <v>274</v>
      </c>
      <c r="J1255" t="s">
        <v>787</v>
      </c>
      <c r="K1255">
        <v>1.7589814934714692E-3</v>
      </c>
      <c r="L1255" t="s">
        <v>157</v>
      </c>
      <c r="N1255" t="s">
        <v>385</v>
      </c>
      <c r="O1255" t="s">
        <v>787</v>
      </c>
      <c r="P1255">
        <v>2.2444035604369483E-2</v>
      </c>
      <c r="Q1255" t="s">
        <v>157</v>
      </c>
      <c r="S1255" t="s">
        <v>496</v>
      </c>
      <c r="T1255" t="s">
        <v>787</v>
      </c>
      <c r="U1255">
        <v>2.1095757962247077E-2</v>
      </c>
      <c r="V1255" t="s">
        <v>157</v>
      </c>
    </row>
    <row r="1256" spans="9:22" x14ac:dyDescent="0.45">
      <c r="I1256" t="s">
        <v>274</v>
      </c>
      <c r="J1256" t="s">
        <v>788</v>
      </c>
      <c r="K1256">
        <v>0.34949724764776224</v>
      </c>
      <c r="L1256" t="s">
        <v>157</v>
      </c>
      <c r="N1256" t="s">
        <v>385</v>
      </c>
      <c r="O1256" t="s">
        <v>788</v>
      </c>
      <c r="P1256">
        <v>0.10389632722102166</v>
      </c>
      <c r="Q1256" t="s">
        <v>157</v>
      </c>
      <c r="S1256" t="s">
        <v>496</v>
      </c>
      <c r="T1256" t="s">
        <v>788</v>
      </c>
      <c r="U1256">
        <v>0.10795163680401514</v>
      </c>
      <c r="V1256" t="s">
        <v>157</v>
      </c>
    </row>
    <row r="1257" spans="9:22" x14ac:dyDescent="0.45">
      <c r="I1257" t="s">
        <v>274</v>
      </c>
      <c r="J1257" t="s">
        <v>789</v>
      </c>
      <c r="K1257">
        <v>1.4561469146170248E-2</v>
      </c>
      <c r="L1257" t="s">
        <v>157</v>
      </c>
      <c r="N1257" t="s">
        <v>385</v>
      </c>
      <c r="O1257" t="s">
        <v>789</v>
      </c>
      <c r="P1257">
        <v>8.9446457050549252E-2</v>
      </c>
      <c r="Q1257" t="s">
        <v>157</v>
      </c>
      <c r="S1257" t="s">
        <v>496</v>
      </c>
      <c r="T1257" t="s">
        <v>789</v>
      </c>
      <c r="U1257">
        <v>0.10557118253078315</v>
      </c>
      <c r="V1257" t="s">
        <v>157</v>
      </c>
    </row>
    <row r="1258" spans="9:22" x14ac:dyDescent="0.45">
      <c r="I1258" t="s">
        <v>274</v>
      </c>
      <c r="J1258" t="s">
        <v>790</v>
      </c>
      <c r="K1258">
        <v>4.6743261320883661E-2</v>
      </c>
      <c r="L1258" t="s">
        <v>157</v>
      </c>
      <c r="N1258" t="s">
        <v>385</v>
      </c>
      <c r="O1258" t="s">
        <v>790</v>
      </c>
      <c r="P1258">
        <v>1.8707406576170375E-2</v>
      </c>
      <c r="Q1258" t="s">
        <v>157</v>
      </c>
      <c r="S1258" t="s">
        <v>496</v>
      </c>
      <c r="T1258" t="s">
        <v>790</v>
      </c>
      <c r="U1258">
        <v>1.863908695898462E-2</v>
      </c>
      <c r="V1258" t="s">
        <v>157</v>
      </c>
    </row>
    <row r="1259" spans="9:22" x14ac:dyDescent="0.45">
      <c r="I1259" t="s">
        <v>275</v>
      </c>
      <c r="J1259" t="s">
        <v>779</v>
      </c>
      <c r="K1259">
        <v>0.25711156622545778</v>
      </c>
      <c r="L1259" t="s">
        <v>157</v>
      </c>
      <c r="N1259" t="s">
        <v>386</v>
      </c>
      <c r="O1259" t="s">
        <v>779</v>
      </c>
      <c r="P1259">
        <v>0.16490718298233592</v>
      </c>
      <c r="Q1259" t="s">
        <v>157</v>
      </c>
      <c r="S1259" t="s">
        <v>497</v>
      </c>
      <c r="T1259" t="s">
        <v>779</v>
      </c>
      <c r="U1259">
        <v>0.11704409929971996</v>
      </c>
      <c r="V1259" t="s">
        <v>157</v>
      </c>
    </row>
    <row r="1260" spans="9:22" x14ac:dyDescent="0.45">
      <c r="I1260" t="s">
        <v>275</v>
      </c>
      <c r="J1260" t="s">
        <v>780</v>
      </c>
      <c r="K1260">
        <v>3.9181213949857022E-3</v>
      </c>
      <c r="L1260" t="s">
        <v>157</v>
      </c>
      <c r="N1260" t="s">
        <v>386</v>
      </c>
      <c r="O1260" t="s">
        <v>780</v>
      </c>
      <c r="P1260">
        <v>0.14386870012588815</v>
      </c>
      <c r="Q1260" t="s">
        <v>157</v>
      </c>
      <c r="S1260" t="s">
        <v>497</v>
      </c>
      <c r="T1260" t="s">
        <v>780</v>
      </c>
      <c r="U1260">
        <v>0.11550272560787384</v>
      </c>
      <c r="V1260" t="s">
        <v>157</v>
      </c>
    </row>
    <row r="1261" spans="9:22" x14ac:dyDescent="0.45">
      <c r="I1261" t="s">
        <v>275</v>
      </c>
      <c r="J1261" t="s">
        <v>781</v>
      </c>
      <c r="K1261">
        <v>2.222858293140614E-2</v>
      </c>
      <c r="L1261" t="s">
        <v>157</v>
      </c>
      <c r="N1261" t="s">
        <v>386</v>
      </c>
      <c r="O1261" t="s">
        <v>781</v>
      </c>
      <c r="P1261">
        <v>2.6650099868253386E-2</v>
      </c>
      <c r="Q1261" t="s">
        <v>157</v>
      </c>
      <c r="S1261" t="s">
        <v>497</v>
      </c>
      <c r="T1261" t="s">
        <v>781</v>
      </c>
      <c r="U1261">
        <v>2.0542628521241363E-2</v>
      </c>
      <c r="V1261" t="s">
        <v>157</v>
      </c>
    </row>
    <row r="1262" spans="9:22" x14ac:dyDescent="0.45">
      <c r="I1262" t="s">
        <v>275</v>
      </c>
      <c r="J1262" t="s">
        <v>782</v>
      </c>
      <c r="K1262">
        <v>0.19099191981344738</v>
      </c>
      <c r="L1262" t="s">
        <v>157</v>
      </c>
      <c r="N1262" t="s">
        <v>386</v>
      </c>
      <c r="O1262" t="s">
        <v>782</v>
      </c>
      <c r="P1262">
        <v>9.4616000818371238E-2</v>
      </c>
      <c r="Q1262" t="s">
        <v>157</v>
      </c>
      <c r="S1262" t="s">
        <v>497</v>
      </c>
      <c r="T1262" t="s">
        <v>782</v>
      </c>
      <c r="U1262">
        <v>0.11543285530151254</v>
      </c>
      <c r="V1262" t="s">
        <v>157</v>
      </c>
    </row>
    <row r="1263" spans="9:22" x14ac:dyDescent="0.45">
      <c r="I1263" t="s">
        <v>275</v>
      </c>
      <c r="J1263" t="s">
        <v>783</v>
      </c>
      <c r="K1263">
        <v>0</v>
      </c>
      <c r="L1263" t="s">
        <v>157</v>
      </c>
      <c r="N1263" t="s">
        <v>386</v>
      </c>
      <c r="O1263" t="s">
        <v>783</v>
      </c>
      <c r="P1263">
        <v>8.4833172293540371E-2</v>
      </c>
      <c r="Q1263" t="s">
        <v>157</v>
      </c>
      <c r="S1263" t="s">
        <v>497</v>
      </c>
      <c r="T1263" t="s">
        <v>783</v>
      </c>
      <c r="U1263">
        <v>0.11944596597052558</v>
      </c>
      <c r="V1263" t="s">
        <v>157</v>
      </c>
    </row>
    <row r="1264" spans="9:22" x14ac:dyDescent="0.45">
      <c r="I1264" t="s">
        <v>275</v>
      </c>
      <c r="J1264" t="s">
        <v>784</v>
      </c>
      <c r="K1264">
        <v>1.13679365168143E-2</v>
      </c>
      <c r="L1264" t="s">
        <v>157</v>
      </c>
      <c r="N1264" t="s">
        <v>386</v>
      </c>
      <c r="O1264" t="s">
        <v>784</v>
      </c>
      <c r="P1264">
        <v>1.5540971311791545E-2</v>
      </c>
      <c r="Q1264" t="s">
        <v>157</v>
      </c>
      <c r="S1264" t="s">
        <v>497</v>
      </c>
      <c r="T1264" t="s">
        <v>784</v>
      </c>
      <c r="U1264">
        <v>2.1329676667943057E-2</v>
      </c>
      <c r="V1264" t="s">
        <v>157</v>
      </c>
    </row>
    <row r="1265" spans="9:22" x14ac:dyDescent="0.45">
      <c r="I1265" t="s">
        <v>275</v>
      </c>
      <c r="J1265" t="s">
        <v>785</v>
      </c>
      <c r="K1265">
        <v>0.10476721765387806</v>
      </c>
      <c r="L1265" t="s">
        <v>157</v>
      </c>
      <c r="N1265" t="s">
        <v>386</v>
      </c>
      <c r="O1265" t="s">
        <v>785</v>
      </c>
      <c r="P1265">
        <v>0.1294084455108743</v>
      </c>
      <c r="Q1265" t="s">
        <v>157</v>
      </c>
      <c r="S1265" t="s">
        <v>497</v>
      </c>
      <c r="T1265" t="s">
        <v>785</v>
      </c>
      <c r="U1265">
        <v>0.12205193467488379</v>
      </c>
      <c r="V1265" t="s">
        <v>157</v>
      </c>
    </row>
    <row r="1266" spans="9:22" x14ac:dyDescent="0.45">
      <c r="I1266" t="s">
        <v>275</v>
      </c>
      <c r="J1266" t="s">
        <v>786</v>
      </c>
      <c r="K1266">
        <v>0</v>
      </c>
      <c r="L1266" t="s">
        <v>157</v>
      </c>
      <c r="N1266" t="s">
        <v>386</v>
      </c>
      <c r="O1266" t="s">
        <v>786</v>
      </c>
      <c r="P1266">
        <v>0.11832572614760366</v>
      </c>
      <c r="Q1266" t="s">
        <v>157</v>
      </c>
      <c r="S1266" t="s">
        <v>497</v>
      </c>
      <c r="T1266" t="s">
        <v>786</v>
      </c>
      <c r="U1266">
        <v>0.12389390174106885</v>
      </c>
      <c r="V1266" t="s">
        <v>157</v>
      </c>
    </row>
    <row r="1267" spans="9:22" x14ac:dyDescent="0.45">
      <c r="I1267" t="s">
        <v>275</v>
      </c>
      <c r="J1267" t="s">
        <v>787</v>
      </c>
      <c r="K1267">
        <v>1.794904735888464E-3</v>
      </c>
      <c r="L1267" t="s">
        <v>157</v>
      </c>
      <c r="N1267" t="s">
        <v>386</v>
      </c>
      <c r="O1267" t="s">
        <v>787</v>
      </c>
      <c r="P1267">
        <v>2.1874768801851071E-2</v>
      </c>
      <c r="Q1267" t="s">
        <v>157</v>
      </c>
      <c r="S1267" t="s">
        <v>497</v>
      </c>
      <c r="T1267" t="s">
        <v>787</v>
      </c>
      <c r="U1267">
        <v>2.1862390687226937E-2</v>
      </c>
      <c r="V1267" t="s">
        <v>157</v>
      </c>
    </row>
    <row r="1268" spans="9:22" x14ac:dyDescent="0.45">
      <c r="I1268" t="s">
        <v>275</v>
      </c>
      <c r="J1268" t="s">
        <v>788</v>
      </c>
      <c r="K1268">
        <v>0.34804388149731513</v>
      </c>
      <c r="L1268" t="s">
        <v>157</v>
      </c>
      <c r="N1268" t="s">
        <v>386</v>
      </c>
      <c r="O1268" t="s">
        <v>788</v>
      </c>
      <c r="P1268">
        <v>0.10086648884826856</v>
      </c>
      <c r="Q1268" t="s">
        <v>157</v>
      </c>
      <c r="S1268" t="s">
        <v>497</v>
      </c>
      <c r="T1268" t="s">
        <v>788</v>
      </c>
      <c r="U1268">
        <v>0.10276256608221589</v>
      </c>
      <c r="V1268" t="s">
        <v>157</v>
      </c>
    </row>
    <row r="1269" spans="9:22" x14ac:dyDescent="0.45">
      <c r="I1269" t="s">
        <v>275</v>
      </c>
      <c r="J1269" t="s">
        <v>789</v>
      </c>
      <c r="K1269">
        <v>1.3797496876616423E-2</v>
      </c>
      <c r="L1269" t="s">
        <v>157</v>
      </c>
      <c r="N1269" t="s">
        <v>386</v>
      </c>
      <c r="O1269" t="s">
        <v>789</v>
      </c>
      <c r="P1269">
        <v>8.1618467235512762E-2</v>
      </c>
      <c r="Q1269" t="s">
        <v>157</v>
      </c>
      <c r="S1269" t="s">
        <v>497</v>
      </c>
      <c r="T1269" t="s">
        <v>789</v>
      </c>
      <c r="U1269">
        <v>0.10210572868350164</v>
      </c>
      <c r="V1269" t="s">
        <v>157</v>
      </c>
    </row>
    <row r="1270" spans="9:22" x14ac:dyDescent="0.45">
      <c r="I1270" t="s">
        <v>275</v>
      </c>
      <c r="J1270" t="s">
        <v>790</v>
      </c>
      <c r="K1270">
        <v>4.5978372354190597E-2</v>
      </c>
      <c r="L1270" t="s">
        <v>157</v>
      </c>
      <c r="N1270" t="s">
        <v>386</v>
      </c>
      <c r="O1270" t="s">
        <v>790</v>
      </c>
      <c r="P1270">
        <v>1.7489976055709011E-2</v>
      </c>
      <c r="Q1270" t="s">
        <v>157</v>
      </c>
      <c r="S1270" t="s">
        <v>497</v>
      </c>
      <c r="T1270" t="s">
        <v>790</v>
      </c>
      <c r="U1270">
        <v>1.8025526762286578E-2</v>
      </c>
      <c r="V1270" t="s">
        <v>157</v>
      </c>
    </row>
    <row r="1271" spans="9:22" x14ac:dyDescent="0.45">
      <c r="I1271" t="s">
        <v>276</v>
      </c>
      <c r="J1271" t="s">
        <v>779</v>
      </c>
      <c r="K1271">
        <v>0.25809663264560923</v>
      </c>
      <c r="L1271" t="s">
        <v>157</v>
      </c>
      <c r="N1271" t="s">
        <v>387</v>
      </c>
      <c r="O1271" t="s">
        <v>779</v>
      </c>
      <c r="P1271">
        <v>0.17136843376040328</v>
      </c>
      <c r="Q1271" t="s">
        <v>157</v>
      </c>
      <c r="S1271" t="s">
        <v>498</v>
      </c>
      <c r="T1271" t="s">
        <v>779</v>
      </c>
      <c r="U1271">
        <v>0.12031889908886079</v>
      </c>
      <c r="V1271" t="s">
        <v>157</v>
      </c>
    </row>
    <row r="1272" spans="9:22" x14ac:dyDescent="0.45">
      <c r="I1272" t="s">
        <v>276</v>
      </c>
      <c r="J1272" t="s">
        <v>780</v>
      </c>
      <c r="K1272">
        <v>4.1635008945445397E-3</v>
      </c>
      <c r="L1272" t="s">
        <v>157</v>
      </c>
      <c r="N1272" t="s">
        <v>387</v>
      </c>
      <c r="O1272" t="s">
        <v>780</v>
      </c>
      <c r="P1272">
        <v>0.14836878703463213</v>
      </c>
      <c r="Q1272" t="s">
        <v>157</v>
      </c>
      <c r="S1272" t="s">
        <v>498</v>
      </c>
      <c r="T1272" t="s">
        <v>780</v>
      </c>
      <c r="U1272">
        <v>0.12124159641398843</v>
      </c>
      <c r="V1272" t="s">
        <v>157</v>
      </c>
    </row>
    <row r="1273" spans="9:22" x14ac:dyDescent="0.45">
      <c r="I1273" t="s">
        <v>276</v>
      </c>
      <c r="J1273" t="s">
        <v>781</v>
      </c>
      <c r="K1273">
        <v>2.1749125157142765E-2</v>
      </c>
      <c r="L1273" t="s">
        <v>157</v>
      </c>
      <c r="N1273" t="s">
        <v>387</v>
      </c>
      <c r="O1273" t="s">
        <v>781</v>
      </c>
      <c r="P1273">
        <v>2.7140230959947054E-2</v>
      </c>
      <c r="Q1273" t="s">
        <v>157</v>
      </c>
      <c r="S1273" t="s">
        <v>498</v>
      </c>
      <c r="T1273" t="s">
        <v>781</v>
      </c>
      <c r="U1273">
        <v>2.1779778888446105E-2</v>
      </c>
      <c r="V1273" t="s">
        <v>157</v>
      </c>
    </row>
    <row r="1274" spans="9:22" x14ac:dyDescent="0.45">
      <c r="I1274" t="s">
        <v>276</v>
      </c>
      <c r="J1274" t="s">
        <v>782</v>
      </c>
      <c r="K1274">
        <v>0.19130204323591682</v>
      </c>
      <c r="L1274" t="s">
        <v>157</v>
      </c>
      <c r="N1274" t="s">
        <v>387</v>
      </c>
      <c r="O1274" t="s">
        <v>782</v>
      </c>
      <c r="P1274">
        <v>9.4902484086673775E-2</v>
      </c>
      <c r="Q1274" t="s">
        <v>157</v>
      </c>
      <c r="S1274" t="s">
        <v>498</v>
      </c>
      <c r="T1274" t="s">
        <v>782</v>
      </c>
      <c r="U1274">
        <v>0.11344949228628144</v>
      </c>
      <c r="V1274" t="s">
        <v>157</v>
      </c>
    </row>
    <row r="1275" spans="9:22" x14ac:dyDescent="0.45">
      <c r="I1275" t="s">
        <v>276</v>
      </c>
      <c r="J1275" t="s">
        <v>783</v>
      </c>
      <c r="K1275">
        <v>0</v>
      </c>
      <c r="L1275" t="s">
        <v>157</v>
      </c>
      <c r="N1275" t="s">
        <v>387</v>
      </c>
      <c r="O1275" t="s">
        <v>783</v>
      </c>
      <c r="P1275">
        <v>8.3875738221346252E-2</v>
      </c>
      <c r="Q1275" t="s">
        <v>157</v>
      </c>
      <c r="S1275" t="s">
        <v>498</v>
      </c>
      <c r="T1275" t="s">
        <v>783</v>
      </c>
      <c r="U1275">
        <v>0.11800433643519831</v>
      </c>
      <c r="V1275" t="s">
        <v>157</v>
      </c>
    </row>
    <row r="1276" spans="9:22" x14ac:dyDescent="0.45">
      <c r="I1276" t="s">
        <v>276</v>
      </c>
      <c r="J1276" t="s">
        <v>784</v>
      </c>
      <c r="K1276">
        <v>1.1254475814166406E-2</v>
      </c>
      <c r="L1276" t="s">
        <v>157</v>
      </c>
      <c r="N1276" t="s">
        <v>387</v>
      </c>
      <c r="O1276" t="s">
        <v>784</v>
      </c>
      <c r="P1276">
        <v>1.4901777128364263E-2</v>
      </c>
      <c r="Q1276" t="s">
        <v>157</v>
      </c>
      <c r="S1276" t="s">
        <v>498</v>
      </c>
      <c r="T1276" t="s">
        <v>784</v>
      </c>
      <c r="U1276">
        <v>2.1509681138131332E-2</v>
      </c>
      <c r="V1276" t="s">
        <v>157</v>
      </c>
    </row>
    <row r="1277" spans="9:22" x14ac:dyDescent="0.45">
      <c r="I1277" t="s">
        <v>276</v>
      </c>
      <c r="J1277" t="s">
        <v>785</v>
      </c>
      <c r="K1277">
        <v>0.10647210159851518</v>
      </c>
      <c r="L1277" t="s">
        <v>157</v>
      </c>
      <c r="N1277" t="s">
        <v>387</v>
      </c>
      <c r="O1277" t="s">
        <v>785</v>
      </c>
      <c r="P1277">
        <v>0.1265569826276339</v>
      </c>
      <c r="Q1277" t="s">
        <v>157</v>
      </c>
      <c r="S1277" t="s">
        <v>498</v>
      </c>
      <c r="T1277" t="s">
        <v>785</v>
      </c>
      <c r="U1277">
        <v>0.12098417355289101</v>
      </c>
      <c r="V1277" t="s">
        <v>157</v>
      </c>
    </row>
    <row r="1278" spans="9:22" x14ac:dyDescent="0.45">
      <c r="I1278" t="s">
        <v>276</v>
      </c>
      <c r="J1278" t="s">
        <v>786</v>
      </c>
      <c r="K1278">
        <v>0</v>
      </c>
      <c r="L1278" t="s">
        <v>157</v>
      </c>
      <c r="N1278" t="s">
        <v>387</v>
      </c>
      <c r="O1278" t="s">
        <v>786</v>
      </c>
      <c r="P1278">
        <v>0.12151439618704873</v>
      </c>
      <c r="Q1278" t="s">
        <v>157</v>
      </c>
      <c r="S1278" t="s">
        <v>498</v>
      </c>
      <c r="T1278" t="s">
        <v>786</v>
      </c>
      <c r="U1278">
        <v>0.12459913200497563</v>
      </c>
      <c r="V1278" t="s">
        <v>157</v>
      </c>
    </row>
    <row r="1279" spans="9:22" x14ac:dyDescent="0.45">
      <c r="I1279" t="s">
        <v>276</v>
      </c>
      <c r="J1279" t="s">
        <v>787</v>
      </c>
      <c r="K1279">
        <v>1.7953864921163884E-3</v>
      </c>
      <c r="L1279" t="s">
        <v>157</v>
      </c>
      <c r="N1279" t="s">
        <v>387</v>
      </c>
      <c r="O1279" t="s">
        <v>787</v>
      </c>
      <c r="P1279">
        <v>2.1584677485884902E-2</v>
      </c>
      <c r="Q1279" t="s">
        <v>157</v>
      </c>
      <c r="S1279" t="s">
        <v>498</v>
      </c>
      <c r="T1279" t="s">
        <v>787</v>
      </c>
      <c r="U1279">
        <v>2.2378118856352217E-2</v>
      </c>
      <c r="V1279" t="s">
        <v>157</v>
      </c>
    </row>
    <row r="1280" spans="9:22" x14ac:dyDescent="0.45">
      <c r="I1280" t="s">
        <v>276</v>
      </c>
      <c r="J1280" t="s">
        <v>788</v>
      </c>
      <c r="K1280">
        <v>0.34660995020250601</v>
      </c>
      <c r="L1280" t="s">
        <v>157</v>
      </c>
      <c r="N1280" t="s">
        <v>387</v>
      </c>
      <c r="O1280" t="s">
        <v>788</v>
      </c>
      <c r="P1280">
        <v>9.6347542510579018E-2</v>
      </c>
      <c r="Q1280" t="s">
        <v>157</v>
      </c>
      <c r="S1280" t="s">
        <v>498</v>
      </c>
      <c r="T1280" t="s">
        <v>788</v>
      </c>
      <c r="U1280">
        <v>9.7717265361186578E-2</v>
      </c>
      <c r="V1280" t="s">
        <v>157</v>
      </c>
    </row>
    <row r="1281" spans="9:22" x14ac:dyDescent="0.45">
      <c r="I1281" t="s">
        <v>276</v>
      </c>
      <c r="J1281" t="s">
        <v>789</v>
      </c>
      <c r="K1281">
        <v>1.2817289927533877E-2</v>
      </c>
      <c r="L1281" t="s">
        <v>157</v>
      </c>
      <c r="N1281" t="s">
        <v>387</v>
      </c>
      <c r="O1281" t="s">
        <v>789</v>
      </c>
      <c r="P1281">
        <v>7.6041623109103187E-2</v>
      </c>
      <c r="Q1281" t="s">
        <v>157</v>
      </c>
      <c r="S1281" t="s">
        <v>498</v>
      </c>
      <c r="T1281" t="s">
        <v>789</v>
      </c>
      <c r="U1281">
        <v>0.10056603718444752</v>
      </c>
      <c r="V1281" t="s">
        <v>157</v>
      </c>
    </row>
    <row r="1282" spans="9:22" x14ac:dyDescent="0.45">
      <c r="I1282" t="s">
        <v>276</v>
      </c>
      <c r="J1282" t="s">
        <v>790</v>
      </c>
      <c r="K1282">
        <v>4.5739494031948859E-2</v>
      </c>
      <c r="L1282" t="s">
        <v>157</v>
      </c>
      <c r="N1282" t="s">
        <v>387</v>
      </c>
      <c r="O1282" t="s">
        <v>790</v>
      </c>
      <c r="P1282">
        <v>1.7397326888383569E-2</v>
      </c>
      <c r="Q1282" t="s">
        <v>157</v>
      </c>
      <c r="S1282" t="s">
        <v>498</v>
      </c>
      <c r="T1282" t="s">
        <v>790</v>
      </c>
      <c r="U1282">
        <v>1.7451488789240584E-2</v>
      </c>
      <c r="V1282" t="s">
        <v>157</v>
      </c>
    </row>
    <row r="1283" spans="9:22" x14ac:dyDescent="0.45">
      <c r="I1283" t="s">
        <v>277</v>
      </c>
      <c r="J1283" t="s">
        <v>779</v>
      </c>
      <c r="K1283">
        <v>0.26043433600845944</v>
      </c>
      <c r="L1283" t="s">
        <v>157</v>
      </c>
      <c r="N1283" t="s">
        <v>388</v>
      </c>
      <c r="O1283" t="s">
        <v>779</v>
      </c>
      <c r="P1283">
        <v>0.18749951237011106</v>
      </c>
      <c r="Q1283" t="s">
        <v>157</v>
      </c>
      <c r="S1283" t="s">
        <v>499</v>
      </c>
      <c r="T1283" t="s">
        <v>779</v>
      </c>
      <c r="U1283">
        <v>0.12830474961364852</v>
      </c>
      <c r="V1283" t="s">
        <v>157</v>
      </c>
    </row>
    <row r="1284" spans="9:22" x14ac:dyDescent="0.45">
      <c r="I1284" t="s">
        <v>277</v>
      </c>
      <c r="J1284" t="s">
        <v>780</v>
      </c>
      <c r="K1284">
        <v>4.5532646289032823E-3</v>
      </c>
      <c r="L1284" t="s">
        <v>157</v>
      </c>
      <c r="N1284" t="s">
        <v>388</v>
      </c>
      <c r="O1284" t="s">
        <v>780</v>
      </c>
      <c r="P1284">
        <v>0.13815048346818404</v>
      </c>
      <c r="Q1284" t="s">
        <v>157</v>
      </c>
      <c r="S1284" t="s">
        <v>499</v>
      </c>
      <c r="T1284" t="s">
        <v>780</v>
      </c>
      <c r="U1284">
        <v>0.12280997090476629</v>
      </c>
      <c r="V1284" t="s">
        <v>157</v>
      </c>
    </row>
    <row r="1285" spans="9:22" x14ac:dyDescent="0.45">
      <c r="I1285" t="s">
        <v>277</v>
      </c>
      <c r="J1285" t="s">
        <v>781</v>
      </c>
      <c r="K1285">
        <v>2.1738765962591455E-2</v>
      </c>
      <c r="L1285" t="s">
        <v>157</v>
      </c>
      <c r="N1285" t="s">
        <v>388</v>
      </c>
      <c r="O1285" t="s">
        <v>781</v>
      </c>
      <c r="P1285">
        <v>2.7971892872115593E-2</v>
      </c>
      <c r="Q1285" t="s">
        <v>157</v>
      </c>
      <c r="S1285" t="s">
        <v>499</v>
      </c>
      <c r="T1285" t="s">
        <v>781</v>
      </c>
      <c r="U1285">
        <v>2.5590789322895074E-2</v>
      </c>
      <c r="V1285" t="s">
        <v>157</v>
      </c>
    </row>
    <row r="1286" spans="9:22" x14ac:dyDescent="0.45">
      <c r="I1286" t="s">
        <v>277</v>
      </c>
      <c r="J1286" t="s">
        <v>782</v>
      </c>
      <c r="K1286">
        <v>0.18650997919753998</v>
      </c>
      <c r="L1286" t="s">
        <v>157</v>
      </c>
      <c r="N1286" t="s">
        <v>388</v>
      </c>
      <c r="O1286" t="s">
        <v>782</v>
      </c>
      <c r="P1286">
        <v>9.1424956792264561E-2</v>
      </c>
      <c r="Q1286" t="s">
        <v>157</v>
      </c>
      <c r="S1286" t="s">
        <v>499</v>
      </c>
      <c r="T1286" t="s">
        <v>782</v>
      </c>
      <c r="U1286">
        <v>0.11018889935605988</v>
      </c>
      <c r="V1286" t="s">
        <v>157</v>
      </c>
    </row>
    <row r="1287" spans="9:22" x14ac:dyDescent="0.45">
      <c r="I1287" t="s">
        <v>277</v>
      </c>
      <c r="J1287" t="s">
        <v>783</v>
      </c>
      <c r="K1287">
        <v>0</v>
      </c>
      <c r="L1287" t="s">
        <v>157</v>
      </c>
      <c r="N1287" t="s">
        <v>388</v>
      </c>
      <c r="O1287" t="s">
        <v>783</v>
      </c>
      <c r="P1287">
        <v>8.5866397231745634E-2</v>
      </c>
      <c r="Q1287" t="s">
        <v>157</v>
      </c>
      <c r="S1287" t="s">
        <v>499</v>
      </c>
      <c r="T1287" t="s">
        <v>783</v>
      </c>
      <c r="U1287">
        <v>0.11233824990578281</v>
      </c>
      <c r="V1287" t="s">
        <v>157</v>
      </c>
    </row>
    <row r="1288" spans="9:22" x14ac:dyDescent="0.45">
      <c r="I1288" t="s">
        <v>277</v>
      </c>
      <c r="J1288" t="s">
        <v>784</v>
      </c>
      <c r="K1288">
        <v>1.1016721136958956E-2</v>
      </c>
      <c r="L1288" t="s">
        <v>157</v>
      </c>
      <c r="N1288" t="s">
        <v>388</v>
      </c>
      <c r="O1288" t="s">
        <v>784</v>
      </c>
      <c r="P1288">
        <v>1.5346326847390597E-2</v>
      </c>
      <c r="Q1288" t="s">
        <v>157</v>
      </c>
      <c r="S1288" t="s">
        <v>499</v>
      </c>
      <c r="T1288" t="s">
        <v>784</v>
      </c>
      <c r="U1288">
        <v>2.1197763260154698E-2</v>
      </c>
      <c r="V1288" t="s">
        <v>157</v>
      </c>
    </row>
    <row r="1289" spans="9:22" x14ac:dyDescent="0.45">
      <c r="I1289" t="s">
        <v>277</v>
      </c>
      <c r="J1289" t="s">
        <v>785</v>
      </c>
      <c r="K1289">
        <v>0.10860925766410504</v>
      </c>
      <c r="L1289" t="s">
        <v>157</v>
      </c>
      <c r="N1289" t="s">
        <v>388</v>
      </c>
      <c r="O1289" t="s">
        <v>785</v>
      </c>
      <c r="P1289">
        <v>0.12673205019994835</v>
      </c>
      <c r="Q1289" t="s">
        <v>157</v>
      </c>
      <c r="S1289" t="s">
        <v>499</v>
      </c>
      <c r="T1289" t="s">
        <v>785</v>
      </c>
      <c r="U1289">
        <v>0.11775877772967074</v>
      </c>
      <c r="V1289" t="s">
        <v>157</v>
      </c>
    </row>
    <row r="1290" spans="9:22" x14ac:dyDescent="0.45">
      <c r="I1290" t="s">
        <v>277</v>
      </c>
      <c r="J1290" t="s">
        <v>786</v>
      </c>
      <c r="K1290">
        <v>0</v>
      </c>
      <c r="L1290" t="s">
        <v>157</v>
      </c>
      <c r="N1290" t="s">
        <v>388</v>
      </c>
      <c r="O1290" t="s">
        <v>786</v>
      </c>
      <c r="P1290">
        <v>0.11555468783423112</v>
      </c>
      <c r="Q1290" t="s">
        <v>157</v>
      </c>
      <c r="S1290" t="s">
        <v>499</v>
      </c>
      <c r="T1290" t="s">
        <v>786</v>
      </c>
      <c r="U1290">
        <v>0.12301523557487405</v>
      </c>
      <c r="V1290" t="s">
        <v>157</v>
      </c>
    </row>
    <row r="1291" spans="9:22" x14ac:dyDescent="0.45">
      <c r="I1291" t="s">
        <v>277</v>
      </c>
      <c r="J1291" t="s">
        <v>787</v>
      </c>
      <c r="K1291">
        <v>1.8777162848509282E-3</v>
      </c>
      <c r="L1291" t="s">
        <v>157</v>
      </c>
      <c r="N1291" t="s">
        <v>388</v>
      </c>
      <c r="O1291" t="s">
        <v>787</v>
      </c>
      <c r="P1291">
        <v>2.1091099899244421E-2</v>
      </c>
      <c r="Q1291" t="s">
        <v>157</v>
      </c>
      <c r="S1291" t="s">
        <v>499</v>
      </c>
      <c r="T1291" t="s">
        <v>787</v>
      </c>
      <c r="U1291">
        <v>2.2232549409195401E-2</v>
      </c>
      <c r="V1291" t="s">
        <v>157</v>
      </c>
    </row>
    <row r="1292" spans="9:22" x14ac:dyDescent="0.45">
      <c r="I1292" t="s">
        <v>277</v>
      </c>
      <c r="J1292" t="s">
        <v>788</v>
      </c>
      <c r="K1292">
        <v>0.34695185265301481</v>
      </c>
      <c r="L1292" t="s">
        <v>157</v>
      </c>
      <c r="N1292" t="s">
        <v>388</v>
      </c>
      <c r="O1292" t="s">
        <v>788</v>
      </c>
      <c r="P1292">
        <v>9.8200405592261647E-2</v>
      </c>
      <c r="Q1292" t="s">
        <v>157</v>
      </c>
      <c r="S1292" t="s">
        <v>499</v>
      </c>
      <c r="T1292" t="s">
        <v>788</v>
      </c>
      <c r="U1292">
        <v>0.10208993380446682</v>
      </c>
      <c r="V1292" t="s">
        <v>157</v>
      </c>
    </row>
    <row r="1293" spans="9:22" x14ac:dyDescent="0.45">
      <c r="I1293" t="s">
        <v>277</v>
      </c>
      <c r="J1293" t="s">
        <v>789</v>
      </c>
      <c r="K1293">
        <v>1.1532177403182598E-2</v>
      </c>
      <c r="L1293" t="s">
        <v>157</v>
      </c>
      <c r="N1293" t="s">
        <v>388</v>
      </c>
      <c r="O1293" t="s">
        <v>789</v>
      </c>
      <c r="P1293">
        <v>7.1957720246321993E-2</v>
      </c>
      <c r="Q1293" t="s">
        <v>157</v>
      </c>
      <c r="S1293" t="s">
        <v>499</v>
      </c>
      <c r="T1293" t="s">
        <v>789</v>
      </c>
      <c r="U1293">
        <v>9.740861951438437E-2</v>
      </c>
      <c r="V1293" t="s">
        <v>157</v>
      </c>
    </row>
    <row r="1294" spans="9:22" x14ac:dyDescent="0.45">
      <c r="I1294" t="s">
        <v>277</v>
      </c>
      <c r="J1294" t="s">
        <v>790</v>
      </c>
      <c r="K1294">
        <v>4.6775929060393621E-2</v>
      </c>
      <c r="L1294" t="s">
        <v>157</v>
      </c>
      <c r="N1294" t="s">
        <v>388</v>
      </c>
      <c r="O1294" t="s">
        <v>790</v>
      </c>
      <c r="P1294">
        <v>2.020446664618095E-2</v>
      </c>
      <c r="Q1294" t="s">
        <v>157</v>
      </c>
      <c r="S1294" t="s">
        <v>499</v>
      </c>
      <c r="T1294" t="s">
        <v>790</v>
      </c>
      <c r="U1294">
        <v>1.70644616041014E-2</v>
      </c>
      <c r="V1294" t="s">
        <v>157</v>
      </c>
    </row>
    <row r="1295" spans="9:22" x14ac:dyDescent="0.45">
      <c r="I1295" t="s">
        <v>278</v>
      </c>
      <c r="J1295" t="s">
        <v>779</v>
      </c>
      <c r="K1295">
        <v>0.26203643957946998</v>
      </c>
      <c r="L1295" t="s">
        <v>157</v>
      </c>
      <c r="N1295" t="s">
        <v>389</v>
      </c>
      <c r="O1295" t="s">
        <v>779</v>
      </c>
      <c r="P1295">
        <v>0.18095677032635246</v>
      </c>
      <c r="Q1295" t="s">
        <v>157</v>
      </c>
      <c r="S1295" t="s">
        <v>500</v>
      </c>
      <c r="T1295" t="s">
        <v>779</v>
      </c>
      <c r="U1295">
        <v>0.14865193047433067</v>
      </c>
      <c r="V1295" t="s">
        <v>157</v>
      </c>
    </row>
    <row r="1296" spans="9:22" x14ac:dyDescent="0.45">
      <c r="I1296" t="s">
        <v>278</v>
      </c>
      <c r="J1296" t="s">
        <v>780</v>
      </c>
      <c r="K1296">
        <v>4.783086774962573E-3</v>
      </c>
      <c r="L1296" t="s">
        <v>157</v>
      </c>
      <c r="N1296" t="s">
        <v>389</v>
      </c>
      <c r="O1296" t="s">
        <v>780</v>
      </c>
      <c r="P1296">
        <v>0.13547151879787891</v>
      </c>
      <c r="Q1296" t="s">
        <v>157</v>
      </c>
      <c r="S1296" t="s">
        <v>500</v>
      </c>
      <c r="T1296" t="s">
        <v>780</v>
      </c>
      <c r="U1296">
        <v>0.12049753664877333</v>
      </c>
      <c r="V1296" t="s">
        <v>157</v>
      </c>
    </row>
    <row r="1297" spans="9:22" x14ac:dyDescent="0.45">
      <c r="I1297" t="s">
        <v>278</v>
      </c>
      <c r="J1297" t="s">
        <v>781</v>
      </c>
      <c r="K1297">
        <v>2.2268297326829119E-2</v>
      </c>
      <c r="L1297" t="s">
        <v>157</v>
      </c>
      <c r="N1297" t="s">
        <v>389</v>
      </c>
      <c r="O1297" t="s">
        <v>781</v>
      </c>
      <c r="P1297">
        <v>2.8952109071912566E-2</v>
      </c>
      <c r="Q1297" t="s">
        <v>157</v>
      </c>
      <c r="S1297" t="s">
        <v>500</v>
      </c>
      <c r="T1297" t="s">
        <v>781</v>
      </c>
      <c r="U1297">
        <v>2.6087030496201067E-2</v>
      </c>
      <c r="V1297" t="s">
        <v>157</v>
      </c>
    </row>
    <row r="1298" spans="9:22" x14ac:dyDescent="0.45">
      <c r="I1298" t="s">
        <v>278</v>
      </c>
      <c r="J1298" t="s">
        <v>782</v>
      </c>
      <c r="K1298">
        <v>0.18702156082603436</v>
      </c>
      <c r="L1298" t="s">
        <v>157</v>
      </c>
      <c r="N1298" t="s">
        <v>389</v>
      </c>
      <c r="O1298" t="s">
        <v>782</v>
      </c>
      <c r="P1298">
        <v>9.0593189571672533E-2</v>
      </c>
      <c r="Q1298" t="s">
        <v>157</v>
      </c>
      <c r="S1298" t="s">
        <v>500</v>
      </c>
      <c r="T1298" t="s">
        <v>782</v>
      </c>
      <c r="U1298">
        <v>8.381509506873995E-2</v>
      </c>
      <c r="V1298" t="s">
        <v>157</v>
      </c>
    </row>
    <row r="1299" spans="9:22" x14ac:dyDescent="0.45">
      <c r="I1299" t="s">
        <v>278</v>
      </c>
      <c r="J1299" t="s">
        <v>783</v>
      </c>
      <c r="K1299">
        <v>0</v>
      </c>
      <c r="L1299" t="s">
        <v>157</v>
      </c>
      <c r="N1299" t="s">
        <v>389</v>
      </c>
      <c r="O1299" t="s">
        <v>783</v>
      </c>
      <c r="P1299">
        <v>9.155173425382164E-2</v>
      </c>
      <c r="Q1299" t="s">
        <v>157</v>
      </c>
      <c r="S1299" t="s">
        <v>500</v>
      </c>
      <c r="T1299" t="s">
        <v>783</v>
      </c>
      <c r="U1299">
        <v>8.3045887162901663E-2</v>
      </c>
      <c r="V1299" t="s">
        <v>157</v>
      </c>
    </row>
    <row r="1300" spans="9:22" x14ac:dyDescent="0.45">
      <c r="I1300" t="s">
        <v>278</v>
      </c>
      <c r="J1300" t="s">
        <v>784</v>
      </c>
      <c r="K1300">
        <v>1.1002318800453813E-2</v>
      </c>
      <c r="L1300" t="s">
        <v>157</v>
      </c>
      <c r="N1300" t="s">
        <v>389</v>
      </c>
      <c r="O1300" t="s">
        <v>784</v>
      </c>
      <c r="P1300">
        <v>1.7741643499352845E-2</v>
      </c>
      <c r="Q1300" t="s">
        <v>157</v>
      </c>
      <c r="S1300" t="s">
        <v>500</v>
      </c>
      <c r="T1300" t="s">
        <v>784</v>
      </c>
      <c r="U1300">
        <v>1.4981080798204484E-2</v>
      </c>
      <c r="V1300" t="s">
        <v>157</v>
      </c>
    </row>
    <row r="1301" spans="9:22" x14ac:dyDescent="0.45">
      <c r="I1301" t="s">
        <v>278</v>
      </c>
      <c r="J1301" t="s">
        <v>785</v>
      </c>
      <c r="K1301">
        <v>0.11113160804003443</v>
      </c>
      <c r="L1301" t="s">
        <v>157</v>
      </c>
      <c r="N1301" t="s">
        <v>389</v>
      </c>
      <c r="O1301" t="s">
        <v>785</v>
      </c>
      <c r="P1301">
        <v>0.12460480330634915</v>
      </c>
      <c r="Q1301" t="s">
        <v>157</v>
      </c>
      <c r="S1301" t="s">
        <v>500</v>
      </c>
      <c r="T1301" t="s">
        <v>785</v>
      </c>
      <c r="U1301">
        <v>0.13128941983102752</v>
      </c>
      <c r="V1301" t="s">
        <v>157</v>
      </c>
    </row>
    <row r="1302" spans="9:22" x14ac:dyDescent="0.45">
      <c r="I1302" t="s">
        <v>278</v>
      </c>
      <c r="J1302" t="s">
        <v>786</v>
      </c>
      <c r="K1302">
        <v>0</v>
      </c>
      <c r="L1302" t="s">
        <v>157</v>
      </c>
      <c r="N1302" t="s">
        <v>389</v>
      </c>
      <c r="O1302" t="s">
        <v>786</v>
      </c>
      <c r="P1302">
        <v>0.11128095820271433</v>
      </c>
      <c r="Q1302" t="s">
        <v>157</v>
      </c>
      <c r="S1302" t="s">
        <v>500</v>
      </c>
      <c r="T1302" t="s">
        <v>786</v>
      </c>
      <c r="U1302">
        <v>0.14124965062816161</v>
      </c>
      <c r="V1302" t="s">
        <v>157</v>
      </c>
    </row>
    <row r="1303" spans="9:22" x14ac:dyDescent="0.45">
      <c r="I1303" t="s">
        <v>278</v>
      </c>
      <c r="J1303" t="s">
        <v>787</v>
      </c>
      <c r="K1303">
        <v>1.8478681353317422E-3</v>
      </c>
      <c r="L1303" t="s">
        <v>157</v>
      </c>
      <c r="N1303" t="s">
        <v>389</v>
      </c>
      <c r="O1303" t="s">
        <v>787</v>
      </c>
      <c r="P1303">
        <v>2.1581942441490282E-2</v>
      </c>
      <c r="Q1303" t="s">
        <v>157</v>
      </c>
      <c r="S1303" t="s">
        <v>500</v>
      </c>
      <c r="T1303" t="s">
        <v>787</v>
      </c>
      <c r="U1303">
        <v>2.3060183696943681E-2</v>
      </c>
      <c r="V1303" t="s">
        <v>157</v>
      </c>
    </row>
    <row r="1304" spans="9:22" x14ac:dyDescent="0.45">
      <c r="I1304" t="s">
        <v>278</v>
      </c>
      <c r="J1304" t="s">
        <v>788</v>
      </c>
      <c r="K1304">
        <v>0.34291204539679176</v>
      </c>
      <c r="L1304" t="s">
        <v>157</v>
      </c>
      <c r="N1304" t="s">
        <v>389</v>
      </c>
      <c r="O1304" t="s">
        <v>788</v>
      </c>
      <c r="P1304">
        <v>9.5837565255339083E-2</v>
      </c>
      <c r="Q1304" t="s">
        <v>157</v>
      </c>
      <c r="S1304" t="s">
        <v>500</v>
      </c>
      <c r="T1304" t="s">
        <v>788</v>
      </c>
      <c r="U1304">
        <v>0.12160620135936036</v>
      </c>
      <c r="V1304" t="s">
        <v>157</v>
      </c>
    </row>
    <row r="1305" spans="9:22" x14ac:dyDescent="0.45">
      <c r="I1305" t="s">
        <v>278</v>
      </c>
      <c r="J1305" t="s">
        <v>789</v>
      </c>
      <c r="K1305">
        <v>1.0326089725763831E-2</v>
      </c>
      <c r="L1305" t="s">
        <v>157</v>
      </c>
      <c r="N1305" t="s">
        <v>389</v>
      </c>
      <c r="O1305" t="s">
        <v>789</v>
      </c>
      <c r="P1305">
        <v>8.0174943237413129E-2</v>
      </c>
      <c r="Q1305" t="s">
        <v>157</v>
      </c>
      <c r="S1305" t="s">
        <v>500</v>
      </c>
      <c r="T1305" t="s">
        <v>789</v>
      </c>
      <c r="U1305">
        <v>8.5254656360433292E-2</v>
      </c>
      <c r="V1305" t="s">
        <v>157</v>
      </c>
    </row>
    <row r="1306" spans="9:22" x14ac:dyDescent="0.45">
      <c r="I1306" t="s">
        <v>278</v>
      </c>
      <c r="J1306" t="s">
        <v>790</v>
      </c>
      <c r="K1306">
        <v>4.6670685394328344E-2</v>
      </c>
      <c r="L1306" t="s">
        <v>157</v>
      </c>
      <c r="N1306" t="s">
        <v>389</v>
      </c>
      <c r="O1306" t="s">
        <v>790</v>
      </c>
      <c r="P1306">
        <v>2.1252822035703074E-2</v>
      </c>
      <c r="Q1306" t="s">
        <v>157</v>
      </c>
      <c r="S1306" t="s">
        <v>500</v>
      </c>
      <c r="T1306" t="s">
        <v>790</v>
      </c>
      <c r="U1306">
        <v>2.0461327474922377E-2</v>
      </c>
      <c r="V1306" t="s">
        <v>157</v>
      </c>
    </row>
    <row r="1307" spans="9:22" x14ac:dyDescent="0.45">
      <c r="I1307" t="s">
        <v>279</v>
      </c>
      <c r="J1307" t="s">
        <v>779</v>
      </c>
      <c r="K1307">
        <v>0.26469102251395976</v>
      </c>
      <c r="L1307" t="s">
        <v>157</v>
      </c>
      <c r="N1307" t="s">
        <v>390</v>
      </c>
      <c r="O1307" t="s">
        <v>779</v>
      </c>
      <c r="P1307">
        <v>0.18228760889732834</v>
      </c>
      <c r="Q1307" t="s">
        <v>157</v>
      </c>
      <c r="S1307" t="s">
        <v>501</v>
      </c>
      <c r="T1307" t="s">
        <v>779</v>
      </c>
      <c r="U1307">
        <v>0.13855251858819201</v>
      </c>
      <c r="V1307" t="s">
        <v>157</v>
      </c>
    </row>
    <row r="1308" spans="9:22" x14ac:dyDescent="0.45">
      <c r="I1308" t="s">
        <v>279</v>
      </c>
      <c r="J1308" t="s">
        <v>780</v>
      </c>
      <c r="K1308">
        <v>4.8734011300128758E-3</v>
      </c>
      <c r="L1308" t="s">
        <v>157</v>
      </c>
      <c r="N1308" t="s">
        <v>390</v>
      </c>
      <c r="O1308" t="s">
        <v>780</v>
      </c>
      <c r="P1308">
        <v>0.12903004507170235</v>
      </c>
      <c r="Q1308" t="s">
        <v>157</v>
      </c>
      <c r="S1308" t="s">
        <v>501</v>
      </c>
      <c r="T1308" t="s">
        <v>780</v>
      </c>
      <c r="U1308">
        <v>0.1213542530391245</v>
      </c>
      <c r="V1308" t="s">
        <v>157</v>
      </c>
    </row>
    <row r="1309" spans="9:22" x14ac:dyDescent="0.45">
      <c r="I1309" t="s">
        <v>279</v>
      </c>
      <c r="J1309" t="s">
        <v>781</v>
      </c>
      <c r="K1309">
        <v>2.2263750989874518E-2</v>
      </c>
      <c r="L1309" t="s">
        <v>157</v>
      </c>
      <c r="N1309" t="s">
        <v>390</v>
      </c>
      <c r="O1309" t="s">
        <v>781</v>
      </c>
      <c r="P1309">
        <v>2.911339760270993E-2</v>
      </c>
      <c r="Q1309" t="s">
        <v>157</v>
      </c>
      <c r="S1309" t="s">
        <v>501</v>
      </c>
      <c r="T1309" t="s">
        <v>781</v>
      </c>
      <c r="U1309">
        <v>2.6314273705459797E-2</v>
      </c>
      <c r="V1309" t="s">
        <v>157</v>
      </c>
    </row>
    <row r="1310" spans="9:22" x14ac:dyDescent="0.45">
      <c r="I1310" t="s">
        <v>279</v>
      </c>
      <c r="J1310" t="s">
        <v>782</v>
      </c>
      <c r="K1310">
        <v>0.18844537313522008</v>
      </c>
      <c r="L1310" t="s">
        <v>157</v>
      </c>
      <c r="N1310" t="s">
        <v>390</v>
      </c>
      <c r="O1310" t="s">
        <v>782</v>
      </c>
      <c r="P1310">
        <v>9.0610634459097006E-2</v>
      </c>
      <c r="Q1310" t="s">
        <v>157</v>
      </c>
      <c r="S1310" t="s">
        <v>501</v>
      </c>
      <c r="T1310" t="s">
        <v>782</v>
      </c>
      <c r="U1310">
        <v>8.9596033311170456E-2</v>
      </c>
      <c r="V1310" t="s">
        <v>157</v>
      </c>
    </row>
    <row r="1311" spans="9:22" x14ac:dyDescent="0.45">
      <c r="I1311" t="s">
        <v>279</v>
      </c>
      <c r="J1311" t="s">
        <v>783</v>
      </c>
      <c r="K1311">
        <v>0</v>
      </c>
      <c r="L1311" t="s">
        <v>157</v>
      </c>
      <c r="N1311" t="s">
        <v>390</v>
      </c>
      <c r="O1311" t="s">
        <v>783</v>
      </c>
      <c r="P1311">
        <v>9.2494138789278146E-2</v>
      </c>
      <c r="Q1311" t="s">
        <v>157</v>
      </c>
      <c r="S1311" t="s">
        <v>501</v>
      </c>
      <c r="T1311" t="s">
        <v>783</v>
      </c>
      <c r="U1311">
        <v>8.3598642209849111E-2</v>
      </c>
      <c r="V1311" t="s">
        <v>157</v>
      </c>
    </row>
    <row r="1312" spans="9:22" x14ac:dyDescent="0.45">
      <c r="I1312" t="s">
        <v>279</v>
      </c>
      <c r="J1312" t="s">
        <v>784</v>
      </c>
      <c r="K1312">
        <v>1.1089922121677828E-2</v>
      </c>
      <c r="L1312" t="s">
        <v>157</v>
      </c>
      <c r="N1312" t="s">
        <v>390</v>
      </c>
      <c r="O1312" t="s">
        <v>784</v>
      </c>
      <c r="P1312">
        <v>1.7431273991298651E-2</v>
      </c>
      <c r="Q1312" t="s">
        <v>157</v>
      </c>
      <c r="S1312" t="s">
        <v>501</v>
      </c>
      <c r="T1312" t="s">
        <v>784</v>
      </c>
      <c r="U1312">
        <v>1.604613865115314E-2</v>
      </c>
      <c r="V1312" t="s">
        <v>157</v>
      </c>
    </row>
    <row r="1313" spans="9:22" x14ac:dyDescent="0.45">
      <c r="I1313" t="s">
        <v>279</v>
      </c>
      <c r="J1313" t="s">
        <v>785</v>
      </c>
      <c r="K1313">
        <v>0.11487147115923617</v>
      </c>
      <c r="L1313" t="s">
        <v>157</v>
      </c>
      <c r="N1313" t="s">
        <v>390</v>
      </c>
      <c r="O1313" t="s">
        <v>785</v>
      </c>
      <c r="P1313">
        <v>0.12396283874888037</v>
      </c>
      <c r="Q1313" t="s">
        <v>157</v>
      </c>
      <c r="S1313" t="s">
        <v>501</v>
      </c>
      <c r="T1313" t="s">
        <v>785</v>
      </c>
      <c r="U1313">
        <v>0.12327115892969281</v>
      </c>
      <c r="V1313" t="s">
        <v>157</v>
      </c>
    </row>
    <row r="1314" spans="9:22" x14ac:dyDescent="0.45">
      <c r="I1314" t="s">
        <v>279</v>
      </c>
      <c r="J1314" t="s">
        <v>786</v>
      </c>
      <c r="K1314">
        <v>0</v>
      </c>
      <c r="L1314" t="s">
        <v>157</v>
      </c>
      <c r="N1314" t="s">
        <v>390</v>
      </c>
      <c r="O1314" t="s">
        <v>786</v>
      </c>
      <c r="P1314">
        <v>0.11014823285045756</v>
      </c>
      <c r="Q1314" t="s">
        <v>157</v>
      </c>
      <c r="S1314" t="s">
        <v>501</v>
      </c>
      <c r="T1314" t="s">
        <v>786</v>
      </c>
      <c r="U1314">
        <v>0.12617041803247972</v>
      </c>
      <c r="V1314" t="s">
        <v>157</v>
      </c>
    </row>
    <row r="1315" spans="9:22" x14ac:dyDescent="0.45">
      <c r="I1315" t="s">
        <v>279</v>
      </c>
      <c r="J1315" t="s">
        <v>787</v>
      </c>
      <c r="K1315">
        <v>1.8901405930263921E-3</v>
      </c>
      <c r="L1315" t="s">
        <v>157</v>
      </c>
      <c r="N1315" t="s">
        <v>390</v>
      </c>
      <c r="O1315" t="s">
        <v>787</v>
      </c>
      <c r="P1315">
        <v>2.1579424971523802E-2</v>
      </c>
      <c r="Q1315" t="s">
        <v>157</v>
      </c>
      <c r="S1315" t="s">
        <v>501</v>
      </c>
      <c r="T1315" t="s">
        <v>787</v>
      </c>
      <c r="U1315">
        <v>2.1840085638533024E-2</v>
      </c>
      <c r="V1315" t="s">
        <v>157</v>
      </c>
    </row>
    <row r="1316" spans="9:22" x14ac:dyDescent="0.45">
      <c r="I1316" t="s">
        <v>279</v>
      </c>
      <c r="J1316" t="s">
        <v>788</v>
      </c>
      <c r="K1316">
        <v>0.33672589126832209</v>
      </c>
      <c r="L1316" t="s">
        <v>157</v>
      </c>
      <c r="N1316" t="s">
        <v>390</v>
      </c>
      <c r="O1316" t="s">
        <v>788</v>
      </c>
      <c r="P1316">
        <v>9.9031173312712661E-2</v>
      </c>
      <c r="Q1316" t="s">
        <v>157</v>
      </c>
      <c r="S1316" t="s">
        <v>501</v>
      </c>
      <c r="T1316" t="s">
        <v>788</v>
      </c>
      <c r="U1316">
        <v>0.12710319580253013</v>
      </c>
      <c r="V1316" t="s">
        <v>157</v>
      </c>
    </row>
    <row r="1317" spans="9:22" x14ac:dyDescent="0.45">
      <c r="I1317" t="s">
        <v>279</v>
      </c>
      <c r="J1317" t="s">
        <v>789</v>
      </c>
      <c r="K1317">
        <v>9.8278820203699224E-3</v>
      </c>
      <c r="L1317" t="s">
        <v>157</v>
      </c>
      <c r="N1317" t="s">
        <v>390</v>
      </c>
      <c r="O1317" t="s">
        <v>789</v>
      </c>
      <c r="P1317">
        <v>8.1893125555796475E-2</v>
      </c>
      <c r="Q1317" t="s">
        <v>157</v>
      </c>
      <c r="S1317" t="s">
        <v>501</v>
      </c>
      <c r="T1317" t="s">
        <v>789</v>
      </c>
      <c r="U1317">
        <v>0.10193313984185787</v>
      </c>
      <c r="V1317" t="s">
        <v>157</v>
      </c>
    </row>
    <row r="1318" spans="9:22" x14ac:dyDescent="0.45">
      <c r="I1318" t="s">
        <v>279</v>
      </c>
      <c r="J1318" t="s">
        <v>790</v>
      </c>
      <c r="K1318">
        <v>4.5321145068300282E-2</v>
      </c>
      <c r="L1318" t="s">
        <v>157</v>
      </c>
      <c r="N1318" t="s">
        <v>390</v>
      </c>
      <c r="O1318" t="s">
        <v>790</v>
      </c>
      <c r="P1318">
        <v>2.2418105749214809E-2</v>
      </c>
      <c r="Q1318" t="s">
        <v>157</v>
      </c>
      <c r="S1318" t="s">
        <v>501</v>
      </c>
      <c r="T1318" t="s">
        <v>790</v>
      </c>
      <c r="U1318">
        <v>2.4220142249957392E-2</v>
      </c>
      <c r="V1318" t="s">
        <v>157</v>
      </c>
    </row>
    <row r="1319" spans="9:22" x14ac:dyDescent="0.45">
      <c r="I1319" t="s">
        <v>280</v>
      </c>
      <c r="J1319" t="s">
        <v>779</v>
      </c>
      <c r="K1319">
        <v>0.26998395100118755</v>
      </c>
      <c r="L1319" t="s">
        <v>157</v>
      </c>
      <c r="N1319" t="s">
        <v>391</v>
      </c>
      <c r="O1319" t="s">
        <v>779</v>
      </c>
      <c r="P1319">
        <v>0.15793935369300491</v>
      </c>
      <c r="Q1319" t="s">
        <v>157</v>
      </c>
      <c r="S1319" t="s">
        <v>502</v>
      </c>
      <c r="T1319" t="s">
        <v>779</v>
      </c>
      <c r="U1319">
        <v>0.13133051271593144</v>
      </c>
      <c r="V1319" t="s">
        <v>157</v>
      </c>
    </row>
    <row r="1320" spans="9:22" x14ac:dyDescent="0.45">
      <c r="I1320" t="s">
        <v>280</v>
      </c>
      <c r="J1320" t="s">
        <v>780</v>
      </c>
      <c r="K1320">
        <v>5.0115677285441484E-3</v>
      </c>
      <c r="L1320" t="s">
        <v>157</v>
      </c>
      <c r="N1320" t="s">
        <v>391</v>
      </c>
      <c r="O1320" t="s">
        <v>780</v>
      </c>
      <c r="P1320">
        <v>0.13127234928410683</v>
      </c>
      <c r="Q1320" t="s">
        <v>157</v>
      </c>
      <c r="S1320" t="s">
        <v>502</v>
      </c>
      <c r="T1320" t="s">
        <v>780</v>
      </c>
      <c r="U1320">
        <v>0.12869340172788618</v>
      </c>
      <c r="V1320" t="s">
        <v>157</v>
      </c>
    </row>
    <row r="1321" spans="9:22" x14ac:dyDescent="0.45">
      <c r="I1321" t="s">
        <v>280</v>
      </c>
      <c r="J1321" t="s">
        <v>781</v>
      </c>
      <c r="K1321">
        <v>2.225326010089702E-2</v>
      </c>
      <c r="L1321" t="s">
        <v>157</v>
      </c>
      <c r="N1321" t="s">
        <v>391</v>
      </c>
      <c r="O1321" t="s">
        <v>781</v>
      </c>
      <c r="P1321">
        <v>2.8495401276403497E-2</v>
      </c>
      <c r="Q1321" t="s">
        <v>157</v>
      </c>
      <c r="S1321" t="s">
        <v>502</v>
      </c>
      <c r="T1321" t="s">
        <v>781</v>
      </c>
      <c r="U1321">
        <v>2.6560715456603785E-2</v>
      </c>
      <c r="V1321" t="s">
        <v>157</v>
      </c>
    </row>
    <row r="1322" spans="9:22" x14ac:dyDescent="0.45">
      <c r="I1322" t="s">
        <v>280</v>
      </c>
      <c r="J1322" t="s">
        <v>782</v>
      </c>
      <c r="K1322">
        <v>0.18820952338407146</v>
      </c>
      <c r="L1322" t="s">
        <v>157</v>
      </c>
      <c r="N1322" t="s">
        <v>391</v>
      </c>
      <c r="O1322" t="s">
        <v>782</v>
      </c>
      <c r="P1322">
        <v>9.2342542675957817E-2</v>
      </c>
      <c r="Q1322" t="s">
        <v>157</v>
      </c>
      <c r="S1322" t="s">
        <v>502</v>
      </c>
      <c r="T1322" t="s">
        <v>782</v>
      </c>
      <c r="U1322">
        <v>9.7955500754262209E-2</v>
      </c>
      <c r="V1322" t="s">
        <v>157</v>
      </c>
    </row>
    <row r="1323" spans="9:22" x14ac:dyDescent="0.45">
      <c r="I1323" t="s">
        <v>280</v>
      </c>
      <c r="J1323" t="s">
        <v>783</v>
      </c>
      <c r="K1323">
        <v>0</v>
      </c>
      <c r="L1323" t="s">
        <v>157</v>
      </c>
      <c r="N1323" t="s">
        <v>391</v>
      </c>
      <c r="O1323" t="s">
        <v>783</v>
      </c>
      <c r="P1323">
        <v>9.5859415230223746E-2</v>
      </c>
      <c r="Q1323" t="s">
        <v>157</v>
      </c>
      <c r="S1323" t="s">
        <v>502</v>
      </c>
      <c r="T1323" t="s">
        <v>783</v>
      </c>
      <c r="U1323">
        <v>9.2126436136267351E-2</v>
      </c>
      <c r="V1323" t="s">
        <v>157</v>
      </c>
    </row>
    <row r="1324" spans="9:22" x14ac:dyDescent="0.45">
      <c r="I1324" t="s">
        <v>280</v>
      </c>
      <c r="J1324" t="s">
        <v>784</v>
      </c>
      <c r="K1324">
        <v>1.1059488510560911E-2</v>
      </c>
      <c r="L1324" t="s">
        <v>157</v>
      </c>
      <c r="N1324" t="s">
        <v>391</v>
      </c>
      <c r="O1324" t="s">
        <v>784</v>
      </c>
      <c r="P1324">
        <v>1.8586298001177712E-2</v>
      </c>
      <c r="Q1324" t="s">
        <v>157</v>
      </c>
      <c r="S1324" t="s">
        <v>502</v>
      </c>
      <c r="T1324" t="s">
        <v>784</v>
      </c>
      <c r="U1324">
        <v>1.8663583405566835E-2</v>
      </c>
      <c r="V1324" t="s">
        <v>157</v>
      </c>
    </row>
    <row r="1325" spans="9:22" x14ac:dyDescent="0.45">
      <c r="I1325" t="s">
        <v>280</v>
      </c>
      <c r="J1325" t="s">
        <v>785</v>
      </c>
      <c r="K1325">
        <v>0.11731397833032328</v>
      </c>
      <c r="L1325" t="s">
        <v>157</v>
      </c>
      <c r="N1325" t="s">
        <v>391</v>
      </c>
      <c r="O1325" t="s">
        <v>785</v>
      </c>
      <c r="P1325">
        <v>0.12108255501763028</v>
      </c>
      <c r="Q1325" t="s">
        <v>157</v>
      </c>
      <c r="S1325" t="s">
        <v>502</v>
      </c>
      <c r="T1325" t="s">
        <v>785</v>
      </c>
      <c r="U1325">
        <v>0.11566193105785709</v>
      </c>
      <c r="V1325" t="s">
        <v>157</v>
      </c>
    </row>
    <row r="1326" spans="9:22" x14ac:dyDescent="0.45">
      <c r="I1326" t="s">
        <v>280</v>
      </c>
      <c r="J1326" t="s">
        <v>786</v>
      </c>
      <c r="K1326">
        <v>0</v>
      </c>
      <c r="L1326" t="s">
        <v>157</v>
      </c>
      <c r="N1326" t="s">
        <v>391</v>
      </c>
      <c r="O1326" t="s">
        <v>786</v>
      </c>
      <c r="P1326">
        <v>0.11100233907633267</v>
      </c>
      <c r="Q1326" t="s">
        <v>157</v>
      </c>
      <c r="S1326" t="s">
        <v>502</v>
      </c>
      <c r="T1326" t="s">
        <v>786</v>
      </c>
      <c r="U1326">
        <v>0.11426654318653219</v>
      </c>
      <c r="V1326" t="s">
        <v>157</v>
      </c>
    </row>
    <row r="1327" spans="9:22" x14ac:dyDescent="0.45">
      <c r="I1327" t="s">
        <v>280</v>
      </c>
      <c r="J1327" t="s">
        <v>787</v>
      </c>
      <c r="K1327">
        <v>2.0035303571942255E-3</v>
      </c>
      <c r="L1327" t="s">
        <v>157</v>
      </c>
      <c r="N1327" t="s">
        <v>391</v>
      </c>
      <c r="O1327" t="s">
        <v>787</v>
      </c>
      <c r="P1327">
        <v>2.179329809051464E-2</v>
      </c>
      <c r="Q1327" t="s">
        <v>157</v>
      </c>
      <c r="S1327" t="s">
        <v>502</v>
      </c>
      <c r="T1327" t="s">
        <v>787</v>
      </c>
      <c r="U1327">
        <v>2.0793170105897138E-2</v>
      </c>
      <c r="V1327" t="s">
        <v>157</v>
      </c>
    </row>
    <row r="1328" spans="9:22" x14ac:dyDescent="0.45">
      <c r="I1328" t="s">
        <v>280</v>
      </c>
      <c r="J1328" t="s">
        <v>788</v>
      </c>
      <c r="K1328">
        <v>0.33183489001807825</v>
      </c>
      <c r="L1328" t="s">
        <v>157</v>
      </c>
      <c r="N1328" t="s">
        <v>391</v>
      </c>
      <c r="O1328" t="s">
        <v>788</v>
      </c>
      <c r="P1328">
        <v>0.10204847311589982</v>
      </c>
      <c r="Q1328" t="s">
        <v>157</v>
      </c>
      <c r="S1328" t="s">
        <v>502</v>
      </c>
      <c r="T1328" t="s">
        <v>788</v>
      </c>
      <c r="U1328">
        <v>0.11873977614885706</v>
      </c>
      <c r="V1328" t="s">
        <v>157</v>
      </c>
    </row>
    <row r="1329" spans="9:22" x14ac:dyDescent="0.45">
      <c r="I1329" t="s">
        <v>280</v>
      </c>
      <c r="J1329" t="s">
        <v>789</v>
      </c>
      <c r="K1329">
        <v>9.0175118823028165E-3</v>
      </c>
      <c r="L1329" t="s">
        <v>157</v>
      </c>
      <c r="N1329" t="s">
        <v>391</v>
      </c>
      <c r="O1329" t="s">
        <v>789</v>
      </c>
      <c r="P1329">
        <v>9.6077051009665126E-2</v>
      </c>
      <c r="Q1329" t="s">
        <v>157</v>
      </c>
      <c r="S1329" t="s">
        <v>502</v>
      </c>
      <c r="T1329" t="s">
        <v>789</v>
      </c>
      <c r="U1329">
        <v>0.1110466930995178</v>
      </c>
      <c r="V1329" t="s">
        <v>157</v>
      </c>
    </row>
    <row r="1330" spans="9:22" x14ac:dyDescent="0.45">
      <c r="I1330" t="s">
        <v>280</v>
      </c>
      <c r="J1330" t="s">
        <v>790</v>
      </c>
      <c r="K1330">
        <v>4.3312298686840278E-2</v>
      </c>
      <c r="L1330" t="s">
        <v>157</v>
      </c>
      <c r="N1330" t="s">
        <v>391</v>
      </c>
      <c r="O1330" t="s">
        <v>790</v>
      </c>
      <c r="P1330">
        <v>2.3500923529082968E-2</v>
      </c>
      <c r="Q1330" t="s">
        <v>157</v>
      </c>
      <c r="S1330" t="s">
        <v>502</v>
      </c>
      <c r="T1330" t="s">
        <v>790</v>
      </c>
      <c r="U1330">
        <v>2.4161736204820899E-2</v>
      </c>
      <c r="V1330" t="s">
        <v>157</v>
      </c>
    </row>
    <row r="1331" spans="9:22" x14ac:dyDescent="0.45">
      <c r="I1331" t="s">
        <v>281</v>
      </c>
      <c r="J1331" t="s">
        <v>779</v>
      </c>
      <c r="K1331">
        <v>0.27430028906004406</v>
      </c>
      <c r="L1331" t="s">
        <v>157</v>
      </c>
      <c r="N1331" t="s">
        <v>392</v>
      </c>
      <c r="O1331" t="s">
        <v>779</v>
      </c>
      <c r="P1331">
        <v>0.14501270367062863</v>
      </c>
      <c r="Q1331" t="s">
        <v>157</v>
      </c>
      <c r="S1331" t="s">
        <v>503</v>
      </c>
      <c r="T1331" t="s">
        <v>779</v>
      </c>
      <c r="U1331">
        <v>0.13001052627647103</v>
      </c>
      <c r="V1331" t="s">
        <v>157</v>
      </c>
    </row>
    <row r="1332" spans="9:22" x14ac:dyDescent="0.45">
      <c r="I1332" t="s">
        <v>281</v>
      </c>
      <c r="J1332" t="s">
        <v>780</v>
      </c>
      <c r="K1332">
        <v>5.3527790817935522E-3</v>
      </c>
      <c r="L1332" t="s">
        <v>157</v>
      </c>
      <c r="N1332" t="s">
        <v>392</v>
      </c>
      <c r="O1332" t="s">
        <v>780</v>
      </c>
      <c r="P1332">
        <v>0.13260647591360006</v>
      </c>
      <c r="Q1332" t="s">
        <v>157</v>
      </c>
      <c r="S1332" t="s">
        <v>503</v>
      </c>
      <c r="T1332" t="s">
        <v>780</v>
      </c>
      <c r="U1332">
        <v>0.13351467132226508</v>
      </c>
      <c r="V1332" t="s">
        <v>157</v>
      </c>
    </row>
    <row r="1333" spans="9:22" x14ac:dyDescent="0.45">
      <c r="I1333" t="s">
        <v>281</v>
      </c>
      <c r="J1333" t="s">
        <v>781</v>
      </c>
      <c r="K1333">
        <v>2.1959350779088425E-2</v>
      </c>
      <c r="L1333" t="s">
        <v>157</v>
      </c>
      <c r="N1333" t="s">
        <v>392</v>
      </c>
      <c r="O1333" t="s">
        <v>781</v>
      </c>
      <c r="P1333">
        <v>2.5363087356847017E-2</v>
      </c>
      <c r="Q1333" t="s">
        <v>157</v>
      </c>
      <c r="S1333" t="s">
        <v>503</v>
      </c>
      <c r="T1333" t="s">
        <v>781</v>
      </c>
      <c r="U1333">
        <v>2.6290639149769621E-2</v>
      </c>
      <c r="V1333" t="s">
        <v>157</v>
      </c>
    </row>
    <row r="1334" spans="9:22" x14ac:dyDescent="0.45">
      <c r="I1334" t="s">
        <v>281</v>
      </c>
      <c r="J1334" t="s">
        <v>782</v>
      </c>
      <c r="K1334">
        <v>0.18948079759942396</v>
      </c>
      <c r="L1334" t="s">
        <v>157</v>
      </c>
      <c r="N1334" t="s">
        <v>392</v>
      </c>
      <c r="O1334" t="s">
        <v>782</v>
      </c>
      <c r="P1334">
        <v>9.1752509531457832E-2</v>
      </c>
      <c r="Q1334" t="s">
        <v>157</v>
      </c>
      <c r="S1334" t="s">
        <v>503</v>
      </c>
      <c r="T1334" t="s">
        <v>782</v>
      </c>
      <c r="U1334">
        <v>9.9545381385652387E-2</v>
      </c>
      <c r="V1334" t="s">
        <v>157</v>
      </c>
    </row>
    <row r="1335" spans="9:22" x14ac:dyDescent="0.45">
      <c r="I1335" t="s">
        <v>281</v>
      </c>
      <c r="J1335" t="s">
        <v>783</v>
      </c>
      <c r="K1335">
        <v>0</v>
      </c>
      <c r="L1335" t="s">
        <v>157</v>
      </c>
      <c r="N1335" t="s">
        <v>392</v>
      </c>
      <c r="O1335" t="s">
        <v>783</v>
      </c>
      <c r="P1335">
        <v>9.9712247938570114E-2</v>
      </c>
      <c r="Q1335" t="s">
        <v>157</v>
      </c>
      <c r="S1335" t="s">
        <v>503</v>
      </c>
      <c r="T1335" t="s">
        <v>783</v>
      </c>
      <c r="U1335">
        <v>9.6025106777988367E-2</v>
      </c>
      <c r="V1335" t="s">
        <v>157</v>
      </c>
    </row>
    <row r="1336" spans="9:22" x14ac:dyDescent="0.45">
      <c r="I1336" t="s">
        <v>281</v>
      </c>
      <c r="J1336" t="s">
        <v>784</v>
      </c>
      <c r="K1336">
        <v>1.1519536184876686E-2</v>
      </c>
      <c r="L1336" t="s">
        <v>157</v>
      </c>
      <c r="N1336" t="s">
        <v>392</v>
      </c>
      <c r="O1336" t="s">
        <v>784</v>
      </c>
      <c r="P1336">
        <v>1.7942662820006786E-2</v>
      </c>
      <c r="Q1336" t="s">
        <v>157</v>
      </c>
      <c r="S1336" t="s">
        <v>503</v>
      </c>
      <c r="T1336" t="s">
        <v>784</v>
      </c>
      <c r="U1336">
        <v>1.9293444489712357E-2</v>
      </c>
      <c r="V1336" t="s">
        <v>157</v>
      </c>
    </row>
    <row r="1337" spans="9:22" x14ac:dyDescent="0.45">
      <c r="I1337" t="s">
        <v>281</v>
      </c>
      <c r="J1337" t="s">
        <v>785</v>
      </c>
      <c r="K1337">
        <v>0.11770376407783362</v>
      </c>
      <c r="L1337" t="s">
        <v>157</v>
      </c>
      <c r="N1337" t="s">
        <v>392</v>
      </c>
      <c r="O1337" t="s">
        <v>785</v>
      </c>
      <c r="P1337">
        <v>0.12138795672469634</v>
      </c>
      <c r="Q1337" t="s">
        <v>157</v>
      </c>
      <c r="S1337" t="s">
        <v>503</v>
      </c>
      <c r="T1337" t="s">
        <v>785</v>
      </c>
      <c r="U1337">
        <v>0.12414418563323104</v>
      </c>
      <c r="V1337" t="s">
        <v>157</v>
      </c>
    </row>
    <row r="1338" spans="9:22" x14ac:dyDescent="0.45">
      <c r="I1338" t="s">
        <v>281</v>
      </c>
      <c r="J1338" t="s">
        <v>786</v>
      </c>
      <c r="K1338">
        <v>0</v>
      </c>
      <c r="L1338" t="s">
        <v>157</v>
      </c>
      <c r="N1338" t="s">
        <v>392</v>
      </c>
      <c r="O1338" t="s">
        <v>786</v>
      </c>
      <c r="P1338">
        <v>0.11851952309131587</v>
      </c>
      <c r="Q1338" t="s">
        <v>157</v>
      </c>
      <c r="S1338" t="s">
        <v>503</v>
      </c>
      <c r="T1338" t="s">
        <v>786</v>
      </c>
      <c r="U1338">
        <v>0.11953706110368627</v>
      </c>
      <c r="V1338" t="s">
        <v>157</v>
      </c>
    </row>
    <row r="1339" spans="9:22" x14ac:dyDescent="0.45">
      <c r="I1339" t="s">
        <v>281</v>
      </c>
      <c r="J1339" t="s">
        <v>787</v>
      </c>
      <c r="K1339">
        <v>2.0896144964585228E-3</v>
      </c>
      <c r="L1339" t="s">
        <v>157</v>
      </c>
      <c r="N1339" t="s">
        <v>392</v>
      </c>
      <c r="O1339" t="s">
        <v>787</v>
      </c>
      <c r="P1339">
        <v>2.3135782081339044E-2</v>
      </c>
      <c r="Q1339" t="s">
        <v>157</v>
      </c>
      <c r="S1339" t="s">
        <v>503</v>
      </c>
      <c r="T1339" t="s">
        <v>787</v>
      </c>
      <c r="U1339">
        <v>2.2058028474952817E-2</v>
      </c>
      <c r="V1339" t="s">
        <v>157</v>
      </c>
    </row>
    <row r="1340" spans="9:22" x14ac:dyDescent="0.45">
      <c r="I1340" t="s">
        <v>281</v>
      </c>
      <c r="J1340" t="s">
        <v>788</v>
      </c>
      <c r="K1340">
        <v>0.32779460043965353</v>
      </c>
      <c r="L1340" t="s">
        <v>157</v>
      </c>
      <c r="N1340" t="s">
        <v>392</v>
      </c>
      <c r="O1340" t="s">
        <v>788</v>
      </c>
      <c r="P1340">
        <v>9.7054934181751235E-2</v>
      </c>
      <c r="Q1340" t="s">
        <v>157</v>
      </c>
      <c r="S1340" t="s">
        <v>503</v>
      </c>
      <c r="T1340" t="s">
        <v>788</v>
      </c>
      <c r="U1340">
        <v>0.10254217414653297</v>
      </c>
      <c r="V1340" t="s">
        <v>157</v>
      </c>
    </row>
    <row r="1341" spans="9:22" x14ac:dyDescent="0.45">
      <c r="I1341" t="s">
        <v>281</v>
      </c>
      <c r="J1341" t="s">
        <v>789</v>
      </c>
      <c r="K1341">
        <v>7.8312889153966652E-3</v>
      </c>
      <c r="L1341" t="s">
        <v>157</v>
      </c>
      <c r="N1341" t="s">
        <v>392</v>
      </c>
      <c r="O1341" t="s">
        <v>789</v>
      </c>
      <c r="P1341">
        <v>0.10585001589083784</v>
      </c>
      <c r="Q1341" t="s">
        <v>157</v>
      </c>
      <c r="S1341" t="s">
        <v>503</v>
      </c>
      <c r="T1341" t="s">
        <v>789</v>
      </c>
      <c r="U1341">
        <v>0.1062674037553928</v>
      </c>
      <c r="V1341" t="s">
        <v>157</v>
      </c>
    </row>
    <row r="1342" spans="9:22" x14ac:dyDescent="0.45">
      <c r="I1342" t="s">
        <v>281</v>
      </c>
      <c r="J1342" t="s">
        <v>790</v>
      </c>
      <c r="K1342">
        <v>4.1967979365430959E-2</v>
      </c>
      <c r="L1342" t="s">
        <v>157</v>
      </c>
      <c r="N1342" t="s">
        <v>392</v>
      </c>
      <c r="O1342" t="s">
        <v>790</v>
      </c>
      <c r="P1342">
        <v>2.1662100798949185E-2</v>
      </c>
      <c r="Q1342" t="s">
        <v>157</v>
      </c>
      <c r="S1342" t="s">
        <v>503</v>
      </c>
      <c r="T1342" t="s">
        <v>790</v>
      </c>
      <c r="U1342">
        <v>2.0771377484345249E-2</v>
      </c>
      <c r="V1342" t="s">
        <v>157</v>
      </c>
    </row>
    <row r="1343" spans="9:22" x14ac:dyDescent="0.45">
      <c r="S1343" t="s">
        <v>504</v>
      </c>
      <c r="T1343" t="s">
        <v>779</v>
      </c>
      <c r="U1343">
        <v>0.12836443305282078</v>
      </c>
      <c r="V1343" t="s">
        <v>157</v>
      </c>
    </row>
    <row r="1344" spans="9:22" x14ac:dyDescent="0.45">
      <c r="S1344" t="s">
        <v>504</v>
      </c>
      <c r="T1344" t="s">
        <v>780</v>
      </c>
      <c r="U1344">
        <v>0.13273285115750838</v>
      </c>
      <c r="V1344" t="s">
        <v>157</v>
      </c>
    </row>
    <row r="1345" spans="19:22" x14ac:dyDescent="0.45">
      <c r="S1345" t="s">
        <v>504</v>
      </c>
      <c r="T1345" t="s">
        <v>781</v>
      </c>
      <c r="U1345">
        <v>2.617339346358092E-2</v>
      </c>
      <c r="V1345" t="s">
        <v>157</v>
      </c>
    </row>
    <row r="1346" spans="19:22" x14ac:dyDescent="0.45">
      <c r="S1346" t="s">
        <v>504</v>
      </c>
      <c r="T1346" t="s">
        <v>782</v>
      </c>
      <c r="U1346">
        <v>0.10097794690869116</v>
      </c>
      <c r="V1346" t="s">
        <v>157</v>
      </c>
    </row>
    <row r="1347" spans="19:22" x14ac:dyDescent="0.45">
      <c r="S1347" t="s">
        <v>504</v>
      </c>
      <c r="T1347" t="s">
        <v>783</v>
      </c>
      <c r="U1347">
        <v>9.6653757085049211E-2</v>
      </c>
      <c r="V1347" t="s">
        <v>157</v>
      </c>
    </row>
    <row r="1348" spans="19:22" x14ac:dyDescent="0.45">
      <c r="S1348" t="s">
        <v>504</v>
      </c>
      <c r="T1348" t="s">
        <v>784</v>
      </c>
      <c r="U1348">
        <v>1.8655343722275643E-2</v>
      </c>
      <c r="V1348" t="s">
        <v>157</v>
      </c>
    </row>
    <row r="1349" spans="19:22" x14ac:dyDescent="0.45">
      <c r="S1349" t="s">
        <v>504</v>
      </c>
      <c r="T1349" t="s">
        <v>785</v>
      </c>
      <c r="U1349">
        <v>0.12977183680873702</v>
      </c>
      <c r="V1349" t="s">
        <v>157</v>
      </c>
    </row>
    <row r="1350" spans="19:22" x14ac:dyDescent="0.45">
      <c r="S1350" t="s">
        <v>504</v>
      </c>
      <c r="T1350" t="s">
        <v>786</v>
      </c>
      <c r="U1350">
        <v>0.12703985556660938</v>
      </c>
      <c r="V1350" t="s">
        <v>157</v>
      </c>
    </row>
    <row r="1351" spans="19:22" x14ac:dyDescent="0.45">
      <c r="S1351" t="s">
        <v>504</v>
      </c>
      <c r="T1351" t="s">
        <v>787</v>
      </c>
      <c r="U1351">
        <v>2.4498072729237933E-2</v>
      </c>
      <c r="V1351" t="s">
        <v>157</v>
      </c>
    </row>
    <row r="1352" spans="19:22" x14ac:dyDescent="0.45">
      <c r="S1352" t="s">
        <v>504</v>
      </c>
      <c r="T1352" t="s">
        <v>788</v>
      </c>
      <c r="U1352">
        <v>9.6111975918662162E-2</v>
      </c>
      <c r="V1352" t="s">
        <v>157</v>
      </c>
    </row>
    <row r="1353" spans="19:22" x14ac:dyDescent="0.45">
      <c r="S1353" t="s">
        <v>504</v>
      </c>
      <c r="T1353" t="s">
        <v>789</v>
      </c>
      <c r="U1353">
        <v>0.10021502559351152</v>
      </c>
      <c r="V1353" t="s">
        <v>157</v>
      </c>
    </row>
    <row r="1354" spans="19:22" x14ac:dyDescent="0.45">
      <c r="S1354" t="s">
        <v>504</v>
      </c>
      <c r="T1354" t="s">
        <v>790</v>
      </c>
      <c r="U1354">
        <v>1.8805507993315929E-2</v>
      </c>
      <c r="V1354" t="s">
        <v>157</v>
      </c>
    </row>
    <row r="1355" spans="19:22" x14ac:dyDescent="0.45">
      <c r="S1355" t="s">
        <v>505</v>
      </c>
      <c r="T1355" t="s">
        <v>779</v>
      </c>
      <c r="U1355">
        <v>0.12713414074561705</v>
      </c>
      <c r="V1355" t="s">
        <v>157</v>
      </c>
    </row>
    <row r="1356" spans="19:22" x14ac:dyDescent="0.45">
      <c r="S1356" t="s">
        <v>505</v>
      </c>
      <c r="T1356" t="s">
        <v>780</v>
      </c>
      <c r="U1356">
        <v>0.13019285519778262</v>
      </c>
      <c r="V1356" t="s">
        <v>157</v>
      </c>
    </row>
    <row r="1357" spans="19:22" x14ac:dyDescent="0.45">
      <c r="S1357" t="s">
        <v>505</v>
      </c>
      <c r="T1357" t="s">
        <v>781</v>
      </c>
      <c r="U1357">
        <v>2.5382422548624526E-2</v>
      </c>
      <c r="V1357" t="s">
        <v>157</v>
      </c>
    </row>
    <row r="1358" spans="19:22" x14ac:dyDescent="0.45">
      <c r="S1358" t="s">
        <v>505</v>
      </c>
      <c r="T1358" t="s">
        <v>782</v>
      </c>
      <c r="U1358">
        <v>0.10143059437932146</v>
      </c>
      <c r="V1358" t="s">
        <v>157</v>
      </c>
    </row>
    <row r="1359" spans="19:22" x14ac:dyDescent="0.45">
      <c r="S1359" t="s">
        <v>505</v>
      </c>
      <c r="T1359" t="s">
        <v>783</v>
      </c>
      <c r="U1359">
        <v>0.10008581993204424</v>
      </c>
      <c r="V1359" t="s">
        <v>157</v>
      </c>
    </row>
    <row r="1360" spans="19:22" x14ac:dyDescent="0.45">
      <c r="S1360" t="s">
        <v>505</v>
      </c>
      <c r="T1360" t="s">
        <v>784</v>
      </c>
      <c r="U1360">
        <v>1.8959731063100147E-2</v>
      </c>
      <c r="V1360" t="s">
        <v>157</v>
      </c>
    </row>
    <row r="1361" spans="19:22" x14ac:dyDescent="0.45">
      <c r="S1361" t="s">
        <v>505</v>
      </c>
      <c r="T1361" t="s">
        <v>785</v>
      </c>
      <c r="U1361">
        <v>0.13130850100457522</v>
      </c>
      <c r="V1361" t="s">
        <v>157</v>
      </c>
    </row>
    <row r="1362" spans="19:22" x14ac:dyDescent="0.45">
      <c r="S1362" t="s">
        <v>505</v>
      </c>
      <c r="T1362" t="s">
        <v>786</v>
      </c>
      <c r="U1362">
        <v>0.12784095391383191</v>
      </c>
      <c r="V1362" t="s">
        <v>157</v>
      </c>
    </row>
    <row r="1363" spans="19:22" x14ac:dyDescent="0.45">
      <c r="S1363" t="s">
        <v>505</v>
      </c>
      <c r="T1363" t="s">
        <v>787</v>
      </c>
      <c r="U1363">
        <v>2.5161326789948896E-2</v>
      </c>
      <c r="V1363" t="s">
        <v>157</v>
      </c>
    </row>
    <row r="1364" spans="19:22" x14ac:dyDescent="0.45">
      <c r="S1364" t="s">
        <v>505</v>
      </c>
      <c r="T1364" t="s">
        <v>788</v>
      </c>
      <c r="U1364">
        <v>9.581902279612256E-2</v>
      </c>
      <c r="V1364" t="s">
        <v>157</v>
      </c>
    </row>
    <row r="1365" spans="19:22" x14ac:dyDescent="0.45">
      <c r="S1365" t="s">
        <v>505</v>
      </c>
      <c r="T1365" t="s">
        <v>789</v>
      </c>
      <c r="U1365">
        <v>9.8501502849502917E-2</v>
      </c>
      <c r="V1365" t="s">
        <v>157</v>
      </c>
    </row>
    <row r="1366" spans="19:22" x14ac:dyDescent="0.45">
      <c r="S1366" t="s">
        <v>505</v>
      </c>
      <c r="T1366" t="s">
        <v>790</v>
      </c>
      <c r="U1366">
        <v>1.818312877952848E-2</v>
      </c>
      <c r="V1366" t="s">
        <v>157</v>
      </c>
    </row>
    <row r="1367" spans="19:22" x14ac:dyDescent="0.45">
      <c r="S1367" t="s">
        <v>506</v>
      </c>
      <c r="T1367" t="s">
        <v>779</v>
      </c>
      <c r="U1367">
        <v>0.12613401323207882</v>
      </c>
      <c r="V1367" t="s">
        <v>157</v>
      </c>
    </row>
    <row r="1368" spans="19:22" x14ac:dyDescent="0.45">
      <c r="S1368" t="s">
        <v>506</v>
      </c>
      <c r="T1368" t="s">
        <v>780</v>
      </c>
      <c r="U1368">
        <v>0.12910548122161289</v>
      </c>
      <c r="V1368" t="s">
        <v>157</v>
      </c>
    </row>
    <row r="1369" spans="19:22" x14ac:dyDescent="0.45">
      <c r="S1369" t="s">
        <v>506</v>
      </c>
      <c r="T1369" t="s">
        <v>781</v>
      </c>
      <c r="U1369">
        <v>2.454938583730475E-2</v>
      </c>
      <c r="V1369" t="s">
        <v>157</v>
      </c>
    </row>
    <row r="1370" spans="19:22" x14ac:dyDescent="0.45">
      <c r="S1370" t="s">
        <v>506</v>
      </c>
      <c r="T1370" t="s">
        <v>782</v>
      </c>
      <c r="U1370">
        <v>0.10347374633535189</v>
      </c>
      <c r="V1370" t="s">
        <v>157</v>
      </c>
    </row>
    <row r="1371" spans="19:22" x14ac:dyDescent="0.45">
      <c r="S1371" t="s">
        <v>506</v>
      </c>
      <c r="T1371" t="s">
        <v>783</v>
      </c>
      <c r="U1371">
        <v>0.10233435750618972</v>
      </c>
      <c r="V1371" t="s">
        <v>157</v>
      </c>
    </row>
    <row r="1372" spans="19:22" x14ac:dyDescent="0.45">
      <c r="S1372" t="s">
        <v>506</v>
      </c>
      <c r="T1372" t="s">
        <v>784</v>
      </c>
      <c r="U1372">
        <v>1.8979742272146254E-2</v>
      </c>
      <c r="V1372" t="s">
        <v>157</v>
      </c>
    </row>
    <row r="1373" spans="19:22" x14ac:dyDescent="0.45">
      <c r="S1373" t="s">
        <v>506</v>
      </c>
      <c r="T1373" t="s">
        <v>785</v>
      </c>
      <c r="U1373">
        <v>0.13099727782187384</v>
      </c>
      <c r="V1373" t="s">
        <v>157</v>
      </c>
    </row>
    <row r="1374" spans="19:22" x14ac:dyDescent="0.45">
      <c r="S1374" t="s">
        <v>506</v>
      </c>
      <c r="T1374" t="s">
        <v>786</v>
      </c>
      <c r="U1374">
        <v>0.12745289214765101</v>
      </c>
      <c r="V1374" t="s">
        <v>157</v>
      </c>
    </row>
    <row r="1375" spans="19:22" x14ac:dyDescent="0.45">
      <c r="S1375" t="s">
        <v>506</v>
      </c>
      <c r="T1375" t="s">
        <v>787</v>
      </c>
      <c r="U1375">
        <v>2.5126506363535084E-2</v>
      </c>
      <c r="V1375" t="s">
        <v>157</v>
      </c>
    </row>
    <row r="1376" spans="19:22" x14ac:dyDescent="0.45">
      <c r="S1376" t="s">
        <v>506</v>
      </c>
      <c r="T1376" t="s">
        <v>788</v>
      </c>
      <c r="U1376">
        <v>9.5735342564645109E-2</v>
      </c>
      <c r="V1376" t="s">
        <v>157</v>
      </c>
    </row>
    <row r="1377" spans="19:22" x14ac:dyDescent="0.45">
      <c r="S1377" t="s">
        <v>506</v>
      </c>
      <c r="T1377" t="s">
        <v>789</v>
      </c>
      <c r="U1377">
        <v>9.8356610016147733E-2</v>
      </c>
      <c r="V1377" t="s">
        <v>157</v>
      </c>
    </row>
    <row r="1378" spans="19:22" x14ac:dyDescent="0.45">
      <c r="S1378" t="s">
        <v>506</v>
      </c>
      <c r="T1378" t="s">
        <v>790</v>
      </c>
      <c r="U1378">
        <v>1.7754644681462844E-2</v>
      </c>
      <c r="V1378" t="s">
        <v>157</v>
      </c>
    </row>
    <row r="1379" spans="19:22" x14ac:dyDescent="0.45">
      <c r="S1379" t="s">
        <v>507</v>
      </c>
      <c r="T1379" t="s">
        <v>779</v>
      </c>
      <c r="U1379">
        <v>0.12713574491545526</v>
      </c>
      <c r="V1379" t="s">
        <v>157</v>
      </c>
    </row>
    <row r="1380" spans="19:22" x14ac:dyDescent="0.45">
      <c r="S1380" t="s">
        <v>507</v>
      </c>
      <c r="T1380" t="s">
        <v>780</v>
      </c>
      <c r="U1380">
        <v>0.12872650210614237</v>
      </c>
      <c r="V1380" t="s">
        <v>157</v>
      </c>
    </row>
    <row r="1381" spans="19:22" x14ac:dyDescent="0.45">
      <c r="S1381" t="s">
        <v>507</v>
      </c>
      <c r="T1381" t="s">
        <v>781</v>
      </c>
      <c r="U1381">
        <v>2.4387658405848982E-2</v>
      </c>
      <c r="V1381" t="s">
        <v>157</v>
      </c>
    </row>
    <row r="1382" spans="19:22" x14ac:dyDescent="0.45">
      <c r="S1382" t="s">
        <v>507</v>
      </c>
      <c r="T1382" t="s">
        <v>782</v>
      </c>
      <c r="U1382">
        <v>0.10377892433467989</v>
      </c>
      <c r="V1382" t="s">
        <v>157</v>
      </c>
    </row>
    <row r="1383" spans="19:22" x14ac:dyDescent="0.45">
      <c r="S1383" t="s">
        <v>507</v>
      </c>
      <c r="T1383" t="s">
        <v>783</v>
      </c>
      <c r="U1383">
        <v>0.10306345074207063</v>
      </c>
      <c r="V1383" t="s">
        <v>157</v>
      </c>
    </row>
    <row r="1384" spans="19:22" x14ac:dyDescent="0.45">
      <c r="S1384" t="s">
        <v>507</v>
      </c>
      <c r="T1384" t="s">
        <v>784</v>
      </c>
      <c r="U1384">
        <v>1.9009432756344119E-2</v>
      </c>
      <c r="V1384" t="s">
        <v>157</v>
      </c>
    </row>
    <row r="1385" spans="19:22" x14ac:dyDescent="0.45">
      <c r="S1385" t="s">
        <v>507</v>
      </c>
      <c r="T1385" t="s">
        <v>785</v>
      </c>
      <c r="U1385">
        <v>0.13078874354194314</v>
      </c>
      <c r="V1385" t="s">
        <v>157</v>
      </c>
    </row>
    <row r="1386" spans="19:22" x14ac:dyDescent="0.45">
      <c r="S1386" t="s">
        <v>507</v>
      </c>
      <c r="T1386" t="s">
        <v>786</v>
      </c>
      <c r="U1386">
        <v>0.12842342913789628</v>
      </c>
      <c r="V1386" t="s">
        <v>157</v>
      </c>
    </row>
    <row r="1387" spans="19:22" x14ac:dyDescent="0.45">
      <c r="S1387" t="s">
        <v>507</v>
      </c>
      <c r="T1387" t="s">
        <v>787</v>
      </c>
      <c r="U1387">
        <v>2.5166505244205124E-2</v>
      </c>
      <c r="V1387" t="s">
        <v>157</v>
      </c>
    </row>
    <row r="1388" spans="19:22" x14ac:dyDescent="0.45">
      <c r="S1388" t="s">
        <v>507</v>
      </c>
      <c r="T1388" t="s">
        <v>788</v>
      </c>
      <c r="U1388">
        <v>9.505842150799991E-2</v>
      </c>
      <c r="V1388" t="s">
        <v>157</v>
      </c>
    </row>
    <row r="1389" spans="19:22" x14ac:dyDescent="0.45">
      <c r="S1389" t="s">
        <v>507</v>
      </c>
      <c r="T1389" t="s">
        <v>789</v>
      </c>
      <c r="U1389">
        <v>9.6929801103871505E-2</v>
      </c>
      <c r="V1389" t="s">
        <v>157</v>
      </c>
    </row>
    <row r="1390" spans="19:22" x14ac:dyDescent="0.45">
      <c r="S1390" t="s">
        <v>507</v>
      </c>
      <c r="T1390" t="s">
        <v>790</v>
      </c>
      <c r="U1390">
        <v>1.7531386203542821E-2</v>
      </c>
      <c r="V1390" t="s">
        <v>157</v>
      </c>
    </row>
    <row r="1391" spans="19:22" x14ac:dyDescent="0.45">
      <c r="S1391" t="s">
        <v>508</v>
      </c>
      <c r="T1391" t="s">
        <v>779</v>
      </c>
      <c r="U1391">
        <v>0.13025703900407989</v>
      </c>
      <c r="V1391" t="s">
        <v>157</v>
      </c>
    </row>
    <row r="1392" spans="19:22" x14ac:dyDescent="0.45">
      <c r="S1392" t="s">
        <v>508</v>
      </c>
      <c r="T1392" t="s">
        <v>780</v>
      </c>
      <c r="U1392">
        <v>0.12989828271055714</v>
      </c>
      <c r="V1392" t="s">
        <v>157</v>
      </c>
    </row>
    <row r="1393" spans="19:22" x14ac:dyDescent="0.45">
      <c r="S1393" t="s">
        <v>508</v>
      </c>
      <c r="T1393" t="s">
        <v>781</v>
      </c>
      <c r="U1393">
        <v>2.4084649860869438E-2</v>
      </c>
      <c r="V1393" t="s">
        <v>157</v>
      </c>
    </row>
    <row r="1394" spans="19:22" x14ac:dyDescent="0.45">
      <c r="S1394" t="s">
        <v>508</v>
      </c>
      <c r="T1394" t="s">
        <v>782</v>
      </c>
      <c r="U1394">
        <v>0.10330878499291714</v>
      </c>
      <c r="V1394" t="s">
        <v>157</v>
      </c>
    </row>
    <row r="1395" spans="19:22" x14ac:dyDescent="0.45">
      <c r="S1395" t="s">
        <v>508</v>
      </c>
      <c r="T1395" t="s">
        <v>783</v>
      </c>
      <c r="U1395">
        <v>0.10323420029264145</v>
      </c>
      <c r="V1395" t="s">
        <v>157</v>
      </c>
    </row>
    <row r="1396" spans="19:22" x14ac:dyDescent="0.45">
      <c r="S1396" t="s">
        <v>508</v>
      </c>
      <c r="T1396" t="s">
        <v>784</v>
      </c>
      <c r="U1396">
        <v>1.9147254761741471E-2</v>
      </c>
      <c r="V1396" t="s">
        <v>157</v>
      </c>
    </row>
    <row r="1397" spans="19:22" x14ac:dyDescent="0.45">
      <c r="S1397" t="s">
        <v>508</v>
      </c>
      <c r="T1397" t="s">
        <v>785</v>
      </c>
      <c r="U1397">
        <v>0.13080060253780065</v>
      </c>
      <c r="V1397" t="s">
        <v>157</v>
      </c>
    </row>
    <row r="1398" spans="19:22" x14ac:dyDescent="0.45">
      <c r="S1398" t="s">
        <v>508</v>
      </c>
      <c r="T1398" t="s">
        <v>786</v>
      </c>
      <c r="U1398">
        <v>0.12829316737119129</v>
      </c>
      <c r="V1398" t="s">
        <v>157</v>
      </c>
    </row>
    <row r="1399" spans="19:22" x14ac:dyDescent="0.45">
      <c r="S1399" t="s">
        <v>508</v>
      </c>
      <c r="T1399" t="s">
        <v>787</v>
      </c>
      <c r="U1399">
        <v>2.5129141521207241E-2</v>
      </c>
      <c r="V1399" t="s">
        <v>157</v>
      </c>
    </row>
    <row r="1400" spans="19:22" x14ac:dyDescent="0.45">
      <c r="S1400" t="s">
        <v>508</v>
      </c>
      <c r="T1400" t="s">
        <v>788</v>
      </c>
      <c r="U1400">
        <v>9.4256661210299242E-2</v>
      </c>
      <c r="V1400" t="s">
        <v>157</v>
      </c>
    </row>
    <row r="1401" spans="19:22" x14ac:dyDescent="0.45">
      <c r="S1401" t="s">
        <v>508</v>
      </c>
      <c r="T1401" t="s">
        <v>789</v>
      </c>
      <c r="U1401">
        <v>9.4457844805167085E-2</v>
      </c>
      <c r="V1401" t="s">
        <v>157</v>
      </c>
    </row>
    <row r="1402" spans="19:22" x14ac:dyDescent="0.45">
      <c r="S1402" t="s">
        <v>508</v>
      </c>
      <c r="T1402" t="s">
        <v>790</v>
      </c>
      <c r="U1402">
        <v>1.7132370931527911E-2</v>
      </c>
      <c r="V1402" t="s">
        <v>157</v>
      </c>
    </row>
    <row r="1403" spans="19:22" x14ac:dyDescent="0.45">
      <c r="S1403" t="s">
        <v>509</v>
      </c>
      <c r="T1403" t="s">
        <v>779</v>
      </c>
      <c r="U1403">
        <v>0.13403188257008344</v>
      </c>
      <c r="V1403" t="s">
        <v>157</v>
      </c>
    </row>
    <row r="1404" spans="19:22" x14ac:dyDescent="0.45">
      <c r="S1404" t="s">
        <v>509</v>
      </c>
      <c r="T1404" t="s">
        <v>780</v>
      </c>
      <c r="U1404">
        <v>0.13248455599530418</v>
      </c>
      <c r="V1404" t="s">
        <v>157</v>
      </c>
    </row>
    <row r="1405" spans="19:22" x14ac:dyDescent="0.45">
      <c r="S1405" t="s">
        <v>509</v>
      </c>
      <c r="T1405" t="s">
        <v>781</v>
      </c>
      <c r="U1405">
        <v>2.4028869085869459E-2</v>
      </c>
      <c r="V1405" t="s">
        <v>157</v>
      </c>
    </row>
    <row r="1406" spans="19:22" x14ac:dyDescent="0.45">
      <c r="S1406" t="s">
        <v>509</v>
      </c>
      <c r="T1406" t="s">
        <v>782</v>
      </c>
      <c r="U1406">
        <v>0.10238275952134974</v>
      </c>
      <c r="V1406" t="s">
        <v>157</v>
      </c>
    </row>
    <row r="1407" spans="19:22" x14ac:dyDescent="0.45">
      <c r="S1407" t="s">
        <v>509</v>
      </c>
      <c r="T1407" t="s">
        <v>783</v>
      </c>
      <c r="U1407">
        <v>0.10322391813063679</v>
      </c>
      <c r="V1407" t="s">
        <v>157</v>
      </c>
    </row>
    <row r="1408" spans="19:22" x14ac:dyDescent="0.45">
      <c r="S1408" t="s">
        <v>509</v>
      </c>
      <c r="T1408" t="s">
        <v>784</v>
      </c>
      <c r="U1408">
        <v>1.931618194873435E-2</v>
      </c>
      <c r="V1408" t="s">
        <v>157</v>
      </c>
    </row>
    <row r="1409" spans="19:22" x14ac:dyDescent="0.45">
      <c r="S1409" t="s">
        <v>509</v>
      </c>
      <c r="T1409" t="s">
        <v>785</v>
      </c>
      <c r="U1409">
        <v>0.13083971131681835</v>
      </c>
      <c r="V1409" t="s">
        <v>157</v>
      </c>
    </row>
    <row r="1410" spans="19:22" x14ac:dyDescent="0.45">
      <c r="S1410" t="s">
        <v>509</v>
      </c>
      <c r="T1410" t="s">
        <v>786</v>
      </c>
      <c r="U1410">
        <v>0.12688364057140866</v>
      </c>
      <c r="V1410" t="s">
        <v>157</v>
      </c>
    </row>
    <row r="1411" spans="19:22" x14ac:dyDescent="0.45">
      <c r="S1411" t="s">
        <v>509</v>
      </c>
      <c r="T1411" t="s">
        <v>787</v>
      </c>
      <c r="U1411">
        <v>2.5073526457454576E-2</v>
      </c>
      <c r="V1411" t="s">
        <v>157</v>
      </c>
    </row>
    <row r="1412" spans="19:22" x14ac:dyDescent="0.45">
      <c r="S1412" t="s">
        <v>509</v>
      </c>
      <c r="T1412" t="s">
        <v>788</v>
      </c>
      <c r="U1412">
        <v>9.3077744166238735E-2</v>
      </c>
      <c r="V1412" t="s">
        <v>157</v>
      </c>
    </row>
    <row r="1413" spans="19:22" x14ac:dyDescent="0.45">
      <c r="S1413" t="s">
        <v>509</v>
      </c>
      <c r="T1413" t="s">
        <v>789</v>
      </c>
      <c r="U1413">
        <v>9.1960154472894531E-2</v>
      </c>
      <c r="V1413" t="s">
        <v>157</v>
      </c>
    </row>
    <row r="1414" spans="19:22" x14ac:dyDescent="0.45">
      <c r="S1414" t="s">
        <v>509</v>
      </c>
      <c r="T1414" t="s">
        <v>790</v>
      </c>
      <c r="U1414">
        <v>1.6697055763207222E-2</v>
      </c>
      <c r="V1414" t="s">
        <v>157</v>
      </c>
    </row>
    <row r="1415" spans="19:22" x14ac:dyDescent="0.45">
      <c r="S1415" t="s">
        <v>510</v>
      </c>
      <c r="T1415" t="s">
        <v>779</v>
      </c>
      <c r="U1415">
        <v>0.11661622462112221</v>
      </c>
      <c r="V1415" t="s">
        <v>157</v>
      </c>
    </row>
    <row r="1416" spans="19:22" x14ac:dyDescent="0.45">
      <c r="S1416" t="s">
        <v>510</v>
      </c>
      <c r="T1416" t="s">
        <v>780</v>
      </c>
      <c r="U1416">
        <v>0.11168491159082486</v>
      </c>
      <c r="V1416" t="s">
        <v>157</v>
      </c>
    </row>
    <row r="1417" spans="19:22" x14ac:dyDescent="0.45">
      <c r="S1417" t="s">
        <v>510</v>
      </c>
      <c r="T1417" t="s">
        <v>781</v>
      </c>
      <c r="U1417">
        <v>2.1671985729643885E-2</v>
      </c>
      <c r="V1417" t="s">
        <v>157</v>
      </c>
    </row>
    <row r="1418" spans="19:22" x14ac:dyDescent="0.45">
      <c r="S1418" t="s">
        <v>510</v>
      </c>
      <c r="T1418" t="s">
        <v>782</v>
      </c>
      <c r="U1418">
        <v>0.1162575755224963</v>
      </c>
      <c r="V1418" t="s">
        <v>157</v>
      </c>
    </row>
    <row r="1419" spans="19:22" x14ac:dyDescent="0.45">
      <c r="S1419" t="s">
        <v>510</v>
      </c>
      <c r="T1419" t="s">
        <v>783</v>
      </c>
      <c r="U1419">
        <v>0.11452476987355031</v>
      </c>
      <c r="V1419" t="s">
        <v>157</v>
      </c>
    </row>
    <row r="1420" spans="19:22" x14ac:dyDescent="0.45">
      <c r="S1420" t="s">
        <v>510</v>
      </c>
      <c r="T1420" t="s">
        <v>784</v>
      </c>
      <c r="U1420">
        <v>2.0206746106181315E-2</v>
      </c>
      <c r="V1420" t="s">
        <v>157</v>
      </c>
    </row>
    <row r="1421" spans="19:22" x14ac:dyDescent="0.45">
      <c r="S1421" t="s">
        <v>510</v>
      </c>
      <c r="T1421" t="s">
        <v>785</v>
      </c>
      <c r="U1421">
        <v>0.12997604413934968</v>
      </c>
      <c r="V1421" t="s">
        <v>157</v>
      </c>
    </row>
    <row r="1422" spans="19:22" x14ac:dyDescent="0.45">
      <c r="S1422" t="s">
        <v>510</v>
      </c>
      <c r="T1422" t="s">
        <v>786</v>
      </c>
      <c r="U1422">
        <v>0.12629343980627533</v>
      </c>
      <c r="V1422" t="s">
        <v>157</v>
      </c>
    </row>
    <row r="1423" spans="19:22" x14ac:dyDescent="0.45">
      <c r="S1423" t="s">
        <v>510</v>
      </c>
      <c r="T1423" t="s">
        <v>787</v>
      </c>
      <c r="U1423">
        <v>2.4150497502439468E-2</v>
      </c>
      <c r="V1423" t="s">
        <v>157</v>
      </c>
    </row>
    <row r="1424" spans="19:22" x14ac:dyDescent="0.45">
      <c r="S1424" t="s">
        <v>510</v>
      </c>
      <c r="T1424" t="s">
        <v>788</v>
      </c>
      <c r="U1424">
        <v>9.8965141603530676E-2</v>
      </c>
      <c r="V1424" t="s">
        <v>157</v>
      </c>
    </row>
    <row r="1425" spans="19:22" x14ac:dyDescent="0.45">
      <c r="S1425" t="s">
        <v>510</v>
      </c>
      <c r="T1425" t="s">
        <v>789</v>
      </c>
      <c r="U1425">
        <v>0.10022217045054409</v>
      </c>
      <c r="V1425" t="s">
        <v>157</v>
      </c>
    </row>
    <row r="1426" spans="19:22" x14ac:dyDescent="0.45">
      <c r="S1426" t="s">
        <v>510</v>
      </c>
      <c r="T1426" t="s">
        <v>790</v>
      </c>
      <c r="U1426">
        <v>1.9430493054041934E-2</v>
      </c>
      <c r="V1426" t="s">
        <v>157</v>
      </c>
    </row>
    <row r="1427" spans="19:22" x14ac:dyDescent="0.45">
      <c r="S1427" t="s">
        <v>511</v>
      </c>
      <c r="T1427" t="s">
        <v>779</v>
      </c>
      <c r="U1427">
        <v>0.11433022466737157</v>
      </c>
      <c r="V1427" t="s">
        <v>157</v>
      </c>
    </row>
    <row r="1428" spans="19:22" x14ac:dyDescent="0.45">
      <c r="S1428" t="s">
        <v>511</v>
      </c>
      <c r="T1428" t="s">
        <v>780</v>
      </c>
      <c r="U1428">
        <v>0.11133733528064262</v>
      </c>
      <c r="V1428" t="s">
        <v>157</v>
      </c>
    </row>
    <row r="1429" spans="19:22" x14ac:dyDescent="0.45">
      <c r="S1429" t="s">
        <v>511</v>
      </c>
      <c r="T1429" t="s">
        <v>781</v>
      </c>
      <c r="U1429">
        <v>2.0787124854969551E-2</v>
      </c>
      <c r="V1429" t="s">
        <v>157</v>
      </c>
    </row>
    <row r="1430" spans="19:22" x14ac:dyDescent="0.45">
      <c r="S1430" t="s">
        <v>511</v>
      </c>
      <c r="T1430" t="s">
        <v>782</v>
      </c>
      <c r="U1430">
        <v>0.11539317707395189</v>
      </c>
      <c r="V1430" t="s">
        <v>157</v>
      </c>
    </row>
    <row r="1431" spans="19:22" x14ac:dyDescent="0.45">
      <c r="S1431" t="s">
        <v>511</v>
      </c>
      <c r="T1431" t="s">
        <v>783</v>
      </c>
      <c r="U1431">
        <v>0.11469324750983977</v>
      </c>
      <c r="V1431" t="s">
        <v>157</v>
      </c>
    </row>
    <row r="1432" spans="19:22" x14ac:dyDescent="0.45">
      <c r="S1432" t="s">
        <v>511</v>
      </c>
      <c r="T1432" t="s">
        <v>784</v>
      </c>
      <c r="U1432">
        <v>2.1365354032592286E-2</v>
      </c>
      <c r="V1432" t="s">
        <v>157</v>
      </c>
    </row>
    <row r="1433" spans="19:22" x14ac:dyDescent="0.45">
      <c r="S1433" t="s">
        <v>511</v>
      </c>
      <c r="T1433" t="s">
        <v>785</v>
      </c>
      <c r="U1433">
        <v>0.11951838167007676</v>
      </c>
      <c r="V1433" t="s">
        <v>157</v>
      </c>
    </row>
    <row r="1434" spans="19:22" x14ac:dyDescent="0.45">
      <c r="S1434" t="s">
        <v>511</v>
      </c>
      <c r="T1434" t="s">
        <v>786</v>
      </c>
      <c r="U1434">
        <v>0.11660686551203756</v>
      </c>
      <c r="V1434" t="s">
        <v>157</v>
      </c>
    </row>
    <row r="1435" spans="19:22" x14ac:dyDescent="0.45">
      <c r="S1435" t="s">
        <v>511</v>
      </c>
      <c r="T1435" t="s">
        <v>787</v>
      </c>
      <c r="U1435">
        <v>2.1504494660689412E-2</v>
      </c>
      <c r="V1435" t="s">
        <v>157</v>
      </c>
    </row>
    <row r="1436" spans="19:22" x14ac:dyDescent="0.45">
      <c r="S1436" t="s">
        <v>511</v>
      </c>
      <c r="T1436" t="s">
        <v>788</v>
      </c>
      <c r="U1436">
        <v>0.11222687691996208</v>
      </c>
      <c r="V1436" t="s">
        <v>157</v>
      </c>
    </row>
    <row r="1437" spans="19:22" x14ac:dyDescent="0.45">
      <c r="S1437" t="s">
        <v>511</v>
      </c>
      <c r="T1437" t="s">
        <v>789</v>
      </c>
      <c r="U1437">
        <v>0.11120365741349575</v>
      </c>
      <c r="V1437" t="s">
        <v>157</v>
      </c>
    </row>
    <row r="1438" spans="19:22" x14ac:dyDescent="0.45">
      <c r="S1438" t="s">
        <v>511</v>
      </c>
      <c r="T1438" t="s">
        <v>790</v>
      </c>
      <c r="U1438">
        <v>2.1033260404370709E-2</v>
      </c>
      <c r="V1438" t="s">
        <v>157</v>
      </c>
    </row>
    <row r="1439" spans="19:22" x14ac:dyDescent="0.45">
      <c r="S1439" t="s">
        <v>512</v>
      </c>
      <c r="T1439" t="s">
        <v>779</v>
      </c>
      <c r="U1439">
        <v>0.11510955661136046</v>
      </c>
      <c r="V1439" t="s">
        <v>157</v>
      </c>
    </row>
    <row r="1440" spans="19:22" x14ac:dyDescent="0.45">
      <c r="S1440" t="s">
        <v>512</v>
      </c>
      <c r="T1440" t="s">
        <v>780</v>
      </c>
      <c r="U1440">
        <v>0.11228137474316384</v>
      </c>
      <c r="V1440" t="s">
        <v>157</v>
      </c>
    </row>
    <row r="1441" spans="19:22" x14ac:dyDescent="0.45">
      <c r="S1441" t="s">
        <v>512</v>
      </c>
      <c r="T1441" t="s">
        <v>781</v>
      </c>
      <c r="U1441">
        <v>2.129161062393713E-2</v>
      </c>
      <c r="V1441" t="s">
        <v>157</v>
      </c>
    </row>
    <row r="1442" spans="19:22" x14ac:dyDescent="0.45">
      <c r="S1442" t="s">
        <v>512</v>
      </c>
      <c r="T1442" t="s">
        <v>782</v>
      </c>
      <c r="U1442">
        <v>0.11478933197973348</v>
      </c>
      <c r="V1442" t="s">
        <v>157</v>
      </c>
    </row>
    <row r="1443" spans="19:22" x14ac:dyDescent="0.45">
      <c r="S1443" t="s">
        <v>512</v>
      </c>
      <c r="T1443" t="s">
        <v>783</v>
      </c>
      <c r="U1443">
        <v>0.11329611197827126</v>
      </c>
      <c r="V1443" t="s">
        <v>157</v>
      </c>
    </row>
    <row r="1444" spans="19:22" x14ac:dyDescent="0.45">
      <c r="S1444" t="s">
        <v>512</v>
      </c>
      <c r="T1444" t="s">
        <v>784</v>
      </c>
      <c r="U1444">
        <v>2.1011003892465987E-2</v>
      </c>
      <c r="V1444" t="s">
        <v>157</v>
      </c>
    </row>
    <row r="1445" spans="19:22" x14ac:dyDescent="0.45">
      <c r="S1445" t="s">
        <v>512</v>
      </c>
      <c r="T1445" t="s">
        <v>785</v>
      </c>
      <c r="U1445">
        <v>0.11891213291398767</v>
      </c>
      <c r="V1445" t="s">
        <v>157</v>
      </c>
    </row>
    <row r="1446" spans="19:22" x14ac:dyDescent="0.45">
      <c r="S1446" t="s">
        <v>512</v>
      </c>
      <c r="T1446" t="s">
        <v>786</v>
      </c>
      <c r="U1446">
        <v>0.11600434321850372</v>
      </c>
      <c r="V1446" t="s">
        <v>157</v>
      </c>
    </row>
    <row r="1447" spans="19:22" x14ac:dyDescent="0.45">
      <c r="S1447" t="s">
        <v>512</v>
      </c>
      <c r="T1447" t="s">
        <v>787</v>
      </c>
      <c r="U1447">
        <v>2.1630699896538028E-2</v>
      </c>
      <c r="V1447" t="s">
        <v>157</v>
      </c>
    </row>
    <row r="1448" spans="19:22" x14ac:dyDescent="0.45">
      <c r="S1448" t="s">
        <v>512</v>
      </c>
      <c r="T1448" t="s">
        <v>788</v>
      </c>
      <c r="U1448">
        <v>0.11262446908497062</v>
      </c>
      <c r="V1448" t="s">
        <v>157</v>
      </c>
    </row>
    <row r="1449" spans="19:22" x14ac:dyDescent="0.45">
      <c r="S1449" t="s">
        <v>512</v>
      </c>
      <c r="T1449" t="s">
        <v>789</v>
      </c>
      <c r="U1449">
        <v>0.11188237667184066</v>
      </c>
      <c r="V1449" t="s">
        <v>157</v>
      </c>
    </row>
    <row r="1450" spans="19:22" x14ac:dyDescent="0.45">
      <c r="S1450" t="s">
        <v>512</v>
      </c>
      <c r="T1450" t="s">
        <v>790</v>
      </c>
      <c r="U1450">
        <v>2.1166988385227015E-2</v>
      </c>
      <c r="V1450" t="s">
        <v>157</v>
      </c>
    </row>
    <row r="1451" spans="19:22" x14ac:dyDescent="0.45">
      <c r="S1451" t="s">
        <v>513</v>
      </c>
      <c r="T1451" t="s">
        <v>779</v>
      </c>
      <c r="U1451">
        <v>0.11663176755149844</v>
      </c>
      <c r="V1451" t="s">
        <v>157</v>
      </c>
    </row>
    <row r="1452" spans="19:22" x14ac:dyDescent="0.45">
      <c r="S1452" t="s">
        <v>513</v>
      </c>
      <c r="T1452" t="s">
        <v>780</v>
      </c>
      <c r="U1452">
        <v>0.11312703216292844</v>
      </c>
      <c r="V1452" t="s">
        <v>157</v>
      </c>
    </row>
    <row r="1453" spans="19:22" x14ac:dyDescent="0.45">
      <c r="S1453" t="s">
        <v>513</v>
      </c>
      <c r="T1453" t="s">
        <v>781</v>
      </c>
      <c r="U1453">
        <v>2.1491986025888352E-2</v>
      </c>
      <c r="V1453" t="s">
        <v>157</v>
      </c>
    </row>
    <row r="1454" spans="19:22" x14ac:dyDescent="0.45">
      <c r="S1454" t="s">
        <v>513</v>
      </c>
      <c r="T1454" t="s">
        <v>782</v>
      </c>
      <c r="U1454">
        <v>0.11432349613087342</v>
      </c>
      <c r="V1454" t="s">
        <v>157</v>
      </c>
    </row>
    <row r="1455" spans="19:22" x14ac:dyDescent="0.45">
      <c r="S1455" t="s">
        <v>513</v>
      </c>
      <c r="T1455" t="s">
        <v>783</v>
      </c>
      <c r="U1455">
        <v>0.11166954952227032</v>
      </c>
      <c r="V1455" t="s">
        <v>157</v>
      </c>
    </row>
    <row r="1456" spans="19:22" x14ac:dyDescent="0.45">
      <c r="S1456" t="s">
        <v>513</v>
      </c>
      <c r="T1456" t="s">
        <v>784</v>
      </c>
      <c r="U1456">
        <v>2.0750598670965383E-2</v>
      </c>
      <c r="V1456" t="s">
        <v>157</v>
      </c>
    </row>
    <row r="1457" spans="19:22" x14ac:dyDescent="0.45">
      <c r="S1457" t="s">
        <v>513</v>
      </c>
      <c r="T1457" t="s">
        <v>785</v>
      </c>
      <c r="U1457">
        <v>0.11822180877183994</v>
      </c>
      <c r="V1457" t="s">
        <v>157</v>
      </c>
    </row>
    <row r="1458" spans="19:22" x14ac:dyDescent="0.45">
      <c r="S1458" t="s">
        <v>513</v>
      </c>
      <c r="T1458" t="s">
        <v>786</v>
      </c>
      <c r="U1458">
        <v>0.11543984752546421</v>
      </c>
      <c r="V1458" t="s">
        <v>157</v>
      </c>
    </row>
    <row r="1459" spans="19:22" x14ac:dyDescent="0.45">
      <c r="S1459" t="s">
        <v>513</v>
      </c>
      <c r="T1459" t="s">
        <v>787</v>
      </c>
      <c r="U1459">
        <v>2.1263353577088178E-2</v>
      </c>
      <c r="V1459" t="s">
        <v>157</v>
      </c>
    </row>
    <row r="1460" spans="19:22" x14ac:dyDescent="0.45">
      <c r="S1460" t="s">
        <v>513</v>
      </c>
      <c r="T1460" t="s">
        <v>788</v>
      </c>
      <c r="U1460">
        <v>0.11295327624668382</v>
      </c>
      <c r="V1460" t="s">
        <v>157</v>
      </c>
    </row>
    <row r="1461" spans="19:22" x14ac:dyDescent="0.45">
      <c r="S1461" t="s">
        <v>513</v>
      </c>
      <c r="T1461" t="s">
        <v>789</v>
      </c>
      <c r="U1461">
        <v>0.11305595779136304</v>
      </c>
      <c r="V1461" t="s">
        <v>157</v>
      </c>
    </row>
    <row r="1462" spans="19:22" x14ac:dyDescent="0.45">
      <c r="S1462" t="s">
        <v>513</v>
      </c>
      <c r="T1462" t="s">
        <v>790</v>
      </c>
      <c r="U1462">
        <v>2.1071326023136477E-2</v>
      </c>
      <c r="V1462" t="s">
        <v>157</v>
      </c>
    </row>
    <row r="1463" spans="19:22" x14ac:dyDescent="0.45">
      <c r="S1463" t="s">
        <v>514</v>
      </c>
      <c r="T1463" t="s">
        <v>779</v>
      </c>
      <c r="U1463">
        <v>0.11701805600379424</v>
      </c>
      <c r="V1463" t="s">
        <v>157</v>
      </c>
    </row>
    <row r="1464" spans="19:22" x14ac:dyDescent="0.45">
      <c r="S1464" t="s">
        <v>514</v>
      </c>
      <c r="T1464" t="s">
        <v>780</v>
      </c>
      <c r="U1464">
        <v>0.11401779553407251</v>
      </c>
      <c r="V1464" t="s">
        <v>157</v>
      </c>
    </row>
    <row r="1465" spans="19:22" x14ac:dyDescent="0.45">
      <c r="S1465" t="s">
        <v>514</v>
      </c>
      <c r="T1465" t="s">
        <v>781</v>
      </c>
      <c r="U1465">
        <v>2.1263522535858243E-2</v>
      </c>
      <c r="V1465" t="s">
        <v>157</v>
      </c>
    </row>
    <row r="1466" spans="19:22" x14ac:dyDescent="0.45">
      <c r="S1466" t="s">
        <v>514</v>
      </c>
      <c r="T1466" t="s">
        <v>782</v>
      </c>
      <c r="U1466">
        <v>0.1143733318415691</v>
      </c>
      <c r="V1466" t="s">
        <v>157</v>
      </c>
    </row>
    <row r="1467" spans="19:22" x14ac:dyDescent="0.45">
      <c r="S1467" t="s">
        <v>514</v>
      </c>
      <c r="T1467" t="s">
        <v>783</v>
      </c>
      <c r="U1467">
        <v>0.1102882660574898</v>
      </c>
      <c r="V1467" t="s">
        <v>157</v>
      </c>
    </row>
    <row r="1468" spans="19:22" x14ac:dyDescent="0.45">
      <c r="S1468" t="s">
        <v>514</v>
      </c>
      <c r="T1468" t="s">
        <v>784</v>
      </c>
      <c r="U1468">
        <v>2.0768719083328144E-2</v>
      </c>
      <c r="V1468" t="s">
        <v>157</v>
      </c>
    </row>
    <row r="1469" spans="19:22" x14ac:dyDescent="0.45">
      <c r="S1469" t="s">
        <v>514</v>
      </c>
      <c r="T1469" t="s">
        <v>785</v>
      </c>
      <c r="U1469">
        <v>0.11694511611068738</v>
      </c>
      <c r="V1469" t="s">
        <v>157</v>
      </c>
    </row>
    <row r="1470" spans="19:22" x14ac:dyDescent="0.45">
      <c r="S1470" t="s">
        <v>514</v>
      </c>
      <c r="T1470" t="s">
        <v>786</v>
      </c>
      <c r="U1470">
        <v>0.11621401990797316</v>
      </c>
      <c r="V1470" t="s">
        <v>157</v>
      </c>
    </row>
    <row r="1471" spans="19:22" x14ac:dyDescent="0.45">
      <c r="S1471" t="s">
        <v>514</v>
      </c>
      <c r="T1471" t="s">
        <v>787</v>
      </c>
      <c r="U1471">
        <v>2.0910758234865833E-2</v>
      </c>
      <c r="V1471" t="s">
        <v>157</v>
      </c>
    </row>
    <row r="1472" spans="19:22" x14ac:dyDescent="0.45">
      <c r="S1472" t="s">
        <v>514</v>
      </c>
      <c r="T1472" t="s">
        <v>788</v>
      </c>
      <c r="U1472">
        <v>0.11300772748383373</v>
      </c>
      <c r="V1472" t="s">
        <v>157</v>
      </c>
    </row>
    <row r="1473" spans="19:22" x14ac:dyDescent="0.45">
      <c r="S1473" t="s">
        <v>514</v>
      </c>
      <c r="T1473" t="s">
        <v>789</v>
      </c>
      <c r="U1473">
        <v>0.11455344875440554</v>
      </c>
      <c r="V1473" t="s">
        <v>157</v>
      </c>
    </row>
    <row r="1474" spans="19:22" x14ac:dyDescent="0.45">
      <c r="S1474" t="s">
        <v>514</v>
      </c>
      <c r="T1474" t="s">
        <v>790</v>
      </c>
      <c r="U1474">
        <v>2.0639238452122351E-2</v>
      </c>
      <c r="V1474" t="s">
        <v>157</v>
      </c>
    </row>
    <row r="1475" spans="19:22" x14ac:dyDescent="0.45">
      <c r="S1475" t="s">
        <v>515</v>
      </c>
      <c r="T1475" t="s">
        <v>779</v>
      </c>
      <c r="U1475">
        <v>0.11693813267842693</v>
      </c>
      <c r="V1475" t="s">
        <v>157</v>
      </c>
    </row>
    <row r="1476" spans="19:22" x14ac:dyDescent="0.45">
      <c r="S1476" t="s">
        <v>515</v>
      </c>
      <c r="T1476" t="s">
        <v>780</v>
      </c>
      <c r="U1476">
        <v>0.11490675311064806</v>
      </c>
      <c r="V1476" t="s">
        <v>157</v>
      </c>
    </row>
    <row r="1477" spans="19:22" x14ac:dyDescent="0.45">
      <c r="S1477" t="s">
        <v>515</v>
      </c>
      <c r="T1477" t="s">
        <v>781</v>
      </c>
      <c r="U1477">
        <v>2.1017913355798595E-2</v>
      </c>
      <c r="V1477" t="s">
        <v>157</v>
      </c>
    </row>
    <row r="1478" spans="19:22" x14ac:dyDescent="0.45">
      <c r="S1478" t="s">
        <v>515</v>
      </c>
      <c r="T1478" t="s">
        <v>782</v>
      </c>
      <c r="U1478">
        <v>0.11393894705997518</v>
      </c>
      <c r="V1478" t="s">
        <v>157</v>
      </c>
    </row>
    <row r="1479" spans="19:22" x14ac:dyDescent="0.45">
      <c r="S1479" t="s">
        <v>515</v>
      </c>
      <c r="T1479" t="s">
        <v>783</v>
      </c>
      <c r="U1479">
        <v>0.11032251535587828</v>
      </c>
      <c r="V1479" t="s">
        <v>157</v>
      </c>
    </row>
    <row r="1480" spans="19:22" x14ac:dyDescent="0.45">
      <c r="S1480" t="s">
        <v>515</v>
      </c>
      <c r="T1480" t="s">
        <v>784</v>
      </c>
      <c r="U1480">
        <v>2.0904369926649437E-2</v>
      </c>
      <c r="V1480" t="s">
        <v>157</v>
      </c>
    </row>
    <row r="1481" spans="19:22" x14ac:dyDescent="0.45">
      <c r="S1481" t="s">
        <v>515</v>
      </c>
      <c r="T1481" t="s">
        <v>785</v>
      </c>
      <c r="U1481">
        <v>0.11609721485946177</v>
      </c>
      <c r="V1481" t="s">
        <v>157</v>
      </c>
    </row>
    <row r="1482" spans="19:22" x14ac:dyDescent="0.45">
      <c r="S1482" t="s">
        <v>515</v>
      </c>
      <c r="T1482" t="s">
        <v>786</v>
      </c>
      <c r="U1482">
        <v>0.11657752837257984</v>
      </c>
      <c r="V1482" t="s">
        <v>157</v>
      </c>
    </row>
    <row r="1483" spans="19:22" x14ac:dyDescent="0.45">
      <c r="S1483" t="s">
        <v>515</v>
      </c>
      <c r="T1483" t="s">
        <v>787</v>
      </c>
      <c r="U1483">
        <v>2.0458230700462231E-2</v>
      </c>
      <c r="V1483" t="s">
        <v>157</v>
      </c>
    </row>
    <row r="1484" spans="19:22" x14ac:dyDescent="0.45">
      <c r="S1484" t="s">
        <v>515</v>
      </c>
      <c r="T1484" t="s">
        <v>788</v>
      </c>
      <c r="U1484">
        <v>0.11380085360460764</v>
      </c>
      <c r="V1484" t="s">
        <v>157</v>
      </c>
    </row>
    <row r="1485" spans="19:22" x14ac:dyDescent="0.45">
      <c r="S1485" t="s">
        <v>515</v>
      </c>
      <c r="T1485" t="s">
        <v>789</v>
      </c>
      <c r="U1485">
        <v>0.1145274670326494</v>
      </c>
      <c r="V1485" t="s">
        <v>157</v>
      </c>
    </row>
    <row r="1486" spans="19:22" x14ac:dyDescent="0.45">
      <c r="S1486" t="s">
        <v>515</v>
      </c>
      <c r="T1486" t="s">
        <v>790</v>
      </c>
      <c r="U1486">
        <v>2.0510073942862594E-2</v>
      </c>
      <c r="V1486" t="s">
        <v>157</v>
      </c>
    </row>
    <row r="1487" spans="19:22" x14ac:dyDescent="0.45">
      <c r="S1487" t="s">
        <v>516</v>
      </c>
      <c r="T1487" t="s">
        <v>779</v>
      </c>
      <c r="U1487">
        <v>0.11374378017499188</v>
      </c>
      <c r="V1487" t="s">
        <v>157</v>
      </c>
    </row>
    <row r="1488" spans="19:22" x14ac:dyDescent="0.45">
      <c r="S1488" t="s">
        <v>516</v>
      </c>
      <c r="T1488" t="s">
        <v>780</v>
      </c>
      <c r="U1488">
        <v>0.1150209789053008</v>
      </c>
      <c r="V1488" t="s">
        <v>157</v>
      </c>
    </row>
    <row r="1489" spans="19:22" x14ac:dyDescent="0.45">
      <c r="S1489" t="s">
        <v>516</v>
      </c>
      <c r="T1489" t="s">
        <v>781</v>
      </c>
      <c r="U1489">
        <v>2.011838547152825E-2</v>
      </c>
      <c r="V1489" t="s">
        <v>157</v>
      </c>
    </row>
    <row r="1490" spans="19:22" x14ac:dyDescent="0.45">
      <c r="S1490" t="s">
        <v>516</v>
      </c>
      <c r="T1490" t="s">
        <v>782</v>
      </c>
      <c r="U1490">
        <v>0.11125174065879817</v>
      </c>
      <c r="V1490" t="s">
        <v>157</v>
      </c>
    </row>
    <row r="1491" spans="19:22" x14ac:dyDescent="0.45">
      <c r="S1491" t="s">
        <v>516</v>
      </c>
      <c r="T1491" t="s">
        <v>783</v>
      </c>
      <c r="U1491">
        <v>0.11233317026856825</v>
      </c>
      <c r="V1491" t="s">
        <v>157</v>
      </c>
    </row>
    <row r="1492" spans="19:22" x14ac:dyDescent="0.45">
      <c r="S1492" t="s">
        <v>516</v>
      </c>
      <c r="T1492" t="s">
        <v>784</v>
      </c>
      <c r="U1492">
        <v>2.043970680337176E-2</v>
      </c>
      <c r="V1492" t="s">
        <v>157</v>
      </c>
    </row>
    <row r="1493" spans="19:22" x14ac:dyDescent="0.45">
      <c r="S1493" t="s">
        <v>516</v>
      </c>
      <c r="T1493" t="s">
        <v>785</v>
      </c>
      <c r="U1493">
        <v>0.12106896101023346</v>
      </c>
      <c r="V1493" t="s">
        <v>157</v>
      </c>
    </row>
    <row r="1494" spans="19:22" x14ac:dyDescent="0.45">
      <c r="S1494" t="s">
        <v>516</v>
      </c>
      <c r="T1494" t="s">
        <v>786</v>
      </c>
      <c r="U1494">
        <v>0.11670508275653528</v>
      </c>
      <c r="V1494" t="s">
        <v>157</v>
      </c>
    </row>
    <row r="1495" spans="19:22" x14ac:dyDescent="0.45">
      <c r="S1495" t="s">
        <v>516</v>
      </c>
      <c r="T1495" t="s">
        <v>787</v>
      </c>
      <c r="U1495">
        <v>2.0862099642613569E-2</v>
      </c>
      <c r="V1495" t="s">
        <v>157</v>
      </c>
    </row>
    <row r="1496" spans="19:22" x14ac:dyDescent="0.45">
      <c r="S1496" t="s">
        <v>516</v>
      </c>
      <c r="T1496" t="s">
        <v>788</v>
      </c>
      <c r="U1496">
        <v>0.11596272420232916</v>
      </c>
      <c r="V1496" t="s">
        <v>157</v>
      </c>
    </row>
    <row r="1497" spans="19:22" x14ac:dyDescent="0.45">
      <c r="S1497" t="s">
        <v>516</v>
      </c>
      <c r="T1497" t="s">
        <v>789</v>
      </c>
      <c r="U1497">
        <v>0.11228195875495399</v>
      </c>
      <c r="V1497" t="s">
        <v>157</v>
      </c>
    </row>
    <row r="1498" spans="19:22" x14ac:dyDescent="0.45">
      <c r="S1498" t="s">
        <v>516</v>
      </c>
      <c r="T1498" t="s">
        <v>790</v>
      </c>
      <c r="U1498">
        <v>2.0211411350775425E-2</v>
      </c>
      <c r="V1498" t="s">
        <v>157</v>
      </c>
    </row>
    <row r="1499" spans="19:22" x14ac:dyDescent="0.45">
      <c r="S1499" t="s">
        <v>517</v>
      </c>
      <c r="T1499" t="s">
        <v>779</v>
      </c>
      <c r="U1499">
        <v>0.11365331400390725</v>
      </c>
      <c r="V1499" t="s">
        <v>157</v>
      </c>
    </row>
    <row r="1500" spans="19:22" x14ac:dyDescent="0.45">
      <c r="S1500" t="s">
        <v>517</v>
      </c>
      <c r="T1500" t="s">
        <v>780</v>
      </c>
      <c r="U1500">
        <v>0.11436740306699823</v>
      </c>
      <c r="V1500" t="s">
        <v>157</v>
      </c>
    </row>
    <row r="1501" spans="19:22" x14ac:dyDescent="0.45">
      <c r="S1501" t="s">
        <v>517</v>
      </c>
      <c r="T1501" t="s">
        <v>781</v>
      </c>
      <c r="U1501">
        <v>1.9837762152565712E-2</v>
      </c>
      <c r="V1501" t="s">
        <v>157</v>
      </c>
    </row>
    <row r="1502" spans="19:22" x14ac:dyDescent="0.45">
      <c r="S1502" t="s">
        <v>517</v>
      </c>
      <c r="T1502" t="s">
        <v>782</v>
      </c>
      <c r="U1502">
        <v>0.11367141359051122</v>
      </c>
      <c r="V1502" t="s">
        <v>157</v>
      </c>
    </row>
    <row r="1503" spans="19:22" x14ac:dyDescent="0.45">
      <c r="S1503" t="s">
        <v>517</v>
      </c>
      <c r="T1503" t="s">
        <v>783</v>
      </c>
      <c r="U1503">
        <v>0.11570527553682682</v>
      </c>
      <c r="V1503" t="s">
        <v>157</v>
      </c>
    </row>
    <row r="1504" spans="19:22" x14ac:dyDescent="0.45">
      <c r="S1504" t="s">
        <v>517</v>
      </c>
      <c r="T1504" t="s">
        <v>784</v>
      </c>
      <c r="U1504">
        <v>2.0687471161533334E-2</v>
      </c>
      <c r="V1504" t="s">
        <v>157</v>
      </c>
    </row>
    <row r="1505" spans="19:22" x14ac:dyDescent="0.45">
      <c r="S1505" t="s">
        <v>517</v>
      </c>
      <c r="T1505" t="s">
        <v>785</v>
      </c>
      <c r="U1505">
        <v>0.12226257132186832</v>
      </c>
      <c r="V1505" t="s">
        <v>157</v>
      </c>
    </row>
    <row r="1506" spans="19:22" x14ac:dyDescent="0.45">
      <c r="S1506" t="s">
        <v>517</v>
      </c>
      <c r="T1506" t="s">
        <v>786</v>
      </c>
      <c r="U1506">
        <v>0.11884339979019</v>
      </c>
      <c r="V1506" t="s">
        <v>157</v>
      </c>
    </row>
    <row r="1507" spans="19:22" x14ac:dyDescent="0.45">
      <c r="S1507" t="s">
        <v>517</v>
      </c>
      <c r="T1507" t="s">
        <v>787</v>
      </c>
      <c r="U1507">
        <v>2.1159701647131841E-2</v>
      </c>
      <c r="V1507" t="s">
        <v>157</v>
      </c>
    </row>
    <row r="1508" spans="19:22" x14ac:dyDescent="0.45">
      <c r="S1508" t="s">
        <v>517</v>
      </c>
      <c r="T1508" t="s">
        <v>788</v>
      </c>
      <c r="U1508">
        <v>0.11210864774448197</v>
      </c>
      <c r="V1508" t="s">
        <v>157</v>
      </c>
    </row>
    <row r="1509" spans="19:22" x14ac:dyDescent="0.45">
      <c r="S1509" t="s">
        <v>517</v>
      </c>
      <c r="T1509" t="s">
        <v>789</v>
      </c>
      <c r="U1509">
        <v>0.10851941443112163</v>
      </c>
      <c r="V1509" t="s">
        <v>157</v>
      </c>
    </row>
    <row r="1510" spans="19:22" x14ac:dyDescent="0.45">
      <c r="S1510" t="s">
        <v>517</v>
      </c>
      <c r="T1510" t="s">
        <v>790</v>
      </c>
      <c r="U1510">
        <v>1.9183625552863758E-2</v>
      </c>
      <c r="V1510" t="s">
        <v>157</v>
      </c>
    </row>
    <row r="1511" spans="19:22" x14ac:dyDescent="0.45">
      <c r="S1511" t="s">
        <v>518</v>
      </c>
      <c r="T1511" t="s">
        <v>779</v>
      </c>
      <c r="U1511">
        <v>0.1148153083702121</v>
      </c>
      <c r="V1511" t="s">
        <v>157</v>
      </c>
    </row>
    <row r="1512" spans="19:22" x14ac:dyDescent="0.45">
      <c r="S1512" t="s">
        <v>518</v>
      </c>
      <c r="T1512" t="s">
        <v>780</v>
      </c>
      <c r="U1512">
        <v>0.11386640820908631</v>
      </c>
      <c r="V1512" t="s">
        <v>157</v>
      </c>
    </row>
    <row r="1513" spans="19:22" x14ac:dyDescent="0.45">
      <c r="S1513" t="s">
        <v>518</v>
      </c>
      <c r="T1513" t="s">
        <v>781</v>
      </c>
      <c r="U1513">
        <v>1.991290197141192E-2</v>
      </c>
      <c r="V1513" t="s">
        <v>157</v>
      </c>
    </row>
    <row r="1514" spans="19:22" x14ac:dyDescent="0.45">
      <c r="S1514" t="s">
        <v>518</v>
      </c>
      <c r="T1514" t="s">
        <v>782</v>
      </c>
      <c r="U1514">
        <v>0.11537919152546201</v>
      </c>
      <c r="V1514" t="s">
        <v>157</v>
      </c>
    </row>
    <row r="1515" spans="19:22" x14ac:dyDescent="0.45">
      <c r="S1515" t="s">
        <v>518</v>
      </c>
      <c r="T1515" t="s">
        <v>783</v>
      </c>
      <c r="U1515">
        <v>0.11869715171667763</v>
      </c>
      <c r="V1515" t="s">
        <v>157</v>
      </c>
    </row>
    <row r="1516" spans="19:22" x14ac:dyDescent="0.45">
      <c r="S1516" t="s">
        <v>518</v>
      </c>
      <c r="T1516" t="s">
        <v>784</v>
      </c>
      <c r="U1516">
        <v>2.1027930555418357E-2</v>
      </c>
      <c r="V1516" t="s">
        <v>157</v>
      </c>
    </row>
    <row r="1517" spans="19:22" x14ac:dyDescent="0.45">
      <c r="S1517" t="s">
        <v>518</v>
      </c>
      <c r="T1517" t="s">
        <v>785</v>
      </c>
      <c r="U1517">
        <v>0.12341236510791992</v>
      </c>
      <c r="V1517" t="s">
        <v>157</v>
      </c>
    </row>
    <row r="1518" spans="19:22" x14ac:dyDescent="0.45">
      <c r="S1518" t="s">
        <v>518</v>
      </c>
      <c r="T1518" t="s">
        <v>786</v>
      </c>
      <c r="U1518">
        <v>0.1214277828617379</v>
      </c>
      <c r="V1518" t="s">
        <v>157</v>
      </c>
    </row>
    <row r="1519" spans="19:22" x14ac:dyDescent="0.45">
      <c r="S1519" t="s">
        <v>518</v>
      </c>
      <c r="T1519" t="s">
        <v>787</v>
      </c>
      <c r="U1519">
        <v>2.1504887728493394E-2</v>
      </c>
      <c r="V1519" t="s">
        <v>157</v>
      </c>
    </row>
    <row r="1520" spans="19:22" x14ac:dyDescent="0.45">
      <c r="S1520" t="s">
        <v>518</v>
      </c>
      <c r="T1520" t="s">
        <v>788</v>
      </c>
      <c r="U1520">
        <v>0.10712145113122568</v>
      </c>
      <c r="V1520" t="s">
        <v>157</v>
      </c>
    </row>
    <row r="1521" spans="19:22" x14ac:dyDescent="0.45">
      <c r="S1521" t="s">
        <v>518</v>
      </c>
      <c r="T1521" t="s">
        <v>789</v>
      </c>
      <c r="U1521">
        <v>0.10441396832562989</v>
      </c>
      <c r="V1521" t="s">
        <v>157</v>
      </c>
    </row>
    <row r="1522" spans="19:22" x14ac:dyDescent="0.45">
      <c r="S1522" t="s">
        <v>518</v>
      </c>
      <c r="T1522" t="s">
        <v>790</v>
      </c>
      <c r="U1522">
        <v>1.8420652496724851E-2</v>
      </c>
      <c r="V1522" t="s">
        <v>157</v>
      </c>
    </row>
    <row r="1523" spans="19:22" x14ac:dyDescent="0.45">
      <c r="S1523" t="s">
        <v>519</v>
      </c>
      <c r="T1523" t="s">
        <v>779</v>
      </c>
      <c r="U1523">
        <v>0.11662819886459509</v>
      </c>
      <c r="V1523" t="s">
        <v>157</v>
      </c>
    </row>
    <row r="1524" spans="19:22" x14ac:dyDescent="0.45">
      <c r="S1524" t="s">
        <v>519</v>
      </c>
      <c r="T1524" t="s">
        <v>780</v>
      </c>
      <c r="U1524">
        <v>0.11553794888327695</v>
      </c>
      <c r="V1524" t="s">
        <v>157</v>
      </c>
    </row>
    <row r="1525" spans="19:22" x14ac:dyDescent="0.45">
      <c r="S1525" t="s">
        <v>519</v>
      </c>
      <c r="T1525" t="s">
        <v>781</v>
      </c>
      <c r="U1525">
        <v>2.0516863684623729E-2</v>
      </c>
      <c r="V1525" t="s">
        <v>157</v>
      </c>
    </row>
    <row r="1526" spans="19:22" x14ac:dyDescent="0.45">
      <c r="S1526" t="s">
        <v>519</v>
      </c>
      <c r="T1526" t="s">
        <v>782</v>
      </c>
      <c r="U1526">
        <v>0.1151565099192018</v>
      </c>
      <c r="V1526" t="s">
        <v>157</v>
      </c>
    </row>
    <row r="1527" spans="19:22" x14ac:dyDescent="0.45">
      <c r="S1527" t="s">
        <v>519</v>
      </c>
      <c r="T1527" t="s">
        <v>783</v>
      </c>
      <c r="U1527">
        <v>0.11891873236734536</v>
      </c>
      <c r="V1527" t="s">
        <v>157</v>
      </c>
    </row>
    <row r="1528" spans="19:22" x14ac:dyDescent="0.45">
      <c r="S1528" t="s">
        <v>519</v>
      </c>
      <c r="T1528" t="s">
        <v>784</v>
      </c>
      <c r="U1528">
        <v>2.1338466672367332E-2</v>
      </c>
      <c r="V1528" t="s">
        <v>157</v>
      </c>
    </row>
    <row r="1529" spans="19:22" x14ac:dyDescent="0.45">
      <c r="S1529" t="s">
        <v>519</v>
      </c>
      <c r="T1529" t="s">
        <v>785</v>
      </c>
      <c r="U1529">
        <v>0.12371750445493115</v>
      </c>
      <c r="V1529" t="s">
        <v>157</v>
      </c>
    </row>
    <row r="1530" spans="19:22" x14ac:dyDescent="0.45">
      <c r="S1530" t="s">
        <v>519</v>
      </c>
      <c r="T1530" t="s">
        <v>786</v>
      </c>
      <c r="U1530">
        <v>0.12401930165891893</v>
      </c>
      <c r="V1530" t="s">
        <v>157</v>
      </c>
    </row>
    <row r="1531" spans="19:22" x14ac:dyDescent="0.45">
      <c r="S1531" t="s">
        <v>519</v>
      </c>
      <c r="T1531" t="s">
        <v>787</v>
      </c>
      <c r="U1531">
        <v>2.1960497220647145E-2</v>
      </c>
      <c r="V1531" t="s">
        <v>157</v>
      </c>
    </row>
    <row r="1532" spans="19:22" x14ac:dyDescent="0.45">
      <c r="S1532" t="s">
        <v>519</v>
      </c>
      <c r="T1532" t="s">
        <v>788</v>
      </c>
      <c r="U1532">
        <v>0.10198525146485714</v>
      </c>
      <c r="V1532" t="s">
        <v>157</v>
      </c>
    </row>
    <row r="1533" spans="19:22" x14ac:dyDescent="0.45">
      <c r="S1533" t="s">
        <v>519</v>
      </c>
      <c r="T1533" t="s">
        <v>789</v>
      </c>
      <c r="U1533">
        <v>0.10205346614685416</v>
      </c>
      <c r="V1533" t="s">
        <v>157</v>
      </c>
    </row>
    <row r="1534" spans="19:22" x14ac:dyDescent="0.45">
      <c r="S1534" t="s">
        <v>519</v>
      </c>
      <c r="T1534" t="s">
        <v>790</v>
      </c>
      <c r="U1534">
        <v>1.8167258662381291E-2</v>
      </c>
      <c r="V1534" t="s">
        <v>157</v>
      </c>
    </row>
    <row r="1535" spans="19:22" x14ac:dyDescent="0.45">
      <c r="S1535" t="s">
        <v>520</v>
      </c>
      <c r="T1535" t="s">
        <v>779</v>
      </c>
      <c r="U1535">
        <v>0.11870979515712105</v>
      </c>
      <c r="V1535" t="s">
        <v>157</v>
      </c>
    </row>
    <row r="1536" spans="19:22" x14ac:dyDescent="0.45">
      <c r="S1536" t="s">
        <v>520</v>
      </c>
      <c r="T1536" t="s">
        <v>780</v>
      </c>
      <c r="U1536">
        <v>0.12096708422091725</v>
      </c>
      <c r="V1536" t="s">
        <v>157</v>
      </c>
    </row>
    <row r="1537" spans="19:22" x14ac:dyDescent="0.45">
      <c r="S1537" t="s">
        <v>520</v>
      </c>
      <c r="T1537" t="s">
        <v>781</v>
      </c>
      <c r="U1537">
        <v>2.1774359997286146E-2</v>
      </c>
      <c r="V1537" t="s">
        <v>157</v>
      </c>
    </row>
    <row r="1538" spans="19:22" x14ac:dyDescent="0.45">
      <c r="S1538" t="s">
        <v>520</v>
      </c>
      <c r="T1538" t="s">
        <v>782</v>
      </c>
      <c r="U1538">
        <v>0.11385816444803382</v>
      </c>
      <c r="V1538" t="s">
        <v>157</v>
      </c>
    </row>
    <row r="1539" spans="19:22" x14ac:dyDescent="0.45">
      <c r="S1539" t="s">
        <v>520</v>
      </c>
      <c r="T1539" t="s">
        <v>783</v>
      </c>
      <c r="U1539">
        <v>0.11946522914822991</v>
      </c>
      <c r="V1539" t="s">
        <v>157</v>
      </c>
    </row>
    <row r="1540" spans="19:22" x14ac:dyDescent="0.45">
      <c r="S1540" t="s">
        <v>520</v>
      </c>
      <c r="T1540" t="s">
        <v>784</v>
      </c>
      <c r="U1540">
        <v>2.2067216367140034E-2</v>
      </c>
      <c r="V1540" t="s">
        <v>157</v>
      </c>
    </row>
    <row r="1541" spans="19:22" x14ac:dyDescent="0.45">
      <c r="S1541" t="s">
        <v>520</v>
      </c>
      <c r="T1541" t="s">
        <v>785</v>
      </c>
      <c r="U1541">
        <v>0.12250094783263142</v>
      </c>
      <c r="V1541" t="s">
        <v>157</v>
      </c>
    </row>
    <row r="1542" spans="19:22" x14ac:dyDescent="0.45">
      <c r="S1542" t="s">
        <v>520</v>
      </c>
      <c r="T1542" t="s">
        <v>786</v>
      </c>
      <c r="U1542">
        <v>0.12308457445836812</v>
      </c>
      <c r="V1542" t="s">
        <v>157</v>
      </c>
    </row>
    <row r="1543" spans="19:22" x14ac:dyDescent="0.45">
      <c r="S1543" t="s">
        <v>520</v>
      </c>
      <c r="T1543" t="s">
        <v>787</v>
      </c>
      <c r="U1543">
        <v>2.2489031960927372E-2</v>
      </c>
      <c r="V1543" t="s">
        <v>157</v>
      </c>
    </row>
    <row r="1544" spans="19:22" x14ac:dyDescent="0.45">
      <c r="S1544" t="s">
        <v>520</v>
      </c>
      <c r="T1544" t="s">
        <v>788</v>
      </c>
      <c r="U1544">
        <v>9.6020455126153217E-2</v>
      </c>
      <c r="V1544" t="s">
        <v>157</v>
      </c>
    </row>
    <row r="1545" spans="19:22" x14ac:dyDescent="0.45">
      <c r="S1545" t="s">
        <v>520</v>
      </c>
      <c r="T1545" t="s">
        <v>789</v>
      </c>
      <c r="U1545">
        <v>0.10160204215393837</v>
      </c>
      <c r="V1545" t="s">
        <v>157</v>
      </c>
    </row>
    <row r="1546" spans="19:22" x14ac:dyDescent="0.45">
      <c r="S1546" t="s">
        <v>520</v>
      </c>
      <c r="T1546" t="s">
        <v>790</v>
      </c>
      <c r="U1546">
        <v>1.746109912925338E-2</v>
      </c>
      <c r="V1546" t="s">
        <v>157</v>
      </c>
    </row>
    <row r="1547" spans="19:22" x14ac:dyDescent="0.45">
      <c r="S1547" t="s">
        <v>521</v>
      </c>
      <c r="T1547" t="s">
        <v>779</v>
      </c>
      <c r="U1547">
        <v>0.12161154720546705</v>
      </c>
      <c r="V1547" t="s">
        <v>157</v>
      </c>
    </row>
    <row r="1548" spans="19:22" x14ac:dyDescent="0.45">
      <c r="S1548" t="s">
        <v>521</v>
      </c>
      <c r="T1548" t="s">
        <v>780</v>
      </c>
      <c r="U1548">
        <v>0.1278514629639225</v>
      </c>
      <c r="V1548" t="s">
        <v>157</v>
      </c>
    </row>
    <row r="1549" spans="19:22" x14ac:dyDescent="0.45">
      <c r="S1549" t="s">
        <v>521</v>
      </c>
      <c r="T1549" t="s">
        <v>781</v>
      </c>
      <c r="U1549">
        <v>2.4717230283299162E-2</v>
      </c>
      <c r="V1549" t="s">
        <v>157</v>
      </c>
    </row>
    <row r="1550" spans="19:22" x14ac:dyDescent="0.45">
      <c r="S1550" t="s">
        <v>521</v>
      </c>
      <c r="T1550" t="s">
        <v>782</v>
      </c>
      <c r="U1550">
        <v>0.1095827715082594</v>
      </c>
      <c r="V1550" t="s">
        <v>157</v>
      </c>
    </row>
    <row r="1551" spans="19:22" x14ac:dyDescent="0.45">
      <c r="S1551" t="s">
        <v>521</v>
      </c>
      <c r="T1551" t="s">
        <v>783</v>
      </c>
      <c r="U1551">
        <v>0.11572752608335718</v>
      </c>
      <c r="V1551" t="s">
        <v>157</v>
      </c>
    </row>
    <row r="1552" spans="19:22" x14ac:dyDescent="0.45">
      <c r="S1552" t="s">
        <v>521</v>
      </c>
      <c r="T1552" t="s">
        <v>784</v>
      </c>
      <c r="U1552">
        <v>2.2344734791425108E-2</v>
      </c>
      <c r="V1552" t="s">
        <v>157</v>
      </c>
    </row>
    <row r="1553" spans="19:22" x14ac:dyDescent="0.45">
      <c r="S1553" t="s">
        <v>521</v>
      </c>
      <c r="T1553" t="s">
        <v>785</v>
      </c>
      <c r="U1553">
        <v>0.11876587675249813</v>
      </c>
      <c r="V1553" t="s">
        <v>157</v>
      </c>
    </row>
    <row r="1554" spans="19:22" x14ac:dyDescent="0.45">
      <c r="S1554" t="s">
        <v>521</v>
      </c>
      <c r="T1554" t="s">
        <v>786</v>
      </c>
      <c r="U1554">
        <v>0.1191969181692956</v>
      </c>
      <c r="V1554" t="s">
        <v>157</v>
      </c>
    </row>
    <row r="1555" spans="19:22" x14ac:dyDescent="0.45">
      <c r="S1555" t="s">
        <v>521</v>
      </c>
      <c r="T1555" t="s">
        <v>787</v>
      </c>
      <c r="U1555">
        <v>2.2072958041961445E-2</v>
      </c>
      <c r="V1555" t="s">
        <v>157</v>
      </c>
    </row>
    <row r="1556" spans="19:22" x14ac:dyDescent="0.45">
      <c r="S1556" t="s">
        <v>521</v>
      </c>
      <c r="T1556" t="s">
        <v>788</v>
      </c>
      <c r="U1556">
        <v>9.8249857475010055E-2</v>
      </c>
      <c r="V1556" t="s">
        <v>157</v>
      </c>
    </row>
    <row r="1557" spans="19:22" x14ac:dyDescent="0.45">
      <c r="S1557" t="s">
        <v>521</v>
      </c>
      <c r="T1557" t="s">
        <v>789</v>
      </c>
      <c r="U1557">
        <v>0.10094294548339909</v>
      </c>
      <c r="V1557" t="s">
        <v>157</v>
      </c>
    </row>
    <row r="1558" spans="19:22" x14ac:dyDescent="0.45">
      <c r="S1558" t="s">
        <v>521</v>
      </c>
      <c r="T1558" t="s">
        <v>790</v>
      </c>
      <c r="U1558">
        <v>1.8936171242105247E-2</v>
      </c>
      <c r="V1558" t="s">
        <v>157</v>
      </c>
    </row>
    <row r="1559" spans="19:22" x14ac:dyDescent="0.45">
      <c r="S1559" t="s">
        <v>522</v>
      </c>
      <c r="T1559" t="s">
        <v>779</v>
      </c>
      <c r="U1559">
        <v>0.12863809921108196</v>
      </c>
      <c r="V1559" t="s">
        <v>157</v>
      </c>
    </row>
    <row r="1560" spans="19:22" x14ac:dyDescent="0.45">
      <c r="S1560" t="s">
        <v>522</v>
      </c>
      <c r="T1560" t="s">
        <v>780</v>
      </c>
      <c r="U1560">
        <v>0.11772833269586917</v>
      </c>
      <c r="V1560" t="s">
        <v>157</v>
      </c>
    </row>
    <row r="1561" spans="19:22" x14ac:dyDescent="0.45">
      <c r="S1561" t="s">
        <v>522</v>
      </c>
      <c r="T1561" t="s">
        <v>781</v>
      </c>
      <c r="U1561">
        <v>2.7134485711154691E-2</v>
      </c>
      <c r="V1561" t="s">
        <v>157</v>
      </c>
    </row>
    <row r="1562" spans="19:22" x14ac:dyDescent="0.45">
      <c r="S1562" t="s">
        <v>522</v>
      </c>
      <c r="T1562" t="s">
        <v>782</v>
      </c>
      <c r="U1562">
        <v>0.10482138477343983</v>
      </c>
      <c r="V1562" t="s">
        <v>157</v>
      </c>
    </row>
    <row r="1563" spans="19:22" x14ac:dyDescent="0.45">
      <c r="S1563" t="s">
        <v>522</v>
      </c>
      <c r="T1563" t="s">
        <v>783</v>
      </c>
      <c r="U1563">
        <v>0.10520063870562989</v>
      </c>
      <c r="V1563" t="s">
        <v>157</v>
      </c>
    </row>
    <row r="1564" spans="19:22" x14ac:dyDescent="0.45">
      <c r="S1564" t="s">
        <v>522</v>
      </c>
      <c r="T1564" t="s">
        <v>784</v>
      </c>
      <c r="U1564">
        <v>2.0472462817293906E-2</v>
      </c>
      <c r="V1564" t="s">
        <v>157</v>
      </c>
    </row>
    <row r="1565" spans="19:22" x14ac:dyDescent="0.45">
      <c r="S1565" t="s">
        <v>522</v>
      </c>
      <c r="T1565" t="s">
        <v>785</v>
      </c>
      <c r="U1565">
        <v>0.12380657712479531</v>
      </c>
      <c r="V1565" t="s">
        <v>157</v>
      </c>
    </row>
    <row r="1566" spans="19:22" x14ac:dyDescent="0.45">
      <c r="S1566" t="s">
        <v>522</v>
      </c>
      <c r="T1566" t="s">
        <v>786</v>
      </c>
      <c r="U1566">
        <v>0.12199185277812447</v>
      </c>
      <c r="V1566" t="s">
        <v>157</v>
      </c>
    </row>
    <row r="1567" spans="19:22" x14ac:dyDescent="0.45">
      <c r="S1567" t="s">
        <v>522</v>
      </c>
      <c r="T1567" t="s">
        <v>787</v>
      </c>
      <c r="U1567">
        <v>2.3581501860305911E-2</v>
      </c>
      <c r="V1567" t="s">
        <v>157</v>
      </c>
    </row>
    <row r="1568" spans="19:22" x14ac:dyDescent="0.45">
      <c r="S1568" t="s">
        <v>522</v>
      </c>
      <c r="T1568" t="s">
        <v>788</v>
      </c>
      <c r="U1568">
        <v>0.10934990231520721</v>
      </c>
      <c r="V1568" t="s">
        <v>157</v>
      </c>
    </row>
    <row r="1569" spans="19:22" x14ac:dyDescent="0.45">
      <c r="S1569" t="s">
        <v>522</v>
      </c>
      <c r="T1569" t="s">
        <v>789</v>
      </c>
      <c r="U1569">
        <v>9.7414993298837085E-2</v>
      </c>
      <c r="V1569" t="s">
        <v>157</v>
      </c>
    </row>
    <row r="1570" spans="19:22" x14ac:dyDescent="0.45">
      <c r="S1570" t="s">
        <v>522</v>
      </c>
      <c r="T1570" t="s">
        <v>790</v>
      </c>
      <c r="U1570">
        <v>1.9859768708260631E-2</v>
      </c>
      <c r="V1570" t="s">
        <v>157</v>
      </c>
    </row>
    <row r="1571" spans="19:22" x14ac:dyDescent="0.45">
      <c r="S1571" t="s">
        <v>523</v>
      </c>
      <c r="T1571" t="s">
        <v>779</v>
      </c>
      <c r="U1571">
        <v>0.14297560353361641</v>
      </c>
      <c r="V1571" t="s">
        <v>157</v>
      </c>
    </row>
    <row r="1572" spans="19:22" x14ac:dyDescent="0.45">
      <c r="S1572" t="s">
        <v>523</v>
      </c>
      <c r="T1572" t="s">
        <v>780</v>
      </c>
      <c r="U1572">
        <v>0.11022290522618493</v>
      </c>
      <c r="V1572" t="s">
        <v>157</v>
      </c>
    </row>
    <row r="1573" spans="19:22" x14ac:dyDescent="0.45">
      <c r="S1573" t="s">
        <v>523</v>
      </c>
      <c r="T1573" t="s">
        <v>781</v>
      </c>
      <c r="U1573">
        <v>2.9740320510355526E-2</v>
      </c>
      <c r="V1573" t="s">
        <v>157</v>
      </c>
    </row>
    <row r="1574" spans="19:22" x14ac:dyDescent="0.45">
      <c r="S1574" t="s">
        <v>523</v>
      </c>
      <c r="T1574" t="s">
        <v>782</v>
      </c>
      <c r="U1574">
        <v>0.10689077251925301</v>
      </c>
      <c r="V1574" t="s">
        <v>157</v>
      </c>
    </row>
    <row r="1575" spans="19:22" x14ac:dyDescent="0.45">
      <c r="S1575" t="s">
        <v>523</v>
      </c>
      <c r="T1575" t="s">
        <v>783</v>
      </c>
      <c r="U1575">
        <v>9.5129027100668687E-2</v>
      </c>
      <c r="V1575" t="s">
        <v>157</v>
      </c>
    </row>
    <row r="1576" spans="19:22" x14ac:dyDescent="0.45">
      <c r="S1576" t="s">
        <v>523</v>
      </c>
      <c r="T1576" t="s">
        <v>784</v>
      </c>
      <c r="U1576">
        <v>1.9339399024323311E-2</v>
      </c>
      <c r="V1576" t="s">
        <v>157</v>
      </c>
    </row>
    <row r="1577" spans="19:22" x14ac:dyDescent="0.45">
      <c r="S1577" t="s">
        <v>523</v>
      </c>
      <c r="T1577" t="s">
        <v>785</v>
      </c>
      <c r="U1577">
        <v>0.12418313522768643</v>
      </c>
      <c r="V1577" t="s">
        <v>157</v>
      </c>
    </row>
    <row r="1578" spans="19:22" x14ac:dyDescent="0.45">
      <c r="S1578" t="s">
        <v>523</v>
      </c>
      <c r="T1578" t="s">
        <v>786</v>
      </c>
      <c r="U1578">
        <v>0.12503965408559534</v>
      </c>
      <c r="V1578" t="s">
        <v>157</v>
      </c>
    </row>
    <row r="1579" spans="19:22" x14ac:dyDescent="0.45">
      <c r="S1579" t="s">
        <v>523</v>
      </c>
      <c r="T1579" t="s">
        <v>787</v>
      </c>
      <c r="U1579">
        <v>2.2163696487237278E-2</v>
      </c>
      <c r="V1579" t="s">
        <v>157</v>
      </c>
    </row>
    <row r="1580" spans="19:22" x14ac:dyDescent="0.45">
      <c r="S1580" t="s">
        <v>523</v>
      </c>
      <c r="T1580" t="s">
        <v>788</v>
      </c>
      <c r="U1580">
        <v>0.11820524132323758</v>
      </c>
      <c r="V1580" t="s">
        <v>157</v>
      </c>
    </row>
    <row r="1581" spans="19:22" x14ac:dyDescent="0.45">
      <c r="S1581" t="s">
        <v>523</v>
      </c>
      <c r="T1581" t="s">
        <v>789</v>
      </c>
      <c r="U1581">
        <v>8.602161579287082E-2</v>
      </c>
      <c r="V1581" t="s">
        <v>157</v>
      </c>
    </row>
    <row r="1582" spans="19:22" x14ac:dyDescent="0.45">
      <c r="S1582" t="s">
        <v>523</v>
      </c>
      <c r="T1582" t="s">
        <v>790</v>
      </c>
      <c r="U1582">
        <v>2.0088629168970699E-2</v>
      </c>
      <c r="V1582" t="s">
        <v>157</v>
      </c>
    </row>
    <row r="1583" spans="19:22" x14ac:dyDescent="0.45">
      <c r="S1583" t="s">
        <v>524</v>
      </c>
      <c r="T1583" t="s">
        <v>779</v>
      </c>
      <c r="U1583">
        <v>0.15051981156135888</v>
      </c>
      <c r="V1583" t="s">
        <v>157</v>
      </c>
    </row>
    <row r="1584" spans="19:22" x14ac:dyDescent="0.45">
      <c r="S1584" t="s">
        <v>524</v>
      </c>
      <c r="T1584" t="s">
        <v>780</v>
      </c>
      <c r="U1584">
        <v>0.1312350163408775</v>
      </c>
      <c r="V1584" t="s">
        <v>157</v>
      </c>
    </row>
    <row r="1585" spans="19:22" x14ac:dyDescent="0.45">
      <c r="S1585" t="s">
        <v>524</v>
      </c>
      <c r="T1585" t="s">
        <v>781</v>
      </c>
      <c r="U1585">
        <v>2.7304947769523108E-2</v>
      </c>
      <c r="V1585" t="s">
        <v>157</v>
      </c>
    </row>
    <row r="1586" spans="19:22" x14ac:dyDescent="0.45">
      <c r="S1586" t="s">
        <v>524</v>
      </c>
      <c r="T1586" t="s">
        <v>782</v>
      </c>
      <c r="U1586">
        <v>8.5245885429762913E-2</v>
      </c>
      <c r="V1586" t="s">
        <v>157</v>
      </c>
    </row>
    <row r="1587" spans="19:22" x14ac:dyDescent="0.45">
      <c r="S1587" t="s">
        <v>524</v>
      </c>
      <c r="T1587" t="s">
        <v>783</v>
      </c>
      <c r="U1587">
        <v>8.3339747287799359E-2</v>
      </c>
      <c r="V1587" t="s">
        <v>157</v>
      </c>
    </row>
    <row r="1588" spans="19:22" x14ac:dyDescent="0.45">
      <c r="S1588" t="s">
        <v>524</v>
      </c>
      <c r="T1588" t="s">
        <v>784</v>
      </c>
      <c r="U1588">
        <v>1.5043184961737425E-2</v>
      </c>
      <c r="V1588" t="s">
        <v>157</v>
      </c>
    </row>
    <row r="1589" spans="19:22" x14ac:dyDescent="0.45">
      <c r="S1589" t="s">
        <v>524</v>
      </c>
      <c r="T1589" t="s">
        <v>785</v>
      </c>
      <c r="U1589">
        <v>0.12492672856770243</v>
      </c>
      <c r="V1589" t="s">
        <v>157</v>
      </c>
    </row>
    <row r="1590" spans="19:22" x14ac:dyDescent="0.45">
      <c r="S1590" t="s">
        <v>524</v>
      </c>
      <c r="T1590" t="s">
        <v>786</v>
      </c>
      <c r="U1590">
        <v>0.1314464461207431</v>
      </c>
      <c r="V1590" t="s">
        <v>157</v>
      </c>
    </row>
    <row r="1591" spans="19:22" x14ac:dyDescent="0.45">
      <c r="S1591" t="s">
        <v>524</v>
      </c>
      <c r="T1591" t="s">
        <v>787</v>
      </c>
      <c r="U1591">
        <v>2.2208757244761377E-2</v>
      </c>
      <c r="V1591" t="s">
        <v>157</v>
      </c>
    </row>
    <row r="1592" spans="19:22" x14ac:dyDescent="0.45">
      <c r="S1592" t="s">
        <v>524</v>
      </c>
      <c r="T1592" t="s">
        <v>788</v>
      </c>
      <c r="U1592">
        <v>0.12037554688786196</v>
      </c>
      <c r="V1592" t="s">
        <v>157</v>
      </c>
    </row>
    <row r="1593" spans="19:22" x14ac:dyDescent="0.45">
      <c r="S1593" t="s">
        <v>524</v>
      </c>
      <c r="T1593" t="s">
        <v>789</v>
      </c>
      <c r="U1593">
        <v>8.7283030544455756E-2</v>
      </c>
      <c r="V1593" t="s">
        <v>157</v>
      </c>
    </row>
    <row r="1594" spans="19:22" x14ac:dyDescent="0.45">
      <c r="S1594" t="s">
        <v>524</v>
      </c>
      <c r="T1594" t="s">
        <v>790</v>
      </c>
      <c r="U1594">
        <v>2.1070897283416119E-2</v>
      </c>
      <c r="V1594" t="s">
        <v>157</v>
      </c>
    </row>
    <row r="1595" spans="19:22" x14ac:dyDescent="0.45">
      <c r="S1595" t="s">
        <v>525</v>
      </c>
      <c r="T1595" t="s">
        <v>779</v>
      </c>
      <c r="U1595">
        <v>0.1466982489785382</v>
      </c>
      <c r="V1595" t="s">
        <v>157</v>
      </c>
    </row>
    <row r="1596" spans="19:22" x14ac:dyDescent="0.45">
      <c r="S1596" t="s">
        <v>525</v>
      </c>
      <c r="T1596" t="s">
        <v>780</v>
      </c>
      <c r="U1596">
        <v>0.1282377245737869</v>
      </c>
      <c r="V1596" t="s">
        <v>157</v>
      </c>
    </row>
    <row r="1597" spans="19:22" x14ac:dyDescent="0.45">
      <c r="S1597" t="s">
        <v>525</v>
      </c>
      <c r="T1597" t="s">
        <v>781</v>
      </c>
      <c r="U1597">
        <v>2.846764751697508E-2</v>
      </c>
      <c r="V1597" t="s">
        <v>157</v>
      </c>
    </row>
    <row r="1598" spans="19:22" x14ac:dyDescent="0.45">
      <c r="S1598" t="s">
        <v>525</v>
      </c>
      <c r="T1598" t="s">
        <v>782</v>
      </c>
      <c r="U1598">
        <v>9.0661343213787229E-2</v>
      </c>
      <c r="V1598" t="s">
        <v>157</v>
      </c>
    </row>
    <row r="1599" spans="19:22" x14ac:dyDescent="0.45">
      <c r="S1599" t="s">
        <v>525</v>
      </c>
      <c r="T1599" t="s">
        <v>783</v>
      </c>
      <c r="U1599">
        <v>8.369955031465795E-2</v>
      </c>
      <c r="V1599" t="s">
        <v>157</v>
      </c>
    </row>
    <row r="1600" spans="19:22" x14ac:dyDescent="0.45">
      <c r="S1600" t="s">
        <v>525</v>
      </c>
      <c r="T1600" t="s">
        <v>784</v>
      </c>
      <c r="U1600">
        <v>1.6036161399752315E-2</v>
      </c>
      <c r="V1600" t="s">
        <v>157</v>
      </c>
    </row>
    <row r="1601" spans="19:22" x14ac:dyDescent="0.45">
      <c r="S1601" t="s">
        <v>525</v>
      </c>
      <c r="T1601" t="s">
        <v>785</v>
      </c>
      <c r="U1601">
        <v>0.11326303920469308</v>
      </c>
      <c r="V1601" t="s">
        <v>157</v>
      </c>
    </row>
    <row r="1602" spans="19:22" x14ac:dyDescent="0.45">
      <c r="S1602" t="s">
        <v>525</v>
      </c>
      <c r="T1602" t="s">
        <v>786</v>
      </c>
      <c r="U1602">
        <v>0.11545432250491997</v>
      </c>
      <c r="V1602" t="s">
        <v>157</v>
      </c>
    </row>
    <row r="1603" spans="19:22" x14ac:dyDescent="0.45">
      <c r="S1603" t="s">
        <v>525</v>
      </c>
      <c r="T1603" t="s">
        <v>787</v>
      </c>
      <c r="U1603">
        <v>2.0652540458168379E-2</v>
      </c>
      <c r="V1603" t="s">
        <v>157</v>
      </c>
    </row>
    <row r="1604" spans="19:22" x14ac:dyDescent="0.45">
      <c r="S1604" t="s">
        <v>525</v>
      </c>
      <c r="T1604" t="s">
        <v>788</v>
      </c>
      <c r="U1604">
        <v>0.13038682336883589</v>
      </c>
      <c r="V1604" t="s">
        <v>157</v>
      </c>
    </row>
    <row r="1605" spans="19:22" x14ac:dyDescent="0.45">
      <c r="S1605" t="s">
        <v>525</v>
      </c>
      <c r="T1605" t="s">
        <v>789</v>
      </c>
      <c r="U1605">
        <v>9.9868398074023021E-2</v>
      </c>
      <c r="V1605" t="s">
        <v>157</v>
      </c>
    </row>
    <row r="1606" spans="19:22" x14ac:dyDescent="0.45">
      <c r="S1606" t="s">
        <v>525</v>
      </c>
      <c r="T1606" t="s">
        <v>790</v>
      </c>
      <c r="U1606">
        <v>2.6574200391861928E-2</v>
      </c>
      <c r="V1606" t="s">
        <v>157</v>
      </c>
    </row>
    <row r="1607" spans="19:22" x14ac:dyDescent="0.45">
      <c r="S1607" t="s">
        <v>526</v>
      </c>
      <c r="T1607" t="s">
        <v>779</v>
      </c>
      <c r="U1607">
        <v>0.13609113287059396</v>
      </c>
      <c r="V1607" t="s">
        <v>157</v>
      </c>
    </row>
    <row r="1608" spans="19:22" x14ac:dyDescent="0.45">
      <c r="S1608" t="s">
        <v>526</v>
      </c>
      <c r="T1608" t="s">
        <v>780</v>
      </c>
      <c r="U1608">
        <v>0.13629885971752906</v>
      </c>
      <c r="V1608" t="s">
        <v>157</v>
      </c>
    </row>
    <row r="1609" spans="19:22" x14ac:dyDescent="0.45">
      <c r="S1609" t="s">
        <v>526</v>
      </c>
      <c r="T1609" t="s">
        <v>781</v>
      </c>
      <c r="U1609">
        <v>2.8479966916275478E-2</v>
      </c>
      <c r="V1609" t="s">
        <v>157</v>
      </c>
    </row>
    <row r="1610" spans="19:22" x14ac:dyDescent="0.45">
      <c r="S1610" t="s">
        <v>526</v>
      </c>
      <c r="T1610" t="s">
        <v>782</v>
      </c>
      <c r="U1610">
        <v>9.5571264016661675E-2</v>
      </c>
      <c r="V1610" t="s">
        <v>157</v>
      </c>
    </row>
    <row r="1611" spans="19:22" x14ac:dyDescent="0.45">
      <c r="S1611" t="s">
        <v>526</v>
      </c>
      <c r="T1611" t="s">
        <v>783</v>
      </c>
      <c r="U1611">
        <v>9.4079129134089778E-2</v>
      </c>
      <c r="V1611" t="s">
        <v>157</v>
      </c>
    </row>
    <row r="1612" spans="19:22" x14ac:dyDescent="0.45">
      <c r="S1612" t="s">
        <v>526</v>
      </c>
      <c r="T1612" t="s">
        <v>784</v>
      </c>
      <c r="U1612">
        <v>1.9452824193220922E-2</v>
      </c>
      <c r="V1612" t="s">
        <v>157</v>
      </c>
    </row>
    <row r="1613" spans="19:22" x14ac:dyDescent="0.45">
      <c r="S1613" t="s">
        <v>526</v>
      </c>
      <c r="T1613" t="s">
        <v>785</v>
      </c>
      <c r="U1613">
        <v>0.11345133839151715</v>
      </c>
      <c r="V1613" t="s">
        <v>157</v>
      </c>
    </row>
    <row r="1614" spans="19:22" x14ac:dyDescent="0.45">
      <c r="S1614" t="s">
        <v>526</v>
      </c>
      <c r="T1614" t="s">
        <v>786</v>
      </c>
      <c r="U1614">
        <v>0.11408145876875256</v>
      </c>
      <c r="V1614" t="s">
        <v>157</v>
      </c>
    </row>
    <row r="1615" spans="19:22" x14ac:dyDescent="0.45">
      <c r="S1615" t="s">
        <v>526</v>
      </c>
      <c r="T1615" t="s">
        <v>787</v>
      </c>
      <c r="U1615">
        <v>2.182007967883454E-2</v>
      </c>
      <c r="V1615" t="s">
        <v>157</v>
      </c>
    </row>
    <row r="1616" spans="19:22" x14ac:dyDescent="0.45">
      <c r="S1616" t="s">
        <v>526</v>
      </c>
      <c r="T1616" t="s">
        <v>788</v>
      </c>
      <c r="U1616">
        <v>0.1095726650090572</v>
      </c>
      <c r="V1616" t="s">
        <v>157</v>
      </c>
    </row>
    <row r="1617" spans="19:22" x14ac:dyDescent="0.45">
      <c r="S1617" t="s">
        <v>526</v>
      </c>
      <c r="T1617" t="s">
        <v>789</v>
      </c>
      <c r="U1617">
        <v>0.10739234686108351</v>
      </c>
      <c r="V1617" t="s">
        <v>157</v>
      </c>
    </row>
    <row r="1618" spans="19:22" x14ac:dyDescent="0.45">
      <c r="S1618" t="s">
        <v>526</v>
      </c>
      <c r="T1618" t="s">
        <v>790</v>
      </c>
      <c r="U1618">
        <v>2.3708934442384155E-2</v>
      </c>
      <c r="V1618" t="s">
        <v>157</v>
      </c>
    </row>
    <row r="1619" spans="19:22" x14ac:dyDescent="0.45">
      <c r="S1619" t="s">
        <v>527</v>
      </c>
      <c r="T1619" t="s">
        <v>779</v>
      </c>
      <c r="U1619">
        <v>0.12978614936335886</v>
      </c>
      <c r="V1619" t="s">
        <v>157</v>
      </c>
    </row>
    <row r="1620" spans="19:22" x14ac:dyDescent="0.45">
      <c r="S1620" t="s">
        <v>527</v>
      </c>
      <c r="T1620" t="s">
        <v>780</v>
      </c>
      <c r="U1620">
        <v>0.13471032003778938</v>
      </c>
      <c r="V1620" t="s">
        <v>157</v>
      </c>
    </row>
    <row r="1621" spans="19:22" x14ac:dyDescent="0.45">
      <c r="S1621" t="s">
        <v>527</v>
      </c>
      <c r="T1621" t="s">
        <v>781</v>
      </c>
      <c r="U1621">
        <v>2.6601518750540162E-2</v>
      </c>
      <c r="V1621" t="s">
        <v>157</v>
      </c>
    </row>
    <row r="1622" spans="19:22" x14ac:dyDescent="0.45">
      <c r="S1622" t="s">
        <v>527</v>
      </c>
      <c r="T1622" t="s">
        <v>782</v>
      </c>
      <c r="U1622">
        <v>9.7655907847279691E-2</v>
      </c>
      <c r="V1622" t="s">
        <v>157</v>
      </c>
    </row>
    <row r="1623" spans="19:22" x14ac:dyDescent="0.45">
      <c r="S1623" t="s">
        <v>527</v>
      </c>
      <c r="T1623" t="s">
        <v>783</v>
      </c>
      <c r="U1623">
        <v>9.4946160476576058E-2</v>
      </c>
      <c r="V1623" t="s">
        <v>157</v>
      </c>
    </row>
    <row r="1624" spans="19:22" x14ac:dyDescent="0.45">
      <c r="S1624" t="s">
        <v>527</v>
      </c>
      <c r="T1624" t="s">
        <v>784</v>
      </c>
      <c r="U1624">
        <v>1.8454812950024206E-2</v>
      </c>
      <c r="V1624" t="s">
        <v>157</v>
      </c>
    </row>
    <row r="1625" spans="19:22" x14ac:dyDescent="0.45">
      <c r="S1625" t="s">
        <v>527</v>
      </c>
      <c r="T1625" t="s">
        <v>785</v>
      </c>
      <c r="U1625">
        <v>0.12569126129922573</v>
      </c>
      <c r="V1625" t="s">
        <v>157</v>
      </c>
    </row>
    <row r="1626" spans="19:22" x14ac:dyDescent="0.45">
      <c r="S1626" t="s">
        <v>527</v>
      </c>
      <c r="T1626" t="s">
        <v>786</v>
      </c>
      <c r="U1626">
        <v>0.12862260155419331</v>
      </c>
      <c r="V1626" t="s">
        <v>157</v>
      </c>
    </row>
    <row r="1627" spans="19:22" x14ac:dyDescent="0.45">
      <c r="S1627" t="s">
        <v>527</v>
      </c>
      <c r="T1627" t="s">
        <v>787</v>
      </c>
      <c r="U1627">
        <v>2.4664949154863381E-2</v>
      </c>
      <c r="V1627" t="s">
        <v>157</v>
      </c>
    </row>
    <row r="1628" spans="19:22" x14ac:dyDescent="0.45">
      <c r="S1628" t="s">
        <v>527</v>
      </c>
      <c r="T1628" t="s">
        <v>788</v>
      </c>
      <c r="U1628">
        <v>9.7212107692196598E-2</v>
      </c>
      <c r="V1628" t="s">
        <v>157</v>
      </c>
    </row>
    <row r="1629" spans="19:22" x14ac:dyDescent="0.45">
      <c r="S1629" t="s">
        <v>527</v>
      </c>
      <c r="T1629" t="s">
        <v>789</v>
      </c>
      <c r="U1629">
        <v>0.10163374127062678</v>
      </c>
      <c r="V1629" t="s">
        <v>157</v>
      </c>
    </row>
    <row r="1630" spans="19:22" x14ac:dyDescent="0.45">
      <c r="S1630" t="s">
        <v>527</v>
      </c>
      <c r="T1630" t="s">
        <v>790</v>
      </c>
      <c r="U1630">
        <v>2.0020469603325888E-2</v>
      </c>
      <c r="V1630" t="s">
        <v>157</v>
      </c>
    </row>
    <row r="1631" spans="19:22" x14ac:dyDescent="0.45">
      <c r="S1631" t="s">
        <v>528</v>
      </c>
      <c r="T1631" t="s">
        <v>779</v>
      </c>
      <c r="U1631">
        <v>0.12648269392024955</v>
      </c>
      <c r="V1631" t="s">
        <v>157</v>
      </c>
    </row>
    <row r="1632" spans="19:22" x14ac:dyDescent="0.45">
      <c r="S1632" t="s">
        <v>528</v>
      </c>
      <c r="T1632" t="s">
        <v>780</v>
      </c>
      <c r="U1632">
        <v>0.12997558318614336</v>
      </c>
      <c r="V1632" t="s">
        <v>157</v>
      </c>
    </row>
    <row r="1633" spans="19:22" x14ac:dyDescent="0.45">
      <c r="S1633" t="s">
        <v>528</v>
      </c>
      <c r="T1633" t="s">
        <v>781</v>
      </c>
      <c r="U1633">
        <v>2.5144682225190774E-2</v>
      </c>
      <c r="V1633" t="s">
        <v>157</v>
      </c>
    </row>
    <row r="1634" spans="19:22" x14ac:dyDescent="0.45">
      <c r="S1634" t="s">
        <v>528</v>
      </c>
      <c r="T1634" t="s">
        <v>782</v>
      </c>
      <c r="U1634">
        <v>9.9278380237655992E-2</v>
      </c>
      <c r="V1634" t="s">
        <v>157</v>
      </c>
    </row>
    <row r="1635" spans="19:22" x14ac:dyDescent="0.45">
      <c r="S1635" t="s">
        <v>528</v>
      </c>
      <c r="T1635" t="s">
        <v>783</v>
      </c>
      <c r="U1635">
        <v>9.6266885636453012E-2</v>
      </c>
      <c r="V1635" t="s">
        <v>157</v>
      </c>
    </row>
    <row r="1636" spans="19:22" x14ac:dyDescent="0.45">
      <c r="S1636" t="s">
        <v>528</v>
      </c>
      <c r="T1636" t="s">
        <v>784</v>
      </c>
      <c r="U1636">
        <v>1.8427309891672711E-2</v>
      </c>
      <c r="V1636" t="s">
        <v>157</v>
      </c>
    </row>
    <row r="1637" spans="19:22" x14ac:dyDescent="0.45">
      <c r="S1637" t="s">
        <v>528</v>
      </c>
      <c r="T1637" t="s">
        <v>785</v>
      </c>
      <c r="U1637">
        <v>0.13103413240720338</v>
      </c>
      <c r="V1637" t="s">
        <v>157</v>
      </c>
    </row>
    <row r="1638" spans="19:22" x14ac:dyDescent="0.45">
      <c r="S1638" t="s">
        <v>528</v>
      </c>
      <c r="T1638" t="s">
        <v>786</v>
      </c>
      <c r="U1638">
        <v>0.12991247944132792</v>
      </c>
      <c r="V1638" t="s">
        <v>157</v>
      </c>
    </row>
    <row r="1639" spans="19:22" x14ac:dyDescent="0.45">
      <c r="S1639" t="s">
        <v>528</v>
      </c>
      <c r="T1639" t="s">
        <v>787</v>
      </c>
      <c r="U1639">
        <v>2.63646133678677E-2</v>
      </c>
      <c r="V1639" t="s">
        <v>157</v>
      </c>
    </row>
    <row r="1640" spans="19:22" x14ac:dyDescent="0.45">
      <c r="S1640" t="s">
        <v>528</v>
      </c>
      <c r="T1640" t="s">
        <v>788</v>
      </c>
      <c r="U1640">
        <v>9.7485545687650901E-2</v>
      </c>
      <c r="V1640" t="s">
        <v>157</v>
      </c>
    </row>
    <row r="1641" spans="19:22" x14ac:dyDescent="0.45">
      <c r="S1641" t="s">
        <v>528</v>
      </c>
      <c r="T1641" t="s">
        <v>789</v>
      </c>
      <c r="U1641">
        <v>0.10043784916080724</v>
      </c>
      <c r="V1641" t="s">
        <v>157</v>
      </c>
    </row>
    <row r="1642" spans="19:22" x14ac:dyDescent="0.45">
      <c r="S1642" t="s">
        <v>528</v>
      </c>
      <c r="T1642" t="s">
        <v>790</v>
      </c>
      <c r="U1642">
        <v>1.9189844837777394E-2</v>
      </c>
      <c r="V1642" t="s">
        <v>157</v>
      </c>
    </row>
    <row r="1643" spans="19:22" x14ac:dyDescent="0.45">
      <c r="S1643" t="s">
        <v>529</v>
      </c>
      <c r="T1643" t="s">
        <v>779</v>
      </c>
      <c r="U1643">
        <v>0.12437524030611745</v>
      </c>
      <c r="V1643" t="s">
        <v>157</v>
      </c>
    </row>
    <row r="1644" spans="19:22" x14ac:dyDescent="0.45">
      <c r="S1644" t="s">
        <v>529</v>
      </c>
      <c r="T1644" t="s">
        <v>780</v>
      </c>
      <c r="U1644">
        <v>0.1280726541875877</v>
      </c>
      <c r="V1644" t="s">
        <v>157</v>
      </c>
    </row>
    <row r="1645" spans="19:22" x14ac:dyDescent="0.45">
      <c r="S1645" t="s">
        <v>529</v>
      </c>
      <c r="T1645" t="s">
        <v>781</v>
      </c>
      <c r="U1645">
        <v>2.4306221229383088E-2</v>
      </c>
      <c r="V1645" t="s">
        <v>157</v>
      </c>
    </row>
    <row r="1646" spans="19:22" x14ac:dyDescent="0.45">
      <c r="S1646" t="s">
        <v>529</v>
      </c>
      <c r="T1646" t="s">
        <v>782</v>
      </c>
      <c r="U1646">
        <v>0.10248005843560128</v>
      </c>
      <c r="V1646" t="s">
        <v>157</v>
      </c>
    </row>
    <row r="1647" spans="19:22" x14ac:dyDescent="0.45">
      <c r="S1647" t="s">
        <v>529</v>
      </c>
      <c r="T1647" t="s">
        <v>783</v>
      </c>
      <c r="U1647">
        <v>9.9309500193593803E-2</v>
      </c>
      <c r="V1647" t="s">
        <v>157</v>
      </c>
    </row>
    <row r="1648" spans="19:22" x14ac:dyDescent="0.45">
      <c r="S1648" t="s">
        <v>529</v>
      </c>
      <c r="T1648" t="s">
        <v>784</v>
      </c>
      <c r="U1648">
        <v>1.9025426513116915E-2</v>
      </c>
      <c r="V1648" t="s">
        <v>157</v>
      </c>
    </row>
    <row r="1649" spans="19:22" x14ac:dyDescent="0.45">
      <c r="S1649" t="s">
        <v>529</v>
      </c>
      <c r="T1649" t="s">
        <v>785</v>
      </c>
      <c r="U1649">
        <v>0.12951288104497788</v>
      </c>
      <c r="V1649" t="s">
        <v>157</v>
      </c>
    </row>
    <row r="1650" spans="19:22" x14ac:dyDescent="0.45">
      <c r="S1650" t="s">
        <v>529</v>
      </c>
      <c r="T1650" t="s">
        <v>786</v>
      </c>
      <c r="U1650">
        <v>0.12924652961854199</v>
      </c>
      <c r="V1650" t="s">
        <v>157</v>
      </c>
    </row>
    <row r="1651" spans="19:22" x14ac:dyDescent="0.45">
      <c r="S1651" t="s">
        <v>529</v>
      </c>
      <c r="T1651" t="s">
        <v>787</v>
      </c>
      <c r="U1651">
        <v>2.5760321619926127E-2</v>
      </c>
      <c r="V1651" t="s">
        <v>157</v>
      </c>
    </row>
    <row r="1652" spans="19:22" x14ac:dyDescent="0.45">
      <c r="S1652" t="s">
        <v>529</v>
      </c>
      <c r="T1652" t="s">
        <v>788</v>
      </c>
      <c r="U1652">
        <v>9.7513432986714194E-2</v>
      </c>
      <c r="V1652" t="s">
        <v>157</v>
      </c>
    </row>
    <row r="1653" spans="19:22" x14ac:dyDescent="0.45">
      <c r="S1653" t="s">
        <v>529</v>
      </c>
      <c r="T1653" t="s">
        <v>789</v>
      </c>
      <c r="U1653">
        <v>0.10176108907868815</v>
      </c>
      <c r="V1653" t="s">
        <v>157</v>
      </c>
    </row>
    <row r="1654" spans="19:22" x14ac:dyDescent="0.45">
      <c r="S1654" t="s">
        <v>529</v>
      </c>
      <c r="T1654" t="s">
        <v>790</v>
      </c>
      <c r="U1654">
        <v>1.8636644785751461E-2</v>
      </c>
      <c r="V1654" t="s">
        <v>157</v>
      </c>
    </row>
    <row r="1655" spans="19:22" x14ac:dyDescent="0.45">
      <c r="S1655" t="s">
        <v>530</v>
      </c>
      <c r="T1655" t="s">
        <v>779</v>
      </c>
      <c r="U1655">
        <v>0.12531009263337994</v>
      </c>
      <c r="V1655" t="s">
        <v>157</v>
      </c>
    </row>
    <row r="1656" spans="19:22" x14ac:dyDescent="0.45">
      <c r="S1656" t="s">
        <v>530</v>
      </c>
      <c r="T1656" t="s">
        <v>780</v>
      </c>
      <c r="U1656">
        <v>0.12887754955514399</v>
      </c>
      <c r="V1656" t="s">
        <v>157</v>
      </c>
    </row>
    <row r="1657" spans="19:22" x14ac:dyDescent="0.45">
      <c r="S1657" t="s">
        <v>530</v>
      </c>
      <c r="T1657" t="s">
        <v>781</v>
      </c>
      <c r="U1657">
        <v>2.4091570667214478E-2</v>
      </c>
      <c r="V1657" t="s">
        <v>157</v>
      </c>
    </row>
    <row r="1658" spans="19:22" x14ac:dyDescent="0.45">
      <c r="S1658" t="s">
        <v>530</v>
      </c>
      <c r="T1658" t="s">
        <v>782</v>
      </c>
      <c r="U1658">
        <v>0.1030903125018101</v>
      </c>
      <c r="V1658" t="s">
        <v>157</v>
      </c>
    </row>
    <row r="1659" spans="19:22" x14ac:dyDescent="0.45">
      <c r="S1659" t="s">
        <v>530</v>
      </c>
      <c r="T1659" t="s">
        <v>783</v>
      </c>
      <c r="U1659">
        <v>0.10015855282302749</v>
      </c>
      <c r="V1659" t="s">
        <v>157</v>
      </c>
    </row>
    <row r="1660" spans="19:22" x14ac:dyDescent="0.45">
      <c r="S1660" t="s">
        <v>530</v>
      </c>
      <c r="T1660" t="s">
        <v>784</v>
      </c>
      <c r="U1660">
        <v>1.8961161369939496E-2</v>
      </c>
      <c r="V1660" t="s">
        <v>157</v>
      </c>
    </row>
    <row r="1661" spans="19:22" x14ac:dyDescent="0.45">
      <c r="S1661" t="s">
        <v>530</v>
      </c>
      <c r="T1661" t="s">
        <v>785</v>
      </c>
      <c r="U1661">
        <v>0.12802652259624969</v>
      </c>
      <c r="V1661" t="s">
        <v>157</v>
      </c>
    </row>
    <row r="1662" spans="19:22" x14ac:dyDescent="0.45">
      <c r="S1662" t="s">
        <v>530</v>
      </c>
      <c r="T1662" t="s">
        <v>786</v>
      </c>
      <c r="U1662">
        <v>0.12908813264347524</v>
      </c>
      <c r="V1662" t="s">
        <v>157</v>
      </c>
    </row>
    <row r="1663" spans="19:22" x14ac:dyDescent="0.45">
      <c r="S1663" t="s">
        <v>530</v>
      </c>
      <c r="T1663" t="s">
        <v>787</v>
      </c>
      <c r="U1663">
        <v>2.5165108321086378E-2</v>
      </c>
      <c r="V1663" t="s">
        <v>157</v>
      </c>
    </row>
    <row r="1664" spans="19:22" x14ac:dyDescent="0.45">
      <c r="S1664" t="s">
        <v>530</v>
      </c>
      <c r="T1664" t="s">
        <v>788</v>
      </c>
      <c r="U1664">
        <v>9.7312007810977028E-2</v>
      </c>
      <c r="V1664" t="s">
        <v>157</v>
      </c>
    </row>
    <row r="1665" spans="19:22" x14ac:dyDescent="0.45">
      <c r="S1665" t="s">
        <v>530</v>
      </c>
      <c r="T1665" t="s">
        <v>789</v>
      </c>
      <c r="U1665">
        <v>0.10145283562352694</v>
      </c>
      <c r="V1665" t="s">
        <v>157</v>
      </c>
    </row>
    <row r="1666" spans="19:22" x14ac:dyDescent="0.45">
      <c r="S1666" t="s">
        <v>530</v>
      </c>
      <c r="T1666" t="s">
        <v>790</v>
      </c>
      <c r="U1666">
        <v>1.8466153454169194E-2</v>
      </c>
      <c r="V1666" t="s">
        <v>157</v>
      </c>
    </row>
    <row r="1667" spans="19:22" x14ac:dyDescent="0.45">
      <c r="S1667" t="s">
        <v>531</v>
      </c>
      <c r="T1667" t="s">
        <v>779</v>
      </c>
      <c r="U1667">
        <v>0.12899057517399398</v>
      </c>
      <c r="V1667" t="s">
        <v>157</v>
      </c>
    </row>
    <row r="1668" spans="19:22" x14ac:dyDescent="0.45">
      <c r="S1668" t="s">
        <v>531</v>
      </c>
      <c r="T1668" t="s">
        <v>780</v>
      </c>
      <c r="U1668">
        <v>0.13115722765245597</v>
      </c>
      <c r="V1668" t="s">
        <v>157</v>
      </c>
    </row>
    <row r="1669" spans="19:22" x14ac:dyDescent="0.45">
      <c r="S1669" t="s">
        <v>531</v>
      </c>
      <c r="T1669" t="s">
        <v>781</v>
      </c>
      <c r="U1669">
        <v>2.4076455915537961E-2</v>
      </c>
      <c r="V1669" t="s">
        <v>157</v>
      </c>
    </row>
    <row r="1670" spans="19:22" x14ac:dyDescent="0.45">
      <c r="S1670" t="s">
        <v>531</v>
      </c>
      <c r="T1670" t="s">
        <v>782</v>
      </c>
      <c r="U1670">
        <v>0.10299333192693376</v>
      </c>
      <c r="V1670" t="s">
        <v>157</v>
      </c>
    </row>
    <row r="1671" spans="19:22" x14ac:dyDescent="0.45">
      <c r="S1671" t="s">
        <v>531</v>
      </c>
      <c r="T1671" t="s">
        <v>783</v>
      </c>
      <c r="U1671">
        <v>9.9902766248658015E-2</v>
      </c>
      <c r="V1671" t="s">
        <v>157</v>
      </c>
    </row>
    <row r="1672" spans="19:22" x14ac:dyDescent="0.45">
      <c r="S1672" t="s">
        <v>531</v>
      </c>
      <c r="T1672" t="s">
        <v>784</v>
      </c>
      <c r="U1672">
        <v>1.8578312138288793E-2</v>
      </c>
      <c r="V1672" t="s">
        <v>157</v>
      </c>
    </row>
    <row r="1673" spans="19:22" x14ac:dyDescent="0.45">
      <c r="S1673" t="s">
        <v>531</v>
      </c>
      <c r="T1673" t="s">
        <v>785</v>
      </c>
      <c r="U1673">
        <v>0.12756706211172258</v>
      </c>
      <c r="V1673" t="s">
        <v>157</v>
      </c>
    </row>
    <row r="1674" spans="19:22" x14ac:dyDescent="0.45">
      <c r="S1674" t="s">
        <v>531</v>
      </c>
      <c r="T1674" t="s">
        <v>786</v>
      </c>
      <c r="U1674">
        <v>0.12804392529277053</v>
      </c>
      <c r="V1674" t="s">
        <v>157</v>
      </c>
    </row>
    <row r="1675" spans="19:22" x14ac:dyDescent="0.45">
      <c r="S1675" t="s">
        <v>531</v>
      </c>
      <c r="T1675" t="s">
        <v>787</v>
      </c>
      <c r="U1675">
        <v>2.4512148770804081E-2</v>
      </c>
      <c r="V1675" t="s">
        <v>157</v>
      </c>
    </row>
    <row r="1676" spans="19:22" x14ac:dyDescent="0.45">
      <c r="S1676" t="s">
        <v>531</v>
      </c>
      <c r="T1676" t="s">
        <v>788</v>
      </c>
      <c r="U1676">
        <v>9.6603636422671529E-2</v>
      </c>
      <c r="V1676" t="s">
        <v>157</v>
      </c>
    </row>
    <row r="1677" spans="19:22" x14ac:dyDescent="0.45">
      <c r="S1677" t="s">
        <v>531</v>
      </c>
      <c r="T1677" t="s">
        <v>789</v>
      </c>
      <c r="U1677">
        <v>9.942172231800625E-2</v>
      </c>
      <c r="V1677" t="s">
        <v>157</v>
      </c>
    </row>
    <row r="1678" spans="19:22" x14ac:dyDescent="0.45">
      <c r="S1678" t="s">
        <v>531</v>
      </c>
      <c r="T1678" t="s">
        <v>790</v>
      </c>
      <c r="U1678">
        <v>1.8152836028156615E-2</v>
      </c>
      <c r="V1678" t="s">
        <v>157</v>
      </c>
    </row>
    <row r="1679" spans="19:22" x14ac:dyDescent="0.45">
      <c r="S1679" t="s">
        <v>532</v>
      </c>
      <c r="T1679" t="s">
        <v>779</v>
      </c>
      <c r="U1679">
        <v>0.13242797959531333</v>
      </c>
      <c r="V1679" t="s">
        <v>157</v>
      </c>
    </row>
    <row r="1680" spans="19:22" x14ac:dyDescent="0.45">
      <c r="S1680" t="s">
        <v>532</v>
      </c>
      <c r="T1680" t="s">
        <v>780</v>
      </c>
      <c r="U1680">
        <v>0.13341712458659041</v>
      </c>
      <c r="V1680" t="s">
        <v>157</v>
      </c>
    </row>
    <row r="1681" spans="19:22" x14ac:dyDescent="0.45">
      <c r="S1681" t="s">
        <v>532</v>
      </c>
      <c r="T1681" t="s">
        <v>781</v>
      </c>
      <c r="U1681">
        <v>2.4357197625602664E-2</v>
      </c>
      <c r="V1681" t="s">
        <v>157</v>
      </c>
    </row>
    <row r="1682" spans="19:22" x14ac:dyDescent="0.45">
      <c r="S1682" t="s">
        <v>532</v>
      </c>
      <c r="T1682" t="s">
        <v>782</v>
      </c>
      <c r="U1682">
        <v>0.10269340906304589</v>
      </c>
      <c r="V1682" t="s">
        <v>157</v>
      </c>
    </row>
    <row r="1683" spans="19:22" x14ac:dyDescent="0.45">
      <c r="S1683" t="s">
        <v>532</v>
      </c>
      <c r="T1683" t="s">
        <v>783</v>
      </c>
      <c r="U1683">
        <v>0.10014106533087826</v>
      </c>
      <c r="V1683" t="s">
        <v>157</v>
      </c>
    </row>
    <row r="1684" spans="19:22" x14ac:dyDescent="0.45">
      <c r="S1684" t="s">
        <v>532</v>
      </c>
      <c r="T1684" t="s">
        <v>784</v>
      </c>
      <c r="U1684">
        <v>1.8425791708288192E-2</v>
      </c>
      <c r="V1684" t="s">
        <v>157</v>
      </c>
    </row>
    <row r="1685" spans="19:22" x14ac:dyDescent="0.45">
      <c r="S1685" t="s">
        <v>532</v>
      </c>
      <c r="T1685" t="s">
        <v>785</v>
      </c>
      <c r="U1685">
        <v>0.12805732339909456</v>
      </c>
      <c r="V1685" t="s">
        <v>157</v>
      </c>
    </row>
    <row r="1686" spans="19:22" x14ac:dyDescent="0.45">
      <c r="S1686" t="s">
        <v>532</v>
      </c>
      <c r="T1686" t="s">
        <v>786</v>
      </c>
      <c r="U1686">
        <v>0.12683036575707762</v>
      </c>
      <c r="V1686" t="s">
        <v>157</v>
      </c>
    </row>
    <row r="1687" spans="19:22" x14ac:dyDescent="0.45">
      <c r="S1687" t="s">
        <v>532</v>
      </c>
      <c r="T1687" t="s">
        <v>787</v>
      </c>
      <c r="U1687">
        <v>2.4219769516163978E-2</v>
      </c>
      <c r="V1687" t="s">
        <v>157</v>
      </c>
    </row>
    <row r="1688" spans="19:22" x14ac:dyDescent="0.45">
      <c r="S1688" t="s">
        <v>532</v>
      </c>
      <c r="T1688" t="s">
        <v>788</v>
      </c>
      <c r="U1688">
        <v>9.5376695215171947E-2</v>
      </c>
      <c r="V1688" t="s">
        <v>157</v>
      </c>
    </row>
    <row r="1689" spans="19:22" x14ac:dyDescent="0.45">
      <c r="S1689" t="s">
        <v>532</v>
      </c>
      <c r="T1689" t="s">
        <v>789</v>
      </c>
      <c r="U1689">
        <v>9.6473363385731967E-2</v>
      </c>
      <c r="V1689" t="s">
        <v>157</v>
      </c>
    </row>
    <row r="1690" spans="19:22" x14ac:dyDescent="0.45">
      <c r="S1690" t="s">
        <v>532</v>
      </c>
      <c r="T1690" t="s">
        <v>790</v>
      </c>
      <c r="U1690">
        <v>1.7579914817041086E-2</v>
      </c>
      <c r="V1690" t="s">
        <v>157</v>
      </c>
    </row>
    <row r="1691" spans="19:22" x14ac:dyDescent="0.45">
      <c r="S1691" t="s">
        <v>533</v>
      </c>
      <c r="T1691" t="s">
        <v>779</v>
      </c>
      <c r="U1691">
        <v>0.13392312296836517</v>
      </c>
      <c r="V1691" t="s">
        <v>157</v>
      </c>
    </row>
    <row r="1692" spans="19:22" x14ac:dyDescent="0.45">
      <c r="S1692" t="s">
        <v>533</v>
      </c>
      <c r="T1692" t="s">
        <v>780</v>
      </c>
      <c r="U1692">
        <v>0.13431914488976021</v>
      </c>
      <c r="V1692" t="s">
        <v>157</v>
      </c>
    </row>
    <row r="1693" spans="19:22" x14ac:dyDescent="0.45">
      <c r="S1693" t="s">
        <v>533</v>
      </c>
      <c r="T1693" t="s">
        <v>781</v>
      </c>
      <c r="U1693">
        <v>2.4539328808071945E-2</v>
      </c>
      <c r="V1693" t="s">
        <v>157</v>
      </c>
    </row>
    <row r="1694" spans="19:22" x14ac:dyDescent="0.45">
      <c r="S1694" t="s">
        <v>533</v>
      </c>
      <c r="T1694" t="s">
        <v>782</v>
      </c>
      <c r="U1694">
        <v>0.10242945117522723</v>
      </c>
      <c r="V1694" t="s">
        <v>157</v>
      </c>
    </row>
    <row r="1695" spans="19:22" x14ac:dyDescent="0.45">
      <c r="S1695" t="s">
        <v>533</v>
      </c>
      <c r="T1695" t="s">
        <v>783</v>
      </c>
      <c r="U1695">
        <v>0.1014603784092088</v>
      </c>
      <c r="V1695" t="s">
        <v>157</v>
      </c>
    </row>
    <row r="1696" spans="19:22" x14ac:dyDescent="0.45">
      <c r="S1696" t="s">
        <v>533</v>
      </c>
      <c r="T1696" t="s">
        <v>784</v>
      </c>
      <c r="U1696">
        <v>1.8585526759686197E-2</v>
      </c>
      <c r="V1696" t="s">
        <v>157</v>
      </c>
    </row>
    <row r="1697" spans="19:22" x14ac:dyDescent="0.45">
      <c r="S1697" t="s">
        <v>533</v>
      </c>
      <c r="T1697" t="s">
        <v>785</v>
      </c>
      <c r="U1697">
        <v>0.12929253603647831</v>
      </c>
      <c r="V1697" t="s">
        <v>157</v>
      </c>
    </row>
    <row r="1698" spans="19:22" x14ac:dyDescent="0.45">
      <c r="S1698" t="s">
        <v>533</v>
      </c>
      <c r="T1698" t="s">
        <v>786</v>
      </c>
      <c r="U1698">
        <v>0.12645708296746025</v>
      </c>
      <c r="V1698" t="s">
        <v>157</v>
      </c>
    </row>
    <row r="1699" spans="19:22" x14ac:dyDescent="0.45">
      <c r="S1699" t="s">
        <v>533</v>
      </c>
      <c r="T1699" t="s">
        <v>787</v>
      </c>
      <c r="U1699">
        <v>2.4236015832289234E-2</v>
      </c>
      <c r="V1699" t="s">
        <v>157</v>
      </c>
    </row>
    <row r="1700" spans="19:22" x14ac:dyDescent="0.45">
      <c r="S1700" t="s">
        <v>533</v>
      </c>
      <c r="T1700" t="s">
        <v>788</v>
      </c>
      <c r="U1700">
        <v>9.3897797931240909E-2</v>
      </c>
      <c r="V1700" t="s">
        <v>157</v>
      </c>
    </row>
    <row r="1701" spans="19:22" x14ac:dyDescent="0.45">
      <c r="S1701" t="s">
        <v>533</v>
      </c>
      <c r="T1701" t="s">
        <v>789</v>
      </c>
      <c r="U1701">
        <v>9.3869893413566469E-2</v>
      </c>
      <c r="V1701" t="s">
        <v>157</v>
      </c>
    </row>
    <row r="1702" spans="19:22" x14ac:dyDescent="0.45">
      <c r="S1702" t="s">
        <v>533</v>
      </c>
      <c r="T1702" t="s">
        <v>790</v>
      </c>
      <c r="U1702">
        <v>1.6989720808645283E-2</v>
      </c>
      <c r="V1702" t="s">
        <v>157</v>
      </c>
    </row>
    <row r="1703" spans="19:22" x14ac:dyDescent="0.45">
      <c r="S1703" t="s">
        <v>534</v>
      </c>
      <c r="T1703" t="s">
        <v>779</v>
      </c>
      <c r="U1703">
        <v>0.11790104997990906</v>
      </c>
      <c r="V1703" t="s">
        <v>157</v>
      </c>
    </row>
    <row r="1704" spans="19:22" x14ac:dyDescent="0.45">
      <c r="S1704" t="s">
        <v>534</v>
      </c>
      <c r="T1704" t="s">
        <v>780</v>
      </c>
      <c r="U1704">
        <v>0.11867864481891222</v>
      </c>
      <c r="V1704" t="s">
        <v>157</v>
      </c>
    </row>
    <row r="1705" spans="19:22" x14ac:dyDescent="0.45">
      <c r="S1705" t="s">
        <v>534</v>
      </c>
      <c r="T1705" t="s">
        <v>781</v>
      </c>
      <c r="U1705">
        <v>2.2101154428883944E-2</v>
      </c>
      <c r="V1705" t="s">
        <v>157</v>
      </c>
    </row>
    <row r="1706" spans="19:22" x14ac:dyDescent="0.45">
      <c r="S1706" t="s">
        <v>534</v>
      </c>
      <c r="T1706" t="s">
        <v>782</v>
      </c>
      <c r="U1706">
        <v>0.11364389761522159</v>
      </c>
      <c r="V1706" t="s">
        <v>157</v>
      </c>
    </row>
    <row r="1707" spans="19:22" x14ac:dyDescent="0.45">
      <c r="S1707" t="s">
        <v>534</v>
      </c>
      <c r="T1707" t="s">
        <v>783</v>
      </c>
      <c r="U1707">
        <v>0.10826603050759852</v>
      </c>
      <c r="V1707" t="s">
        <v>157</v>
      </c>
    </row>
    <row r="1708" spans="19:22" x14ac:dyDescent="0.45">
      <c r="S1708" t="s">
        <v>534</v>
      </c>
      <c r="T1708" t="s">
        <v>784</v>
      </c>
      <c r="U1708">
        <v>1.9486068277319628E-2</v>
      </c>
      <c r="V1708" t="s">
        <v>157</v>
      </c>
    </row>
    <row r="1709" spans="19:22" x14ac:dyDescent="0.45">
      <c r="S1709" t="s">
        <v>534</v>
      </c>
      <c r="T1709" t="s">
        <v>785</v>
      </c>
      <c r="U1709">
        <v>0.13154068097898386</v>
      </c>
      <c r="V1709" t="s">
        <v>157</v>
      </c>
    </row>
    <row r="1710" spans="19:22" x14ac:dyDescent="0.45">
      <c r="S1710" t="s">
        <v>534</v>
      </c>
      <c r="T1710" t="s">
        <v>786</v>
      </c>
      <c r="U1710">
        <v>0.13304117146069377</v>
      </c>
      <c r="V1710" t="s">
        <v>157</v>
      </c>
    </row>
    <row r="1711" spans="19:22" x14ac:dyDescent="0.45">
      <c r="S1711" t="s">
        <v>534</v>
      </c>
      <c r="T1711" t="s">
        <v>787</v>
      </c>
      <c r="U1711">
        <v>2.4427178014323977E-2</v>
      </c>
      <c r="V1711" t="s">
        <v>157</v>
      </c>
    </row>
    <row r="1712" spans="19:22" x14ac:dyDescent="0.45">
      <c r="S1712" t="s">
        <v>534</v>
      </c>
      <c r="T1712" t="s">
        <v>788</v>
      </c>
      <c r="U1712">
        <v>9.6485000070091378E-2</v>
      </c>
      <c r="V1712" t="s">
        <v>157</v>
      </c>
    </row>
    <row r="1713" spans="19:22" x14ac:dyDescent="0.45">
      <c r="S1713" t="s">
        <v>534</v>
      </c>
      <c r="T1713" t="s">
        <v>789</v>
      </c>
      <c r="U1713">
        <v>9.6841903652733763E-2</v>
      </c>
      <c r="V1713" t="s">
        <v>157</v>
      </c>
    </row>
    <row r="1714" spans="19:22" x14ac:dyDescent="0.45">
      <c r="S1714" t="s">
        <v>534</v>
      </c>
      <c r="T1714" t="s">
        <v>790</v>
      </c>
      <c r="U1714">
        <v>1.7587220195328337E-2</v>
      </c>
      <c r="V1714" t="s">
        <v>157</v>
      </c>
    </row>
    <row r="1715" spans="19:22" x14ac:dyDescent="0.45">
      <c r="S1715" t="s">
        <v>535</v>
      </c>
      <c r="T1715" t="s">
        <v>779</v>
      </c>
      <c r="U1715">
        <v>0.11665074985794567</v>
      </c>
      <c r="V1715" t="s">
        <v>157</v>
      </c>
    </row>
    <row r="1716" spans="19:22" x14ac:dyDescent="0.45">
      <c r="S1716" t="s">
        <v>535</v>
      </c>
      <c r="T1716" t="s">
        <v>780</v>
      </c>
      <c r="U1716">
        <v>0.11292304687432622</v>
      </c>
      <c r="V1716" t="s">
        <v>157</v>
      </c>
    </row>
    <row r="1717" spans="19:22" x14ac:dyDescent="0.45">
      <c r="S1717" t="s">
        <v>535</v>
      </c>
      <c r="T1717" t="s">
        <v>781</v>
      </c>
      <c r="U1717">
        <v>2.1727944155408348E-2</v>
      </c>
      <c r="V1717" t="s">
        <v>157</v>
      </c>
    </row>
    <row r="1718" spans="19:22" x14ac:dyDescent="0.45">
      <c r="S1718" t="s">
        <v>535</v>
      </c>
      <c r="T1718" t="s">
        <v>782</v>
      </c>
      <c r="U1718">
        <v>0.11688267390066709</v>
      </c>
      <c r="V1718" t="s">
        <v>157</v>
      </c>
    </row>
    <row r="1719" spans="19:22" x14ac:dyDescent="0.45">
      <c r="S1719" t="s">
        <v>535</v>
      </c>
      <c r="T1719" t="s">
        <v>783</v>
      </c>
      <c r="U1719">
        <v>0.11312373073611343</v>
      </c>
      <c r="V1719" t="s">
        <v>157</v>
      </c>
    </row>
    <row r="1720" spans="19:22" x14ac:dyDescent="0.45">
      <c r="S1720" t="s">
        <v>535</v>
      </c>
      <c r="T1720" t="s">
        <v>784</v>
      </c>
      <c r="U1720">
        <v>2.0512179482496021E-2</v>
      </c>
      <c r="V1720" t="s">
        <v>157</v>
      </c>
    </row>
    <row r="1721" spans="19:22" x14ac:dyDescent="0.45">
      <c r="S1721" t="s">
        <v>535</v>
      </c>
      <c r="T1721" t="s">
        <v>785</v>
      </c>
      <c r="U1721">
        <v>0.12889463098967913</v>
      </c>
      <c r="V1721" t="s">
        <v>157</v>
      </c>
    </row>
    <row r="1722" spans="19:22" x14ac:dyDescent="0.45">
      <c r="S1722" t="s">
        <v>535</v>
      </c>
      <c r="T1722" t="s">
        <v>786</v>
      </c>
      <c r="U1722">
        <v>0.12580589004315657</v>
      </c>
      <c r="V1722" t="s">
        <v>157</v>
      </c>
    </row>
    <row r="1723" spans="19:22" x14ac:dyDescent="0.45">
      <c r="S1723" t="s">
        <v>535</v>
      </c>
      <c r="T1723" t="s">
        <v>787</v>
      </c>
      <c r="U1723">
        <v>2.3678090463264256E-2</v>
      </c>
      <c r="V1723" t="s">
        <v>157</v>
      </c>
    </row>
    <row r="1724" spans="19:22" x14ac:dyDescent="0.45">
      <c r="S1724" t="s">
        <v>535</v>
      </c>
      <c r="T1724" t="s">
        <v>788</v>
      </c>
      <c r="U1724">
        <v>9.9293711174071569E-2</v>
      </c>
      <c r="V1724" t="s">
        <v>157</v>
      </c>
    </row>
    <row r="1725" spans="19:22" x14ac:dyDescent="0.45">
      <c r="S1725" t="s">
        <v>535</v>
      </c>
      <c r="T1725" t="s">
        <v>789</v>
      </c>
      <c r="U1725">
        <v>0.10120376317578313</v>
      </c>
      <c r="V1725" t="s">
        <v>157</v>
      </c>
    </row>
    <row r="1726" spans="19:22" x14ac:dyDescent="0.45">
      <c r="S1726" t="s">
        <v>535</v>
      </c>
      <c r="T1726" t="s">
        <v>790</v>
      </c>
      <c r="U1726">
        <v>1.9303589147088667E-2</v>
      </c>
      <c r="V1726" t="s">
        <v>157</v>
      </c>
    </row>
    <row r="1727" spans="19:22" x14ac:dyDescent="0.45">
      <c r="S1727" t="s">
        <v>536</v>
      </c>
      <c r="T1727" t="s">
        <v>779</v>
      </c>
      <c r="U1727">
        <v>0.11321301855044295</v>
      </c>
      <c r="V1727" t="s">
        <v>157</v>
      </c>
    </row>
    <row r="1728" spans="19:22" x14ac:dyDescent="0.45">
      <c r="S1728" t="s">
        <v>536</v>
      </c>
      <c r="T1728" t="s">
        <v>780</v>
      </c>
      <c r="U1728">
        <v>0.11223725960168815</v>
      </c>
      <c r="V1728" t="s">
        <v>157</v>
      </c>
    </row>
    <row r="1729" spans="19:22" x14ac:dyDescent="0.45">
      <c r="S1729" t="s">
        <v>536</v>
      </c>
      <c r="T1729" t="s">
        <v>781</v>
      </c>
      <c r="U1729">
        <v>2.1067196272976971E-2</v>
      </c>
      <c r="V1729" t="s">
        <v>157</v>
      </c>
    </row>
    <row r="1730" spans="19:22" x14ac:dyDescent="0.45">
      <c r="S1730" t="s">
        <v>536</v>
      </c>
      <c r="T1730" t="s">
        <v>782</v>
      </c>
      <c r="U1730">
        <v>0.11571184507120365</v>
      </c>
      <c r="V1730" t="s">
        <v>157</v>
      </c>
    </row>
    <row r="1731" spans="19:22" x14ac:dyDescent="0.45">
      <c r="S1731" t="s">
        <v>536</v>
      </c>
      <c r="T1731" t="s">
        <v>783</v>
      </c>
      <c r="U1731">
        <v>0.11425476172155011</v>
      </c>
      <c r="V1731" t="s">
        <v>157</v>
      </c>
    </row>
    <row r="1732" spans="19:22" x14ac:dyDescent="0.45">
      <c r="S1732" t="s">
        <v>536</v>
      </c>
      <c r="T1732" t="s">
        <v>784</v>
      </c>
      <c r="U1732">
        <v>2.1140675522412736E-2</v>
      </c>
      <c r="V1732" t="s">
        <v>157</v>
      </c>
    </row>
    <row r="1733" spans="19:22" x14ac:dyDescent="0.45">
      <c r="S1733" t="s">
        <v>536</v>
      </c>
      <c r="T1733" t="s">
        <v>785</v>
      </c>
      <c r="U1733">
        <v>0.1207493915529369</v>
      </c>
      <c r="V1733" t="s">
        <v>157</v>
      </c>
    </row>
    <row r="1734" spans="19:22" x14ac:dyDescent="0.45">
      <c r="S1734" t="s">
        <v>536</v>
      </c>
      <c r="T1734" t="s">
        <v>786</v>
      </c>
      <c r="U1734">
        <v>0.11710081444539425</v>
      </c>
      <c r="V1734" t="s">
        <v>157</v>
      </c>
    </row>
    <row r="1735" spans="19:22" x14ac:dyDescent="0.45">
      <c r="S1735" t="s">
        <v>536</v>
      </c>
      <c r="T1735" t="s">
        <v>787</v>
      </c>
      <c r="U1735">
        <v>2.1933473110899212E-2</v>
      </c>
      <c r="V1735" t="s">
        <v>157</v>
      </c>
    </row>
    <row r="1736" spans="19:22" x14ac:dyDescent="0.45">
      <c r="S1736" t="s">
        <v>536</v>
      </c>
      <c r="T1736" t="s">
        <v>788</v>
      </c>
      <c r="U1736">
        <v>0.11068648995548405</v>
      </c>
      <c r="V1736" t="s">
        <v>157</v>
      </c>
    </row>
    <row r="1737" spans="19:22" x14ac:dyDescent="0.45">
      <c r="S1737" t="s">
        <v>536</v>
      </c>
      <c r="T1737" t="s">
        <v>789</v>
      </c>
      <c r="U1737">
        <v>0.11092254579172699</v>
      </c>
      <c r="V1737" t="s">
        <v>157</v>
      </c>
    </row>
    <row r="1738" spans="19:22" x14ac:dyDescent="0.45">
      <c r="S1738" t="s">
        <v>536</v>
      </c>
      <c r="T1738" t="s">
        <v>790</v>
      </c>
      <c r="U1738">
        <v>2.0982528403284007E-2</v>
      </c>
      <c r="V1738" t="s">
        <v>157</v>
      </c>
    </row>
    <row r="1739" spans="19:22" x14ac:dyDescent="0.45">
      <c r="S1739" t="s">
        <v>537</v>
      </c>
      <c r="T1739" t="s">
        <v>779</v>
      </c>
      <c r="U1739">
        <v>0.11404603406627539</v>
      </c>
      <c r="V1739" t="s">
        <v>157</v>
      </c>
    </row>
    <row r="1740" spans="19:22" x14ac:dyDescent="0.45">
      <c r="S1740" t="s">
        <v>537</v>
      </c>
      <c r="T1740" t="s">
        <v>780</v>
      </c>
      <c r="U1740">
        <v>0.11317856690732758</v>
      </c>
      <c r="V1740" t="s">
        <v>157</v>
      </c>
    </row>
    <row r="1741" spans="19:22" x14ac:dyDescent="0.45">
      <c r="S1741" t="s">
        <v>537</v>
      </c>
      <c r="T1741" t="s">
        <v>781</v>
      </c>
      <c r="U1741">
        <v>2.1530184001685829E-2</v>
      </c>
      <c r="V1741" t="s">
        <v>157</v>
      </c>
    </row>
    <row r="1742" spans="19:22" x14ac:dyDescent="0.45">
      <c r="S1742" t="s">
        <v>537</v>
      </c>
      <c r="T1742" t="s">
        <v>782</v>
      </c>
      <c r="U1742">
        <v>0.11566039119834028</v>
      </c>
      <c r="V1742" t="s">
        <v>157</v>
      </c>
    </row>
    <row r="1743" spans="19:22" x14ac:dyDescent="0.45">
      <c r="S1743" t="s">
        <v>537</v>
      </c>
      <c r="T1743" t="s">
        <v>783</v>
      </c>
      <c r="U1743">
        <v>0.11292382654576261</v>
      </c>
      <c r="V1743" t="s">
        <v>157</v>
      </c>
    </row>
    <row r="1744" spans="19:22" x14ac:dyDescent="0.45">
      <c r="S1744" t="s">
        <v>537</v>
      </c>
      <c r="T1744" t="s">
        <v>784</v>
      </c>
      <c r="U1744">
        <v>2.0894575459802119E-2</v>
      </c>
      <c r="V1744" t="s">
        <v>157</v>
      </c>
    </row>
    <row r="1745" spans="19:22" x14ac:dyDescent="0.45">
      <c r="S1745" t="s">
        <v>537</v>
      </c>
      <c r="T1745" t="s">
        <v>785</v>
      </c>
      <c r="U1745">
        <v>0.11975986293073633</v>
      </c>
      <c r="V1745" t="s">
        <v>157</v>
      </c>
    </row>
    <row r="1746" spans="19:22" x14ac:dyDescent="0.45">
      <c r="S1746" t="s">
        <v>537</v>
      </c>
      <c r="T1746" t="s">
        <v>786</v>
      </c>
      <c r="U1746">
        <v>0.11672299976334494</v>
      </c>
      <c r="V1746" t="s">
        <v>157</v>
      </c>
    </row>
    <row r="1747" spans="19:22" x14ac:dyDescent="0.45">
      <c r="S1747" t="s">
        <v>537</v>
      </c>
      <c r="T1747" t="s">
        <v>787</v>
      </c>
      <c r="U1747">
        <v>2.182193694306403E-2</v>
      </c>
      <c r="V1747" t="s">
        <v>157</v>
      </c>
    </row>
    <row r="1748" spans="19:22" x14ac:dyDescent="0.45">
      <c r="S1748" t="s">
        <v>537</v>
      </c>
      <c r="T1748" t="s">
        <v>788</v>
      </c>
      <c r="U1748">
        <v>0.11087437352742822</v>
      </c>
      <c r="V1748" t="s">
        <v>157</v>
      </c>
    </row>
    <row r="1749" spans="19:22" x14ac:dyDescent="0.45">
      <c r="S1749" t="s">
        <v>537</v>
      </c>
      <c r="T1749" t="s">
        <v>789</v>
      </c>
      <c r="U1749">
        <v>0.11164649529589159</v>
      </c>
      <c r="V1749" t="s">
        <v>157</v>
      </c>
    </row>
    <row r="1750" spans="19:22" x14ac:dyDescent="0.45">
      <c r="S1750" t="s">
        <v>537</v>
      </c>
      <c r="T1750" t="s">
        <v>790</v>
      </c>
      <c r="U1750">
        <v>2.0940753360341121E-2</v>
      </c>
      <c r="V1750" t="s">
        <v>157</v>
      </c>
    </row>
    <row r="1751" spans="19:22" x14ac:dyDescent="0.45">
      <c r="S1751" t="s">
        <v>538</v>
      </c>
      <c r="T1751" t="s">
        <v>779</v>
      </c>
      <c r="U1751">
        <v>0.11512676985308</v>
      </c>
      <c r="V1751" t="s">
        <v>157</v>
      </c>
    </row>
    <row r="1752" spans="19:22" x14ac:dyDescent="0.45">
      <c r="S1752" t="s">
        <v>538</v>
      </c>
      <c r="T1752" t="s">
        <v>780</v>
      </c>
      <c r="U1752">
        <v>0.11403183351052207</v>
      </c>
      <c r="V1752" t="s">
        <v>157</v>
      </c>
    </row>
    <row r="1753" spans="19:22" x14ac:dyDescent="0.45">
      <c r="S1753" t="s">
        <v>538</v>
      </c>
      <c r="T1753" t="s">
        <v>781</v>
      </c>
      <c r="U1753">
        <v>2.1486213498743297E-2</v>
      </c>
      <c r="V1753" t="s">
        <v>157</v>
      </c>
    </row>
    <row r="1754" spans="19:22" x14ac:dyDescent="0.45">
      <c r="S1754" t="s">
        <v>538</v>
      </c>
      <c r="T1754" t="s">
        <v>782</v>
      </c>
      <c r="U1754">
        <v>0.11519390728098475</v>
      </c>
      <c r="V1754" t="s">
        <v>157</v>
      </c>
    </row>
    <row r="1755" spans="19:22" x14ac:dyDescent="0.45">
      <c r="S1755" t="s">
        <v>538</v>
      </c>
      <c r="T1755" t="s">
        <v>783</v>
      </c>
      <c r="U1755">
        <v>0.11187468110503311</v>
      </c>
      <c r="V1755" t="s">
        <v>157</v>
      </c>
    </row>
    <row r="1756" spans="19:22" x14ac:dyDescent="0.45">
      <c r="S1756" t="s">
        <v>538</v>
      </c>
      <c r="T1756" t="s">
        <v>784</v>
      </c>
      <c r="U1756">
        <v>2.0838506373537718E-2</v>
      </c>
      <c r="V1756" t="s">
        <v>157</v>
      </c>
    </row>
    <row r="1757" spans="19:22" x14ac:dyDescent="0.45">
      <c r="S1757" t="s">
        <v>538</v>
      </c>
      <c r="T1757" t="s">
        <v>785</v>
      </c>
      <c r="U1757">
        <v>0.11871602036527801</v>
      </c>
      <c r="V1757" t="s">
        <v>157</v>
      </c>
    </row>
    <row r="1758" spans="19:22" x14ac:dyDescent="0.45">
      <c r="S1758" t="s">
        <v>538</v>
      </c>
      <c r="T1758" t="s">
        <v>786</v>
      </c>
      <c r="U1758">
        <v>0.11663851239958821</v>
      </c>
      <c r="V1758" t="s">
        <v>157</v>
      </c>
    </row>
    <row r="1759" spans="19:22" x14ac:dyDescent="0.45">
      <c r="S1759" t="s">
        <v>538</v>
      </c>
      <c r="T1759" t="s">
        <v>787</v>
      </c>
      <c r="U1759">
        <v>2.1385064401851079E-2</v>
      </c>
      <c r="V1759" t="s">
        <v>157</v>
      </c>
    </row>
    <row r="1760" spans="19:22" x14ac:dyDescent="0.45">
      <c r="S1760" t="s">
        <v>538</v>
      </c>
      <c r="T1760" t="s">
        <v>788</v>
      </c>
      <c r="U1760">
        <v>0.11152260078044318</v>
      </c>
      <c r="V1760" t="s">
        <v>157</v>
      </c>
    </row>
    <row r="1761" spans="19:22" x14ac:dyDescent="0.45">
      <c r="S1761" t="s">
        <v>538</v>
      </c>
      <c r="T1761" t="s">
        <v>789</v>
      </c>
      <c r="U1761">
        <v>0.11261304286978593</v>
      </c>
      <c r="V1761" t="s">
        <v>157</v>
      </c>
    </row>
    <row r="1762" spans="19:22" x14ac:dyDescent="0.45">
      <c r="S1762" t="s">
        <v>538</v>
      </c>
      <c r="T1762" t="s">
        <v>790</v>
      </c>
      <c r="U1762">
        <v>2.0572847561152689E-2</v>
      </c>
      <c r="V1762" t="s">
        <v>157</v>
      </c>
    </row>
    <row r="1763" spans="19:22" x14ac:dyDescent="0.45">
      <c r="S1763" t="s">
        <v>539</v>
      </c>
      <c r="T1763" t="s">
        <v>779</v>
      </c>
      <c r="U1763">
        <v>0.11535832380823743</v>
      </c>
      <c r="V1763" t="s">
        <v>157</v>
      </c>
    </row>
    <row r="1764" spans="19:22" x14ac:dyDescent="0.45">
      <c r="S1764" t="s">
        <v>539</v>
      </c>
      <c r="T1764" t="s">
        <v>780</v>
      </c>
      <c r="U1764">
        <v>0.11447930433959795</v>
      </c>
      <c r="V1764" t="s">
        <v>157</v>
      </c>
    </row>
    <row r="1765" spans="19:22" x14ac:dyDescent="0.45">
      <c r="S1765" t="s">
        <v>539</v>
      </c>
      <c r="T1765" t="s">
        <v>781</v>
      </c>
      <c r="U1765">
        <v>2.1183230935926715E-2</v>
      </c>
      <c r="V1765" t="s">
        <v>157</v>
      </c>
    </row>
    <row r="1766" spans="19:22" x14ac:dyDescent="0.45">
      <c r="S1766" t="s">
        <v>539</v>
      </c>
      <c r="T1766" t="s">
        <v>782</v>
      </c>
      <c r="U1766">
        <v>0.11527477009293317</v>
      </c>
      <c r="V1766" t="s">
        <v>157</v>
      </c>
    </row>
    <row r="1767" spans="19:22" x14ac:dyDescent="0.45">
      <c r="S1767" t="s">
        <v>539</v>
      </c>
      <c r="T1767" t="s">
        <v>783</v>
      </c>
      <c r="U1767">
        <v>0.11151548350264119</v>
      </c>
      <c r="V1767" t="s">
        <v>157</v>
      </c>
    </row>
    <row r="1768" spans="19:22" x14ac:dyDescent="0.45">
      <c r="S1768" t="s">
        <v>539</v>
      </c>
      <c r="T1768" t="s">
        <v>784</v>
      </c>
      <c r="U1768">
        <v>2.1008517446233763E-2</v>
      </c>
      <c r="V1768" t="s">
        <v>157</v>
      </c>
    </row>
    <row r="1769" spans="19:22" x14ac:dyDescent="0.45">
      <c r="S1769" t="s">
        <v>539</v>
      </c>
      <c r="T1769" t="s">
        <v>785</v>
      </c>
      <c r="U1769">
        <v>0.11728448846618707</v>
      </c>
      <c r="V1769" t="s">
        <v>157</v>
      </c>
    </row>
    <row r="1770" spans="19:22" x14ac:dyDescent="0.45">
      <c r="S1770" t="s">
        <v>539</v>
      </c>
      <c r="T1770" t="s">
        <v>786</v>
      </c>
      <c r="U1770">
        <v>0.1174549418733081</v>
      </c>
      <c r="V1770" t="s">
        <v>157</v>
      </c>
    </row>
    <row r="1771" spans="19:22" x14ac:dyDescent="0.45">
      <c r="S1771" t="s">
        <v>539</v>
      </c>
      <c r="T1771" t="s">
        <v>787</v>
      </c>
      <c r="U1771">
        <v>2.1093916855150184E-2</v>
      </c>
      <c r="V1771" t="s">
        <v>157</v>
      </c>
    </row>
    <row r="1772" spans="19:22" x14ac:dyDescent="0.45">
      <c r="S1772" t="s">
        <v>539</v>
      </c>
      <c r="T1772" t="s">
        <v>788</v>
      </c>
      <c r="U1772">
        <v>0.1119343067218702</v>
      </c>
      <c r="V1772" t="s">
        <v>157</v>
      </c>
    </row>
    <row r="1773" spans="19:22" x14ac:dyDescent="0.45">
      <c r="S1773" t="s">
        <v>539</v>
      </c>
      <c r="T1773" t="s">
        <v>789</v>
      </c>
      <c r="U1773">
        <v>0.11330819306927242</v>
      </c>
      <c r="V1773" t="s">
        <v>157</v>
      </c>
    </row>
    <row r="1774" spans="19:22" x14ac:dyDescent="0.45">
      <c r="S1774" t="s">
        <v>539</v>
      </c>
      <c r="T1774" t="s">
        <v>790</v>
      </c>
      <c r="U1774">
        <v>2.0104522888641879E-2</v>
      </c>
      <c r="V1774" t="s">
        <v>157</v>
      </c>
    </row>
    <row r="1775" spans="19:22" x14ac:dyDescent="0.45">
      <c r="S1775" t="s">
        <v>540</v>
      </c>
      <c r="T1775" t="s">
        <v>779</v>
      </c>
      <c r="U1775">
        <v>0.11661568031432076</v>
      </c>
      <c r="V1775" t="s">
        <v>157</v>
      </c>
    </row>
    <row r="1776" spans="19:22" x14ac:dyDescent="0.45">
      <c r="S1776" t="s">
        <v>540</v>
      </c>
      <c r="T1776" t="s">
        <v>780</v>
      </c>
      <c r="U1776">
        <v>0.12145996446525462</v>
      </c>
      <c r="V1776" t="s">
        <v>157</v>
      </c>
    </row>
    <row r="1777" spans="19:22" x14ac:dyDescent="0.45">
      <c r="S1777" t="s">
        <v>540</v>
      </c>
      <c r="T1777" t="s">
        <v>781</v>
      </c>
      <c r="U1777">
        <v>2.204228823974801E-2</v>
      </c>
      <c r="V1777" t="s">
        <v>157</v>
      </c>
    </row>
    <row r="1778" spans="19:22" x14ac:dyDescent="0.45">
      <c r="S1778" t="s">
        <v>540</v>
      </c>
      <c r="T1778" t="s">
        <v>782</v>
      </c>
      <c r="U1778">
        <v>0.11257296175242115</v>
      </c>
      <c r="V1778" t="s">
        <v>157</v>
      </c>
    </row>
    <row r="1779" spans="19:22" x14ac:dyDescent="0.45">
      <c r="S1779" t="s">
        <v>540</v>
      </c>
      <c r="T1779" t="s">
        <v>783</v>
      </c>
      <c r="U1779">
        <v>0.1215134129733353</v>
      </c>
      <c r="V1779" t="s">
        <v>157</v>
      </c>
    </row>
    <row r="1780" spans="19:22" x14ac:dyDescent="0.45">
      <c r="S1780" t="s">
        <v>540</v>
      </c>
      <c r="T1780" t="s">
        <v>784</v>
      </c>
      <c r="U1780">
        <v>2.1426342168560986E-2</v>
      </c>
      <c r="V1780" t="s">
        <v>157</v>
      </c>
    </row>
    <row r="1781" spans="19:22" x14ac:dyDescent="0.45">
      <c r="S1781" t="s">
        <v>540</v>
      </c>
      <c r="T1781" t="s">
        <v>785</v>
      </c>
      <c r="U1781">
        <v>0.12213222296189812</v>
      </c>
      <c r="V1781" t="s">
        <v>157</v>
      </c>
    </row>
    <row r="1782" spans="19:22" x14ac:dyDescent="0.45">
      <c r="S1782" t="s">
        <v>540</v>
      </c>
      <c r="T1782" t="s">
        <v>786</v>
      </c>
      <c r="U1782">
        <v>0.12116194500064102</v>
      </c>
      <c r="V1782" t="s">
        <v>157</v>
      </c>
    </row>
    <row r="1783" spans="19:22" x14ac:dyDescent="0.45">
      <c r="S1783" t="s">
        <v>540</v>
      </c>
      <c r="T1783" t="s">
        <v>787</v>
      </c>
      <c r="U1783">
        <v>2.27578222820842E-2</v>
      </c>
      <c r="V1783" t="s">
        <v>157</v>
      </c>
    </row>
    <row r="1784" spans="19:22" x14ac:dyDescent="0.45">
      <c r="S1784" t="s">
        <v>540</v>
      </c>
      <c r="T1784" t="s">
        <v>788</v>
      </c>
      <c r="U1784">
        <v>0.10021535816990017</v>
      </c>
      <c r="V1784" t="s">
        <v>157</v>
      </c>
    </row>
    <row r="1785" spans="19:22" x14ac:dyDescent="0.45">
      <c r="S1785" t="s">
        <v>540</v>
      </c>
      <c r="T1785" t="s">
        <v>789</v>
      </c>
      <c r="U1785">
        <v>0.10022494752893044</v>
      </c>
      <c r="V1785" t="s">
        <v>157</v>
      </c>
    </row>
    <row r="1786" spans="19:22" x14ac:dyDescent="0.45">
      <c r="S1786" t="s">
        <v>540</v>
      </c>
      <c r="T1786" t="s">
        <v>790</v>
      </c>
      <c r="U1786">
        <v>1.7877054142905132E-2</v>
      </c>
      <c r="V1786" t="s">
        <v>157</v>
      </c>
    </row>
    <row r="1787" spans="19:22" x14ac:dyDescent="0.45">
      <c r="S1787" t="s">
        <v>541</v>
      </c>
      <c r="T1787" t="s">
        <v>779</v>
      </c>
      <c r="U1787">
        <v>0.11877757537949817</v>
      </c>
      <c r="V1787" t="s">
        <v>157</v>
      </c>
    </row>
    <row r="1788" spans="19:22" x14ac:dyDescent="0.45">
      <c r="S1788" t="s">
        <v>541</v>
      </c>
      <c r="T1788" t="s">
        <v>780</v>
      </c>
      <c r="U1788">
        <v>0.11856035653536572</v>
      </c>
      <c r="V1788" t="s">
        <v>157</v>
      </c>
    </row>
    <row r="1789" spans="19:22" x14ac:dyDescent="0.45">
      <c r="S1789" t="s">
        <v>541</v>
      </c>
      <c r="T1789" t="s">
        <v>781</v>
      </c>
      <c r="U1789">
        <v>2.3964277162902278E-2</v>
      </c>
      <c r="V1789" t="s">
        <v>157</v>
      </c>
    </row>
    <row r="1790" spans="19:22" x14ac:dyDescent="0.45">
      <c r="S1790" t="s">
        <v>541</v>
      </c>
      <c r="T1790" t="s">
        <v>782</v>
      </c>
      <c r="U1790">
        <v>0.11258163737917697</v>
      </c>
      <c r="V1790" t="s">
        <v>157</v>
      </c>
    </row>
    <row r="1791" spans="19:22" x14ac:dyDescent="0.45">
      <c r="S1791" t="s">
        <v>541</v>
      </c>
      <c r="T1791" t="s">
        <v>783</v>
      </c>
      <c r="U1791">
        <v>0.11722495846082367</v>
      </c>
      <c r="V1791" t="s">
        <v>157</v>
      </c>
    </row>
    <row r="1792" spans="19:22" x14ac:dyDescent="0.45">
      <c r="S1792" t="s">
        <v>541</v>
      </c>
      <c r="T1792" t="s">
        <v>784</v>
      </c>
      <c r="U1792">
        <v>2.1031130060473111E-2</v>
      </c>
      <c r="V1792" t="s">
        <v>157</v>
      </c>
    </row>
    <row r="1793" spans="19:22" x14ac:dyDescent="0.45">
      <c r="S1793" t="s">
        <v>541</v>
      </c>
      <c r="T1793" t="s">
        <v>785</v>
      </c>
      <c r="U1793">
        <v>0.12109831359714564</v>
      </c>
      <c r="V1793" t="s">
        <v>157</v>
      </c>
    </row>
    <row r="1794" spans="19:22" x14ac:dyDescent="0.45">
      <c r="S1794" t="s">
        <v>541</v>
      </c>
      <c r="T1794" t="s">
        <v>786</v>
      </c>
      <c r="U1794">
        <v>0.11981344798982645</v>
      </c>
      <c r="V1794" t="s">
        <v>157</v>
      </c>
    </row>
    <row r="1795" spans="19:22" x14ac:dyDescent="0.45">
      <c r="S1795" t="s">
        <v>541</v>
      </c>
      <c r="T1795" t="s">
        <v>787</v>
      </c>
      <c r="U1795">
        <v>2.3148391680057358E-2</v>
      </c>
      <c r="V1795" t="s">
        <v>157</v>
      </c>
    </row>
    <row r="1796" spans="19:22" x14ac:dyDescent="0.45">
      <c r="S1796" t="s">
        <v>541</v>
      </c>
      <c r="T1796" t="s">
        <v>788</v>
      </c>
      <c r="U1796">
        <v>0.10472888991385522</v>
      </c>
      <c r="V1796" t="s">
        <v>157</v>
      </c>
    </row>
    <row r="1797" spans="19:22" x14ac:dyDescent="0.45">
      <c r="S1797" t="s">
        <v>541</v>
      </c>
      <c r="T1797" t="s">
        <v>789</v>
      </c>
      <c r="U1797">
        <v>9.9842982918294673E-2</v>
      </c>
      <c r="V1797" t="s">
        <v>157</v>
      </c>
    </row>
    <row r="1798" spans="19:22" x14ac:dyDescent="0.45">
      <c r="S1798" t="s">
        <v>541</v>
      </c>
      <c r="T1798" t="s">
        <v>790</v>
      </c>
      <c r="U1798">
        <v>1.9228038922580772E-2</v>
      </c>
      <c r="V1798" t="s">
        <v>157</v>
      </c>
    </row>
    <row r="1799" spans="19:22" x14ac:dyDescent="0.45">
      <c r="S1799" t="s">
        <v>542</v>
      </c>
      <c r="T1799" t="s">
        <v>779</v>
      </c>
      <c r="U1799">
        <v>0.11749939382844411</v>
      </c>
      <c r="V1799" t="s">
        <v>157</v>
      </c>
    </row>
    <row r="1800" spans="19:22" x14ac:dyDescent="0.45">
      <c r="S1800" t="s">
        <v>542</v>
      </c>
      <c r="T1800" t="s">
        <v>780</v>
      </c>
      <c r="U1800">
        <v>0.11589219419052391</v>
      </c>
      <c r="V1800" t="s">
        <v>157</v>
      </c>
    </row>
    <row r="1801" spans="19:22" x14ac:dyDescent="0.45">
      <c r="S1801" t="s">
        <v>542</v>
      </c>
      <c r="T1801" t="s">
        <v>781</v>
      </c>
      <c r="U1801">
        <v>2.5104784799201092E-2</v>
      </c>
      <c r="V1801" t="s">
        <v>157</v>
      </c>
    </row>
    <row r="1802" spans="19:22" x14ac:dyDescent="0.45">
      <c r="S1802" t="s">
        <v>542</v>
      </c>
      <c r="T1802" t="s">
        <v>782</v>
      </c>
      <c r="U1802">
        <v>0.11149479070131454</v>
      </c>
      <c r="V1802" t="s">
        <v>157</v>
      </c>
    </row>
    <row r="1803" spans="19:22" x14ac:dyDescent="0.45">
      <c r="S1803" t="s">
        <v>542</v>
      </c>
      <c r="T1803" t="s">
        <v>783</v>
      </c>
      <c r="U1803">
        <v>0.11001367551831294</v>
      </c>
      <c r="V1803" t="s">
        <v>157</v>
      </c>
    </row>
    <row r="1804" spans="19:22" x14ac:dyDescent="0.45">
      <c r="S1804" t="s">
        <v>542</v>
      </c>
      <c r="T1804" t="s">
        <v>784</v>
      </c>
      <c r="U1804">
        <v>2.2103172729279395E-2</v>
      </c>
      <c r="V1804" t="s">
        <v>157</v>
      </c>
    </row>
    <row r="1805" spans="19:22" x14ac:dyDescent="0.45">
      <c r="S1805" t="s">
        <v>542</v>
      </c>
      <c r="T1805" t="s">
        <v>785</v>
      </c>
      <c r="U1805">
        <v>0.1217087154550137</v>
      </c>
      <c r="V1805" t="s">
        <v>157</v>
      </c>
    </row>
    <row r="1806" spans="19:22" x14ac:dyDescent="0.45">
      <c r="S1806" t="s">
        <v>542</v>
      </c>
      <c r="T1806" t="s">
        <v>786</v>
      </c>
      <c r="U1806">
        <v>0.12326149485043809</v>
      </c>
      <c r="V1806" t="s">
        <v>157</v>
      </c>
    </row>
    <row r="1807" spans="19:22" x14ac:dyDescent="0.45">
      <c r="S1807" t="s">
        <v>542</v>
      </c>
      <c r="T1807" t="s">
        <v>787</v>
      </c>
      <c r="U1807">
        <v>2.4075521188870914E-2</v>
      </c>
      <c r="V1807" t="s">
        <v>157</v>
      </c>
    </row>
    <row r="1808" spans="19:22" x14ac:dyDescent="0.45">
      <c r="S1808" t="s">
        <v>542</v>
      </c>
      <c r="T1808" t="s">
        <v>788</v>
      </c>
      <c r="U1808">
        <v>0.10896064440015323</v>
      </c>
      <c r="V1808" t="s">
        <v>157</v>
      </c>
    </row>
    <row r="1809" spans="19:22" x14ac:dyDescent="0.45">
      <c r="S1809" t="s">
        <v>542</v>
      </c>
      <c r="T1809" t="s">
        <v>789</v>
      </c>
      <c r="U1809">
        <v>9.8996481386423446E-2</v>
      </c>
      <c r="V1809" t="s">
        <v>157</v>
      </c>
    </row>
    <row r="1810" spans="19:22" x14ac:dyDescent="0.45">
      <c r="S1810" t="s">
        <v>542</v>
      </c>
      <c r="T1810" t="s">
        <v>790</v>
      </c>
      <c r="U1810">
        <v>2.0889130952024659E-2</v>
      </c>
      <c r="V1810" t="s">
        <v>157</v>
      </c>
    </row>
    <row r="1811" spans="19:22" x14ac:dyDescent="0.45">
      <c r="S1811" t="s">
        <v>543</v>
      </c>
      <c r="T1811" t="s">
        <v>779</v>
      </c>
      <c r="U1811">
        <v>0.11715422501786994</v>
      </c>
      <c r="V1811" t="s">
        <v>157</v>
      </c>
    </row>
    <row r="1812" spans="19:22" x14ac:dyDescent="0.45">
      <c r="S1812" t="s">
        <v>543</v>
      </c>
      <c r="T1812" t="s">
        <v>780</v>
      </c>
      <c r="U1812">
        <v>0.11419286860744696</v>
      </c>
      <c r="V1812" t="s">
        <v>157</v>
      </c>
    </row>
    <row r="1813" spans="19:22" x14ac:dyDescent="0.45">
      <c r="S1813" t="s">
        <v>543</v>
      </c>
      <c r="T1813" t="s">
        <v>781</v>
      </c>
      <c r="U1813">
        <v>2.6803221398320691E-2</v>
      </c>
      <c r="V1813" t="s">
        <v>157</v>
      </c>
    </row>
    <row r="1814" spans="19:22" x14ac:dyDescent="0.45">
      <c r="S1814" t="s">
        <v>543</v>
      </c>
      <c r="T1814" t="s">
        <v>782</v>
      </c>
      <c r="U1814">
        <v>0.10893403638118944</v>
      </c>
      <c r="V1814" t="s">
        <v>157</v>
      </c>
    </row>
    <row r="1815" spans="19:22" x14ac:dyDescent="0.45">
      <c r="S1815" t="s">
        <v>543</v>
      </c>
      <c r="T1815" t="s">
        <v>783</v>
      </c>
      <c r="U1815">
        <v>0.10643538097993777</v>
      </c>
      <c r="V1815" t="s">
        <v>157</v>
      </c>
    </row>
    <row r="1816" spans="19:22" x14ac:dyDescent="0.45">
      <c r="S1816" t="s">
        <v>543</v>
      </c>
      <c r="T1816" t="s">
        <v>784</v>
      </c>
      <c r="U1816">
        <v>2.2906217432705541E-2</v>
      </c>
      <c r="V1816" t="s">
        <v>157</v>
      </c>
    </row>
    <row r="1817" spans="19:22" x14ac:dyDescent="0.45">
      <c r="S1817" t="s">
        <v>543</v>
      </c>
      <c r="T1817" t="s">
        <v>785</v>
      </c>
      <c r="U1817">
        <v>0.11918570141447285</v>
      </c>
      <c r="V1817" t="s">
        <v>157</v>
      </c>
    </row>
    <row r="1818" spans="19:22" x14ac:dyDescent="0.45">
      <c r="S1818" t="s">
        <v>543</v>
      </c>
      <c r="T1818" t="s">
        <v>786</v>
      </c>
      <c r="U1818">
        <v>0.12521225575997527</v>
      </c>
      <c r="V1818" t="s">
        <v>157</v>
      </c>
    </row>
    <row r="1819" spans="19:22" x14ac:dyDescent="0.45">
      <c r="S1819" t="s">
        <v>543</v>
      </c>
      <c r="T1819" t="s">
        <v>787</v>
      </c>
      <c r="U1819">
        <v>2.4672483260040574E-2</v>
      </c>
      <c r="V1819" t="s">
        <v>157</v>
      </c>
    </row>
    <row r="1820" spans="19:22" x14ac:dyDescent="0.45">
      <c r="S1820" t="s">
        <v>543</v>
      </c>
      <c r="T1820" t="s">
        <v>788</v>
      </c>
      <c r="U1820">
        <v>0.11112708878053343</v>
      </c>
      <c r="V1820" t="s">
        <v>157</v>
      </c>
    </row>
    <row r="1821" spans="19:22" x14ac:dyDescent="0.45">
      <c r="S1821" t="s">
        <v>543</v>
      </c>
      <c r="T1821" t="s">
        <v>789</v>
      </c>
      <c r="U1821">
        <v>9.9653524628109821E-2</v>
      </c>
      <c r="V1821" t="s">
        <v>157</v>
      </c>
    </row>
    <row r="1822" spans="19:22" x14ac:dyDescent="0.45">
      <c r="S1822" t="s">
        <v>543</v>
      </c>
      <c r="T1822" t="s">
        <v>790</v>
      </c>
      <c r="U1822">
        <v>2.3722996339397662E-2</v>
      </c>
      <c r="V1822" t="s">
        <v>157</v>
      </c>
    </row>
    <row r="1823" spans="19:22" x14ac:dyDescent="0.45">
      <c r="S1823" t="s">
        <v>544</v>
      </c>
      <c r="T1823" t="s">
        <v>779</v>
      </c>
      <c r="U1823">
        <v>0.12203544627445762</v>
      </c>
      <c r="V1823" t="s">
        <v>157</v>
      </c>
    </row>
    <row r="1824" spans="19:22" x14ac:dyDescent="0.45">
      <c r="S1824" t="s">
        <v>544</v>
      </c>
      <c r="T1824" t="s">
        <v>780</v>
      </c>
      <c r="U1824">
        <v>0.11657962393826972</v>
      </c>
      <c r="V1824" t="s">
        <v>157</v>
      </c>
    </row>
    <row r="1825" spans="19:22" x14ac:dyDescent="0.45">
      <c r="S1825" t="s">
        <v>544</v>
      </c>
      <c r="T1825" t="s">
        <v>781</v>
      </c>
      <c r="U1825">
        <v>2.9131776910639898E-2</v>
      </c>
      <c r="V1825" t="s">
        <v>157</v>
      </c>
    </row>
    <row r="1826" spans="19:22" x14ac:dyDescent="0.45">
      <c r="S1826" t="s">
        <v>544</v>
      </c>
      <c r="T1826" t="s">
        <v>782</v>
      </c>
      <c r="U1826">
        <v>0.1044672632180277</v>
      </c>
      <c r="V1826" t="s">
        <v>157</v>
      </c>
    </row>
    <row r="1827" spans="19:22" x14ac:dyDescent="0.45">
      <c r="S1827" t="s">
        <v>544</v>
      </c>
      <c r="T1827" t="s">
        <v>783</v>
      </c>
      <c r="U1827">
        <v>0.10422260796902096</v>
      </c>
      <c r="V1827" t="s">
        <v>157</v>
      </c>
    </row>
    <row r="1828" spans="19:22" x14ac:dyDescent="0.45">
      <c r="S1828" t="s">
        <v>544</v>
      </c>
      <c r="T1828" t="s">
        <v>784</v>
      </c>
      <c r="U1828">
        <v>2.2522604251974256E-2</v>
      </c>
      <c r="V1828" t="s">
        <v>157</v>
      </c>
    </row>
    <row r="1829" spans="19:22" x14ac:dyDescent="0.45">
      <c r="S1829" t="s">
        <v>544</v>
      </c>
      <c r="T1829" t="s">
        <v>785</v>
      </c>
      <c r="U1829">
        <v>0.11735056030353178</v>
      </c>
      <c r="V1829" t="s">
        <v>157</v>
      </c>
    </row>
    <row r="1830" spans="19:22" x14ac:dyDescent="0.45">
      <c r="S1830" t="s">
        <v>544</v>
      </c>
      <c r="T1830" t="s">
        <v>786</v>
      </c>
      <c r="U1830">
        <v>0.12726052278086997</v>
      </c>
      <c r="V1830" t="s">
        <v>157</v>
      </c>
    </row>
    <row r="1831" spans="19:22" x14ac:dyDescent="0.45">
      <c r="S1831" t="s">
        <v>544</v>
      </c>
      <c r="T1831" t="s">
        <v>787</v>
      </c>
      <c r="U1831">
        <v>2.4834122756444886E-2</v>
      </c>
      <c r="V1831" t="s">
        <v>157</v>
      </c>
    </row>
    <row r="1832" spans="19:22" x14ac:dyDescent="0.45">
      <c r="S1832" t="s">
        <v>544</v>
      </c>
      <c r="T1832" t="s">
        <v>788</v>
      </c>
      <c r="U1832">
        <v>0.10690868866438243</v>
      </c>
      <c r="V1832" t="s">
        <v>157</v>
      </c>
    </row>
    <row r="1833" spans="19:22" x14ac:dyDescent="0.45">
      <c r="S1833" t="s">
        <v>544</v>
      </c>
      <c r="T1833" t="s">
        <v>789</v>
      </c>
      <c r="U1833">
        <v>9.8827623211043034E-2</v>
      </c>
      <c r="V1833" t="s">
        <v>157</v>
      </c>
    </row>
    <row r="1834" spans="19:22" x14ac:dyDescent="0.45">
      <c r="S1834" t="s">
        <v>544</v>
      </c>
      <c r="T1834" t="s">
        <v>790</v>
      </c>
      <c r="U1834">
        <v>2.5859159721337715E-2</v>
      </c>
      <c r="V1834" t="s">
        <v>157</v>
      </c>
    </row>
    <row r="1835" spans="19:22" x14ac:dyDescent="0.45">
      <c r="S1835" t="s">
        <v>545</v>
      </c>
      <c r="T1835" t="s">
        <v>779</v>
      </c>
      <c r="U1835">
        <v>0.1727983550804317</v>
      </c>
      <c r="V1835" t="s">
        <v>157</v>
      </c>
    </row>
    <row r="1836" spans="19:22" x14ac:dyDescent="0.45">
      <c r="S1836" t="s">
        <v>545</v>
      </c>
      <c r="T1836" t="s">
        <v>780</v>
      </c>
      <c r="U1836">
        <v>0.13399681134948874</v>
      </c>
      <c r="V1836" t="s">
        <v>157</v>
      </c>
    </row>
    <row r="1837" spans="19:22" x14ac:dyDescent="0.45">
      <c r="S1837" t="s">
        <v>545</v>
      </c>
      <c r="T1837" t="s">
        <v>781</v>
      </c>
      <c r="U1837">
        <v>2.9927737673285298E-2</v>
      </c>
      <c r="V1837" t="s">
        <v>157</v>
      </c>
    </row>
    <row r="1838" spans="19:22" x14ac:dyDescent="0.45">
      <c r="S1838" t="s">
        <v>545</v>
      </c>
      <c r="T1838" t="s">
        <v>782</v>
      </c>
      <c r="U1838">
        <v>8.0265483857868927E-2</v>
      </c>
      <c r="V1838" t="s">
        <v>157</v>
      </c>
    </row>
    <row r="1839" spans="19:22" x14ac:dyDescent="0.45">
      <c r="S1839" t="s">
        <v>545</v>
      </c>
      <c r="T1839" t="s">
        <v>783</v>
      </c>
      <c r="U1839">
        <v>7.376406292656712E-2</v>
      </c>
      <c r="V1839" t="s">
        <v>157</v>
      </c>
    </row>
    <row r="1840" spans="19:22" x14ac:dyDescent="0.45">
      <c r="S1840" t="s">
        <v>545</v>
      </c>
      <c r="T1840" t="s">
        <v>784</v>
      </c>
      <c r="U1840">
        <v>1.3376079841316052E-2</v>
      </c>
      <c r="V1840" t="s">
        <v>157</v>
      </c>
    </row>
    <row r="1841" spans="19:22" x14ac:dyDescent="0.45">
      <c r="S1841" t="s">
        <v>545</v>
      </c>
      <c r="T1841" t="s">
        <v>785</v>
      </c>
      <c r="U1841">
        <v>0.12974231091881394</v>
      </c>
      <c r="V1841" t="s">
        <v>157</v>
      </c>
    </row>
    <row r="1842" spans="19:22" x14ac:dyDescent="0.45">
      <c r="S1842" t="s">
        <v>545</v>
      </c>
      <c r="T1842" t="s">
        <v>786</v>
      </c>
      <c r="U1842">
        <v>0.12212994129861458</v>
      </c>
      <c r="V1842" t="s">
        <v>157</v>
      </c>
    </row>
    <row r="1843" spans="19:22" x14ac:dyDescent="0.45">
      <c r="S1843" t="s">
        <v>545</v>
      </c>
      <c r="T1843" t="s">
        <v>787</v>
      </c>
      <c r="U1843">
        <v>2.3296557008530307E-2</v>
      </c>
      <c r="V1843" t="s">
        <v>157</v>
      </c>
    </row>
    <row r="1844" spans="19:22" x14ac:dyDescent="0.45">
      <c r="S1844" t="s">
        <v>545</v>
      </c>
      <c r="T1844" t="s">
        <v>788</v>
      </c>
      <c r="U1844">
        <v>0.1252677428931431</v>
      </c>
      <c r="V1844" t="s">
        <v>157</v>
      </c>
    </row>
    <row r="1845" spans="19:22" x14ac:dyDescent="0.45">
      <c r="S1845" t="s">
        <v>545</v>
      </c>
      <c r="T1845" t="s">
        <v>789</v>
      </c>
      <c r="U1845">
        <v>7.5960729867203827E-2</v>
      </c>
      <c r="V1845" t="s">
        <v>157</v>
      </c>
    </row>
    <row r="1846" spans="19:22" x14ac:dyDescent="0.45">
      <c r="S1846" t="s">
        <v>545</v>
      </c>
      <c r="T1846" t="s">
        <v>790</v>
      </c>
      <c r="U1846">
        <v>1.9474187284736384E-2</v>
      </c>
      <c r="V1846" t="s">
        <v>157</v>
      </c>
    </row>
    <row r="1847" spans="19:22" x14ac:dyDescent="0.45">
      <c r="S1847" t="s">
        <v>546</v>
      </c>
      <c r="T1847" t="s">
        <v>779</v>
      </c>
      <c r="U1847">
        <v>0.17469810530128191</v>
      </c>
      <c r="V1847" t="s">
        <v>157</v>
      </c>
    </row>
    <row r="1848" spans="19:22" x14ac:dyDescent="0.45">
      <c r="S1848" t="s">
        <v>546</v>
      </c>
      <c r="T1848" t="s">
        <v>780</v>
      </c>
      <c r="U1848">
        <v>0.13563898221117227</v>
      </c>
      <c r="V1848" t="s">
        <v>157</v>
      </c>
    </row>
    <row r="1849" spans="19:22" x14ac:dyDescent="0.45">
      <c r="S1849" t="s">
        <v>546</v>
      </c>
      <c r="T1849" t="s">
        <v>781</v>
      </c>
      <c r="U1849">
        <v>3.1629048416081419E-2</v>
      </c>
      <c r="V1849" t="s">
        <v>157</v>
      </c>
    </row>
    <row r="1850" spans="19:22" x14ac:dyDescent="0.45">
      <c r="S1850" t="s">
        <v>546</v>
      </c>
      <c r="T1850" t="s">
        <v>782</v>
      </c>
      <c r="U1850">
        <v>8.535477559316422E-2</v>
      </c>
      <c r="V1850" t="s">
        <v>157</v>
      </c>
    </row>
    <row r="1851" spans="19:22" x14ac:dyDescent="0.45">
      <c r="S1851" t="s">
        <v>546</v>
      </c>
      <c r="T1851" t="s">
        <v>783</v>
      </c>
      <c r="U1851">
        <v>7.6218628955396397E-2</v>
      </c>
      <c r="V1851" t="s">
        <v>157</v>
      </c>
    </row>
    <row r="1852" spans="19:22" x14ac:dyDescent="0.45">
      <c r="S1852" t="s">
        <v>546</v>
      </c>
      <c r="T1852" t="s">
        <v>784</v>
      </c>
      <c r="U1852">
        <v>1.5417252859881304E-2</v>
      </c>
      <c r="V1852" t="s">
        <v>157</v>
      </c>
    </row>
    <row r="1853" spans="19:22" x14ac:dyDescent="0.45">
      <c r="S1853" t="s">
        <v>546</v>
      </c>
      <c r="T1853" t="s">
        <v>785</v>
      </c>
      <c r="U1853">
        <v>0.12038198605823193</v>
      </c>
      <c r="V1853" t="s">
        <v>157</v>
      </c>
    </row>
    <row r="1854" spans="19:22" x14ac:dyDescent="0.45">
      <c r="S1854" t="s">
        <v>546</v>
      </c>
      <c r="T1854" t="s">
        <v>786</v>
      </c>
      <c r="U1854">
        <v>0.10597041431153384</v>
      </c>
      <c r="V1854" t="s">
        <v>157</v>
      </c>
    </row>
    <row r="1855" spans="19:22" x14ac:dyDescent="0.45">
      <c r="S1855" t="s">
        <v>546</v>
      </c>
      <c r="T1855" t="s">
        <v>787</v>
      </c>
      <c r="U1855">
        <v>2.2128364947118628E-2</v>
      </c>
      <c r="V1855" t="s">
        <v>157</v>
      </c>
    </row>
    <row r="1856" spans="19:22" x14ac:dyDescent="0.45">
      <c r="S1856" t="s">
        <v>546</v>
      </c>
      <c r="T1856" t="s">
        <v>788</v>
      </c>
      <c r="U1856">
        <v>0.12520739141765241</v>
      </c>
      <c r="V1856" t="s">
        <v>157</v>
      </c>
    </row>
    <row r="1857" spans="19:22" x14ac:dyDescent="0.45">
      <c r="S1857" t="s">
        <v>546</v>
      </c>
      <c r="T1857" t="s">
        <v>789</v>
      </c>
      <c r="U1857">
        <v>8.3015384354683225E-2</v>
      </c>
      <c r="V1857" t="s">
        <v>157</v>
      </c>
    </row>
    <row r="1858" spans="19:22" x14ac:dyDescent="0.45">
      <c r="S1858" t="s">
        <v>546</v>
      </c>
      <c r="T1858" t="s">
        <v>790</v>
      </c>
      <c r="U1858">
        <v>2.4339665573802498E-2</v>
      </c>
      <c r="V1858" t="s">
        <v>157</v>
      </c>
    </row>
    <row r="1859" spans="19:22" x14ac:dyDescent="0.45">
      <c r="S1859" t="s">
        <v>547</v>
      </c>
      <c r="T1859" t="s">
        <v>779</v>
      </c>
      <c r="U1859">
        <v>0.13783610754199171</v>
      </c>
      <c r="V1859" t="s">
        <v>157</v>
      </c>
    </row>
    <row r="1860" spans="19:22" x14ac:dyDescent="0.45">
      <c r="S1860" t="s">
        <v>547</v>
      </c>
      <c r="T1860" t="s">
        <v>780</v>
      </c>
      <c r="U1860">
        <v>0.13698040666378661</v>
      </c>
      <c r="V1860" t="s">
        <v>157</v>
      </c>
    </row>
    <row r="1861" spans="19:22" x14ac:dyDescent="0.45">
      <c r="S1861" t="s">
        <v>547</v>
      </c>
      <c r="T1861" t="s">
        <v>781</v>
      </c>
      <c r="U1861">
        <v>2.9120274579287262E-2</v>
      </c>
      <c r="V1861" t="s">
        <v>157</v>
      </c>
    </row>
    <row r="1862" spans="19:22" x14ac:dyDescent="0.45">
      <c r="S1862" t="s">
        <v>547</v>
      </c>
      <c r="T1862" t="s">
        <v>782</v>
      </c>
      <c r="U1862">
        <v>9.289372074439213E-2</v>
      </c>
      <c r="V1862" t="s">
        <v>157</v>
      </c>
    </row>
    <row r="1863" spans="19:22" x14ac:dyDescent="0.45">
      <c r="S1863" t="s">
        <v>547</v>
      </c>
      <c r="T1863" t="s">
        <v>783</v>
      </c>
      <c r="U1863">
        <v>8.7289219740881385E-2</v>
      </c>
      <c r="V1863" t="s">
        <v>157</v>
      </c>
    </row>
    <row r="1864" spans="19:22" x14ac:dyDescent="0.45">
      <c r="S1864" t="s">
        <v>547</v>
      </c>
      <c r="T1864" t="s">
        <v>784</v>
      </c>
      <c r="U1864">
        <v>1.8693820148858651E-2</v>
      </c>
      <c r="V1864" t="s">
        <v>157</v>
      </c>
    </row>
    <row r="1865" spans="19:22" x14ac:dyDescent="0.45">
      <c r="S1865" t="s">
        <v>547</v>
      </c>
      <c r="T1865" t="s">
        <v>785</v>
      </c>
      <c r="U1865">
        <v>0.12068848065048292</v>
      </c>
      <c r="V1865" t="s">
        <v>157</v>
      </c>
    </row>
    <row r="1866" spans="19:22" x14ac:dyDescent="0.45">
      <c r="S1866" t="s">
        <v>547</v>
      </c>
      <c r="T1866" t="s">
        <v>786</v>
      </c>
      <c r="U1866">
        <v>0.12135950205284361</v>
      </c>
      <c r="V1866" t="s">
        <v>157</v>
      </c>
    </row>
    <row r="1867" spans="19:22" x14ac:dyDescent="0.45">
      <c r="S1867" t="s">
        <v>547</v>
      </c>
      <c r="T1867" t="s">
        <v>787</v>
      </c>
      <c r="U1867">
        <v>2.4686406875866668E-2</v>
      </c>
      <c r="V1867" t="s">
        <v>157</v>
      </c>
    </row>
    <row r="1868" spans="19:22" x14ac:dyDescent="0.45">
      <c r="S1868" t="s">
        <v>547</v>
      </c>
      <c r="T1868" t="s">
        <v>788</v>
      </c>
      <c r="U1868">
        <v>0.10820043283549752</v>
      </c>
      <c r="V1868" t="s">
        <v>157</v>
      </c>
    </row>
    <row r="1869" spans="19:22" x14ac:dyDescent="0.45">
      <c r="S1869" t="s">
        <v>547</v>
      </c>
      <c r="T1869" t="s">
        <v>789</v>
      </c>
      <c r="U1869">
        <v>9.9729315785185124E-2</v>
      </c>
      <c r="V1869" t="s">
        <v>157</v>
      </c>
    </row>
    <row r="1870" spans="19:22" x14ac:dyDescent="0.45">
      <c r="S1870" t="s">
        <v>547</v>
      </c>
      <c r="T1870" t="s">
        <v>790</v>
      </c>
      <c r="U1870">
        <v>2.2522312380926456E-2</v>
      </c>
      <c r="V1870" t="s">
        <v>157</v>
      </c>
    </row>
    <row r="1871" spans="19:22" x14ac:dyDescent="0.45">
      <c r="S1871" t="s">
        <v>548</v>
      </c>
      <c r="T1871" t="s">
        <v>779</v>
      </c>
      <c r="U1871">
        <v>0.12936439207207526</v>
      </c>
      <c r="V1871" t="s">
        <v>157</v>
      </c>
    </row>
    <row r="1872" spans="19:22" x14ac:dyDescent="0.45">
      <c r="S1872" t="s">
        <v>548</v>
      </c>
      <c r="T1872" t="s">
        <v>780</v>
      </c>
      <c r="U1872">
        <v>0.13207925980772156</v>
      </c>
      <c r="V1872" t="s">
        <v>157</v>
      </c>
    </row>
    <row r="1873" spans="19:22" x14ac:dyDescent="0.45">
      <c r="S1873" t="s">
        <v>548</v>
      </c>
      <c r="T1873" t="s">
        <v>781</v>
      </c>
      <c r="U1873">
        <v>2.730552546851683E-2</v>
      </c>
      <c r="V1873" t="s">
        <v>157</v>
      </c>
    </row>
    <row r="1874" spans="19:22" x14ac:dyDescent="0.45">
      <c r="S1874" t="s">
        <v>548</v>
      </c>
      <c r="T1874" t="s">
        <v>782</v>
      </c>
      <c r="U1874">
        <v>9.6478287858423356E-2</v>
      </c>
      <c r="V1874" t="s">
        <v>157</v>
      </c>
    </row>
    <row r="1875" spans="19:22" x14ac:dyDescent="0.45">
      <c r="S1875" t="s">
        <v>548</v>
      </c>
      <c r="T1875" t="s">
        <v>783</v>
      </c>
      <c r="U1875">
        <v>8.7649293920342222E-2</v>
      </c>
      <c r="V1875" t="s">
        <v>157</v>
      </c>
    </row>
    <row r="1876" spans="19:22" x14ac:dyDescent="0.45">
      <c r="S1876" t="s">
        <v>548</v>
      </c>
      <c r="T1876" t="s">
        <v>784</v>
      </c>
      <c r="U1876">
        <v>1.8211238624538051E-2</v>
      </c>
      <c r="V1876" t="s">
        <v>157</v>
      </c>
    </row>
    <row r="1877" spans="19:22" x14ac:dyDescent="0.45">
      <c r="S1877" t="s">
        <v>548</v>
      </c>
      <c r="T1877" t="s">
        <v>785</v>
      </c>
      <c r="U1877">
        <v>0.12206148207902155</v>
      </c>
      <c r="V1877" t="s">
        <v>157</v>
      </c>
    </row>
    <row r="1878" spans="19:22" x14ac:dyDescent="0.45">
      <c r="S1878" t="s">
        <v>548</v>
      </c>
      <c r="T1878" t="s">
        <v>786</v>
      </c>
      <c r="U1878">
        <v>0.12465603672996259</v>
      </c>
      <c r="V1878" t="s">
        <v>157</v>
      </c>
    </row>
    <row r="1879" spans="19:22" x14ac:dyDescent="0.45">
      <c r="S1879" t="s">
        <v>548</v>
      </c>
      <c r="T1879" t="s">
        <v>787</v>
      </c>
      <c r="U1879">
        <v>2.4625206541167205E-2</v>
      </c>
      <c r="V1879" t="s">
        <v>157</v>
      </c>
    </row>
    <row r="1880" spans="19:22" x14ac:dyDescent="0.45">
      <c r="S1880" t="s">
        <v>548</v>
      </c>
      <c r="T1880" t="s">
        <v>788</v>
      </c>
      <c r="U1880">
        <v>0.10958495571538208</v>
      </c>
      <c r="V1880" t="s">
        <v>157</v>
      </c>
    </row>
    <row r="1881" spans="19:22" x14ac:dyDescent="0.45">
      <c r="S1881" t="s">
        <v>548</v>
      </c>
      <c r="T1881" t="s">
        <v>789</v>
      </c>
      <c r="U1881">
        <v>0.10523168253979294</v>
      </c>
      <c r="V1881" t="s">
        <v>157</v>
      </c>
    </row>
    <row r="1882" spans="19:22" x14ac:dyDescent="0.45">
      <c r="S1882" t="s">
        <v>548</v>
      </c>
      <c r="T1882" t="s">
        <v>790</v>
      </c>
      <c r="U1882">
        <v>2.2752638643056305E-2</v>
      </c>
      <c r="V1882" t="s">
        <v>157</v>
      </c>
    </row>
    <row r="1883" spans="19:22" x14ac:dyDescent="0.45">
      <c r="S1883" t="s">
        <v>549</v>
      </c>
      <c r="T1883" t="s">
        <v>779</v>
      </c>
      <c r="U1883">
        <v>0.12429547183643276</v>
      </c>
      <c r="V1883" t="s">
        <v>157</v>
      </c>
    </row>
    <row r="1884" spans="19:22" x14ac:dyDescent="0.45">
      <c r="S1884" t="s">
        <v>549</v>
      </c>
      <c r="T1884" t="s">
        <v>780</v>
      </c>
      <c r="U1884">
        <v>0.12897212132646146</v>
      </c>
      <c r="V1884" t="s">
        <v>157</v>
      </c>
    </row>
    <row r="1885" spans="19:22" x14ac:dyDescent="0.45">
      <c r="S1885" t="s">
        <v>549</v>
      </c>
      <c r="T1885" t="s">
        <v>781</v>
      </c>
      <c r="U1885">
        <v>2.5410195074801245E-2</v>
      </c>
      <c r="V1885" t="s">
        <v>157</v>
      </c>
    </row>
    <row r="1886" spans="19:22" x14ac:dyDescent="0.45">
      <c r="S1886" t="s">
        <v>549</v>
      </c>
      <c r="T1886" t="s">
        <v>782</v>
      </c>
      <c r="U1886">
        <v>0.10137773455301313</v>
      </c>
      <c r="V1886" t="s">
        <v>157</v>
      </c>
    </row>
    <row r="1887" spans="19:22" x14ac:dyDescent="0.45">
      <c r="S1887" t="s">
        <v>549</v>
      </c>
      <c r="T1887" t="s">
        <v>783</v>
      </c>
      <c r="U1887">
        <v>9.3338001721215258E-2</v>
      </c>
      <c r="V1887" t="s">
        <v>157</v>
      </c>
    </row>
    <row r="1888" spans="19:22" x14ac:dyDescent="0.45">
      <c r="S1888" t="s">
        <v>549</v>
      </c>
      <c r="T1888" t="s">
        <v>784</v>
      </c>
      <c r="U1888">
        <v>1.9184243515614263E-2</v>
      </c>
      <c r="V1888" t="s">
        <v>157</v>
      </c>
    </row>
    <row r="1889" spans="19:22" x14ac:dyDescent="0.45">
      <c r="S1889" t="s">
        <v>549</v>
      </c>
      <c r="T1889" t="s">
        <v>785</v>
      </c>
      <c r="U1889">
        <v>0.12233444422129378</v>
      </c>
      <c r="V1889" t="s">
        <v>157</v>
      </c>
    </row>
    <row r="1890" spans="19:22" x14ac:dyDescent="0.45">
      <c r="S1890" t="s">
        <v>549</v>
      </c>
      <c r="T1890" t="s">
        <v>786</v>
      </c>
      <c r="U1890">
        <v>0.12625997849428527</v>
      </c>
      <c r="V1890" t="s">
        <v>157</v>
      </c>
    </row>
    <row r="1891" spans="19:22" x14ac:dyDescent="0.45">
      <c r="S1891" t="s">
        <v>549</v>
      </c>
      <c r="T1891" t="s">
        <v>787</v>
      </c>
      <c r="U1891">
        <v>2.4490314562461594E-2</v>
      </c>
      <c r="V1891" t="s">
        <v>157</v>
      </c>
    </row>
    <row r="1892" spans="19:22" x14ac:dyDescent="0.45">
      <c r="S1892" t="s">
        <v>549</v>
      </c>
      <c r="T1892" t="s">
        <v>788</v>
      </c>
      <c r="U1892">
        <v>0.10633137688842285</v>
      </c>
      <c r="V1892" t="s">
        <v>157</v>
      </c>
    </row>
    <row r="1893" spans="19:22" x14ac:dyDescent="0.45">
      <c r="S1893" t="s">
        <v>549</v>
      </c>
      <c r="T1893" t="s">
        <v>789</v>
      </c>
      <c r="U1893">
        <v>0.1062747286278629</v>
      </c>
      <c r="V1893" t="s">
        <v>157</v>
      </c>
    </row>
    <row r="1894" spans="19:22" x14ac:dyDescent="0.45">
      <c r="S1894" t="s">
        <v>549</v>
      </c>
      <c r="T1894" t="s">
        <v>790</v>
      </c>
      <c r="U1894">
        <v>2.1731389178135514E-2</v>
      </c>
      <c r="V1894" t="s">
        <v>157</v>
      </c>
    </row>
    <row r="1895" spans="19:22" x14ac:dyDescent="0.45">
      <c r="S1895" t="s">
        <v>550</v>
      </c>
      <c r="T1895" t="s">
        <v>779</v>
      </c>
      <c r="U1895">
        <v>0.12324830018053767</v>
      </c>
      <c r="V1895" t="s">
        <v>157</v>
      </c>
    </row>
    <row r="1896" spans="19:22" x14ac:dyDescent="0.45">
      <c r="S1896" t="s">
        <v>550</v>
      </c>
      <c r="T1896" t="s">
        <v>780</v>
      </c>
      <c r="U1896">
        <v>0.13056068316110803</v>
      </c>
      <c r="V1896" t="s">
        <v>157</v>
      </c>
    </row>
    <row r="1897" spans="19:22" x14ac:dyDescent="0.45">
      <c r="S1897" t="s">
        <v>550</v>
      </c>
      <c r="T1897" t="s">
        <v>781</v>
      </c>
      <c r="U1897">
        <v>2.4671809042386049E-2</v>
      </c>
      <c r="V1897" t="s">
        <v>157</v>
      </c>
    </row>
    <row r="1898" spans="19:22" x14ac:dyDescent="0.45">
      <c r="S1898" t="s">
        <v>550</v>
      </c>
      <c r="T1898" t="s">
        <v>782</v>
      </c>
      <c r="U1898">
        <v>0.1019579853340007</v>
      </c>
      <c r="V1898" t="s">
        <v>157</v>
      </c>
    </row>
    <row r="1899" spans="19:22" x14ac:dyDescent="0.45">
      <c r="S1899" t="s">
        <v>550</v>
      </c>
      <c r="T1899" t="s">
        <v>783</v>
      </c>
      <c r="U1899">
        <v>9.6250308831762721E-2</v>
      </c>
      <c r="V1899" t="s">
        <v>157</v>
      </c>
    </row>
    <row r="1900" spans="19:22" x14ac:dyDescent="0.45">
      <c r="S1900" t="s">
        <v>550</v>
      </c>
      <c r="T1900" t="s">
        <v>784</v>
      </c>
      <c r="U1900">
        <v>1.8800722060449502E-2</v>
      </c>
      <c r="V1900" t="s">
        <v>157</v>
      </c>
    </row>
    <row r="1901" spans="19:22" x14ac:dyDescent="0.45">
      <c r="S1901" t="s">
        <v>550</v>
      </c>
      <c r="T1901" t="s">
        <v>785</v>
      </c>
      <c r="U1901">
        <v>0.12317084389108986</v>
      </c>
      <c r="V1901" t="s">
        <v>157</v>
      </c>
    </row>
    <row r="1902" spans="19:22" x14ac:dyDescent="0.45">
      <c r="S1902" t="s">
        <v>550</v>
      </c>
      <c r="T1902" t="s">
        <v>786</v>
      </c>
      <c r="U1902">
        <v>0.12655765693754437</v>
      </c>
      <c r="V1902" t="s">
        <v>157</v>
      </c>
    </row>
    <row r="1903" spans="19:22" x14ac:dyDescent="0.45">
      <c r="S1903" t="s">
        <v>550</v>
      </c>
      <c r="T1903" t="s">
        <v>787</v>
      </c>
      <c r="U1903">
        <v>2.4242983422089321E-2</v>
      </c>
      <c r="V1903" t="s">
        <v>157</v>
      </c>
    </row>
    <row r="1904" spans="19:22" x14ac:dyDescent="0.45">
      <c r="S1904" t="s">
        <v>550</v>
      </c>
      <c r="T1904" t="s">
        <v>788</v>
      </c>
      <c r="U1904">
        <v>0.10361253703904248</v>
      </c>
      <c r="V1904" t="s">
        <v>157</v>
      </c>
    </row>
    <row r="1905" spans="19:22" x14ac:dyDescent="0.45">
      <c r="S1905" t="s">
        <v>550</v>
      </c>
      <c r="T1905" t="s">
        <v>789</v>
      </c>
      <c r="U1905">
        <v>0.10645091935855798</v>
      </c>
      <c r="V1905" t="s">
        <v>157</v>
      </c>
    </row>
    <row r="1906" spans="19:22" x14ac:dyDescent="0.45">
      <c r="S1906" t="s">
        <v>550</v>
      </c>
      <c r="T1906" t="s">
        <v>790</v>
      </c>
      <c r="U1906">
        <v>2.0475250741431333E-2</v>
      </c>
      <c r="V1906" t="s">
        <v>157</v>
      </c>
    </row>
    <row r="1907" spans="19:22" x14ac:dyDescent="0.45">
      <c r="S1907" t="s">
        <v>551</v>
      </c>
      <c r="T1907" t="s">
        <v>779</v>
      </c>
      <c r="U1907">
        <v>0.12686164774231362</v>
      </c>
      <c r="V1907" t="s">
        <v>157</v>
      </c>
    </row>
    <row r="1908" spans="19:22" x14ac:dyDescent="0.45">
      <c r="S1908" t="s">
        <v>551</v>
      </c>
      <c r="T1908" t="s">
        <v>780</v>
      </c>
      <c r="U1908">
        <v>0.13245732995613291</v>
      </c>
      <c r="V1908" t="s">
        <v>157</v>
      </c>
    </row>
    <row r="1909" spans="19:22" x14ac:dyDescent="0.45">
      <c r="S1909" t="s">
        <v>551</v>
      </c>
      <c r="T1909" t="s">
        <v>781</v>
      </c>
      <c r="U1909">
        <v>2.4315942891525649E-2</v>
      </c>
      <c r="V1909" t="s">
        <v>157</v>
      </c>
    </row>
    <row r="1910" spans="19:22" x14ac:dyDescent="0.45">
      <c r="S1910" t="s">
        <v>551</v>
      </c>
      <c r="T1910" t="s">
        <v>782</v>
      </c>
      <c r="U1910">
        <v>0.10151419474827411</v>
      </c>
      <c r="V1910" t="s">
        <v>157</v>
      </c>
    </row>
    <row r="1911" spans="19:22" x14ac:dyDescent="0.45">
      <c r="S1911" t="s">
        <v>551</v>
      </c>
      <c r="T1911" t="s">
        <v>783</v>
      </c>
      <c r="U1911">
        <v>9.6379544886592811E-2</v>
      </c>
      <c r="V1911" t="s">
        <v>157</v>
      </c>
    </row>
    <row r="1912" spans="19:22" x14ac:dyDescent="0.45">
      <c r="S1912" t="s">
        <v>551</v>
      </c>
      <c r="T1912" t="s">
        <v>784</v>
      </c>
      <c r="U1912">
        <v>1.7783642693830544E-2</v>
      </c>
      <c r="V1912" t="s">
        <v>157</v>
      </c>
    </row>
    <row r="1913" spans="19:22" x14ac:dyDescent="0.45">
      <c r="S1913" t="s">
        <v>551</v>
      </c>
      <c r="T1913" t="s">
        <v>785</v>
      </c>
      <c r="U1913">
        <v>0.12462715693551729</v>
      </c>
      <c r="V1913" t="s">
        <v>157</v>
      </c>
    </row>
    <row r="1914" spans="19:22" x14ac:dyDescent="0.45">
      <c r="S1914" t="s">
        <v>551</v>
      </c>
      <c r="T1914" t="s">
        <v>786</v>
      </c>
      <c r="U1914">
        <v>0.12770353588952713</v>
      </c>
      <c r="V1914" t="s">
        <v>157</v>
      </c>
    </row>
    <row r="1915" spans="19:22" x14ac:dyDescent="0.45">
      <c r="S1915" t="s">
        <v>551</v>
      </c>
      <c r="T1915" t="s">
        <v>787</v>
      </c>
      <c r="U1915">
        <v>2.3583584465007884E-2</v>
      </c>
      <c r="V1915" t="s">
        <v>157</v>
      </c>
    </row>
    <row r="1916" spans="19:22" x14ac:dyDescent="0.45">
      <c r="S1916" t="s">
        <v>551</v>
      </c>
      <c r="T1916" t="s">
        <v>788</v>
      </c>
      <c r="U1916">
        <v>0.10135968280756151</v>
      </c>
      <c r="V1916" t="s">
        <v>157</v>
      </c>
    </row>
    <row r="1917" spans="19:22" x14ac:dyDescent="0.45">
      <c r="S1917" t="s">
        <v>551</v>
      </c>
      <c r="T1917" t="s">
        <v>789</v>
      </c>
      <c r="U1917">
        <v>0.1040819314771862</v>
      </c>
      <c r="V1917" t="s">
        <v>157</v>
      </c>
    </row>
    <row r="1918" spans="19:22" x14ac:dyDescent="0.45">
      <c r="S1918" t="s">
        <v>551</v>
      </c>
      <c r="T1918" t="s">
        <v>790</v>
      </c>
      <c r="U1918">
        <v>1.9331805506530349E-2</v>
      </c>
      <c r="V1918" t="s">
        <v>157</v>
      </c>
    </row>
    <row r="1919" spans="19:22" x14ac:dyDescent="0.45">
      <c r="S1919" t="s">
        <v>552</v>
      </c>
      <c r="T1919" t="s">
        <v>779</v>
      </c>
      <c r="U1919">
        <v>0.13012271079421736</v>
      </c>
      <c r="V1919" t="s">
        <v>157</v>
      </c>
    </row>
    <row r="1920" spans="19:22" x14ac:dyDescent="0.45">
      <c r="S1920" t="s">
        <v>552</v>
      </c>
      <c r="T1920" t="s">
        <v>780</v>
      </c>
      <c r="U1920">
        <v>0.13311886671070863</v>
      </c>
      <c r="V1920" t="s">
        <v>157</v>
      </c>
    </row>
    <row r="1921" spans="19:22" x14ac:dyDescent="0.45">
      <c r="S1921" t="s">
        <v>552</v>
      </c>
      <c r="T1921" t="s">
        <v>781</v>
      </c>
      <c r="U1921">
        <v>2.4248860034968747E-2</v>
      </c>
      <c r="V1921" t="s">
        <v>157</v>
      </c>
    </row>
    <row r="1922" spans="19:22" x14ac:dyDescent="0.45">
      <c r="S1922" t="s">
        <v>552</v>
      </c>
      <c r="T1922" t="s">
        <v>782</v>
      </c>
      <c r="U1922">
        <v>0.10097850021553842</v>
      </c>
      <c r="V1922" t="s">
        <v>157</v>
      </c>
    </row>
    <row r="1923" spans="19:22" x14ac:dyDescent="0.45">
      <c r="S1923" t="s">
        <v>552</v>
      </c>
      <c r="T1923" t="s">
        <v>783</v>
      </c>
      <c r="U1923">
        <v>9.7172159397316119E-2</v>
      </c>
      <c r="V1923" t="s">
        <v>157</v>
      </c>
    </row>
    <row r="1924" spans="19:22" x14ac:dyDescent="0.45">
      <c r="S1924" t="s">
        <v>552</v>
      </c>
      <c r="T1924" t="s">
        <v>784</v>
      </c>
      <c r="U1924">
        <v>1.7053510163507361E-2</v>
      </c>
      <c r="V1924" t="s">
        <v>157</v>
      </c>
    </row>
    <row r="1925" spans="19:22" x14ac:dyDescent="0.45">
      <c r="S1925" t="s">
        <v>552</v>
      </c>
      <c r="T1925" t="s">
        <v>785</v>
      </c>
      <c r="U1925">
        <v>0.12680183947757387</v>
      </c>
      <c r="V1925" t="s">
        <v>157</v>
      </c>
    </row>
    <row r="1926" spans="19:22" x14ac:dyDescent="0.45">
      <c r="S1926" t="s">
        <v>552</v>
      </c>
      <c r="T1926" t="s">
        <v>786</v>
      </c>
      <c r="U1926">
        <v>0.12886133137385092</v>
      </c>
      <c r="V1926" t="s">
        <v>157</v>
      </c>
    </row>
    <row r="1927" spans="19:22" x14ac:dyDescent="0.45">
      <c r="S1927" t="s">
        <v>552</v>
      </c>
      <c r="T1927" t="s">
        <v>787</v>
      </c>
      <c r="U1927">
        <v>2.3368656478968686E-2</v>
      </c>
      <c r="V1927" t="s">
        <v>157</v>
      </c>
    </row>
    <row r="1928" spans="19:22" x14ac:dyDescent="0.45">
      <c r="S1928" t="s">
        <v>552</v>
      </c>
      <c r="T1928" t="s">
        <v>788</v>
      </c>
      <c r="U1928">
        <v>9.9632698097058978E-2</v>
      </c>
      <c r="V1928" t="s">
        <v>157</v>
      </c>
    </row>
    <row r="1929" spans="19:22" x14ac:dyDescent="0.45">
      <c r="S1929" t="s">
        <v>552</v>
      </c>
      <c r="T1929" t="s">
        <v>789</v>
      </c>
      <c r="U1929">
        <v>0.10040150143017276</v>
      </c>
      <c r="V1929" t="s">
        <v>157</v>
      </c>
    </row>
    <row r="1930" spans="19:22" x14ac:dyDescent="0.45">
      <c r="S1930" t="s">
        <v>552</v>
      </c>
      <c r="T1930" t="s">
        <v>790</v>
      </c>
      <c r="U1930">
        <v>1.8239365826118098E-2</v>
      </c>
      <c r="V1930" t="s">
        <v>157</v>
      </c>
    </row>
    <row r="1931" spans="19:22" x14ac:dyDescent="0.45">
      <c r="S1931" t="s">
        <v>553</v>
      </c>
      <c r="T1931" t="s">
        <v>779</v>
      </c>
      <c r="U1931">
        <v>0.13084016364112191</v>
      </c>
      <c r="V1931" t="s">
        <v>157</v>
      </c>
    </row>
    <row r="1932" spans="19:22" x14ac:dyDescent="0.45">
      <c r="S1932" t="s">
        <v>553</v>
      </c>
      <c r="T1932" t="s">
        <v>780</v>
      </c>
      <c r="U1932">
        <v>0.13279569415904341</v>
      </c>
      <c r="V1932" t="s">
        <v>157</v>
      </c>
    </row>
    <row r="1933" spans="19:22" x14ac:dyDescent="0.45">
      <c r="S1933" t="s">
        <v>553</v>
      </c>
      <c r="T1933" t="s">
        <v>781</v>
      </c>
      <c r="U1933">
        <v>2.4191754736451181E-2</v>
      </c>
      <c r="V1933" t="s">
        <v>157</v>
      </c>
    </row>
    <row r="1934" spans="19:22" x14ac:dyDescent="0.45">
      <c r="S1934" t="s">
        <v>553</v>
      </c>
      <c r="T1934" t="s">
        <v>782</v>
      </c>
      <c r="U1934">
        <v>0.10108940481403439</v>
      </c>
      <c r="V1934" t="s">
        <v>157</v>
      </c>
    </row>
    <row r="1935" spans="19:22" x14ac:dyDescent="0.45">
      <c r="S1935" t="s">
        <v>553</v>
      </c>
      <c r="T1935" t="s">
        <v>783</v>
      </c>
      <c r="U1935">
        <v>9.9417761171585378E-2</v>
      </c>
      <c r="V1935" t="s">
        <v>157</v>
      </c>
    </row>
    <row r="1936" spans="19:22" x14ac:dyDescent="0.45">
      <c r="S1936" t="s">
        <v>553</v>
      </c>
      <c r="T1936" t="s">
        <v>784</v>
      </c>
      <c r="U1936">
        <v>1.7134114058759611E-2</v>
      </c>
      <c r="V1936" t="s">
        <v>157</v>
      </c>
    </row>
    <row r="1937" spans="19:22" x14ac:dyDescent="0.45">
      <c r="S1937" t="s">
        <v>553</v>
      </c>
      <c r="T1937" t="s">
        <v>785</v>
      </c>
      <c r="U1937">
        <v>0.12923436431984273</v>
      </c>
      <c r="V1937" t="s">
        <v>157</v>
      </c>
    </row>
    <row r="1938" spans="19:22" x14ac:dyDescent="0.45">
      <c r="S1938" t="s">
        <v>553</v>
      </c>
      <c r="T1938" t="s">
        <v>786</v>
      </c>
      <c r="U1938">
        <v>0.12910972251395933</v>
      </c>
      <c r="V1938" t="s">
        <v>157</v>
      </c>
    </row>
    <row r="1939" spans="19:22" x14ac:dyDescent="0.45">
      <c r="S1939" t="s">
        <v>553</v>
      </c>
      <c r="T1939" t="s">
        <v>787</v>
      </c>
      <c r="U1939">
        <v>2.3767118459552782E-2</v>
      </c>
      <c r="V1939" t="s">
        <v>157</v>
      </c>
    </row>
    <row r="1940" spans="19:22" x14ac:dyDescent="0.45">
      <c r="S1940" t="s">
        <v>553</v>
      </c>
      <c r="T1940" t="s">
        <v>788</v>
      </c>
      <c r="U1940">
        <v>9.8005547907527663E-2</v>
      </c>
      <c r="V1940" t="s">
        <v>157</v>
      </c>
    </row>
    <row r="1941" spans="19:22" x14ac:dyDescent="0.45">
      <c r="S1941" t="s">
        <v>553</v>
      </c>
      <c r="T1941" t="s">
        <v>789</v>
      </c>
      <c r="U1941">
        <v>9.715224110602122E-2</v>
      </c>
      <c r="V1941" t="s">
        <v>157</v>
      </c>
    </row>
    <row r="1942" spans="19:22" x14ac:dyDescent="0.45">
      <c r="S1942" t="s">
        <v>553</v>
      </c>
      <c r="T1942" t="s">
        <v>790</v>
      </c>
      <c r="U1942">
        <v>1.7262113112100436E-2</v>
      </c>
      <c r="V1942" t="s">
        <v>157</v>
      </c>
    </row>
    <row r="1943" spans="19:22" x14ac:dyDescent="0.45">
      <c r="S1943" t="s">
        <v>554</v>
      </c>
      <c r="T1943" t="s">
        <v>779</v>
      </c>
      <c r="U1943">
        <v>0.13089160695265736</v>
      </c>
      <c r="V1943" t="s">
        <v>157</v>
      </c>
    </row>
    <row r="1944" spans="19:22" x14ac:dyDescent="0.45">
      <c r="S1944" t="s">
        <v>554</v>
      </c>
      <c r="T1944" t="s">
        <v>780</v>
      </c>
      <c r="U1944">
        <v>0.13177642775355558</v>
      </c>
      <c r="V1944" t="s">
        <v>157</v>
      </c>
    </row>
    <row r="1945" spans="19:22" x14ac:dyDescent="0.45">
      <c r="S1945" t="s">
        <v>554</v>
      </c>
      <c r="T1945" t="s">
        <v>781</v>
      </c>
      <c r="U1945">
        <v>2.384546052876425E-2</v>
      </c>
      <c r="V1945" t="s">
        <v>157</v>
      </c>
    </row>
    <row r="1946" spans="19:22" x14ac:dyDescent="0.45">
      <c r="S1946" t="s">
        <v>554</v>
      </c>
      <c r="T1946" t="s">
        <v>782</v>
      </c>
      <c r="U1946">
        <v>0.10261646295541235</v>
      </c>
      <c r="V1946" t="s">
        <v>157</v>
      </c>
    </row>
    <row r="1947" spans="19:22" x14ac:dyDescent="0.45">
      <c r="S1947" t="s">
        <v>554</v>
      </c>
      <c r="T1947" t="s">
        <v>783</v>
      </c>
      <c r="U1947">
        <v>0.10139390971787343</v>
      </c>
      <c r="V1947" t="s">
        <v>157</v>
      </c>
    </row>
    <row r="1948" spans="19:22" x14ac:dyDescent="0.45">
      <c r="S1948" t="s">
        <v>554</v>
      </c>
      <c r="T1948" t="s">
        <v>784</v>
      </c>
      <c r="U1948">
        <v>1.7873755737873864E-2</v>
      </c>
      <c r="V1948" t="s">
        <v>157</v>
      </c>
    </row>
    <row r="1949" spans="19:22" x14ac:dyDescent="0.45">
      <c r="S1949" t="s">
        <v>554</v>
      </c>
      <c r="T1949" t="s">
        <v>785</v>
      </c>
      <c r="U1949">
        <v>0.1310280668745058</v>
      </c>
      <c r="V1949" t="s">
        <v>157</v>
      </c>
    </row>
    <row r="1950" spans="19:22" x14ac:dyDescent="0.45">
      <c r="S1950" t="s">
        <v>554</v>
      </c>
      <c r="T1950" t="s">
        <v>786</v>
      </c>
      <c r="U1950">
        <v>0.12899550635972598</v>
      </c>
      <c r="V1950" t="s">
        <v>157</v>
      </c>
    </row>
    <row r="1951" spans="19:22" x14ac:dyDescent="0.45">
      <c r="S1951" t="s">
        <v>554</v>
      </c>
      <c r="T1951" t="s">
        <v>787</v>
      </c>
      <c r="U1951">
        <v>2.402883054156103E-2</v>
      </c>
      <c r="V1951" t="s">
        <v>157</v>
      </c>
    </row>
    <row r="1952" spans="19:22" x14ac:dyDescent="0.45">
      <c r="S1952" t="s">
        <v>554</v>
      </c>
      <c r="T1952" t="s">
        <v>788</v>
      </c>
      <c r="U1952">
        <v>9.5908733502436574E-2</v>
      </c>
      <c r="V1952" t="s">
        <v>157</v>
      </c>
    </row>
    <row r="1953" spans="19:22" x14ac:dyDescent="0.45">
      <c r="S1953" t="s">
        <v>554</v>
      </c>
      <c r="T1953" t="s">
        <v>789</v>
      </c>
      <c r="U1953">
        <v>9.493504535347036E-2</v>
      </c>
      <c r="V1953" t="s">
        <v>157</v>
      </c>
    </row>
    <row r="1954" spans="19:22" x14ac:dyDescent="0.45">
      <c r="S1954" t="s">
        <v>554</v>
      </c>
      <c r="T1954" t="s">
        <v>790</v>
      </c>
      <c r="U1954">
        <v>1.6706193722163431E-2</v>
      </c>
      <c r="V1954" t="s">
        <v>157</v>
      </c>
    </row>
    <row r="1955" spans="19:22" x14ac:dyDescent="0.45">
      <c r="S1955" t="s">
        <v>555</v>
      </c>
      <c r="T1955" t="s">
        <v>779</v>
      </c>
      <c r="U1955">
        <v>0.11661321266432727</v>
      </c>
      <c r="V1955" t="s">
        <v>157</v>
      </c>
    </row>
    <row r="1956" spans="19:22" x14ac:dyDescent="0.45">
      <c r="S1956" t="s">
        <v>555</v>
      </c>
      <c r="T1956" t="s">
        <v>780</v>
      </c>
      <c r="U1956">
        <v>0.1172475669155761</v>
      </c>
      <c r="V1956" t="s">
        <v>157</v>
      </c>
    </row>
    <row r="1957" spans="19:22" x14ac:dyDescent="0.45">
      <c r="S1957" t="s">
        <v>555</v>
      </c>
      <c r="T1957" t="s">
        <v>781</v>
      </c>
      <c r="U1957">
        <v>2.1820306942864381E-2</v>
      </c>
      <c r="V1957" t="s">
        <v>157</v>
      </c>
    </row>
    <row r="1958" spans="19:22" x14ac:dyDescent="0.45">
      <c r="S1958" t="s">
        <v>555</v>
      </c>
      <c r="T1958" t="s">
        <v>782</v>
      </c>
      <c r="U1958">
        <v>0.11396037873345197</v>
      </c>
      <c r="V1958" t="s">
        <v>157</v>
      </c>
    </row>
    <row r="1959" spans="19:22" x14ac:dyDescent="0.45">
      <c r="S1959" t="s">
        <v>555</v>
      </c>
      <c r="T1959" t="s">
        <v>783</v>
      </c>
      <c r="U1959">
        <v>0.10926000935533346</v>
      </c>
      <c r="V1959" t="s">
        <v>157</v>
      </c>
    </row>
    <row r="1960" spans="19:22" x14ac:dyDescent="0.45">
      <c r="S1960" t="s">
        <v>555</v>
      </c>
      <c r="T1960" t="s">
        <v>784</v>
      </c>
      <c r="U1960">
        <v>2.0201697715633304E-2</v>
      </c>
      <c r="V1960" t="s">
        <v>157</v>
      </c>
    </row>
    <row r="1961" spans="19:22" x14ac:dyDescent="0.45">
      <c r="S1961" t="s">
        <v>555</v>
      </c>
      <c r="T1961" t="s">
        <v>785</v>
      </c>
      <c r="U1961">
        <v>0.1296425071849184</v>
      </c>
      <c r="V1961" t="s">
        <v>157</v>
      </c>
    </row>
    <row r="1962" spans="19:22" x14ac:dyDescent="0.45">
      <c r="S1962" t="s">
        <v>555</v>
      </c>
      <c r="T1962" t="s">
        <v>786</v>
      </c>
      <c r="U1962">
        <v>0.13060304985087523</v>
      </c>
      <c r="V1962" t="s">
        <v>157</v>
      </c>
    </row>
    <row r="1963" spans="19:22" x14ac:dyDescent="0.45">
      <c r="S1963" t="s">
        <v>555</v>
      </c>
      <c r="T1963" t="s">
        <v>787</v>
      </c>
      <c r="U1963">
        <v>2.4068212680818837E-2</v>
      </c>
      <c r="V1963" t="s">
        <v>157</v>
      </c>
    </row>
    <row r="1964" spans="19:22" x14ac:dyDescent="0.45">
      <c r="S1964" t="s">
        <v>555</v>
      </c>
      <c r="T1964" t="s">
        <v>788</v>
      </c>
      <c r="U1964">
        <v>9.8100913047445407E-2</v>
      </c>
      <c r="V1964" t="s">
        <v>157</v>
      </c>
    </row>
    <row r="1965" spans="19:22" x14ac:dyDescent="0.45">
      <c r="S1965" t="s">
        <v>555</v>
      </c>
      <c r="T1965" t="s">
        <v>789</v>
      </c>
      <c r="U1965">
        <v>0.1002736500784259</v>
      </c>
      <c r="V1965" t="s">
        <v>157</v>
      </c>
    </row>
    <row r="1966" spans="19:22" x14ac:dyDescent="0.45">
      <c r="S1966" t="s">
        <v>555</v>
      </c>
      <c r="T1966" t="s">
        <v>790</v>
      </c>
      <c r="U1966">
        <v>1.8208494830329706E-2</v>
      </c>
      <c r="V1966" t="s">
        <v>157</v>
      </c>
    </row>
    <row r="1967" spans="19:22" x14ac:dyDescent="0.45">
      <c r="S1967" t="s">
        <v>556</v>
      </c>
      <c r="T1967" t="s">
        <v>779</v>
      </c>
      <c r="U1967">
        <v>0.11645638017067085</v>
      </c>
      <c r="V1967" t="s">
        <v>157</v>
      </c>
    </row>
    <row r="1968" spans="19:22" x14ac:dyDescent="0.45">
      <c r="S1968" t="s">
        <v>556</v>
      </c>
      <c r="T1968" t="s">
        <v>780</v>
      </c>
      <c r="U1968">
        <v>0.11482683780959389</v>
      </c>
      <c r="V1968" t="s">
        <v>157</v>
      </c>
    </row>
    <row r="1969" spans="19:22" x14ac:dyDescent="0.45">
      <c r="S1969" t="s">
        <v>556</v>
      </c>
      <c r="T1969" t="s">
        <v>781</v>
      </c>
      <c r="U1969">
        <v>2.1826554997274372E-2</v>
      </c>
      <c r="V1969" t="s">
        <v>157</v>
      </c>
    </row>
    <row r="1970" spans="19:22" x14ac:dyDescent="0.45">
      <c r="S1970" t="s">
        <v>556</v>
      </c>
      <c r="T1970" t="s">
        <v>782</v>
      </c>
      <c r="U1970">
        <v>0.11588327553091067</v>
      </c>
      <c r="V1970" t="s">
        <v>157</v>
      </c>
    </row>
    <row r="1971" spans="19:22" x14ac:dyDescent="0.45">
      <c r="S1971" t="s">
        <v>556</v>
      </c>
      <c r="T1971" t="s">
        <v>783</v>
      </c>
      <c r="U1971">
        <v>0.11164354224901943</v>
      </c>
      <c r="V1971" t="s">
        <v>157</v>
      </c>
    </row>
    <row r="1972" spans="19:22" x14ac:dyDescent="0.45">
      <c r="S1972" t="s">
        <v>556</v>
      </c>
      <c r="T1972" t="s">
        <v>784</v>
      </c>
      <c r="U1972">
        <v>2.0686509402262968E-2</v>
      </c>
      <c r="V1972" t="s">
        <v>157</v>
      </c>
    </row>
    <row r="1973" spans="19:22" x14ac:dyDescent="0.45">
      <c r="S1973" t="s">
        <v>556</v>
      </c>
      <c r="T1973" t="s">
        <v>785</v>
      </c>
      <c r="U1973">
        <v>0.12850783504511132</v>
      </c>
      <c r="V1973" t="s">
        <v>157</v>
      </c>
    </row>
    <row r="1974" spans="19:22" x14ac:dyDescent="0.45">
      <c r="S1974" t="s">
        <v>556</v>
      </c>
      <c r="T1974" t="s">
        <v>786</v>
      </c>
      <c r="U1974">
        <v>0.12744683340893548</v>
      </c>
      <c r="V1974" t="s">
        <v>157</v>
      </c>
    </row>
    <row r="1975" spans="19:22" x14ac:dyDescent="0.45">
      <c r="S1975" t="s">
        <v>556</v>
      </c>
      <c r="T1975" t="s">
        <v>787</v>
      </c>
      <c r="U1975">
        <v>2.384551961509325E-2</v>
      </c>
      <c r="V1975" t="s">
        <v>157</v>
      </c>
    </row>
    <row r="1976" spans="19:22" x14ac:dyDescent="0.45">
      <c r="S1976" t="s">
        <v>556</v>
      </c>
      <c r="T1976" t="s">
        <v>788</v>
      </c>
      <c r="U1976">
        <v>9.9586066992511366E-2</v>
      </c>
      <c r="V1976" t="s">
        <v>157</v>
      </c>
    </row>
    <row r="1977" spans="19:22" x14ac:dyDescent="0.45">
      <c r="S1977" t="s">
        <v>556</v>
      </c>
      <c r="T1977" t="s">
        <v>789</v>
      </c>
      <c r="U1977">
        <v>0.10056243969124137</v>
      </c>
      <c r="V1977" t="s">
        <v>157</v>
      </c>
    </row>
    <row r="1978" spans="19:22" x14ac:dyDescent="0.45">
      <c r="S1978" t="s">
        <v>556</v>
      </c>
      <c r="T1978" t="s">
        <v>790</v>
      </c>
      <c r="U1978">
        <v>1.8728205087375049E-2</v>
      </c>
      <c r="V1978" t="s">
        <v>157</v>
      </c>
    </row>
    <row r="1979" spans="19:22" x14ac:dyDescent="0.45">
      <c r="S1979" t="s">
        <v>557</v>
      </c>
      <c r="T1979" t="s">
        <v>779</v>
      </c>
      <c r="U1979">
        <v>0.11630767503432993</v>
      </c>
      <c r="V1979" t="s">
        <v>157</v>
      </c>
    </row>
    <row r="1980" spans="19:22" x14ac:dyDescent="0.45">
      <c r="S1980" t="s">
        <v>557</v>
      </c>
      <c r="T1980" t="s">
        <v>780</v>
      </c>
      <c r="U1980">
        <v>0.11369517267629341</v>
      </c>
      <c r="V1980" t="s">
        <v>157</v>
      </c>
    </row>
    <row r="1981" spans="19:22" x14ac:dyDescent="0.45">
      <c r="S1981" t="s">
        <v>557</v>
      </c>
      <c r="T1981" t="s">
        <v>781</v>
      </c>
      <c r="U1981">
        <v>2.1610852973445678E-2</v>
      </c>
      <c r="V1981" t="s">
        <v>157</v>
      </c>
    </row>
    <row r="1982" spans="19:22" x14ac:dyDescent="0.45">
      <c r="S1982" t="s">
        <v>557</v>
      </c>
      <c r="T1982" t="s">
        <v>782</v>
      </c>
      <c r="U1982">
        <v>0.11761852535014046</v>
      </c>
      <c r="V1982" t="s">
        <v>157</v>
      </c>
    </row>
    <row r="1983" spans="19:22" x14ac:dyDescent="0.45">
      <c r="S1983" t="s">
        <v>557</v>
      </c>
      <c r="T1983" t="s">
        <v>783</v>
      </c>
      <c r="U1983">
        <v>0.11276388087018685</v>
      </c>
      <c r="V1983" t="s">
        <v>157</v>
      </c>
    </row>
    <row r="1984" spans="19:22" x14ac:dyDescent="0.45">
      <c r="S1984" t="s">
        <v>557</v>
      </c>
      <c r="T1984" t="s">
        <v>784</v>
      </c>
      <c r="U1984">
        <v>2.1202096870386225E-2</v>
      </c>
      <c r="V1984" t="s">
        <v>157</v>
      </c>
    </row>
    <row r="1985" spans="19:22" x14ac:dyDescent="0.45">
      <c r="S1985" t="s">
        <v>557</v>
      </c>
      <c r="T1985" t="s">
        <v>785</v>
      </c>
      <c r="U1985">
        <v>0.12760625098706113</v>
      </c>
      <c r="V1985" t="s">
        <v>157</v>
      </c>
    </row>
    <row r="1986" spans="19:22" x14ac:dyDescent="0.45">
      <c r="S1986" t="s">
        <v>557</v>
      </c>
      <c r="T1986" t="s">
        <v>786</v>
      </c>
      <c r="U1986">
        <v>0.12453787783725978</v>
      </c>
      <c r="V1986" t="s">
        <v>157</v>
      </c>
    </row>
    <row r="1987" spans="19:22" x14ac:dyDescent="0.45">
      <c r="S1987" t="s">
        <v>557</v>
      </c>
      <c r="T1987" t="s">
        <v>787</v>
      </c>
      <c r="U1987">
        <v>2.34233825756314E-2</v>
      </c>
      <c r="V1987" t="s">
        <v>157</v>
      </c>
    </row>
    <row r="1988" spans="19:22" x14ac:dyDescent="0.45">
      <c r="S1988" t="s">
        <v>557</v>
      </c>
      <c r="T1988" t="s">
        <v>788</v>
      </c>
      <c r="U1988">
        <v>0.10061003737882511</v>
      </c>
      <c r="V1988" t="s">
        <v>157</v>
      </c>
    </row>
    <row r="1989" spans="19:22" x14ac:dyDescent="0.45">
      <c r="S1989" t="s">
        <v>557</v>
      </c>
      <c r="T1989" t="s">
        <v>789</v>
      </c>
      <c r="U1989">
        <v>0.10137609282953422</v>
      </c>
      <c r="V1989" t="s">
        <v>157</v>
      </c>
    </row>
    <row r="1990" spans="19:22" x14ac:dyDescent="0.45">
      <c r="S1990" t="s">
        <v>557</v>
      </c>
      <c r="T1990" t="s">
        <v>790</v>
      </c>
      <c r="U1990">
        <v>1.9248154616905818E-2</v>
      </c>
      <c r="V1990" t="s">
        <v>157</v>
      </c>
    </row>
    <row r="1991" spans="19:22" x14ac:dyDescent="0.45">
      <c r="S1991" t="s">
        <v>558</v>
      </c>
      <c r="T1991" t="s">
        <v>779</v>
      </c>
      <c r="U1991">
        <v>0.11255415840239705</v>
      </c>
      <c r="V1991" t="s">
        <v>157</v>
      </c>
    </row>
    <row r="1992" spans="19:22" x14ac:dyDescent="0.45">
      <c r="S1992" t="s">
        <v>558</v>
      </c>
      <c r="T1992" t="s">
        <v>780</v>
      </c>
      <c r="U1992">
        <v>0.11357536175454204</v>
      </c>
      <c r="V1992" t="s">
        <v>157</v>
      </c>
    </row>
    <row r="1993" spans="19:22" x14ac:dyDescent="0.45">
      <c r="S1993" t="s">
        <v>558</v>
      </c>
      <c r="T1993" t="s">
        <v>781</v>
      </c>
      <c r="U1993">
        <v>2.0939167961942579E-2</v>
      </c>
      <c r="V1993" t="s">
        <v>157</v>
      </c>
    </row>
    <row r="1994" spans="19:22" x14ac:dyDescent="0.45">
      <c r="S1994" t="s">
        <v>558</v>
      </c>
      <c r="T1994" t="s">
        <v>782</v>
      </c>
      <c r="U1994">
        <v>0.11562349773312408</v>
      </c>
      <c r="V1994" t="s">
        <v>157</v>
      </c>
    </row>
    <row r="1995" spans="19:22" x14ac:dyDescent="0.45">
      <c r="S1995" t="s">
        <v>558</v>
      </c>
      <c r="T1995" t="s">
        <v>783</v>
      </c>
      <c r="U1995">
        <v>0.11364267946121383</v>
      </c>
      <c r="V1995" t="s">
        <v>157</v>
      </c>
    </row>
    <row r="1996" spans="19:22" x14ac:dyDescent="0.45">
      <c r="S1996" t="s">
        <v>558</v>
      </c>
      <c r="T1996" t="s">
        <v>784</v>
      </c>
      <c r="U1996">
        <v>2.1217133254557187E-2</v>
      </c>
      <c r="V1996" t="s">
        <v>157</v>
      </c>
    </row>
    <row r="1997" spans="19:22" x14ac:dyDescent="0.45">
      <c r="S1997" t="s">
        <v>558</v>
      </c>
      <c r="T1997" t="s">
        <v>785</v>
      </c>
      <c r="U1997">
        <v>0.12204081234787267</v>
      </c>
      <c r="V1997" t="s">
        <v>157</v>
      </c>
    </row>
    <row r="1998" spans="19:22" x14ac:dyDescent="0.45">
      <c r="S1998" t="s">
        <v>558</v>
      </c>
      <c r="T1998" t="s">
        <v>786</v>
      </c>
      <c r="U1998">
        <v>0.11719382543293816</v>
      </c>
      <c r="V1998" t="s">
        <v>157</v>
      </c>
    </row>
    <row r="1999" spans="19:22" x14ac:dyDescent="0.45">
      <c r="S1999" t="s">
        <v>558</v>
      </c>
      <c r="T1999" t="s">
        <v>787</v>
      </c>
      <c r="U1999">
        <v>2.2105125952025784E-2</v>
      </c>
      <c r="V1999" t="s">
        <v>157</v>
      </c>
    </row>
    <row r="2000" spans="19:22" x14ac:dyDescent="0.45">
      <c r="S2000" t="s">
        <v>558</v>
      </c>
      <c r="T2000" t="s">
        <v>788</v>
      </c>
      <c r="U2000">
        <v>0.10982899539095926</v>
      </c>
      <c r="V2000" t="s">
        <v>157</v>
      </c>
    </row>
    <row r="2001" spans="19:22" x14ac:dyDescent="0.45">
      <c r="S2001" t="s">
        <v>558</v>
      </c>
      <c r="T2001" t="s">
        <v>789</v>
      </c>
      <c r="U2001">
        <v>0.11033118652040043</v>
      </c>
      <c r="V2001" t="s">
        <v>157</v>
      </c>
    </row>
    <row r="2002" spans="19:22" x14ac:dyDescent="0.45">
      <c r="S2002" t="s">
        <v>558</v>
      </c>
      <c r="T2002" t="s">
        <v>790</v>
      </c>
      <c r="U2002">
        <v>2.0948055788026887E-2</v>
      </c>
      <c r="V2002" t="s">
        <v>157</v>
      </c>
    </row>
    <row r="2003" spans="19:22" x14ac:dyDescent="0.45">
      <c r="S2003" t="s">
        <v>559</v>
      </c>
      <c r="T2003" t="s">
        <v>779</v>
      </c>
      <c r="U2003">
        <v>0.11275291153853634</v>
      </c>
      <c r="V2003" t="s">
        <v>157</v>
      </c>
    </row>
    <row r="2004" spans="19:22" x14ac:dyDescent="0.45">
      <c r="S2004" t="s">
        <v>559</v>
      </c>
      <c r="T2004" t="s">
        <v>780</v>
      </c>
      <c r="U2004">
        <v>0.11419995966433479</v>
      </c>
      <c r="V2004" t="s">
        <v>157</v>
      </c>
    </row>
    <row r="2005" spans="19:22" x14ac:dyDescent="0.45">
      <c r="S2005" t="s">
        <v>559</v>
      </c>
      <c r="T2005" t="s">
        <v>781</v>
      </c>
      <c r="U2005">
        <v>2.1274369356586262E-2</v>
      </c>
      <c r="V2005" t="s">
        <v>157</v>
      </c>
    </row>
    <row r="2006" spans="19:22" x14ac:dyDescent="0.45">
      <c r="S2006" t="s">
        <v>559</v>
      </c>
      <c r="T2006" t="s">
        <v>782</v>
      </c>
      <c r="U2006">
        <v>0.11579595567051233</v>
      </c>
      <c r="V2006" t="s">
        <v>157</v>
      </c>
    </row>
    <row r="2007" spans="19:22" x14ac:dyDescent="0.45">
      <c r="S2007" t="s">
        <v>559</v>
      </c>
      <c r="T2007" t="s">
        <v>783</v>
      </c>
      <c r="U2007">
        <v>0.11311184344988783</v>
      </c>
      <c r="V2007" t="s">
        <v>157</v>
      </c>
    </row>
    <row r="2008" spans="19:22" x14ac:dyDescent="0.45">
      <c r="S2008" t="s">
        <v>559</v>
      </c>
      <c r="T2008" t="s">
        <v>784</v>
      </c>
      <c r="U2008">
        <v>2.099322010306329E-2</v>
      </c>
      <c r="V2008" t="s">
        <v>157</v>
      </c>
    </row>
    <row r="2009" spans="19:22" x14ac:dyDescent="0.45">
      <c r="S2009" t="s">
        <v>559</v>
      </c>
      <c r="T2009" t="s">
        <v>785</v>
      </c>
      <c r="U2009">
        <v>0.12077121371981804</v>
      </c>
      <c r="V2009" t="s">
        <v>157</v>
      </c>
    </row>
    <row r="2010" spans="19:22" x14ac:dyDescent="0.45">
      <c r="S2010" t="s">
        <v>559</v>
      </c>
      <c r="T2010" t="s">
        <v>786</v>
      </c>
      <c r="U2010">
        <v>0.11712506547389993</v>
      </c>
      <c r="V2010" t="s">
        <v>157</v>
      </c>
    </row>
    <row r="2011" spans="19:22" x14ac:dyDescent="0.45">
      <c r="S2011" t="s">
        <v>559</v>
      </c>
      <c r="T2011" t="s">
        <v>787</v>
      </c>
      <c r="U2011">
        <v>2.1955645831781032E-2</v>
      </c>
      <c r="V2011" t="s">
        <v>157</v>
      </c>
    </row>
    <row r="2012" spans="19:22" x14ac:dyDescent="0.45">
      <c r="S2012" t="s">
        <v>559</v>
      </c>
      <c r="T2012" t="s">
        <v>788</v>
      </c>
      <c r="U2012">
        <v>0.11008150185811798</v>
      </c>
      <c r="V2012" t="s">
        <v>157</v>
      </c>
    </row>
    <row r="2013" spans="19:22" x14ac:dyDescent="0.45">
      <c r="S2013" t="s">
        <v>559</v>
      </c>
      <c r="T2013" t="s">
        <v>789</v>
      </c>
      <c r="U2013">
        <v>0.11116434508796702</v>
      </c>
      <c r="V2013" t="s">
        <v>157</v>
      </c>
    </row>
    <row r="2014" spans="19:22" x14ac:dyDescent="0.45">
      <c r="S2014" t="s">
        <v>559</v>
      </c>
      <c r="T2014" t="s">
        <v>790</v>
      </c>
      <c r="U2014">
        <v>2.0773968245495131E-2</v>
      </c>
      <c r="V2014" t="s">
        <v>157</v>
      </c>
    </row>
    <row r="2015" spans="19:22" x14ac:dyDescent="0.45">
      <c r="S2015" t="s">
        <v>560</v>
      </c>
      <c r="T2015" t="s">
        <v>779</v>
      </c>
      <c r="U2015">
        <v>0.11395880666974202</v>
      </c>
      <c r="V2015" t="s">
        <v>157</v>
      </c>
    </row>
    <row r="2016" spans="19:22" x14ac:dyDescent="0.45">
      <c r="S2016" t="s">
        <v>560</v>
      </c>
      <c r="T2016" t="s">
        <v>780</v>
      </c>
      <c r="U2016">
        <v>0.11469515200612825</v>
      </c>
      <c r="V2016" t="s">
        <v>157</v>
      </c>
    </row>
    <row r="2017" spans="19:22" x14ac:dyDescent="0.45">
      <c r="S2017" t="s">
        <v>560</v>
      </c>
      <c r="T2017" t="s">
        <v>781</v>
      </c>
      <c r="U2017">
        <v>2.1283406663624264E-2</v>
      </c>
      <c r="V2017" t="s">
        <v>157</v>
      </c>
    </row>
    <row r="2018" spans="19:22" x14ac:dyDescent="0.45">
      <c r="S2018" t="s">
        <v>560</v>
      </c>
      <c r="T2018" t="s">
        <v>782</v>
      </c>
      <c r="U2018">
        <v>0.11573232301717151</v>
      </c>
      <c r="V2018" t="s">
        <v>157</v>
      </c>
    </row>
    <row r="2019" spans="19:22" x14ac:dyDescent="0.45">
      <c r="S2019" t="s">
        <v>560</v>
      </c>
      <c r="T2019" t="s">
        <v>783</v>
      </c>
      <c r="U2019">
        <v>0.11268581587183431</v>
      </c>
      <c r="V2019" t="s">
        <v>157</v>
      </c>
    </row>
    <row r="2020" spans="19:22" x14ac:dyDescent="0.45">
      <c r="S2020" t="s">
        <v>560</v>
      </c>
      <c r="T2020" t="s">
        <v>784</v>
      </c>
      <c r="U2020">
        <v>2.1019223545485095E-2</v>
      </c>
      <c r="V2020" t="s">
        <v>157</v>
      </c>
    </row>
    <row r="2021" spans="19:22" x14ac:dyDescent="0.45">
      <c r="S2021" t="s">
        <v>560</v>
      </c>
      <c r="T2021" t="s">
        <v>785</v>
      </c>
      <c r="U2021">
        <v>0.11871604501699892</v>
      </c>
      <c r="V2021" t="s">
        <v>157</v>
      </c>
    </row>
    <row r="2022" spans="19:22" x14ac:dyDescent="0.45">
      <c r="S2022" t="s">
        <v>560</v>
      </c>
      <c r="T2022" t="s">
        <v>786</v>
      </c>
      <c r="U2022">
        <v>0.11718761979669509</v>
      </c>
      <c r="V2022" t="s">
        <v>157</v>
      </c>
    </row>
    <row r="2023" spans="19:22" x14ac:dyDescent="0.45">
      <c r="S2023" t="s">
        <v>560</v>
      </c>
      <c r="T2023" t="s">
        <v>787</v>
      </c>
      <c r="U2023">
        <v>2.1598709298355757E-2</v>
      </c>
      <c r="V2023" t="s">
        <v>157</v>
      </c>
    </row>
    <row r="2024" spans="19:22" x14ac:dyDescent="0.45">
      <c r="S2024" t="s">
        <v>560</v>
      </c>
      <c r="T2024" t="s">
        <v>788</v>
      </c>
      <c r="U2024">
        <v>0.11080833048932381</v>
      </c>
      <c r="V2024" t="s">
        <v>157</v>
      </c>
    </row>
    <row r="2025" spans="19:22" x14ac:dyDescent="0.45">
      <c r="S2025" t="s">
        <v>560</v>
      </c>
      <c r="T2025" t="s">
        <v>789</v>
      </c>
      <c r="U2025">
        <v>0.1120919243429143</v>
      </c>
      <c r="V2025" t="s">
        <v>157</v>
      </c>
    </row>
    <row r="2026" spans="19:22" x14ac:dyDescent="0.45">
      <c r="S2026" t="s">
        <v>560</v>
      </c>
      <c r="T2026" t="s">
        <v>790</v>
      </c>
      <c r="U2026">
        <v>2.0222643281726693E-2</v>
      </c>
      <c r="V2026" t="s">
        <v>157</v>
      </c>
    </row>
    <row r="2027" spans="19:22" x14ac:dyDescent="0.45">
      <c r="S2027" t="s">
        <v>561</v>
      </c>
      <c r="T2027" t="s">
        <v>779</v>
      </c>
      <c r="U2027">
        <v>0.11319464795367327</v>
      </c>
      <c r="V2027" t="s">
        <v>157</v>
      </c>
    </row>
    <row r="2028" spans="19:22" x14ac:dyDescent="0.45">
      <c r="S2028" t="s">
        <v>561</v>
      </c>
      <c r="T2028" t="s">
        <v>780</v>
      </c>
      <c r="U2028">
        <v>0.11974894024204519</v>
      </c>
      <c r="V2028" t="s">
        <v>157</v>
      </c>
    </row>
    <row r="2029" spans="19:22" x14ac:dyDescent="0.45">
      <c r="S2029" t="s">
        <v>561</v>
      </c>
      <c r="T2029" t="s">
        <v>781</v>
      </c>
      <c r="U2029">
        <v>2.3313853075718712E-2</v>
      </c>
      <c r="V2029" t="s">
        <v>157</v>
      </c>
    </row>
    <row r="2030" spans="19:22" x14ac:dyDescent="0.45">
      <c r="S2030" t="s">
        <v>561</v>
      </c>
      <c r="T2030" t="s">
        <v>782</v>
      </c>
      <c r="U2030">
        <v>0.11092639387823613</v>
      </c>
      <c r="V2030" t="s">
        <v>157</v>
      </c>
    </row>
    <row r="2031" spans="19:22" x14ac:dyDescent="0.45">
      <c r="S2031" t="s">
        <v>561</v>
      </c>
      <c r="T2031" t="s">
        <v>783</v>
      </c>
      <c r="U2031">
        <v>0.11340626023082236</v>
      </c>
      <c r="V2031" t="s">
        <v>157</v>
      </c>
    </row>
    <row r="2032" spans="19:22" x14ac:dyDescent="0.45">
      <c r="S2032" t="s">
        <v>561</v>
      </c>
      <c r="T2032" t="s">
        <v>784</v>
      </c>
      <c r="U2032">
        <v>2.0861307646927459E-2</v>
      </c>
      <c r="V2032" t="s">
        <v>157</v>
      </c>
    </row>
    <row r="2033" spans="19:22" x14ac:dyDescent="0.45">
      <c r="S2033" t="s">
        <v>561</v>
      </c>
      <c r="T2033" t="s">
        <v>785</v>
      </c>
      <c r="U2033">
        <v>0.12502217457604869</v>
      </c>
      <c r="V2033" t="s">
        <v>157</v>
      </c>
    </row>
    <row r="2034" spans="19:22" x14ac:dyDescent="0.45">
      <c r="S2034" t="s">
        <v>561</v>
      </c>
      <c r="T2034" t="s">
        <v>786</v>
      </c>
      <c r="U2034">
        <v>0.1241149052916795</v>
      </c>
      <c r="V2034" t="s">
        <v>157</v>
      </c>
    </row>
    <row r="2035" spans="19:22" x14ac:dyDescent="0.45">
      <c r="S2035" t="s">
        <v>561</v>
      </c>
      <c r="T2035" t="s">
        <v>787</v>
      </c>
      <c r="U2035">
        <v>2.3808868807180122E-2</v>
      </c>
      <c r="V2035" t="s">
        <v>157</v>
      </c>
    </row>
    <row r="2036" spans="19:22" x14ac:dyDescent="0.45">
      <c r="S2036" t="s">
        <v>561</v>
      </c>
      <c r="T2036" t="s">
        <v>788</v>
      </c>
      <c r="U2036">
        <v>0.10274837157317085</v>
      </c>
      <c r="V2036" t="s">
        <v>157</v>
      </c>
    </row>
    <row r="2037" spans="19:22" x14ac:dyDescent="0.45">
      <c r="S2037" t="s">
        <v>561</v>
      </c>
      <c r="T2037" t="s">
        <v>789</v>
      </c>
      <c r="U2037">
        <v>0.10316099221493311</v>
      </c>
      <c r="V2037" t="s">
        <v>157</v>
      </c>
    </row>
    <row r="2038" spans="19:22" x14ac:dyDescent="0.45">
      <c r="S2038" t="s">
        <v>561</v>
      </c>
      <c r="T2038" t="s">
        <v>790</v>
      </c>
      <c r="U2038">
        <v>1.9693284509564559E-2</v>
      </c>
      <c r="V2038" t="s">
        <v>157</v>
      </c>
    </row>
    <row r="2039" spans="19:22" x14ac:dyDescent="0.45">
      <c r="S2039" t="s">
        <v>562</v>
      </c>
      <c r="T2039" t="s">
        <v>779</v>
      </c>
      <c r="U2039">
        <v>0.10930488904085969</v>
      </c>
      <c r="V2039" t="s">
        <v>157</v>
      </c>
    </row>
    <row r="2040" spans="19:22" x14ac:dyDescent="0.45">
      <c r="S2040" t="s">
        <v>562</v>
      </c>
      <c r="T2040" t="s">
        <v>780</v>
      </c>
      <c r="U2040">
        <v>0.12318333605121107</v>
      </c>
      <c r="V2040" t="s">
        <v>157</v>
      </c>
    </row>
    <row r="2041" spans="19:22" x14ac:dyDescent="0.45">
      <c r="S2041" t="s">
        <v>562</v>
      </c>
      <c r="T2041" t="s">
        <v>781</v>
      </c>
      <c r="U2041">
        <v>2.502189981016216E-2</v>
      </c>
      <c r="V2041" t="s">
        <v>157</v>
      </c>
    </row>
    <row r="2042" spans="19:22" x14ac:dyDescent="0.45">
      <c r="S2042" t="s">
        <v>562</v>
      </c>
      <c r="T2042" t="s">
        <v>782</v>
      </c>
      <c r="U2042">
        <v>0.10522667815663599</v>
      </c>
      <c r="V2042" t="s">
        <v>157</v>
      </c>
    </row>
    <row r="2043" spans="19:22" x14ac:dyDescent="0.45">
      <c r="S2043" t="s">
        <v>562</v>
      </c>
      <c r="T2043" t="s">
        <v>783</v>
      </c>
      <c r="U2043">
        <v>0.10983243422826994</v>
      </c>
      <c r="V2043" t="s">
        <v>157</v>
      </c>
    </row>
    <row r="2044" spans="19:22" x14ac:dyDescent="0.45">
      <c r="S2044" t="s">
        <v>562</v>
      </c>
      <c r="T2044" t="s">
        <v>784</v>
      </c>
      <c r="U2044">
        <v>2.1748877613918069E-2</v>
      </c>
      <c r="V2044" t="s">
        <v>157</v>
      </c>
    </row>
    <row r="2045" spans="19:22" x14ac:dyDescent="0.45">
      <c r="S2045" t="s">
        <v>562</v>
      </c>
      <c r="T2045" t="s">
        <v>785</v>
      </c>
      <c r="U2045">
        <v>0.12247139103290558</v>
      </c>
      <c r="V2045" t="s">
        <v>157</v>
      </c>
    </row>
    <row r="2046" spans="19:22" x14ac:dyDescent="0.45">
      <c r="S2046" t="s">
        <v>562</v>
      </c>
      <c r="T2046" t="s">
        <v>786</v>
      </c>
      <c r="U2046">
        <v>0.12695526999917217</v>
      </c>
      <c r="V2046" t="s">
        <v>157</v>
      </c>
    </row>
    <row r="2047" spans="19:22" x14ac:dyDescent="0.45">
      <c r="S2047" t="s">
        <v>562</v>
      </c>
      <c r="T2047" t="s">
        <v>787</v>
      </c>
      <c r="U2047">
        <v>2.4499166867150261E-2</v>
      </c>
      <c r="V2047" t="s">
        <v>157</v>
      </c>
    </row>
    <row r="2048" spans="19:22" x14ac:dyDescent="0.45">
      <c r="S2048" t="s">
        <v>562</v>
      </c>
      <c r="T2048" t="s">
        <v>788</v>
      </c>
      <c r="U2048">
        <v>0.10294211852599486</v>
      </c>
      <c r="V2048" t="s">
        <v>157</v>
      </c>
    </row>
    <row r="2049" spans="19:22" x14ac:dyDescent="0.45">
      <c r="S2049" t="s">
        <v>562</v>
      </c>
      <c r="T2049" t="s">
        <v>789</v>
      </c>
      <c r="U2049">
        <v>0.10721358851836744</v>
      </c>
      <c r="V2049" t="s">
        <v>157</v>
      </c>
    </row>
    <row r="2050" spans="19:22" x14ac:dyDescent="0.45">
      <c r="S2050" t="s">
        <v>562</v>
      </c>
      <c r="T2050" t="s">
        <v>790</v>
      </c>
      <c r="U2050">
        <v>2.1600350155352742E-2</v>
      </c>
      <c r="V2050" t="s">
        <v>157</v>
      </c>
    </row>
    <row r="2051" spans="19:22" x14ac:dyDescent="0.45">
      <c r="S2051" t="s">
        <v>563</v>
      </c>
      <c r="T2051" t="s">
        <v>779</v>
      </c>
      <c r="U2051">
        <v>0.10883276318050018</v>
      </c>
      <c r="V2051" t="s">
        <v>157</v>
      </c>
    </row>
    <row r="2052" spans="19:22" x14ac:dyDescent="0.45">
      <c r="S2052" t="s">
        <v>563</v>
      </c>
      <c r="T2052" t="s">
        <v>780</v>
      </c>
      <c r="U2052">
        <v>0.12678290858958527</v>
      </c>
      <c r="V2052" t="s">
        <v>157</v>
      </c>
    </row>
    <row r="2053" spans="19:22" x14ac:dyDescent="0.45">
      <c r="S2053" t="s">
        <v>563</v>
      </c>
      <c r="T2053" t="s">
        <v>781</v>
      </c>
      <c r="U2053">
        <v>2.6461919484168459E-2</v>
      </c>
      <c r="V2053" t="s">
        <v>157</v>
      </c>
    </row>
    <row r="2054" spans="19:22" x14ac:dyDescent="0.45">
      <c r="S2054" t="s">
        <v>563</v>
      </c>
      <c r="T2054" t="s">
        <v>782</v>
      </c>
      <c r="U2054">
        <v>9.9701663982441457E-2</v>
      </c>
      <c r="V2054" t="s">
        <v>157</v>
      </c>
    </row>
    <row r="2055" spans="19:22" x14ac:dyDescent="0.45">
      <c r="S2055" t="s">
        <v>563</v>
      </c>
      <c r="T2055" t="s">
        <v>783</v>
      </c>
      <c r="U2055">
        <v>0.11035470437808555</v>
      </c>
      <c r="V2055" t="s">
        <v>157</v>
      </c>
    </row>
    <row r="2056" spans="19:22" x14ac:dyDescent="0.45">
      <c r="S2056" t="s">
        <v>563</v>
      </c>
      <c r="T2056" t="s">
        <v>784</v>
      </c>
      <c r="U2056">
        <v>2.2121329725922258E-2</v>
      </c>
      <c r="V2056" t="s">
        <v>157</v>
      </c>
    </row>
    <row r="2057" spans="19:22" x14ac:dyDescent="0.45">
      <c r="S2057" t="s">
        <v>563</v>
      </c>
      <c r="T2057" t="s">
        <v>785</v>
      </c>
      <c r="U2057">
        <v>0.11723428015788186</v>
      </c>
      <c r="V2057" t="s">
        <v>157</v>
      </c>
    </row>
    <row r="2058" spans="19:22" x14ac:dyDescent="0.45">
      <c r="S2058" t="s">
        <v>563</v>
      </c>
      <c r="T2058" t="s">
        <v>786</v>
      </c>
      <c r="U2058">
        <v>0.12805334129559706</v>
      </c>
      <c r="V2058" t="s">
        <v>157</v>
      </c>
    </row>
    <row r="2059" spans="19:22" x14ac:dyDescent="0.45">
      <c r="S2059" t="s">
        <v>563</v>
      </c>
      <c r="T2059" t="s">
        <v>787</v>
      </c>
      <c r="U2059">
        <v>2.4907947705615323E-2</v>
      </c>
      <c r="V2059" t="s">
        <v>157</v>
      </c>
    </row>
    <row r="2060" spans="19:22" x14ac:dyDescent="0.45">
      <c r="S2060" t="s">
        <v>563</v>
      </c>
      <c r="T2060" t="s">
        <v>788</v>
      </c>
      <c r="U2060">
        <v>0.10123722496311123</v>
      </c>
      <c r="V2060" t="s">
        <v>157</v>
      </c>
    </row>
    <row r="2061" spans="19:22" x14ac:dyDescent="0.45">
      <c r="S2061" t="s">
        <v>563</v>
      </c>
      <c r="T2061" t="s">
        <v>789</v>
      </c>
      <c r="U2061">
        <v>0.11021184991069508</v>
      </c>
      <c r="V2061" t="s">
        <v>157</v>
      </c>
    </row>
    <row r="2062" spans="19:22" x14ac:dyDescent="0.45">
      <c r="S2062" t="s">
        <v>563</v>
      </c>
      <c r="T2062" t="s">
        <v>790</v>
      </c>
      <c r="U2062">
        <v>2.4100066626396233E-2</v>
      </c>
      <c r="V2062" t="s">
        <v>157</v>
      </c>
    </row>
    <row r="2063" spans="19:22" x14ac:dyDescent="0.45">
      <c r="S2063" t="s">
        <v>564</v>
      </c>
      <c r="T2063" t="s">
        <v>779</v>
      </c>
      <c r="U2063">
        <v>0.10972937896942016</v>
      </c>
      <c r="V2063" t="s">
        <v>157</v>
      </c>
    </row>
    <row r="2064" spans="19:22" x14ac:dyDescent="0.45">
      <c r="S2064" t="s">
        <v>564</v>
      </c>
      <c r="T2064" t="s">
        <v>780</v>
      </c>
      <c r="U2064">
        <v>0.13174125191202868</v>
      </c>
      <c r="V2064" t="s">
        <v>157</v>
      </c>
    </row>
    <row r="2065" spans="19:22" x14ac:dyDescent="0.45">
      <c r="S2065" t="s">
        <v>564</v>
      </c>
      <c r="T2065" t="s">
        <v>781</v>
      </c>
      <c r="U2065">
        <v>2.7286192733266747E-2</v>
      </c>
      <c r="V2065" t="s">
        <v>157</v>
      </c>
    </row>
    <row r="2066" spans="19:22" x14ac:dyDescent="0.45">
      <c r="S2066" t="s">
        <v>564</v>
      </c>
      <c r="T2066" t="s">
        <v>782</v>
      </c>
      <c r="U2066">
        <v>9.4063136322082366E-2</v>
      </c>
      <c r="V2066" t="s">
        <v>157</v>
      </c>
    </row>
    <row r="2067" spans="19:22" x14ac:dyDescent="0.45">
      <c r="S2067" t="s">
        <v>564</v>
      </c>
      <c r="T2067" t="s">
        <v>783</v>
      </c>
      <c r="U2067">
        <v>0.11068604909045639</v>
      </c>
      <c r="V2067" t="s">
        <v>157</v>
      </c>
    </row>
    <row r="2068" spans="19:22" x14ac:dyDescent="0.45">
      <c r="S2068" t="s">
        <v>564</v>
      </c>
      <c r="T2068" t="s">
        <v>784</v>
      </c>
      <c r="U2068">
        <v>2.2071611789202101E-2</v>
      </c>
      <c r="V2068" t="s">
        <v>157</v>
      </c>
    </row>
    <row r="2069" spans="19:22" x14ac:dyDescent="0.45">
      <c r="S2069" t="s">
        <v>564</v>
      </c>
      <c r="T2069" t="s">
        <v>785</v>
      </c>
      <c r="U2069">
        <v>0.11493749935113853</v>
      </c>
      <c r="V2069" t="s">
        <v>157</v>
      </c>
    </row>
    <row r="2070" spans="19:22" x14ac:dyDescent="0.45">
      <c r="S2070" t="s">
        <v>564</v>
      </c>
      <c r="T2070" t="s">
        <v>786</v>
      </c>
      <c r="U2070">
        <v>0.13098638600820375</v>
      </c>
      <c r="V2070" t="s">
        <v>157</v>
      </c>
    </row>
    <row r="2071" spans="19:22" x14ac:dyDescent="0.45">
      <c r="S2071" t="s">
        <v>564</v>
      </c>
      <c r="T2071" t="s">
        <v>787</v>
      </c>
      <c r="U2071">
        <v>2.5124432551603598E-2</v>
      </c>
      <c r="V2071" t="s">
        <v>157</v>
      </c>
    </row>
    <row r="2072" spans="19:22" x14ac:dyDescent="0.45">
      <c r="S2072" t="s">
        <v>564</v>
      </c>
      <c r="T2072" t="s">
        <v>788</v>
      </c>
      <c r="U2072">
        <v>9.7072316192396257E-2</v>
      </c>
      <c r="V2072" t="s">
        <v>157</v>
      </c>
    </row>
    <row r="2073" spans="19:22" x14ac:dyDescent="0.45">
      <c r="S2073" t="s">
        <v>564</v>
      </c>
      <c r="T2073" t="s">
        <v>789</v>
      </c>
      <c r="U2073">
        <v>0.10991819508405587</v>
      </c>
      <c r="V2073" t="s">
        <v>157</v>
      </c>
    </row>
    <row r="2074" spans="19:22" x14ac:dyDescent="0.45">
      <c r="S2074" t="s">
        <v>564</v>
      </c>
      <c r="T2074" t="s">
        <v>790</v>
      </c>
      <c r="U2074">
        <v>2.6383549996145474E-2</v>
      </c>
      <c r="V2074" t="s">
        <v>157</v>
      </c>
    </row>
    <row r="2075" spans="19:22" x14ac:dyDescent="0.45">
      <c r="S2075" t="s">
        <v>565</v>
      </c>
      <c r="T2075" t="s">
        <v>779</v>
      </c>
      <c r="U2075">
        <v>0.16031771507348361</v>
      </c>
      <c r="V2075" t="s">
        <v>157</v>
      </c>
    </row>
    <row r="2076" spans="19:22" x14ac:dyDescent="0.45">
      <c r="S2076" t="s">
        <v>565</v>
      </c>
      <c r="T2076" t="s">
        <v>780</v>
      </c>
      <c r="U2076">
        <v>0.1342168376331371</v>
      </c>
      <c r="V2076" t="s">
        <v>157</v>
      </c>
    </row>
    <row r="2077" spans="19:22" x14ac:dyDescent="0.45">
      <c r="S2077" t="s">
        <v>565</v>
      </c>
      <c r="T2077" t="s">
        <v>781</v>
      </c>
      <c r="U2077">
        <v>3.0905026698918724E-2</v>
      </c>
      <c r="V2077" t="s">
        <v>157</v>
      </c>
    </row>
    <row r="2078" spans="19:22" x14ac:dyDescent="0.45">
      <c r="S2078" t="s">
        <v>565</v>
      </c>
      <c r="T2078" t="s">
        <v>782</v>
      </c>
      <c r="U2078">
        <v>8.9186174700388712E-2</v>
      </c>
      <c r="V2078" t="s">
        <v>157</v>
      </c>
    </row>
    <row r="2079" spans="19:22" x14ac:dyDescent="0.45">
      <c r="S2079" t="s">
        <v>565</v>
      </c>
      <c r="T2079" t="s">
        <v>783</v>
      </c>
      <c r="U2079">
        <v>6.8033830529590708E-2</v>
      </c>
      <c r="V2079" t="s">
        <v>157</v>
      </c>
    </row>
    <row r="2080" spans="19:22" x14ac:dyDescent="0.45">
      <c r="S2080" t="s">
        <v>565</v>
      </c>
      <c r="T2080" t="s">
        <v>784</v>
      </c>
      <c r="U2080">
        <v>1.5632815841075801E-2</v>
      </c>
      <c r="V2080" t="s">
        <v>157</v>
      </c>
    </row>
    <row r="2081" spans="19:22" x14ac:dyDescent="0.45">
      <c r="S2081" t="s">
        <v>565</v>
      </c>
      <c r="T2081" t="s">
        <v>785</v>
      </c>
      <c r="U2081">
        <v>0.11550218638439604</v>
      </c>
      <c r="V2081" t="s">
        <v>157</v>
      </c>
    </row>
    <row r="2082" spans="19:22" x14ac:dyDescent="0.45">
      <c r="S2082" t="s">
        <v>565</v>
      </c>
      <c r="T2082" t="s">
        <v>786</v>
      </c>
      <c r="U2082">
        <v>0.10978977075695973</v>
      </c>
      <c r="V2082" t="s">
        <v>157</v>
      </c>
    </row>
    <row r="2083" spans="19:22" x14ac:dyDescent="0.45">
      <c r="S2083" t="s">
        <v>565</v>
      </c>
      <c r="T2083" t="s">
        <v>787</v>
      </c>
      <c r="U2083">
        <v>2.3114635009326791E-2</v>
      </c>
      <c r="V2083" t="s">
        <v>157</v>
      </c>
    </row>
    <row r="2084" spans="19:22" x14ac:dyDescent="0.45">
      <c r="S2084" t="s">
        <v>565</v>
      </c>
      <c r="T2084" t="s">
        <v>788</v>
      </c>
      <c r="U2084">
        <v>0.13252774095813893</v>
      </c>
      <c r="V2084" t="s">
        <v>157</v>
      </c>
    </row>
    <row r="2085" spans="19:22" x14ac:dyDescent="0.45">
      <c r="S2085" t="s">
        <v>565</v>
      </c>
      <c r="T2085" t="s">
        <v>789</v>
      </c>
      <c r="U2085">
        <v>9.5851711575591539E-2</v>
      </c>
      <c r="V2085" t="s">
        <v>157</v>
      </c>
    </row>
    <row r="2086" spans="19:22" x14ac:dyDescent="0.45">
      <c r="S2086" t="s">
        <v>565</v>
      </c>
      <c r="T2086" t="s">
        <v>790</v>
      </c>
      <c r="U2086">
        <v>2.4921554838992301E-2</v>
      </c>
      <c r="V2086" t="s">
        <v>157</v>
      </c>
    </row>
    <row r="2087" spans="19:22" x14ac:dyDescent="0.45">
      <c r="S2087" t="s">
        <v>566</v>
      </c>
      <c r="T2087" t="s">
        <v>779</v>
      </c>
      <c r="U2087">
        <v>0.13570731693742089</v>
      </c>
      <c r="V2087" t="s">
        <v>157</v>
      </c>
    </row>
    <row r="2088" spans="19:22" x14ac:dyDescent="0.45">
      <c r="S2088" t="s">
        <v>566</v>
      </c>
      <c r="T2088" t="s">
        <v>780</v>
      </c>
      <c r="U2088">
        <v>0.1337552986469118</v>
      </c>
      <c r="V2088" t="s">
        <v>157</v>
      </c>
    </row>
    <row r="2089" spans="19:22" x14ac:dyDescent="0.45">
      <c r="S2089" t="s">
        <v>566</v>
      </c>
      <c r="T2089" t="s">
        <v>781</v>
      </c>
      <c r="U2089">
        <v>2.8628755859634789E-2</v>
      </c>
      <c r="V2089" t="s">
        <v>157</v>
      </c>
    </row>
    <row r="2090" spans="19:22" x14ac:dyDescent="0.45">
      <c r="S2090" t="s">
        <v>566</v>
      </c>
      <c r="T2090" t="s">
        <v>782</v>
      </c>
      <c r="U2090">
        <v>9.5851036943177523E-2</v>
      </c>
      <c r="V2090" t="s">
        <v>157</v>
      </c>
    </row>
    <row r="2091" spans="19:22" x14ac:dyDescent="0.45">
      <c r="S2091" t="s">
        <v>566</v>
      </c>
      <c r="T2091" t="s">
        <v>783</v>
      </c>
      <c r="U2091">
        <v>8.2863550796230645E-2</v>
      </c>
      <c r="V2091" t="s">
        <v>157</v>
      </c>
    </row>
    <row r="2092" spans="19:22" x14ac:dyDescent="0.45">
      <c r="S2092" t="s">
        <v>566</v>
      </c>
      <c r="T2092" t="s">
        <v>784</v>
      </c>
      <c r="U2092">
        <v>1.8374756023864847E-2</v>
      </c>
      <c r="V2092" t="s">
        <v>157</v>
      </c>
    </row>
    <row r="2093" spans="19:22" x14ac:dyDescent="0.45">
      <c r="S2093" t="s">
        <v>566</v>
      </c>
      <c r="T2093" t="s">
        <v>785</v>
      </c>
      <c r="U2093">
        <v>0.11425857429125395</v>
      </c>
      <c r="V2093" t="s">
        <v>157</v>
      </c>
    </row>
    <row r="2094" spans="19:22" x14ac:dyDescent="0.45">
      <c r="S2094" t="s">
        <v>566</v>
      </c>
      <c r="T2094" t="s">
        <v>786</v>
      </c>
      <c r="U2094">
        <v>0.11613745941743768</v>
      </c>
      <c r="V2094" t="s">
        <v>157</v>
      </c>
    </row>
    <row r="2095" spans="19:22" x14ac:dyDescent="0.45">
      <c r="S2095" t="s">
        <v>566</v>
      </c>
      <c r="T2095" t="s">
        <v>787</v>
      </c>
      <c r="U2095">
        <v>2.3102869285413614E-2</v>
      </c>
      <c r="V2095" t="s">
        <v>157</v>
      </c>
    </row>
    <row r="2096" spans="19:22" x14ac:dyDescent="0.45">
      <c r="S2096" t="s">
        <v>566</v>
      </c>
      <c r="T2096" t="s">
        <v>788</v>
      </c>
      <c r="U2096">
        <v>0.12074908063538067</v>
      </c>
      <c r="V2096" t="s">
        <v>157</v>
      </c>
    </row>
    <row r="2097" spans="19:22" x14ac:dyDescent="0.45">
      <c r="S2097" t="s">
        <v>566</v>
      </c>
      <c r="T2097" t="s">
        <v>789</v>
      </c>
      <c r="U2097">
        <v>0.10626393981015694</v>
      </c>
      <c r="V2097" t="s">
        <v>157</v>
      </c>
    </row>
    <row r="2098" spans="19:22" x14ac:dyDescent="0.45">
      <c r="S2098" t="s">
        <v>566</v>
      </c>
      <c r="T2098" t="s">
        <v>790</v>
      </c>
      <c r="U2098">
        <v>2.430736135311666E-2</v>
      </c>
      <c r="V2098" t="s">
        <v>157</v>
      </c>
    </row>
    <row r="2099" spans="19:22" x14ac:dyDescent="0.45">
      <c r="S2099" t="s">
        <v>567</v>
      </c>
      <c r="T2099" t="s">
        <v>779</v>
      </c>
      <c r="U2099">
        <v>0.12675870763010383</v>
      </c>
      <c r="V2099" t="s">
        <v>157</v>
      </c>
    </row>
    <row r="2100" spans="19:22" x14ac:dyDescent="0.45">
      <c r="S2100" t="s">
        <v>567</v>
      </c>
      <c r="T2100" t="s">
        <v>780</v>
      </c>
      <c r="U2100">
        <v>0.13355110966778772</v>
      </c>
      <c r="V2100" t="s">
        <v>157</v>
      </c>
    </row>
    <row r="2101" spans="19:22" x14ac:dyDescent="0.45">
      <c r="S2101" t="s">
        <v>567</v>
      </c>
      <c r="T2101" t="s">
        <v>781</v>
      </c>
      <c r="U2101">
        <v>2.6368386068410611E-2</v>
      </c>
      <c r="V2101" t="s">
        <v>157</v>
      </c>
    </row>
    <row r="2102" spans="19:22" x14ac:dyDescent="0.45">
      <c r="S2102" t="s">
        <v>567</v>
      </c>
      <c r="T2102" t="s">
        <v>782</v>
      </c>
      <c r="U2102">
        <v>9.5750973992089247E-2</v>
      </c>
      <c r="V2102" t="s">
        <v>157</v>
      </c>
    </row>
    <row r="2103" spans="19:22" x14ac:dyDescent="0.45">
      <c r="S2103" t="s">
        <v>567</v>
      </c>
      <c r="T2103" t="s">
        <v>783</v>
      </c>
      <c r="U2103">
        <v>9.1580569979736071E-2</v>
      </c>
      <c r="V2103" t="s">
        <v>157</v>
      </c>
    </row>
    <row r="2104" spans="19:22" x14ac:dyDescent="0.45">
      <c r="S2104" t="s">
        <v>567</v>
      </c>
      <c r="T2104" t="s">
        <v>784</v>
      </c>
      <c r="U2104">
        <v>1.8024933389927777E-2</v>
      </c>
      <c r="V2104" t="s">
        <v>157</v>
      </c>
    </row>
    <row r="2105" spans="19:22" x14ac:dyDescent="0.45">
      <c r="S2105" t="s">
        <v>567</v>
      </c>
      <c r="T2105" t="s">
        <v>785</v>
      </c>
      <c r="U2105">
        <v>0.11762070302518426</v>
      </c>
      <c r="V2105" t="s">
        <v>157</v>
      </c>
    </row>
    <row r="2106" spans="19:22" x14ac:dyDescent="0.45">
      <c r="S2106" t="s">
        <v>567</v>
      </c>
      <c r="T2106" t="s">
        <v>786</v>
      </c>
      <c r="U2106">
        <v>0.11933799890528364</v>
      </c>
      <c r="V2106" t="s">
        <v>157</v>
      </c>
    </row>
    <row r="2107" spans="19:22" x14ac:dyDescent="0.45">
      <c r="S2107" t="s">
        <v>567</v>
      </c>
      <c r="T2107" t="s">
        <v>787</v>
      </c>
      <c r="U2107">
        <v>2.2850613393624354E-2</v>
      </c>
      <c r="V2107" t="s">
        <v>157</v>
      </c>
    </row>
    <row r="2108" spans="19:22" x14ac:dyDescent="0.45">
      <c r="S2108" t="s">
        <v>567</v>
      </c>
      <c r="T2108" t="s">
        <v>788</v>
      </c>
      <c r="U2108">
        <v>0.11457061217056151</v>
      </c>
      <c r="V2108" t="s">
        <v>157</v>
      </c>
    </row>
    <row r="2109" spans="19:22" x14ac:dyDescent="0.45">
      <c r="S2109" t="s">
        <v>567</v>
      </c>
      <c r="T2109" t="s">
        <v>789</v>
      </c>
      <c r="U2109">
        <v>0.1111887361038866</v>
      </c>
      <c r="V2109" t="s">
        <v>157</v>
      </c>
    </row>
    <row r="2110" spans="19:22" x14ac:dyDescent="0.45">
      <c r="S2110" t="s">
        <v>567</v>
      </c>
      <c r="T2110" t="s">
        <v>790</v>
      </c>
      <c r="U2110">
        <v>2.2396655673404431E-2</v>
      </c>
      <c r="V2110" t="s">
        <v>157</v>
      </c>
    </row>
    <row r="2111" spans="19:22" x14ac:dyDescent="0.45">
      <c r="S2111" t="s">
        <v>568</v>
      </c>
      <c r="T2111" t="s">
        <v>779</v>
      </c>
      <c r="U2111">
        <v>0.12527914940320592</v>
      </c>
      <c r="V2111" t="s">
        <v>157</v>
      </c>
    </row>
    <row r="2112" spans="19:22" x14ac:dyDescent="0.45">
      <c r="S2112" t="s">
        <v>568</v>
      </c>
      <c r="T2112" t="s">
        <v>780</v>
      </c>
      <c r="U2112">
        <v>0.13296428573772714</v>
      </c>
      <c r="V2112" t="s">
        <v>157</v>
      </c>
    </row>
    <row r="2113" spans="19:22" x14ac:dyDescent="0.45">
      <c r="S2113" t="s">
        <v>568</v>
      </c>
      <c r="T2113" t="s">
        <v>781</v>
      </c>
      <c r="U2113">
        <v>2.488030381372117E-2</v>
      </c>
      <c r="V2113" t="s">
        <v>157</v>
      </c>
    </row>
    <row r="2114" spans="19:22" x14ac:dyDescent="0.45">
      <c r="S2114" t="s">
        <v>568</v>
      </c>
      <c r="T2114" t="s">
        <v>782</v>
      </c>
      <c r="U2114">
        <v>9.6471487196050004E-2</v>
      </c>
      <c r="V2114" t="s">
        <v>157</v>
      </c>
    </row>
    <row r="2115" spans="19:22" x14ac:dyDescent="0.45">
      <c r="S2115" t="s">
        <v>568</v>
      </c>
      <c r="T2115" t="s">
        <v>783</v>
      </c>
      <c r="U2115">
        <v>9.4189586348742513E-2</v>
      </c>
      <c r="V2115" t="s">
        <v>157</v>
      </c>
    </row>
    <row r="2116" spans="19:22" x14ac:dyDescent="0.45">
      <c r="S2116" t="s">
        <v>568</v>
      </c>
      <c r="T2116" t="s">
        <v>784</v>
      </c>
      <c r="U2116">
        <v>1.7194415569855303E-2</v>
      </c>
      <c r="V2116" t="s">
        <v>157</v>
      </c>
    </row>
    <row r="2117" spans="19:22" x14ac:dyDescent="0.45">
      <c r="S2117" t="s">
        <v>568</v>
      </c>
      <c r="T2117" t="s">
        <v>785</v>
      </c>
      <c r="U2117">
        <v>0.12353049409229507</v>
      </c>
      <c r="V2117" t="s">
        <v>157</v>
      </c>
    </row>
    <row r="2118" spans="19:22" x14ac:dyDescent="0.45">
      <c r="S2118" t="s">
        <v>568</v>
      </c>
      <c r="T2118" t="s">
        <v>786</v>
      </c>
      <c r="U2118">
        <v>0.12522602359902796</v>
      </c>
      <c r="V2118" t="s">
        <v>157</v>
      </c>
    </row>
    <row r="2119" spans="19:22" x14ac:dyDescent="0.45">
      <c r="S2119" t="s">
        <v>568</v>
      </c>
      <c r="T2119" t="s">
        <v>787</v>
      </c>
      <c r="U2119">
        <v>2.3178926873811692E-2</v>
      </c>
      <c r="V2119" t="s">
        <v>157</v>
      </c>
    </row>
    <row r="2120" spans="19:22" x14ac:dyDescent="0.45">
      <c r="S2120" t="s">
        <v>568</v>
      </c>
      <c r="T2120" t="s">
        <v>788</v>
      </c>
      <c r="U2120">
        <v>0.1087309997707608</v>
      </c>
      <c r="V2120" t="s">
        <v>157</v>
      </c>
    </row>
    <row r="2121" spans="19:22" x14ac:dyDescent="0.45">
      <c r="S2121" t="s">
        <v>568</v>
      </c>
      <c r="T2121" t="s">
        <v>789</v>
      </c>
      <c r="U2121">
        <v>0.10812020814993804</v>
      </c>
      <c r="V2121" t="s">
        <v>157</v>
      </c>
    </row>
    <row r="2122" spans="19:22" x14ac:dyDescent="0.45">
      <c r="S2122" t="s">
        <v>568</v>
      </c>
      <c r="T2122" t="s">
        <v>790</v>
      </c>
      <c r="U2122">
        <v>2.0234119444864463E-2</v>
      </c>
      <c r="V2122" t="s">
        <v>157</v>
      </c>
    </row>
    <row r="2123" spans="19:22" x14ac:dyDescent="0.45">
      <c r="S2123" t="s">
        <v>569</v>
      </c>
      <c r="T2123" t="s">
        <v>779</v>
      </c>
      <c r="U2123">
        <v>0.12697884907748819</v>
      </c>
      <c r="V2123" t="s">
        <v>157</v>
      </c>
    </row>
    <row r="2124" spans="19:22" x14ac:dyDescent="0.45">
      <c r="S2124" t="s">
        <v>569</v>
      </c>
      <c r="T2124" t="s">
        <v>780</v>
      </c>
      <c r="U2124">
        <v>0.13179735299304354</v>
      </c>
      <c r="V2124" t="s">
        <v>157</v>
      </c>
    </row>
    <row r="2125" spans="19:22" x14ac:dyDescent="0.45">
      <c r="S2125" t="s">
        <v>569</v>
      </c>
      <c r="T2125" t="s">
        <v>781</v>
      </c>
      <c r="U2125">
        <v>2.4253347629390923E-2</v>
      </c>
      <c r="V2125" t="s">
        <v>157</v>
      </c>
    </row>
    <row r="2126" spans="19:22" x14ac:dyDescent="0.45">
      <c r="S2126" t="s">
        <v>569</v>
      </c>
      <c r="T2126" t="s">
        <v>782</v>
      </c>
      <c r="U2126">
        <v>9.741698780739802E-2</v>
      </c>
      <c r="V2126" t="s">
        <v>157</v>
      </c>
    </row>
    <row r="2127" spans="19:22" x14ac:dyDescent="0.45">
      <c r="S2127" t="s">
        <v>569</v>
      </c>
      <c r="T2127" t="s">
        <v>783</v>
      </c>
      <c r="U2127">
        <v>9.5385440333318264E-2</v>
      </c>
      <c r="V2127" t="s">
        <v>157</v>
      </c>
    </row>
    <row r="2128" spans="19:22" x14ac:dyDescent="0.45">
      <c r="S2128" t="s">
        <v>569</v>
      </c>
      <c r="T2128" t="s">
        <v>784</v>
      </c>
      <c r="U2128">
        <v>1.6608860065343709E-2</v>
      </c>
      <c r="V2128" t="s">
        <v>157</v>
      </c>
    </row>
    <row r="2129" spans="19:22" x14ac:dyDescent="0.45">
      <c r="S2129" t="s">
        <v>569</v>
      </c>
      <c r="T2129" t="s">
        <v>785</v>
      </c>
      <c r="U2129">
        <v>0.12868019228784866</v>
      </c>
      <c r="V2129" t="s">
        <v>157</v>
      </c>
    </row>
    <row r="2130" spans="19:22" x14ac:dyDescent="0.45">
      <c r="S2130" t="s">
        <v>569</v>
      </c>
      <c r="T2130" t="s">
        <v>786</v>
      </c>
      <c r="U2130">
        <v>0.12917277085508508</v>
      </c>
      <c r="V2130" t="s">
        <v>157</v>
      </c>
    </row>
    <row r="2131" spans="19:22" x14ac:dyDescent="0.45">
      <c r="S2131" t="s">
        <v>569</v>
      </c>
      <c r="T2131" t="s">
        <v>787</v>
      </c>
      <c r="U2131">
        <v>2.3597671091725943E-2</v>
      </c>
      <c r="V2131" t="s">
        <v>157</v>
      </c>
    </row>
    <row r="2132" spans="19:22" x14ac:dyDescent="0.45">
      <c r="S2132" t="s">
        <v>569</v>
      </c>
      <c r="T2132" t="s">
        <v>788</v>
      </c>
      <c r="U2132">
        <v>0.10421814844976986</v>
      </c>
      <c r="V2132" t="s">
        <v>157</v>
      </c>
    </row>
    <row r="2133" spans="19:22" x14ac:dyDescent="0.45">
      <c r="S2133" t="s">
        <v>569</v>
      </c>
      <c r="T2133" t="s">
        <v>789</v>
      </c>
      <c r="U2133">
        <v>0.10350805719588826</v>
      </c>
      <c r="V2133" t="s">
        <v>157</v>
      </c>
    </row>
    <row r="2134" spans="19:22" x14ac:dyDescent="0.45">
      <c r="S2134" t="s">
        <v>569</v>
      </c>
      <c r="T2134" t="s">
        <v>790</v>
      </c>
      <c r="U2134">
        <v>1.8382322213699436E-2</v>
      </c>
      <c r="V2134" t="s">
        <v>157</v>
      </c>
    </row>
    <row r="2135" spans="19:22" x14ac:dyDescent="0.45">
      <c r="S2135" t="s">
        <v>570</v>
      </c>
      <c r="T2135" t="s">
        <v>779</v>
      </c>
      <c r="U2135">
        <v>0.12866282768855469</v>
      </c>
      <c r="V2135" t="s">
        <v>157</v>
      </c>
    </row>
    <row r="2136" spans="19:22" x14ac:dyDescent="0.45">
      <c r="S2136" t="s">
        <v>570</v>
      </c>
      <c r="T2136" t="s">
        <v>780</v>
      </c>
      <c r="U2136">
        <v>0.13088400334138936</v>
      </c>
      <c r="V2136" t="s">
        <v>157</v>
      </c>
    </row>
    <row r="2137" spans="19:22" x14ac:dyDescent="0.45">
      <c r="S2137" t="s">
        <v>570</v>
      </c>
      <c r="T2137" t="s">
        <v>781</v>
      </c>
      <c r="U2137">
        <v>2.4151025551458118E-2</v>
      </c>
      <c r="V2137" t="s">
        <v>157</v>
      </c>
    </row>
    <row r="2138" spans="19:22" x14ac:dyDescent="0.45">
      <c r="S2138" t="s">
        <v>570</v>
      </c>
      <c r="T2138" t="s">
        <v>782</v>
      </c>
      <c r="U2138">
        <v>9.880147393968372E-2</v>
      </c>
      <c r="V2138" t="s">
        <v>157</v>
      </c>
    </row>
    <row r="2139" spans="19:22" x14ac:dyDescent="0.45">
      <c r="S2139" t="s">
        <v>570</v>
      </c>
      <c r="T2139" t="s">
        <v>783</v>
      </c>
      <c r="U2139">
        <v>9.7473857601741251E-2</v>
      </c>
      <c r="V2139" t="s">
        <v>157</v>
      </c>
    </row>
    <row r="2140" spans="19:22" x14ac:dyDescent="0.45">
      <c r="S2140" t="s">
        <v>570</v>
      </c>
      <c r="T2140" t="s">
        <v>784</v>
      </c>
      <c r="U2140">
        <v>1.6807672314617831E-2</v>
      </c>
      <c r="V2140" t="s">
        <v>157</v>
      </c>
    </row>
    <row r="2141" spans="19:22" x14ac:dyDescent="0.45">
      <c r="S2141" t="s">
        <v>570</v>
      </c>
      <c r="T2141" t="s">
        <v>785</v>
      </c>
      <c r="U2141">
        <v>0.13050157502114451</v>
      </c>
      <c r="V2141" t="s">
        <v>157</v>
      </c>
    </row>
    <row r="2142" spans="19:22" x14ac:dyDescent="0.45">
      <c r="S2142" t="s">
        <v>570</v>
      </c>
      <c r="T2142" t="s">
        <v>786</v>
      </c>
      <c r="U2142">
        <v>0.12897129498282286</v>
      </c>
      <c r="V2142" t="s">
        <v>157</v>
      </c>
    </row>
    <row r="2143" spans="19:22" x14ac:dyDescent="0.45">
      <c r="S2143" t="s">
        <v>570</v>
      </c>
      <c r="T2143" t="s">
        <v>787</v>
      </c>
      <c r="U2143">
        <v>2.3694742779502211E-2</v>
      </c>
      <c r="V2143" t="s">
        <v>157</v>
      </c>
    </row>
    <row r="2144" spans="19:22" x14ac:dyDescent="0.45">
      <c r="S2144" t="s">
        <v>570</v>
      </c>
      <c r="T2144" t="s">
        <v>788</v>
      </c>
      <c r="U2144">
        <v>0.10155216939144956</v>
      </c>
      <c r="V2144" t="s">
        <v>157</v>
      </c>
    </row>
    <row r="2145" spans="19:22" x14ac:dyDescent="0.45">
      <c r="S2145" t="s">
        <v>570</v>
      </c>
      <c r="T2145" t="s">
        <v>789</v>
      </c>
      <c r="U2145">
        <v>0.10112485434572019</v>
      </c>
      <c r="V2145" t="s">
        <v>157</v>
      </c>
    </row>
    <row r="2146" spans="19:22" x14ac:dyDescent="0.45">
      <c r="S2146" t="s">
        <v>570</v>
      </c>
      <c r="T2146" t="s">
        <v>790</v>
      </c>
      <c r="U2146">
        <v>1.7374503041915696E-2</v>
      </c>
      <c r="V2146" t="s">
        <v>157</v>
      </c>
    </row>
    <row r="2147" spans="19:22" x14ac:dyDescent="0.45">
      <c r="S2147" t="s">
        <v>571</v>
      </c>
      <c r="T2147" t="s">
        <v>779</v>
      </c>
      <c r="U2147">
        <v>0.12778517755443008</v>
      </c>
      <c r="V2147" t="s">
        <v>157</v>
      </c>
    </row>
    <row r="2148" spans="19:22" x14ac:dyDescent="0.45">
      <c r="S2148" t="s">
        <v>571</v>
      </c>
      <c r="T2148" t="s">
        <v>780</v>
      </c>
      <c r="U2148">
        <v>0.13087564127625093</v>
      </c>
      <c r="V2148" t="s">
        <v>157</v>
      </c>
    </row>
    <row r="2149" spans="19:22" x14ac:dyDescent="0.45">
      <c r="S2149" t="s">
        <v>571</v>
      </c>
      <c r="T2149" t="s">
        <v>781</v>
      </c>
      <c r="U2149">
        <v>2.387439329505885E-2</v>
      </c>
      <c r="V2149" t="s">
        <v>157</v>
      </c>
    </row>
    <row r="2150" spans="19:22" x14ac:dyDescent="0.45">
      <c r="S2150" t="s">
        <v>571</v>
      </c>
      <c r="T2150" t="s">
        <v>782</v>
      </c>
      <c r="U2150">
        <v>0.10160403764389664</v>
      </c>
      <c r="V2150" t="s">
        <v>157</v>
      </c>
    </row>
    <row r="2151" spans="19:22" x14ac:dyDescent="0.45">
      <c r="S2151" t="s">
        <v>571</v>
      </c>
      <c r="T2151" t="s">
        <v>783</v>
      </c>
      <c r="U2151">
        <v>0.1002622221258493</v>
      </c>
      <c r="V2151" t="s">
        <v>157</v>
      </c>
    </row>
    <row r="2152" spans="19:22" x14ac:dyDescent="0.45">
      <c r="S2152" t="s">
        <v>571</v>
      </c>
      <c r="T2152" t="s">
        <v>784</v>
      </c>
      <c r="U2152">
        <v>1.7691640730291051E-2</v>
      </c>
      <c r="V2152" t="s">
        <v>157</v>
      </c>
    </row>
    <row r="2153" spans="19:22" x14ac:dyDescent="0.45">
      <c r="S2153" t="s">
        <v>571</v>
      </c>
      <c r="T2153" t="s">
        <v>785</v>
      </c>
      <c r="U2153">
        <v>0.13008941987847189</v>
      </c>
      <c r="V2153" t="s">
        <v>157</v>
      </c>
    </row>
    <row r="2154" spans="19:22" x14ac:dyDescent="0.45">
      <c r="S2154" t="s">
        <v>571</v>
      </c>
      <c r="T2154" t="s">
        <v>786</v>
      </c>
      <c r="U2154">
        <v>0.12812378122068543</v>
      </c>
      <c r="V2154" t="s">
        <v>157</v>
      </c>
    </row>
    <row r="2155" spans="19:22" x14ac:dyDescent="0.45">
      <c r="S2155" t="s">
        <v>571</v>
      </c>
      <c r="T2155" t="s">
        <v>787</v>
      </c>
      <c r="U2155">
        <v>2.3540035581379244E-2</v>
      </c>
      <c r="V2155" t="s">
        <v>157</v>
      </c>
    </row>
    <row r="2156" spans="19:22" x14ac:dyDescent="0.45">
      <c r="S2156" t="s">
        <v>571</v>
      </c>
      <c r="T2156" t="s">
        <v>788</v>
      </c>
      <c r="U2156">
        <v>9.8917838274509381E-2</v>
      </c>
      <c r="V2156" t="s">
        <v>157</v>
      </c>
    </row>
    <row r="2157" spans="19:22" x14ac:dyDescent="0.45">
      <c r="S2157" t="s">
        <v>571</v>
      </c>
      <c r="T2157" t="s">
        <v>789</v>
      </c>
      <c r="U2157">
        <v>0.10000487580097947</v>
      </c>
      <c r="V2157" t="s">
        <v>157</v>
      </c>
    </row>
    <row r="2158" spans="19:22" x14ac:dyDescent="0.45">
      <c r="S2158" t="s">
        <v>571</v>
      </c>
      <c r="T2158" t="s">
        <v>790</v>
      </c>
      <c r="U2158">
        <v>1.7230936618197638E-2</v>
      </c>
      <c r="V2158" t="s">
        <v>157</v>
      </c>
    </row>
    <row r="2159" spans="19:22" x14ac:dyDescent="0.45">
      <c r="S2159" t="s">
        <v>572</v>
      </c>
      <c r="T2159" t="s">
        <v>779</v>
      </c>
      <c r="U2159">
        <v>0.11883256953537737</v>
      </c>
      <c r="V2159" t="s">
        <v>157</v>
      </c>
    </row>
    <row r="2160" spans="19:22" x14ac:dyDescent="0.45">
      <c r="S2160" t="s">
        <v>572</v>
      </c>
      <c r="T2160" t="s">
        <v>780</v>
      </c>
      <c r="U2160">
        <v>0.12064256605399075</v>
      </c>
      <c r="V2160" t="s">
        <v>157</v>
      </c>
    </row>
    <row r="2161" spans="19:22" x14ac:dyDescent="0.45">
      <c r="S2161" t="s">
        <v>572</v>
      </c>
      <c r="T2161" t="s">
        <v>781</v>
      </c>
      <c r="U2161">
        <v>2.1912350499359464E-2</v>
      </c>
      <c r="V2161" t="s">
        <v>157</v>
      </c>
    </row>
    <row r="2162" spans="19:22" x14ac:dyDescent="0.45">
      <c r="S2162" t="s">
        <v>572</v>
      </c>
      <c r="T2162" t="s">
        <v>782</v>
      </c>
      <c r="U2162">
        <v>0.11012458917345834</v>
      </c>
      <c r="V2162" t="s">
        <v>157</v>
      </c>
    </row>
    <row r="2163" spans="19:22" x14ac:dyDescent="0.45">
      <c r="S2163" t="s">
        <v>572</v>
      </c>
      <c r="T2163" t="s">
        <v>783</v>
      </c>
      <c r="U2163">
        <v>0.10591720133663066</v>
      </c>
      <c r="V2163" t="s">
        <v>157</v>
      </c>
    </row>
    <row r="2164" spans="19:22" x14ac:dyDescent="0.45">
      <c r="S2164" t="s">
        <v>572</v>
      </c>
      <c r="T2164" t="s">
        <v>784</v>
      </c>
      <c r="U2164">
        <v>1.9809337587453034E-2</v>
      </c>
      <c r="V2164" t="s">
        <v>157</v>
      </c>
    </row>
    <row r="2165" spans="19:22" x14ac:dyDescent="0.45">
      <c r="S2165" t="s">
        <v>572</v>
      </c>
      <c r="T2165" t="s">
        <v>785</v>
      </c>
      <c r="U2165">
        <v>0.1320301233383428</v>
      </c>
      <c r="V2165" t="s">
        <v>157</v>
      </c>
    </row>
    <row r="2166" spans="19:22" x14ac:dyDescent="0.45">
      <c r="S2166" t="s">
        <v>572</v>
      </c>
      <c r="T2166" t="s">
        <v>786</v>
      </c>
      <c r="U2166">
        <v>0.1314439918972147</v>
      </c>
      <c r="V2166" t="s">
        <v>157</v>
      </c>
    </row>
    <row r="2167" spans="19:22" x14ac:dyDescent="0.45">
      <c r="S2167" t="s">
        <v>572</v>
      </c>
      <c r="T2167" t="s">
        <v>787</v>
      </c>
      <c r="U2167">
        <v>2.4010806080098028E-2</v>
      </c>
      <c r="V2167" t="s">
        <v>157</v>
      </c>
    </row>
    <row r="2168" spans="19:22" x14ac:dyDescent="0.45">
      <c r="S2168" t="s">
        <v>572</v>
      </c>
      <c r="T2168" t="s">
        <v>788</v>
      </c>
      <c r="U2168">
        <v>9.4894014347327235E-2</v>
      </c>
      <c r="V2168" t="s">
        <v>157</v>
      </c>
    </row>
    <row r="2169" spans="19:22" x14ac:dyDescent="0.45">
      <c r="S2169" t="s">
        <v>572</v>
      </c>
      <c r="T2169" t="s">
        <v>789</v>
      </c>
      <c r="U2169">
        <v>0.1018249731568668</v>
      </c>
      <c r="V2169" t="s">
        <v>157</v>
      </c>
    </row>
    <row r="2170" spans="19:22" x14ac:dyDescent="0.45">
      <c r="S2170" t="s">
        <v>572</v>
      </c>
      <c r="T2170" t="s">
        <v>790</v>
      </c>
      <c r="U2170">
        <v>1.8557476993880807E-2</v>
      </c>
      <c r="V2170" t="s">
        <v>157</v>
      </c>
    </row>
    <row r="2171" spans="19:22" x14ac:dyDescent="0.45">
      <c r="S2171" t="s">
        <v>573</v>
      </c>
      <c r="T2171" t="s">
        <v>779</v>
      </c>
      <c r="U2171">
        <v>0.11840492787519348</v>
      </c>
      <c r="V2171" t="s">
        <v>157</v>
      </c>
    </row>
    <row r="2172" spans="19:22" x14ac:dyDescent="0.45">
      <c r="S2172" t="s">
        <v>573</v>
      </c>
      <c r="T2172" t="s">
        <v>780</v>
      </c>
      <c r="U2172">
        <v>0.11929946264965134</v>
      </c>
      <c r="V2172" t="s">
        <v>157</v>
      </c>
    </row>
    <row r="2173" spans="19:22" x14ac:dyDescent="0.45">
      <c r="S2173" t="s">
        <v>573</v>
      </c>
      <c r="T2173" t="s">
        <v>781</v>
      </c>
      <c r="U2173">
        <v>2.182168758439746E-2</v>
      </c>
      <c r="V2173" t="s">
        <v>157</v>
      </c>
    </row>
    <row r="2174" spans="19:22" x14ac:dyDescent="0.45">
      <c r="S2174" t="s">
        <v>573</v>
      </c>
      <c r="T2174" t="s">
        <v>782</v>
      </c>
      <c r="U2174">
        <v>0.11066837928931929</v>
      </c>
      <c r="V2174" t="s">
        <v>157</v>
      </c>
    </row>
    <row r="2175" spans="19:22" x14ac:dyDescent="0.45">
      <c r="S2175" t="s">
        <v>573</v>
      </c>
      <c r="T2175" t="s">
        <v>783</v>
      </c>
      <c r="U2175">
        <v>0.1073656640371649</v>
      </c>
      <c r="V2175" t="s">
        <v>157</v>
      </c>
    </row>
    <row r="2176" spans="19:22" x14ac:dyDescent="0.45">
      <c r="S2176" t="s">
        <v>573</v>
      </c>
      <c r="T2176" t="s">
        <v>784</v>
      </c>
      <c r="U2176">
        <v>2.0200278574687845E-2</v>
      </c>
      <c r="V2176" t="s">
        <v>157</v>
      </c>
    </row>
    <row r="2177" spans="19:22" x14ac:dyDescent="0.45">
      <c r="S2177" t="s">
        <v>573</v>
      </c>
      <c r="T2177" t="s">
        <v>785</v>
      </c>
      <c r="U2177">
        <v>0.13033273920209942</v>
      </c>
      <c r="V2177" t="s">
        <v>157</v>
      </c>
    </row>
    <row r="2178" spans="19:22" x14ac:dyDescent="0.45">
      <c r="S2178" t="s">
        <v>573</v>
      </c>
      <c r="T2178" t="s">
        <v>786</v>
      </c>
      <c r="U2178">
        <v>0.13109259158717129</v>
      </c>
      <c r="V2178" t="s">
        <v>157</v>
      </c>
    </row>
    <row r="2179" spans="19:22" x14ac:dyDescent="0.45">
      <c r="S2179" t="s">
        <v>573</v>
      </c>
      <c r="T2179" t="s">
        <v>787</v>
      </c>
      <c r="U2179">
        <v>2.4241722380490136E-2</v>
      </c>
      <c r="V2179" t="s">
        <v>157</v>
      </c>
    </row>
    <row r="2180" spans="19:22" x14ac:dyDescent="0.45">
      <c r="S2180" t="s">
        <v>573</v>
      </c>
      <c r="T2180" t="s">
        <v>788</v>
      </c>
      <c r="U2180">
        <v>9.6471802280721775E-2</v>
      </c>
      <c r="V2180" t="s">
        <v>157</v>
      </c>
    </row>
    <row r="2181" spans="19:22" x14ac:dyDescent="0.45">
      <c r="S2181" t="s">
        <v>573</v>
      </c>
      <c r="T2181" t="s">
        <v>789</v>
      </c>
      <c r="U2181">
        <v>0.10194458467022839</v>
      </c>
      <c r="V2181" t="s">
        <v>157</v>
      </c>
    </row>
    <row r="2182" spans="19:22" x14ac:dyDescent="0.45">
      <c r="S2182" t="s">
        <v>573</v>
      </c>
      <c r="T2182" t="s">
        <v>790</v>
      </c>
      <c r="U2182">
        <v>1.8156159868874599E-2</v>
      </c>
      <c r="V2182" t="s">
        <v>157</v>
      </c>
    </row>
    <row r="2183" spans="19:22" x14ac:dyDescent="0.45">
      <c r="S2183" t="s">
        <v>574</v>
      </c>
      <c r="T2183" t="s">
        <v>779</v>
      </c>
      <c r="U2183">
        <v>0.11700563923451593</v>
      </c>
      <c r="V2183" t="s">
        <v>157</v>
      </c>
    </row>
    <row r="2184" spans="19:22" x14ac:dyDescent="0.45">
      <c r="S2184" t="s">
        <v>574</v>
      </c>
      <c r="T2184" t="s">
        <v>780</v>
      </c>
      <c r="U2184">
        <v>0.11732528047944141</v>
      </c>
      <c r="V2184" t="s">
        <v>157</v>
      </c>
    </row>
    <row r="2185" spans="19:22" x14ac:dyDescent="0.45">
      <c r="S2185" t="s">
        <v>574</v>
      </c>
      <c r="T2185" t="s">
        <v>781</v>
      </c>
      <c r="U2185">
        <v>2.1505513525488028E-2</v>
      </c>
      <c r="V2185" t="s">
        <v>157</v>
      </c>
    </row>
    <row r="2186" spans="19:22" x14ac:dyDescent="0.45">
      <c r="S2186" t="s">
        <v>574</v>
      </c>
      <c r="T2186" t="s">
        <v>782</v>
      </c>
      <c r="U2186">
        <v>0.11242955507038627</v>
      </c>
      <c r="V2186" t="s">
        <v>157</v>
      </c>
    </row>
    <row r="2187" spans="19:22" x14ac:dyDescent="0.45">
      <c r="S2187" t="s">
        <v>574</v>
      </c>
      <c r="T2187" t="s">
        <v>783</v>
      </c>
      <c r="U2187">
        <v>0.10909048337539853</v>
      </c>
      <c r="V2187" t="s">
        <v>157</v>
      </c>
    </row>
    <row r="2188" spans="19:22" x14ac:dyDescent="0.45">
      <c r="S2188" t="s">
        <v>574</v>
      </c>
      <c r="T2188" t="s">
        <v>784</v>
      </c>
      <c r="U2188">
        <v>2.0664925682480666E-2</v>
      </c>
      <c r="V2188" t="s">
        <v>157</v>
      </c>
    </row>
    <row r="2189" spans="19:22" x14ac:dyDescent="0.45">
      <c r="S2189" t="s">
        <v>574</v>
      </c>
      <c r="T2189" t="s">
        <v>785</v>
      </c>
      <c r="U2189">
        <v>0.12811861955106296</v>
      </c>
      <c r="V2189" t="s">
        <v>157</v>
      </c>
    </row>
    <row r="2190" spans="19:22" x14ac:dyDescent="0.45">
      <c r="S2190" t="s">
        <v>574</v>
      </c>
      <c r="T2190" t="s">
        <v>786</v>
      </c>
      <c r="U2190">
        <v>0.12891497217684628</v>
      </c>
      <c r="V2190" t="s">
        <v>157</v>
      </c>
    </row>
    <row r="2191" spans="19:22" x14ac:dyDescent="0.45">
      <c r="S2191" t="s">
        <v>574</v>
      </c>
      <c r="T2191" t="s">
        <v>787</v>
      </c>
      <c r="U2191">
        <v>2.4245077392142617E-2</v>
      </c>
      <c r="V2191" t="s">
        <v>157</v>
      </c>
    </row>
    <row r="2192" spans="19:22" x14ac:dyDescent="0.45">
      <c r="S2192" t="s">
        <v>574</v>
      </c>
      <c r="T2192" t="s">
        <v>788</v>
      </c>
      <c r="U2192">
        <v>0.1004744111709005</v>
      </c>
      <c r="V2192" t="s">
        <v>157</v>
      </c>
    </row>
    <row r="2193" spans="19:22" x14ac:dyDescent="0.45">
      <c r="S2193" t="s">
        <v>574</v>
      </c>
      <c r="T2193" t="s">
        <v>789</v>
      </c>
      <c r="U2193">
        <v>0.10164158905345019</v>
      </c>
      <c r="V2193" t="s">
        <v>157</v>
      </c>
    </row>
    <row r="2194" spans="19:22" x14ac:dyDescent="0.45">
      <c r="S2194" t="s">
        <v>574</v>
      </c>
      <c r="T2194" t="s">
        <v>790</v>
      </c>
      <c r="U2194">
        <v>1.8583933287886645E-2</v>
      </c>
      <c r="V2194" t="s">
        <v>157</v>
      </c>
    </row>
    <row r="2195" spans="19:22" x14ac:dyDescent="0.45">
      <c r="S2195" t="s">
        <v>575</v>
      </c>
      <c r="T2195" t="s">
        <v>779</v>
      </c>
      <c r="U2195">
        <v>0.11581599920100658</v>
      </c>
      <c r="V2195" t="s">
        <v>157</v>
      </c>
    </row>
    <row r="2196" spans="19:22" x14ac:dyDescent="0.45">
      <c r="S2196" t="s">
        <v>575</v>
      </c>
      <c r="T2196" t="s">
        <v>780</v>
      </c>
      <c r="U2196">
        <v>0.11497421763669843</v>
      </c>
      <c r="V2196" t="s">
        <v>157</v>
      </c>
    </row>
    <row r="2197" spans="19:22" x14ac:dyDescent="0.45">
      <c r="S2197" t="s">
        <v>575</v>
      </c>
      <c r="T2197" t="s">
        <v>781</v>
      </c>
      <c r="U2197">
        <v>2.1498652507105198E-2</v>
      </c>
      <c r="V2197" t="s">
        <v>157</v>
      </c>
    </row>
    <row r="2198" spans="19:22" x14ac:dyDescent="0.45">
      <c r="S2198" t="s">
        <v>575</v>
      </c>
      <c r="T2198" t="s">
        <v>782</v>
      </c>
      <c r="U2198">
        <v>0.1157711086520864</v>
      </c>
      <c r="V2198" t="s">
        <v>157</v>
      </c>
    </row>
    <row r="2199" spans="19:22" x14ac:dyDescent="0.45">
      <c r="S2199" t="s">
        <v>575</v>
      </c>
      <c r="T2199" t="s">
        <v>783</v>
      </c>
      <c r="U2199">
        <v>0.11166295742901478</v>
      </c>
      <c r="V2199" t="s">
        <v>157</v>
      </c>
    </row>
    <row r="2200" spans="19:22" x14ac:dyDescent="0.45">
      <c r="S2200" t="s">
        <v>575</v>
      </c>
      <c r="T2200" t="s">
        <v>784</v>
      </c>
      <c r="U2200">
        <v>2.1244708083316639E-2</v>
      </c>
      <c r="V2200" t="s">
        <v>157</v>
      </c>
    </row>
    <row r="2201" spans="19:22" x14ac:dyDescent="0.45">
      <c r="S2201" t="s">
        <v>575</v>
      </c>
      <c r="T2201" t="s">
        <v>785</v>
      </c>
      <c r="U2201">
        <v>0.12677875609019379</v>
      </c>
      <c r="V2201" t="s">
        <v>157</v>
      </c>
    </row>
    <row r="2202" spans="19:22" x14ac:dyDescent="0.45">
      <c r="S2202" t="s">
        <v>575</v>
      </c>
      <c r="T2202" t="s">
        <v>786</v>
      </c>
      <c r="U2202">
        <v>0.12607308437680229</v>
      </c>
      <c r="V2202" t="s">
        <v>157</v>
      </c>
    </row>
    <row r="2203" spans="19:22" x14ac:dyDescent="0.45">
      <c r="S2203" t="s">
        <v>575</v>
      </c>
      <c r="T2203" t="s">
        <v>787</v>
      </c>
      <c r="U2203">
        <v>2.3901401106149026E-2</v>
      </c>
      <c r="V2203" t="s">
        <v>157</v>
      </c>
    </row>
    <row r="2204" spans="19:22" x14ac:dyDescent="0.45">
      <c r="S2204" t="s">
        <v>575</v>
      </c>
      <c r="T2204" t="s">
        <v>788</v>
      </c>
      <c r="U2204">
        <v>0.10220465971860673</v>
      </c>
      <c r="V2204" t="s">
        <v>157</v>
      </c>
    </row>
    <row r="2205" spans="19:22" x14ac:dyDescent="0.45">
      <c r="S2205" t="s">
        <v>575</v>
      </c>
      <c r="T2205" t="s">
        <v>789</v>
      </c>
      <c r="U2205">
        <v>0.10129926841903783</v>
      </c>
      <c r="V2205" t="s">
        <v>157</v>
      </c>
    </row>
    <row r="2206" spans="19:22" x14ac:dyDescent="0.45">
      <c r="S2206" t="s">
        <v>575</v>
      </c>
      <c r="T2206" t="s">
        <v>790</v>
      </c>
      <c r="U2206">
        <v>1.8775186779982311E-2</v>
      </c>
      <c r="V2206" t="s">
        <v>157</v>
      </c>
    </row>
    <row r="2207" spans="19:22" x14ac:dyDescent="0.45">
      <c r="S2207" t="s">
        <v>576</v>
      </c>
      <c r="T2207" t="s">
        <v>779</v>
      </c>
      <c r="U2207">
        <v>0.1150427210991592</v>
      </c>
      <c r="V2207" t="s">
        <v>157</v>
      </c>
    </row>
    <row r="2208" spans="19:22" x14ac:dyDescent="0.45">
      <c r="S2208" t="s">
        <v>576</v>
      </c>
      <c r="T2208" t="s">
        <v>780</v>
      </c>
      <c r="U2208">
        <v>0.11392930218741266</v>
      </c>
      <c r="V2208" t="s">
        <v>157</v>
      </c>
    </row>
    <row r="2209" spans="19:22" x14ac:dyDescent="0.45">
      <c r="S2209" t="s">
        <v>576</v>
      </c>
      <c r="T2209" t="s">
        <v>781</v>
      </c>
      <c r="U2209">
        <v>2.1441501223055891E-2</v>
      </c>
      <c r="V2209" t="s">
        <v>157</v>
      </c>
    </row>
    <row r="2210" spans="19:22" x14ac:dyDescent="0.45">
      <c r="S2210" t="s">
        <v>576</v>
      </c>
      <c r="T2210" t="s">
        <v>782</v>
      </c>
      <c r="U2210">
        <v>0.11863055205967057</v>
      </c>
      <c r="V2210" t="s">
        <v>157</v>
      </c>
    </row>
    <row r="2211" spans="19:22" x14ac:dyDescent="0.45">
      <c r="S2211" t="s">
        <v>576</v>
      </c>
      <c r="T2211" t="s">
        <v>783</v>
      </c>
      <c r="U2211">
        <v>0.11428313366246184</v>
      </c>
      <c r="V2211" t="s">
        <v>157</v>
      </c>
    </row>
    <row r="2212" spans="19:22" x14ac:dyDescent="0.45">
      <c r="S2212" t="s">
        <v>576</v>
      </c>
      <c r="T2212" t="s">
        <v>784</v>
      </c>
      <c r="U2212">
        <v>2.1792096273293978E-2</v>
      </c>
      <c r="V2212" t="s">
        <v>157</v>
      </c>
    </row>
    <row r="2213" spans="19:22" x14ac:dyDescent="0.45">
      <c r="S2213" t="s">
        <v>576</v>
      </c>
      <c r="T2213" t="s">
        <v>785</v>
      </c>
      <c r="U2213">
        <v>0.12641948936719116</v>
      </c>
      <c r="V2213" t="s">
        <v>157</v>
      </c>
    </row>
    <row r="2214" spans="19:22" x14ac:dyDescent="0.45">
      <c r="S2214" t="s">
        <v>576</v>
      </c>
      <c r="T2214" t="s">
        <v>786</v>
      </c>
      <c r="U2214">
        <v>0.12289443349177889</v>
      </c>
      <c r="V2214" t="s">
        <v>157</v>
      </c>
    </row>
    <row r="2215" spans="19:22" x14ac:dyDescent="0.45">
      <c r="S2215" t="s">
        <v>576</v>
      </c>
      <c r="T2215" t="s">
        <v>787</v>
      </c>
      <c r="U2215">
        <v>2.3292891249326982E-2</v>
      </c>
      <c r="V2215" t="s">
        <v>157</v>
      </c>
    </row>
    <row r="2216" spans="19:22" x14ac:dyDescent="0.45">
      <c r="S2216" t="s">
        <v>576</v>
      </c>
      <c r="T2216" t="s">
        <v>788</v>
      </c>
      <c r="U2216">
        <v>0.10241909451099032</v>
      </c>
      <c r="V2216" t="s">
        <v>157</v>
      </c>
    </row>
    <row r="2217" spans="19:22" x14ac:dyDescent="0.45">
      <c r="S2217" t="s">
        <v>576</v>
      </c>
      <c r="T2217" t="s">
        <v>789</v>
      </c>
      <c r="U2217">
        <v>0.10090098260184739</v>
      </c>
      <c r="V2217" t="s">
        <v>157</v>
      </c>
    </row>
    <row r="2218" spans="19:22" x14ac:dyDescent="0.45">
      <c r="S2218" t="s">
        <v>576</v>
      </c>
      <c r="T2218" t="s">
        <v>790</v>
      </c>
      <c r="U2218">
        <v>1.8953802273811195E-2</v>
      </c>
      <c r="V2218" t="s">
        <v>157</v>
      </c>
    </row>
    <row r="2219" spans="19:22" x14ac:dyDescent="0.45">
      <c r="S2219" t="s">
        <v>577</v>
      </c>
      <c r="T2219" t="s">
        <v>779</v>
      </c>
      <c r="U2219">
        <v>0.1035260817891259</v>
      </c>
      <c r="V2219" t="s">
        <v>157</v>
      </c>
    </row>
    <row r="2220" spans="19:22" x14ac:dyDescent="0.45">
      <c r="S2220" t="s">
        <v>577</v>
      </c>
      <c r="T2220" t="s">
        <v>780</v>
      </c>
      <c r="U2220">
        <v>0.12769716146251003</v>
      </c>
      <c r="V2220" t="s">
        <v>157</v>
      </c>
    </row>
    <row r="2221" spans="19:22" x14ac:dyDescent="0.45">
      <c r="S2221" t="s">
        <v>577</v>
      </c>
      <c r="T2221" t="s">
        <v>781</v>
      </c>
      <c r="U2221">
        <v>2.3333440089850572E-2</v>
      </c>
      <c r="V2221" t="s">
        <v>157</v>
      </c>
    </row>
    <row r="2222" spans="19:22" x14ac:dyDescent="0.45">
      <c r="S2222" t="s">
        <v>577</v>
      </c>
      <c r="T2222" t="s">
        <v>782</v>
      </c>
      <c r="U2222">
        <v>9.8288130182351774E-2</v>
      </c>
      <c r="V2222" t="s">
        <v>157</v>
      </c>
    </row>
    <row r="2223" spans="19:22" x14ac:dyDescent="0.45">
      <c r="S2223" t="s">
        <v>577</v>
      </c>
      <c r="T2223" t="s">
        <v>783</v>
      </c>
      <c r="U2223">
        <v>0.10872791047380954</v>
      </c>
      <c r="V2223" t="s">
        <v>157</v>
      </c>
    </row>
    <row r="2224" spans="19:22" x14ac:dyDescent="0.45">
      <c r="S2224" t="s">
        <v>577</v>
      </c>
      <c r="T2224" t="s">
        <v>784</v>
      </c>
      <c r="U2224">
        <v>2.0166701721145479E-2</v>
      </c>
      <c r="V2224" t="s">
        <v>157</v>
      </c>
    </row>
    <row r="2225" spans="19:22" x14ac:dyDescent="0.45">
      <c r="S2225" t="s">
        <v>577</v>
      </c>
      <c r="T2225" t="s">
        <v>785</v>
      </c>
      <c r="U2225">
        <v>0.12327626778043491</v>
      </c>
      <c r="V2225" t="s">
        <v>157</v>
      </c>
    </row>
    <row r="2226" spans="19:22" x14ac:dyDescent="0.45">
      <c r="S2226" t="s">
        <v>577</v>
      </c>
      <c r="T2226" t="s">
        <v>786</v>
      </c>
      <c r="U2226">
        <v>0.13117621512127922</v>
      </c>
      <c r="V2226" t="s">
        <v>157</v>
      </c>
    </row>
    <row r="2227" spans="19:22" x14ac:dyDescent="0.45">
      <c r="S2227" t="s">
        <v>577</v>
      </c>
      <c r="T2227" t="s">
        <v>787</v>
      </c>
      <c r="U2227">
        <v>2.3903790475340254E-2</v>
      </c>
      <c r="V2227" t="s">
        <v>157</v>
      </c>
    </row>
    <row r="2228" spans="19:22" x14ac:dyDescent="0.45">
      <c r="S2228" t="s">
        <v>577</v>
      </c>
      <c r="T2228" t="s">
        <v>788</v>
      </c>
      <c r="U2228">
        <v>0.10389952958274008</v>
      </c>
      <c r="V2228" t="s">
        <v>157</v>
      </c>
    </row>
    <row r="2229" spans="19:22" x14ac:dyDescent="0.45">
      <c r="S2229" t="s">
        <v>577</v>
      </c>
      <c r="T2229" t="s">
        <v>789</v>
      </c>
      <c r="U2229">
        <v>0.11356279287845684</v>
      </c>
      <c r="V2229" t="s">
        <v>157</v>
      </c>
    </row>
    <row r="2230" spans="19:22" x14ac:dyDescent="0.45">
      <c r="S2230" t="s">
        <v>577</v>
      </c>
      <c r="T2230" t="s">
        <v>790</v>
      </c>
      <c r="U2230">
        <v>2.2441978442955361E-2</v>
      </c>
      <c r="V2230" t="s">
        <v>157</v>
      </c>
    </row>
    <row r="2231" spans="19:22" x14ac:dyDescent="0.45">
      <c r="S2231" t="s">
        <v>578</v>
      </c>
      <c r="T2231" t="s">
        <v>779</v>
      </c>
      <c r="U2231">
        <v>0.10629299301289337</v>
      </c>
      <c r="V2231" t="s">
        <v>157</v>
      </c>
    </row>
    <row r="2232" spans="19:22" x14ac:dyDescent="0.45">
      <c r="S2232" t="s">
        <v>578</v>
      </c>
      <c r="T2232" t="s">
        <v>780</v>
      </c>
      <c r="U2232">
        <v>0.13184946942308393</v>
      </c>
      <c r="V2232" t="s">
        <v>157</v>
      </c>
    </row>
    <row r="2233" spans="19:22" x14ac:dyDescent="0.45">
      <c r="S2233" t="s">
        <v>578</v>
      </c>
      <c r="T2233" t="s">
        <v>781</v>
      </c>
      <c r="U2233">
        <v>2.4322770304419539E-2</v>
      </c>
      <c r="V2233" t="s">
        <v>157</v>
      </c>
    </row>
    <row r="2234" spans="19:22" x14ac:dyDescent="0.45">
      <c r="S2234" t="s">
        <v>578</v>
      </c>
      <c r="T2234" t="s">
        <v>782</v>
      </c>
      <c r="U2234">
        <v>9.2777466622200544E-2</v>
      </c>
      <c r="V2234" t="s">
        <v>157</v>
      </c>
    </row>
    <row r="2235" spans="19:22" x14ac:dyDescent="0.45">
      <c r="S2235" t="s">
        <v>578</v>
      </c>
      <c r="T2235" t="s">
        <v>783</v>
      </c>
      <c r="U2235">
        <v>0.10859792592186698</v>
      </c>
      <c r="V2235" t="s">
        <v>157</v>
      </c>
    </row>
    <row r="2236" spans="19:22" x14ac:dyDescent="0.45">
      <c r="S2236" t="s">
        <v>578</v>
      </c>
      <c r="T2236" t="s">
        <v>784</v>
      </c>
      <c r="U2236">
        <v>2.0207179273465728E-2</v>
      </c>
      <c r="V2236" t="s">
        <v>157</v>
      </c>
    </row>
    <row r="2237" spans="19:22" x14ac:dyDescent="0.45">
      <c r="S2237" t="s">
        <v>578</v>
      </c>
      <c r="T2237" t="s">
        <v>785</v>
      </c>
      <c r="U2237">
        <v>0.11857375289023869</v>
      </c>
      <c r="V2237" t="s">
        <v>157</v>
      </c>
    </row>
    <row r="2238" spans="19:22" x14ac:dyDescent="0.45">
      <c r="S2238" t="s">
        <v>578</v>
      </c>
      <c r="T2238" t="s">
        <v>786</v>
      </c>
      <c r="U2238">
        <v>0.1334385764545839</v>
      </c>
      <c r="V2238" t="s">
        <v>157</v>
      </c>
    </row>
    <row r="2239" spans="19:22" x14ac:dyDescent="0.45">
      <c r="S2239" t="s">
        <v>578</v>
      </c>
      <c r="T2239" t="s">
        <v>787</v>
      </c>
      <c r="U2239">
        <v>2.3702458049455834E-2</v>
      </c>
      <c r="V2239" t="s">
        <v>157</v>
      </c>
    </row>
    <row r="2240" spans="19:22" x14ac:dyDescent="0.45">
      <c r="S2240" t="s">
        <v>578</v>
      </c>
      <c r="T2240" t="s">
        <v>788</v>
      </c>
      <c r="U2240">
        <v>0.10226179605673624</v>
      </c>
      <c r="V2240" t="s">
        <v>157</v>
      </c>
    </row>
    <row r="2241" spans="19:22" x14ac:dyDescent="0.45">
      <c r="S2241" t="s">
        <v>578</v>
      </c>
      <c r="T2241" t="s">
        <v>789</v>
      </c>
      <c r="U2241">
        <v>0.11340020228301244</v>
      </c>
      <c r="V2241" t="s">
        <v>157</v>
      </c>
    </row>
    <row r="2242" spans="19:22" x14ac:dyDescent="0.45">
      <c r="S2242" t="s">
        <v>578</v>
      </c>
      <c r="T2242" t="s">
        <v>790</v>
      </c>
      <c r="U2242">
        <v>2.4575409708042888E-2</v>
      </c>
      <c r="V2242" t="s">
        <v>157</v>
      </c>
    </row>
    <row r="2243" spans="19:22" x14ac:dyDescent="0.45">
      <c r="S2243" t="s">
        <v>579</v>
      </c>
      <c r="T2243" t="s">
        <v>779</v>
      </c>
      <c r="U2243">
        <v>0.11135209394312442</v>
      </c>
      <c r="V2243" t="s">
        <v>157</v>
      </c>
    </row>
    <row r="2244" spans="19:22" x14ac:dyDescent="0.45">
      <c r="S2244" t="s">
        <v>579</v>
      </c>
      <c r="T2244" t="s">
        <v>780</v>
      </c>
      <c r="U2244">
        <v>0.13376077696888145</v>
      </c>
      <c r="V2244" t="s">
        <v>157</v>
      </c>
    </row>
    <row r="2245" spans="19:22" x14ac:dyDescent="0.45">
      <c r="S2245" t="s">
        <v>579</v>
      </c>
      <c r="T2245" t="s">
        <v>781</v>
      </c>
      <c r="U2245">
        <v>2.5565670646912782E-2</v>
      </c>
      <c r="V2245" t="s">
        <v>157</v>
      </c>
    </row>
    <row r="2246" spans="19:22" x14ac:dyDescent="0.45">
      <c r="S2246" t="s">
        <v>579</v>
      </c>
      <c r="T2246" t="s">
        <v>782</v>
      </c>
      <c r="U2246">
        <v>9.0697372970000217E-2</v>
      </c>
      <c r="V2246" t="s">
        <v>157</v>
      </c>
    </row>
    <row r="2247" spans="19:22" x14ac:dyDescent="0.45">
      <c r="S2247" t="s">
        <v>579</v>
      </c>
      <c r="T2247" t="s">
        <v>783</v>
      </c>
      <c r="U2247">
        <v>0.10604238964719116</v>
      </c>
      <c r="V2247" t="s">
        <v>157</v>
      </c>
    </row>
    <row r="2248" spans="19:22" x14ac:dyDescent="0.45">
      <c r="S2248" t="s">
        <v>579</v>
      </c>
      <c r="T2248" t="s">
        <v>784</v>
      </c>
      <c r="U2248">
        <v>2.0149560292184999E-2</v>
      </c>
      <c r="V2248" t="s">
        <v>157</v>
      </c>
    </row>
    <row r="2249" spans="19:22" x14ac:dyDescent="0.45">
      <c r="S2249" t="s">
        <v>579</v>
      </c>
      <c r="T2249" t="s">
        <v>785</v>
      </c>
      <c r="U2249">
        <v>0.11809497738316159</v>
      </c>
      <c r="V2249" t="s">
        <v>157</v>
      </c>
    </row>
    <row r="2250" spans="19:22" x14ac:dyDescent="0.45">
      <c r="S2250" t="s">
        <v>579</v>
      </c>
      <c r="T2250" t="s">
        <v>786</v>
      </c>
      <c r="U2250">
        <v>0.13432424198412843</v>
      </c>
      <c r="V2250" t="s">
        <v>157</v>
      </c>
    </row>
    <row r="2251" spans="19:22" x14ac:dyDescent="0.45">
      <c r="S2251" t="s">
        <v>579</v>
      </c>
      <c r="T2251" t="s">
        <v>787</v>
      </c>
      <c r="U2251">
        <v>2.366845564656702E-2</v>
      </c>
      <c r="V2251" t="s">
        <v>157</v>
      </c>
    </row>
    <row r="2252" spans="19:22" x14ac:dyDescent="0.45">
      <c r="S2252" t="s">
        <v>579</v>
      </c>
      <c r="T2252" t="s">
        <v>788</v>
      </c>
      <c r="U2252">
        <v>0.10119931182084582</v>
      </c>
      <c r="V2252" t="s">
        <v>157</v>
      </c>
    </row>
    <row r="2253" spans="19:22" x14ac:dyDescent="0.45">
      <c r="S2253" t="s">
        <v>579</v>
      </c>
      <c r="T2253" t="s">
        <v>789</v>
      </c>
      <c r="U2253">
        <v>0.10941044089184708</v>
      </c>
      <c r="V2253" t="s">
        <v>157</v>
      </c>
    </row>
    <row r="2254" spans="19:22" x14ac:dyDescent="0.45">
      <c r="S2254" t="s">
        <v>579</v>
      </c>
      <c r="T2254" t="s">
        <v>790</v>
      </c>
      <c r="U2254">
        <v>2.5734707805155112E-2</v>
      </c>
      <c r="V2254" t="s">
        <v>157</v>
      </c>
    </row>
    <row r="2255" spans="19:22" x14ac:dyDescent="0.45">
      <c r="S2255" t="s">
        <v>580</v>
      </c>
      <c r="T2255" t="s">
        <v>779</v>
      </c>
      <c r="U2255">
        <v>0.14303360034953275</v>
      </c>
      <c r="V2255" t="s">
        <v>157</v>
      </c>
    </row>
    <row r="2256" spans="19:22" x14ac:dyDescent="0.45">
      <c r="S2256" t="s">
        <v>580</v>
      </c>
      <c r="T2256" t="s">
        <v>780</v>
      </c>
      <c r="U2256">
        <v>0.13987931845042767</v>
      </c>
      <c r="V2256" t="s">
        <v>157</v>
      </c>
    </row>
    <row r="2257" spans="19:22" x14ac:dyDescent="0.45">
      <c r="S2257" t="s">
        <v>580</v>
      </c>
      <c r="T2257" t="s">
        <v>781</v>
      </c>
      <c r="U2257">
        <v>2.8934633166365624E-2</v>
      </c>
      <c r="V2257" t="s">
        <v>157</v>
      </c>
    </row>
    <row r="2258" spans="19:22" x14ac:dyDescent="0.45">
      <c r="S2258" t="s">
        <v>580</v>
      </c>
      <c r="T2258" t="s">
        <v>782</v>
      </c>
      <c r="U2258">
        <v>9.0168979681137879E-2</v>
      </c>
      <c r="V2258" t="s">
        <v>157</v>
      </c>
    </row>
    <row r="2259" spans="19:22" x14ac:dyDescent="0.45">
      <c r="S2259" t="s">
        <v>580</v>
      </c>
      <c r="T2259" t="s">
        <v>783</v>
      </c>
      <c r="U2259">
        <v>8.8447014417593464E-2</v>
      </c>
      <c r="V2259" t="s">
        <v>157</v>
      </c>
    </row>
    <row r="2260" spans="19:22" x14ac:dyDescent="0.45">
      <c r="S2260" t="s">
        <v>580</v>
      </c>
      <c r="T2260" t="s">
        <v>784</v>
      </c>
      <c r="U2260">
        <v>1.694640304468582E-2</v>
      </c>
      <c r="V2260" t="s">
        <v>157</v>
      </c>
    </row>
    <row r="2261" spans="19:22" x14ac:dyDescent="0.45">
      <c r="S2261" t="s">
        <v>580</v>
      </c>
      <c r="T2261" t="s">
        <v>785</v>
      </c>
      <c r="U2261">
        <v>0.11607712638727283</v>
      </c>
      <c r="V2261" t="s">
        <v>157</v>
      </c>
    </row>
    <row r="2262" spans="19:22" x14ac:dyDescent="0.45">
      <c r="S2262" t="s">
        <v>580</v>
      </c>
      <c r="T2262" t="s">
        <v>786</v>
      </c>
      <c r="U2262">
        <v>0.11851250153168842</v>
      </c>
      <c r="V2262" t="s">
        <v>157</v>
      </c>
    </row>
    <row r="2263" spans="19:22" x14ac:dyDescent="0.45">
      <c r="S2263" t="s">
        <v>580</v>
      </c>
      <c r="T2263" t="s">
        <v>787</v>
      </c>
      <c r="U2263">
        <v>2.2470542722799743E-2</v>
      </c>
      <c r="V2263" t="s">
        <v>157</v>
      </c>
    </row>
    <row r="2264" spans="19:22" x14ac:dyDescent="0.45">
      <c r="S2264" t="s">
        <v>580</v>
      </c>
      <c r="T2264" t="s">
        <v>788</v>
      </c>
      <c r="U2264">
        <v>0.1107833151535349</v>
      </c>
      <c r="V2264" t="s">
        <v>157</v>
      </c>
    </row>
    <row r="2265" spans="19:22" x14ac:dyDescent="0.45">
      <c r="S2265" t="s">
        <v>580</v>
      </c>
      <c r="T2265" t="s">
        <v>789</v>
      </c>
      <c r="U2265">
        <v>0.10281867676329061</v>
      </c>
      <c r="V2265" t="s">
        <v>157</v>
      </c>
    </row>
    <row r="2266" spans="19:22" x14ac:dyDescent="0.45">
      <c r="S2266" t="s">
        <v>580</v>
      </c>
      <c r="T2266" t="s">
        <v>790</v>
      </c>
      <c r="U2266">
        <v>2.1927888331670236E-2</v>
      </c>
      <c r="V2266" t="s">
        <v>157</v>
      </c>
    </row>
    <row r="2267" spans="19:22" x14ac:dyDescent="0.45">
      <c r="S2267" t="s">
        <v>581</v>
      </c>
      <c r="T2267" t="s">
        <v>779</v>
      </c>
      <c r="U2267">
        <v>0.13361676236254483</v>
      </c>
      <c r="V2267" t="s">
        <v>157</v>
      </c>
    </row>
    <row r="2268" spans="19:22" x14ac:dyDescent="0.45">
      <c r="S2268" t="s">
        <v>581</v>
      </c>
      <c r="T2268" t="s">
        <v>780</v>
      </c>
      <c r="U2268">
        <v>0.13571686494320404</v>
      </c>
      <c r="V2268" t="s">
        <v>157</v>
      </c>
    </row>
    <row r="2269" spans="19:22" x14ac:dyDescent="0.45">
      <c r="S2269" t="s">
        <v>581</v>
      </c>
      <c r="T2269" t="s">
        <v>781</v>
      </c>
      <c r="U2269">
        <v>2.6275484209469097E-2</v>
      </c>
      <c r="V2269" t="s">
        <v>157</v>
      </c>
    </row>
    <row r="2270" spans="19:22" x14ac:dyDescent="0.45">
      <c r="S2270" t="s">
        <v>581</v>
      </c>
      <c r="T2270" t="s">
        <v>782</v>
      </c>
      <c r="U2270">
        <v>9.2282743905504519E-2</v>
      </c>
      <c r="V2270" t="s">
        <v>157</v>
      </c>
    </row>
    <row r="2271" spans="19:22" x14ac:dyDescent="0.45">
      <c r="S2271" t="s">
        <v>581</v>
      </c>
      <c r="T2271" t="s">
        <v>783</v>
      </c>
      <c r="U2271">
        <v>9.3205458106963956E-2</v>
      </c>
      <c r="V2271" t="s">
        <v>157</v>
      </c>
    </row>
    <row r="2272" spans="19:22" x14ac:dyDescent="0.45">
      <c r="S2272" t="s">
        <v>581</v>
      </c>
      <c r="T2272" t="s">
        <v>784</v>
      </c>
      <c r="U2272">
        <v>1.6853644124312017E-2</v>
      </c>
      <c r="V2272" t="s">
        <v>157</v>
      </c>
    </row>
    <row r="2273" spans="19:22" x14ac:dyDescent="0.45">
      <c r="S2273" t="s">
        <v>581</v>
      </c>
      <c r="T2273" t="s">
        <v>785</v>
      </c>
      <c r="U2273">
        <v>0.12180030772325143</v>
      </c>
      <c r="V2273" t="s">
        <v>157</v>
      </c>
    </row>
    <row r="2274" spans="19:22" x14ac:dyDescent="0.45">
      <c r="S2274" t="s">
        <v>581</v>
      </c>
      <c r="T2274" t="s">
        <v>786</v>
      </c>
      <c r="U2274">
        <v>0.12299691424277887</v>
      </c>
      <c r="V2274" t="s">
        <v>157</v>
      </c>
    </row>
    <row r="2275" spans="19:22" x14ac:dyDescent="0.45">
      <c r="S2275" t="s">
        <v>581</v>
      </c>
      <c r="T2275" t="s">
        <v>787</v>
      </c>
      <c r="U2275">
        <v>2.3119979003462562E-2</v>
      </c>
      <c r="V2275" t="s">
        <v>157</v>
      </c>
    </row>
    <row r="2276" spans="19:22" x14ac:dyDescent="0.45">
      <c r="S2276" t="s">
        <v>581</v>
      </c>
      <c r="T2276" t="s">
        <v>788</v>
      </c>
      <c r="U2276">
        <v>0.10721292345575721</v>
      </c>
      <c r="V2276" t="s">
        <v>157</v>
      </c>
    </row>
    <row r="2277" spans="19:22" x14ac:dyDescent="0.45">
      <c r="S2277" t="s">
        <v>581</v>
      </c>
      <c r="T2277" t="s">
        <v>789</v>
      </c>
      <c r="U2277">
        <v>0.10700712207834961</v>
      </c>
      <c r="V2277" t="s">
        <v>157</v>
      </c>
    </row>
    <row r="2278" spans="19:22" x14ac:dyDescent="0.45">
      <c r="S2278" t="s">
        <v>581</v>
      </c>
      <c r="T2278" t="s">
        <v>790</v>
      </c>
      <c r="U2278">
        <v>1.9911795844401826E-2</v>
      </c>
      <c r="V2278" t="s">
        <v>157</v>
      </c>
    </row>
    <row r="2279" spans="19:22" x14ac:dyDescent="0.45">
      <c r="S2279" t="s">
        <v>582</v>
      </c>
      <c r="T2279" t="s">
        <v>779</v>
      </c>
      <c r="U2279">
        <v>0.12961831654695574</v>
      </c>
      <c r="V2279" t="s">
        <v>157</v>
      </c>
    </row>
    <row r="2280" spans="19:22" x14ac:dyDescent="0.45">
      <c r="S2280" t="s">
        <v>582</v>
      </c>
      <c r="T2280" t="s">
        <v>780</v>
      </c>
      <c r="U2280">
        <v>0.13176726700838254</v>
      </c>
      <c r="V2280" t="s">
        <v>157</v>
      </c>
    </row>
    <row r="2281" spans="19:22" x14ac:dyDescent="0.45">
      <c r="S2281" t="s">
        <v>582</v>
      </c>
      <c r="T2281" t="s">
        <v>781</v>
      </c>
      <c r="U2281">
        <v>2.4722027359688304E-2</v>
      </c>
      <c r="V2281" t="s">
        <v>157</v>
      </c>
    </row>
    <row r="2282" spans="19:22" x14ac:dyDescent="0.45">
      <c r="S2282" t="s">
        <v>582</v>
      </c>
      <c r="T2282" t="s">
        <v>782</v>
      </c>
      <c r="U2282">
        <v>9.3965009155700413E-2</v>
      </c>
      <c r="V2282" t="s">
        <v>157</v>
      </c>
    </row>
    <row r="2283" spans="19:22" x14ac:dyDescent="0.45">
      <c r="S2283" t="s">
        <v>582</v>
      </c>
      <c r="T2283" t="s">
        <v>783</v>
      </c>
      <c r="U2283">
        <v>9.5175096355470085E-2</v>
      </c>
      <c r="V2283" t="s">
        <v>157</v>
      </c>
    </row>
    <row r="2284" spans="19:22" x14ac:dyDescent="0.45">
      <c r="S2284" t="s">
        <v>582</v>
      </c>
      <c r="T2284" t="s">
        <v>784</v>
      </c>
      <c r="U2284">
        <v>1.6874222177858927E-2</v>
      </c>
      <c r="V2284" t="s">
        <v>157</v>
      </c>
    </row>
    <row r="2285" spans="19:22" x14ac:dyDescent="0.45">
      <c r="S2285" t="s">
        <v>582</v>
      </c>
      <c r="T2285" t="s">
        <v>785</v>
      </c>
      <c r="U2285">
        <v>0.12648851606467154</v>
      </c>
      <c r="V2285" t="s">
        <v>157</v>
      </c>
    </row>
    <row r="2286" spans="19:22" x14ac:dyDescent="0.45">
      <c r="S2286" t="s">
        <v>582</v>
      </c>
      <c r="T2286" t="s">
        <v>786</v>
      </c>
      <c r="U2286">
        <v>0.12641337885435111</v>
      </c>
      <c r="V2286" t="s">
        <v>157</v>
      </c>
    </row>
    <row r="2287" spans="19:22" x14ac:dyDescent="0.45">
      <c r="S2287" t="s">
        <v>582</v>
      </c>
      <c r="T2287" t="s">
        <v>787</v>
      </c>
      <c r="U2287">
        <v>2.3380206361407318E-2</v>
      </c>
      <c r="V2287" t="s">
        <v>157</v>
      </c>
    </row>
    <row r="2288" spans="19:22" x14ac:dyDescent="0.45">
      <c r="S2288" t="s">
        <v>582</v>
      </c>
      <c r="T2288" t="s">
        <v>788</v>
      </c>
      <c r="U2288">
        <v>0.10484721945790548</v>
      </c>
      <c r="V2288" t="s">
        <v>157</v>
      </c>
    </row>
    <row r="2289" spans="19:22" x14ac:dyDescent="0.45">
      <c r="S2289" t="s">
        <v>582</v>
      </c>
      <c r="T2289" t="s">
        <v>789</v>
      </c>
      <c r="U2289">
        <v>0.10855989271916146</v>
      </c>
      <c r="V2289" t="s">
        <v>157</v>
      </c>
    </row>
    <row r="2290" spans="19:22" x14ac:dyDescent="0.45">
      <c r="S2290" t="s">
        <v>582</v>
      </c>
      <c r="T2290" t="s">
        <v>790</v>
      </c>
      <c r="U2290">
        <v>1.8188847938447061E-2</v>
      </c>
      <c r="V2290" t="s">
        <v>157</v>
      </c>
    </row>
    <row r="2291" spans="19:22" x14ac:dyDescent="0.45">
      <c r="S2291" t="s">
        <v>583</v>
      </c>
      <c r="T2291" t="s">
        <v>779</v>
      </c>
      <c r="U2291">
        <v>0.12787461534154401</v>
      </c>
      <c r="V2291" t="s">
        <v>157</v>
      </c>
    </row>
    <row r="2292" spans="19:22" x14ac:dyDescent="0.45">
      <c r="S2292" t="s">
        <v>583</v>
      </c>
      <c r="T2292" t="s">
        <v>780</v>
      </c>
      <c r="U2292">
        <v>0.12998167321129403</v>
      </c>
      <c r="V2292" t="s">
        <v>157</v>
      </c>
    </row>
    <row r="2293" spans="19:22" x14ac:dyDescent="0.45">
      <c r="S2293" t="s">
        <v>583</v>
      </c>
      <c r="T2293" t="s">
        <v>781</v>
      </c>
      <c r="U2293">
        <v>2.4419777509358132E-2</v>
      </c>
      <c r="V2293" t="s">
        <v>157</v>
      </c>
    </row>
    <row r="2294" spans="19:22" x14ac:dyDescent="0.45">
      <c r="S2294" t="s">
        <v>583</v>
      </c>
      <c r="T2294" t="s">
        <v>782</v>
      </c>
      <c r="U2294">
        <v>9.5994605623433454E-2</v>
      </c>
      <c r="V2294" t="s">
        <v>157</v>
      </c>
    </row>
    <row r="2295" spans="19:22" x14ac:dyDescent="0.45">
      <c r="S2295" t="s">
        <v>583</v>
      </c>
      <c r="T2295" t="s">
        <v>783</v>
      </c>
      <c r="U2295">
        <v>9.6249482495764316E-2</v>
      </c>
      <c r="V2295" t="s">
        <v>157</v>
      </c>
    </row>
    <row r="2296" spans="19:22" x14ac:dyDescent="0.45">
      <c r="S2296" t="s">
        <v>583</v>
      </c>
      <c r="T2296" t="s">
        <v>784</v>
      </c>
      <c r="U2296">
        <v>1.7570259111687397E-2</v>
      </c>
      <c r="V2296" t="s">
        <v>157</v>
      </c>
    </row>
    <row r="2297" spans="19:22" x14ac:dyDescent="0.45">
      <c r="S2297" t="s">
        <v>583</v>
      </c>
      <c r="T2297" t="s">
        <v>785</v>
      </c>
      <c r="U2297">
        <v>0.12861015738593765</v>
      </c>
      <c r="V2297" t="s">
        <v>157</v>
      </c>
    </row>
    <row r="2298" spans="19:22" x14ac:dyDescent="0.45">
      <c r="S2298" t="s">
        <v>583</v>
      </c>
      <c r="T2298" t="s">
        <v>786</v>
      </c>
      <c r="U2298">
        <v>0.12769029638534835</v>
      </c>
      <c r="V2298" t="s">
        <v>157</v>
      </c>
    </row>
    <row r="2299" spans="19:22" x14ac:dyDescent="0.45">
      <c r="S2299" t="s">
        <v>583</v>
      </c>
      <c r="T2299" t="s">
        <v>787</v>
      </c>
      <c r="U2299">
        <v>2.3120376174310772E-2</v>
      </c>
      <c r="V2299" t="s">
        <v>157</v>
      </c>
    </row>
    <row r="2300" spans="19:22" x14ac:dyDescent="0.45">
      <c r="S2300" t="s">
        <v>583</v>
      </c>
      <c r="T2300" t="s">
        <v>788</v>
      </c>
      <c r="U2300">
        <v>0.10302645886061038</v>
      </c>
      <c r="V2300" t="s">
        <v>157</v>
      </c>
    </row>
    <row r="2301" spans="19:22" x14ac:dyDescent="0.45">
      <c r="S2301" t="s">
        <v>583</v>
      </c>
      <c r="T2301" t="s">
        <v>789</v>
      </c>
      <c r="U2301">
        <v>0.10758908034100984</v>
      </c>
      <c r="V2301" t="s">
        <v>157</v>
      </c>
    </row>
    <row r="2302" spans="19:22" x14ac:dyDescent="0.45">
      <c r="S2302" t="s">
        <v>583</v>
      </c>
      <c r="T2302" t="s">
        <v>790</v>
      </c>
      <c r="U2302">
        <v>1.7873217559701629E-2</v>
      </c>
      <c r="V2302" t="s">
        <v>157</v>
      </c>
    </row>
    <row r="2303" spans="19:22" x14ac:dyDescent="0.45">
      <c r="S2303" t="s">
        <v>584</v>
      </c>
      <c r="T2303" t="s">
        <v>779</v>
      </c>
      <c r="U2303">
        <v>0.12363547813563611</v>
      </c>
      <c r="V2303" t="s">
        <v>157</v>
      </c>
    </row>
    <row r="2304" spans="19:22" x14ac:dyDescent="0.45">
      <c r="S2304" t="s">
        <v>584</v>
      </c>
      <c r="T2304" t="s">
        <v>780</v>
      </c>
      <c r="U2304">
        <v>0.13011635575114408</v>
      </c>
      <c r="V2304" t="s">
        <v>157</v>
      </c>
    </row>
    <row r="2305" spans="19:22" x14ac:dyDescent="0.45">
      <c r="S2305" t="s">
        <v>584</v>
      </c>
      <c r="T2305" t="s">
        <v>781</v>
      </c>
      <c r="U2305">
        <v>2.39294085374493E-2</v>
      </c>
      <c r="V2305" t="s">
        <v>157</v>
      </c>
    </row>
    <row r="2306" spans="19:22" x14ac:dyDescent="0.45">
      <c r="S2306" t="s">
        <v>584</v>
      </c>
      <c r="T2306" t="s">
        <v>782</v>
      </c>
      <c r="U2306">
        <v>9.8745539967667717E-2</v>
      </c>
      <c r="V2306" t="s">
        <v>157</v>
      </c>
    </row>
    <row r="2307" spans="19:22" x14ac:dyDescent="0.45">
      <c r="S2307" t="s">
        <v>584</v>
      </c>
      <c r="T2307" t="s">
        <v>783</v>
      </c>
      <c r="U2307">
        <v>9.8909650291284193E-2</v>
      </c>
      <c r="V2307" t="s">
        <v>157</v>
      </c>
    </row>
    <row r="2308" spans="19:22" x14ac:dyDescent="0.45">
      <c r="S2308" t="s">
        <v>584</v>
      </c>
      <c r="T2308" t="s">
        <v>784</v>
      </c>
      <c r="U2308">
        <v>1.8274014372300675E-2</v>
      </c>
      <c r="V2308" t="s">
        <v>157</v>
      </c>
    </row>
    <row r="2309" spans="19:22" x14ac:dyDescent="0.45">
      <c r="S2309" t="s">
        <v>584</v>
      </c>
      <c r="T2309" t="s">
        <v>785</v>
      </c>
      <c r="U2309">
        <v>0.12989799141655486</v>
      </c>
      <c r="V2309" t="s">
        <v>157</v>
      </c>
    </row>
    <row r="2310" spans="19:22" x14ac:dyDescent="0.45">
      <c r="S2310" t="s">
        <v>584</v>
      </c>
      <c r="T2310" t="s">
        <v>786</v>
      </c>
      <c r="U2310">
        <v>0.1283076452965142</v>
      </c>
      <c r="V2310" t="s">
        <v>157</v>
      </c>
    </row>
    <row r="2311" spans="19:22" x14ac:dyDescent="0.45">
      <c r="S2311" t="s">
        <v>584</v>
      </c>
      <c r="T2311" t="s">
        <v>787</v>
      </c>
      <c r="U2311">
        <v>2.2947812680809917E-2</v>
      </c>
      <c r="V2311" t="s">
        <v>157</v>
      </c>
    </row>
    <row r="2312" spans="19:22" x14ac:dyDescent="0.45">
      <c r="S2312" t="s">
        <v>584</v>
      </c>
      <c r="T2312" t="s">
        <v>788</v>
      </c>
      <c r="U2312">
        <v>0.10050866786996282</v>
      </c>
      <c r="V2312" t="s">
        <v>157</v>
      </c>
    </row>
    <row r="2313" spans="19:22" x14ac:dyDescent="0.45">
      <c r="S2313" t="s">
        <v>584</v>
      </c>
      <c r="T2313" t="s">
        <v>789</v>
      </c>
      <c r="U2313">
        <v>0.10652505526986253</v>
      </c>
      <c r="V2313" t="s">
        <v>157</v>
      </c>
    </row>
    <row r="2314" spans="19:22" x14ac:dyDescent="0.45">
      <c r="S2314" t="s">
        <v>584</v>
      </c>
      <c r="T2314" t="s">
        <v>790</v>
      </c>
      <c r="U2314">
        <v>1.8202380410813662E-2</v>
      </c>
      <c r="V2314" t="s">
        <v>157</v>
      </c>
    </row>
    <row r="2315" spans="19:22" x14ac:dyDescent="0.45">
      <c r="S2315" t="s">
        <v>585</v>
      </c>
      <c r="T2315" t="s">
        <v>779</v>
      </c>
      <c r="U2315">
        <v>0.11960831447734357</v>
      </c>
      <c r="V2315" t="s">
        <v>157</v>
      </c>
    </row>
    <row r="2316" spans="19:22" x14ac:dyDescent="0.45">
      <c r="S2316" t="s">
        <v>585</v>
      </c>
      <c r="T2316" t="s">
        <v>780</v>
      </c>
      <c r="U2316">
        <v>0.12942770943635759</v>
      </c>
      <c r="V2316" t="s">
        <v>157</v>
      </c>
    </row>
    <row r="2317" spans="19:22" x14ac:dyDescent="0.45">
      <c r="S2317" t="s">
        <v>585</v>
      </c>
      <c r="T2317" t="s">
        <v>781</v>
      </c>
      <c r="U2317">
        <v>2.3606999510807782E-2</v>
      </c>
      <c r="V2317" t="s">
        <v>157</v>
      </c>
    </row>
    <row r="2318" spans="19:22" x14ac:dyDescent="0.45">
      <c r="S2318" t="s">
        <v>585</v>
      </c>
      <c r="T2318" t="s">
        <v>782</v>
      </c>
      <c r="U2318">
        <v>0.10128843316680199</v>
      </c>
      <c r="V2318" t="s">
        <v>157</v>
      </c>
    </row>
    <row r="2319" spans="19:22" x14ac:dyDescent="0.45">
      <c r="S2319" t="s">
        <v>585</v>
      </c>
      <c r="T2319" t="s">
        <v>783</v>
      </c>
      <c r="U2319">
        <v>0.10343771590879425</v>
      </c>
      <c r="V2319" t="s">
        <v>157</v>
      </c>
    </row>
    <row r="2320" spans="19:22" x14ac:dyDescent="0.45">
      <c r="S2320" t="s">
        <v>585</v>
      </c>
      <c r="T2320" t="s">
        <v>784</v>
      </c>
      <c r="U2320">
        <v>1.8311636134630941E-2</v>
      </c>
      <c r="V2320" t="s">
        <v>157</v>
      </c>
    </row>
    <row r="2321" spans="19:22" x14ac:dyDescent="0.45">
      <c r="S2321" t="s">
        <v>585</v>
      </c>
      <c r="T2321" t="s">
        <v>785</v>
      </c>
      <c r="U2321">
        <v>0.13042007678665271</v>
      </c>
      <c r="V2321" t="s">
        <v>157</v>
      </c>
    </row>
    <row r="2322" spans="19:22" x14ac:dyDescent="0.45">
      <c r="S2322" t="s">
        <v>585</v>
      </c>
      <c r="T2322" t="s">
        <v>786</v>
      </c>
      <c r="U2322">
        <v>0.12913340010022836</v>
      </c>
      <c r="V2322" t="s">
        <v>157</v>
      </c>
    </row>
    <row r="2323" spans="19:22" x14ac:dyDescent="0.45">
      <c r="S2323" t="s">
        <v>585</v>
      </c>
      <c r="T2323" t="s">
        <v>787</v>
      </c>
      <c r="U2323">
        <v>2.3284136714915193E-2</v>
      </c>
      <c r="V2323" t="s">
        <v>157</v>
      </c>
    </row>
    <row r="2324" spans="19:22" x14ac:dyDescent="0.45">
      <c r="S2324" t="s">
        <v>585</v>
      </c>
      <c r="T2324" t="s">
        <v>788</v>
      </c>
      <c r="U2324">
        <v>9.7675940658468616E-2</v>
      </c>
      <c r="V2324" t="s">
        <v>157</v>
      </c>
    </row>
    <row r="2325" spans="19:22" x14ac:dyDescent="0.45">
      <c r="S2325" t="s">
        <v>585</v>
      </c>
      <c r="T2325" t="s">
        <v>789</v>
      </c>
      <c r="U2325">
        <v>0.1053518229387897</v>
      </c>
      <c r="V2325" t="s">
        <v>157</v>
      </c>
    </row>
    <row r="2326" spans="19:22" x14ac:dyDescent="0.45">
      <c r="S2326" t="s">
        <v>585</v>
      </c>
      <c r="T2326" t="s">
        <v>790</v>
      </c>
      <c r="U2326">
        <v>1.8453814166209209E-2</v>
      </c>
      <c r="V2326" t="s">
        <v>157</v>
      </c>
    </row>
    <row r="2327" spans="19:22" x14ac:dyDescent="0.45">
      <c r="S2327" t="s">
        <v>586</v>
      </c>
      <c r="T2327" t="s">
        <v>779</v>
      </c>
      <c r="U2327">
        <v>0.12080203396891227</v>
      </c>
      <c r="V2327" t="s">
        <v>157</v>
      </c>
    </row>
    <row r="2328" spans="19:22" x14ac:dyDescent="0.45">
      <c r="S2328" t="s">
        <v>586</v>
      </c>
      <c r="T2328" t="s">
        <v>780</v>
      </c>
      <c r="U2328">
        <v>0.12520675389919034</v>
      </c>
      <c r="V2328" t="s">
        <v>157</v>
      </c>
    </row>
    <row r="2329" spans="19:22" x14ac:dyDescent="0.45">
      <c r="S2329" t="s">
        <v>586</v>
      </c>
      <c r="T2329" t="s">
        <v>781</v>
      </c>
      <c r="U2329">
        <v>2.3001215645835259E-2</v>
      </c>
      <c r="V2329" t="s">
        <v>157</v>
      </c>
    </row>
    <row r="2330" spans="19:22" x14ac:dyDescent="0.45">
      <c r="S2330" t="s">
        <v>586</v>
      </c>
      <c r="T2330" t="s">
        <v>782</v>
      </c>
      <c r="U2330">
        <v>0.10387113400182825</v>
      </c>
      <c r="V2330" t="s">
        <v>157</v>
      </c>
    </row>
    <row r="2331" spans="19:22" x14ac:dyDescent="0.45">
      <c r="S2331" t="s">
        <v>586</v>
      </c>
      <c r="T2331" t="s">
        <v>783</v>
      </c>
      <c r="U2331">
        <v>0.10562410008497412</v>
      </c>
      <c r="V2331" t="s">
        <v>157</v>
      </c>
    </row>
    <row r="2332" spans="19:22" x14ac:dyDescent="0.45">
      <c r="S2332" t="s">
        <v>586</v>
      </c>
      <c r="T2332" t="s">
        <v>784</v>
      </c>
      <c r="U2332">
        <v>1.9090143727618442E-2</v>
      </c>
      <c r="V2332" t="s">
        <v>157</v>
      </c>
    </row>
    <row r="2333" spans="19:22" x14ac:dyDescent="0.45">
      <c r="S2333" t="s">
        <v>586</v>
      </c>
      <c r="T2333" t="s">
        <v>785</v>
      </c>
      <c r="U2333">
        <v>0.12893729501079162</v>
      </c>
      <c r="V2333" t="s">
        <v>157</v>
      </c>
    </row>
    <row r="2334" spans="19:22" x14ac:dyDescent="0.45">
      <c r="S2334" t="s">
        <v>586</v>
      </c>
      <c r="T2334" t="s">
        <v>786</v>
      </c>
      <c r="U2334">
        <v>0.13283840155095408</v>
      </c>
      <c r="V2334" t="s">
        <v>157</v>
      </c>
    </row>
    <row r="2335" spans="19:22" x14ac:dyDescent="0.45">
      <c r="S2335" t="s">
        <v>586</v>
      </c>
      <c r="T2335" t="s">
        <v>787</v>
      </c>
      <c r="U2335">
        <v>2.4101457365227855E-2</v>
      </c>
      <c r="V2335" t="s">
        <v>157</v>
      </c>
    </row>
    <row r="2336" spans="19:22" x14ac:dyDescent="0.45">
      <c r="S2336" t="s">
        <v>586</v>
      </c>
      <c r="T2336" t="s">
        <v>788</v>
      </c>
      <c r="U2336">
        <v>9.2858107296220072E-2</v>
      </c>
      <c r="V2336" t="s">
        <v>157</v>
      </c>
    </row>
    <row r="2337" spans="19:22" x14ac:dyDescent="0.45">
      <c r="S2337" t="s">
        <v>586</v>
      </c>
      <c r="T2337" t="s">
        <v>789</v>
      </c>
      <c r="U2337">
        <v>0.10402975089360147</v>
      </c>
      <c r="V2337" t="s">
        <v>157</v>
      </c>
    </row>
    <row r="2338" spans="19:22" x14ac:dyDescent="0.45">
      <c r="S2338" t="s">
        <v>586</v>
      </c>
      <c r="T2338" t="s">
        <v>790</v>
      </c>
      <c r="U2338">
        <v>1.9639606554846284E-2</v>
      </c>
      <c r="V2338" t="s">
        <v>157</v>
      </c>
    </row>
    <row r="2339" spans="19:22" x14ac:dyDescent="0.45">
      <c r="S2339" t="s">
        <v>587</v>
      </c>
      <c r="T2339" t="s">
        <v>779</v>
      </c>
      <c r="U2339">
        <v>0.1213662690987663</v>
      </c>
      <c r="V2339" t="s">
        <v>157</v>
      </c>
    </row>
    <row r="2340" spans="19:22" x14ac:dyDescent="0.45">
      <c r="S2340" t="s">
        <v>587</v>
      </c>
      <c r="T2340" t="s">
        <v>780</v>
      </c>
      <c r="U2340">
        <v>0.12244413110766765</v>
      </c>
      <c r="V2340" t="s">
        <v>157</v>
      </c>
    </row>
    <row r="2341" spans="19:22" x14ac:dyDescent="0.45">
      <c r="S2341" t="s">
        <v>587</v>
      </c>
      <c r="T2341" t="s">
        <v>781</v>
      </c>
      <c r="U2341">
        <v>2.2586684168533669E-2</v>
      </c>
      <c r="V2341" t="s">
        <v>157</v>
      </c>
    </row>
    <row r="2342" spans="19:22" x14ac:dyDescent="0.45">
      <c r="S2342" t="s">
        <v>587</v>
      </c>
      <c r="T2342" t="s">
        <v>782</v>
      </c>
      <c r="U2342">
        <v>0.10620226746257035</v>
      </c>
      <c r="V2342" t="s">
        <v>157</v>
      </c>
    </row>
    <row r="2343" spans="19:22" x14ac:dyDescent="0.45">
      <c r="S2343" t="s">
        <v>587</v>
      </c>
      <c r="T2343" t="s">
        <v>783</v>
      </c>
      <c r="U2343">
        <v>0.10467651728980416</v>
      </c>
      <c r="V2343" t="s">
        <v>157</v>
      </c>
    </row>
    <row r="2344" spans="19:22" x14ac:dyDescent="0.45">
      <c r="S2344" t="s">
        <v>587</v>
      </c>
      <c r="T2344" t="s">
        <v>784</v>
      </c>
      <c r="U2344">
        <v>1.9761178618213068E-2</v>
      </c>
      <c r="V2344" t="s">
        <v>157</v>
      </c>
    </row>
    <row r="2345" spans="19:22" x14ac:dyDescent="0.45">
      <c r="S2345" t="s">
        <v>587</v>
      </c>
      <c r="T2345" t="s">
        <v>785</v>
      </c>
      <c r="U2345">
        <v>0.12855365083027501</v>
      </c>
      <c r="V2345" t="s">
        <v>157</v>
      </c>
    </row>
    <row r="2346" spans="19:22" x14ac:dyDescent="0.45">
      <c r="S2346" t="s">
        <v>587</v>
      </c>
      <c r="T2346" t="s">
        <v>786</v>
      </c>
      <c r="U2346">
        <v>0.13149905167142334</v>
      </c>
      <c r="V2346" t="s">
        <v>157</v>
      </c>
    </row>
    <row r="2347" spans="19:22" x14ac:dyDescent="0.45">
      <c r="S2347" t="s">
        <v>587</v>
      </c>
      <c r="T2347" t="s">
        <v>787</v>
      </c>
      <c r="U2347">
        <v>2.4175094630626493E-2</v>
      </c>
      <c r="V2347" t="s">
        <v>157</v>
      </c>
    </row>
    <row r="2348" spans="19:22" x14ac:dyDescent="0.45">
      <c r="S2348" t="s">
        <v>587</v>
      </c>
      <c r="T2348" t="s">
        <v>788</v>
      </c>
      <c r="U2348">
        <v>9.520683334651292E-2</v>
      </c>
      <c r="V2348" t="s">
        <v>157</v>
      </c>
    </row>
    <row r="2349" spans="19:22" x14ac:dyDescent="0.45">
      <c r="S2349" t="s">
        <v>587</v>
      </c>
      <c r="T2349" t="s">
        <v>789</v>
      </c>
      <c r="U2349">
        <v>0.10287604711125686</v>
      </c>
      <c r="V2349" t="s">
        <v>157</v>
      </c>
    </row>
    <row r="2350" spans="19:22" x14ac:dyDescent="0.45">
      <c r="S2350" t="s">
        <v>587</v>
      </c>
      <c r="T2350" t="s">
        <v>790</v>
      </c>
      <c r="U2350">
        <v>2.0652274664350174E-2</v>
      </c>
      <c r="V2350" t="s">
        <v>157</v>
      </c>
    </row>
    <row r="2351" spans="19:22" x14ac:dyDescent="0.45">
      <c r="S2351" t="s">
        <v>588</v>
      </c>
      <c r="T2351" t="s">
        <v>779</v>
      </c>
      <c r="U2351">
        <v>0.12276545592411411</v>
      </c>
      <c r="V2351" t="s">
        <v>157</v>
      </c>
    </row>
    <row r="2352" spans="19:22" x14ac:dyDescent="0.45">
      <c r="S2352" t="s">
        <v>588</v>
      </c>
      <c r="T2352" t="s">
        <v>780</v>
      </c>
      <c r="U2352">
        <v>0.12008132779524262</v>
      </c>
      <c r="V2352" t="s">
        <v>157</v>
      </c>
    </row>
    <row r="2353" spans="19:22" x14ac:dyDescent="0.45">
      <c r="S2353" t="s">
        <v>588</v>
      </c>
      <c r="T2353" t="s">
        <v>781</v>
      </c>
      <c r="U2353">
        <v>2.2503537717236392E-2</v>
      </c>
      <c r="V2353" t="s">
        <v>157</v>
      </c>
    </row>
    <row r="2354" spans="19:22" x14ac:dyDescent="0.45">
      <c r="S2354" t="s">
        <v>588</v>
      </c>
      <c r="T2354" t="s">
        <v>782</v>
      </c>
      <c r="U2354">
        <v>0.10767235740524808</v>
      </c>
      <c r="V2354" t="s">
        <v>157</v>
      </c>
    </row>
    <row r="2355" spans="19:22" x14ac:dyDescent="0.45">
      <c r="S2355" t="s">
        <v>588</v>
      </c>
      <c r="T2355" t="s">
        <v>783</v>
      </c>
      <c r="U2355">
        <v>0.10403066206106859</v>
      </c>
      <c r="V2355" t="s">
        <v>157</v>
      </c>
    </row>
    <row r="2356" spans="19:22" x14ac:dyDescent="0.45">
      <c r="S2356" t="s">
        <v>588</v>
      </c>
      <c r="T2356" t="s">
        <v>784</v>
      </c>
      <c r="U2356">
        <v>2.0137819476132121E-2</v>
      </c>
      <c r="V2356" t="s">
        <v>157</v>
      </c>
    </row>
    <row r="2357" spans="19:22" x14ac:dyDescent="0.45">
      <c r="S2357" t="s">
        <v>588</v>
      </c>
      <c r="T2357" t="s">
        <v>785</v>
      </c>
      <c r="U2357">
        <v>0.12844485014462512</v>
      </c>
      <c r="V2357" t="s">
        <v>157</v>
      </c>
    </row>
    <row r="2358" spans="19:22" x14ac:dyDescent="0.45">
      <c r="S2358" t="s">
        <v>588</v>
      </c>
      <c r="T2358" t="s">
        <v>786</v>
      </c>
      <c r="U2358">
        <v>0.13011853827748943</v>
      </c>
      <c r="V2358" t="s">
        <v>157</v>
      </c>
    </row>
    <row r="2359" spans="19:22" x14ac:dyDescent="0.45">
      <c r="S2359" t="s">
        <v>588</v>
      </c>
      <c r="T2359" t="s">
        <v>787</v>
      </c>
      <c r="U2359">
        <v>2.4296597764735795E-2</v>
      </c>
      <c r="V2359" t="s">
        <v>157</v>
      </c>
    </row>
    <row r="2360" spans="19:22" x14ac:dyDescent="0.45">
      <c r="S2360" t="s">
        <v>588</v>
      </c>
      <c r="T2360" t="s">
        <v>788</v>
      </c>
      <c r="U2360">
        <v>9.7210956234357132E-2</v>
      </c>
      <c r="V2360" t="s">
        <v>157</v>
      </c>
    </row>
    <row r="2361" spans="19:22" x14ac:dyDescent="0.45">
      <c r="S2361" t="s">
        <v>588</v>
      </c>
      <c r="T2361" t="s">
        <v>789</v>
      </c>
      <c r="U2361">
        <v>0.10196060945323632</v>
      </c>
      <c r="V2361" t="s">
        <v>157</v>
      </c>
    </row>
    <row r="2362" spans="19:22" x14ac:dyDescent="0.45">
      <c r="S2362" t="s">
        <v>588</v>
      </c>
      <c r="T2362" t="s">
        <v>790</v>
      </c>
      <c r="U2362">
        <v>2.0777287746514283E-2</v>
      </c>
      <c r="V2362" t="s">
        <v>157</v>
      </c>
    </row>
    <row r="2363" spans="19:22" x14ac:dyDescent="0.45">
      <c r="S2363" t="s">
        <v>589</v>
      </c>
      <c r="T2363" t="s">
        <v>779</v>
      </c>
      <c r="U2363">
        <v>0.12237882639338644</v>
      </c>
      <c r="V2363" t="s">
        <v>157</v>
      </c>
    </row>
    <row r="2364" spans="19:22" x14ac:dyDescent="0.45">
      <c r="S2364" t="s">
        <v>589</v>
      </c>
      <c r="T2364" t="s">
        <v>780</v>
      </c>
      <c r="U2364">
        <v>0.11840119907161202</v>
      </c>
      <c r="V2364" t="s">
        <v>157</v>
      </c>
    </row>
    <row r="2365" spans="19:22" x14ac:dyDescent="0.45">
      <c r="S2365" t="s">
        <v>589</v>
      </c>
      <c r="T2365" t="s">
        <v>781</v>
      </c>
      <c r="U2365">
        <v>2.2320674073776824E-2</v>
      </c>
      <c r="V2365" t="s">
        <v>157</v>
      </c>
    </row>
    <row r="2366" spans="19:22" x14ac:dyDescent="0.45">
      <c r="S2366" t="s">
        <v>589</v>
      </c>
      <c r="T2366" t="s">
        <v>782</v>
      </c>
      <c r="U2366">
        <v>0.10810691120025555</v>
      </c>
      <c r="V2366" t="s">
        <v>157</v>
      </c>
    </row>
    <row r="2367" spans="19:22" x14ac:dyDescent="0.45">
      <c r="S2367" t="s">
        <v>589</v>
      </c>
      <c r="T2367" t="s">
        <v>783</v>
      </c>
      <c r="U2367">
        <v>0.10435267450280618</v>
      </c>
      <c r="V2367" t="s">
        <v>157</v>
      </c>
    </row>
    <row r="2368" spans="19:22" x14ac:dyDescent="0.45">
      <c r="S2368" t="s">
        <v>589</v>
      </c>
      <c r="T2368" t="s">
        <v>784</v>
      </c>
      <c r="U2368">
        <v>2.0252663705558636E-2</v>
      </c>
      <c r="V2368" t="s">
        <v>157</v>
      </c>
    </row>
    <row r="2369" spans="19:22" x14ac:dyDescent="0.45">
      <c r="S2369" t="s">
        <v>589</v>
      </c>
      <c r="T2369" t="s">
        <v>785</v>
      </c>
      <c r="U2369">
        <v>0.12679652523570001</v>
      </c>
      <c r="V2369" t="s">
        <v>157</v>
      </c>
    </row>
    <row r="2370" spans="19:22" x14ac:dyDescent="0.45">
      <c r="S2370" t="s">
        <v>589</v>
      </c>
      <c r="T2370" t="s">
        <v>786</v>
      </c>
      <c r="U2370">
        <v>0.12824368090212646</v>
      </c>
      <c r="V2370" t="s">
        <v>157</v>
      </c>
    </row>
    <row r="2371" spans="19:22" x14ac:dyDescent="0.45">
      <c r="S2371" t="s">
        <v>589</v>
      </c>
      <c r="T2371" t="s">
        <v>787</v>
      </c>
      <c r="U2371">
        <v>2.4191817297226803E-2</v>
      </c>
      <c r="V2371" t="s">
        <v>157</v>
      </c>
    </row>
    <row r="2372" spans="19:22" x14ac:dyDescent="0.45">
      <c r="S2372" t="s">
        <v>589</v>
      </c>
      <c r="T2372" t="s">
        <v>788</v>
      </c>
      <c r="U2372">
        <v>0.10086352016000097</v>
      </c>
      <c r="V2372" t="s">
        <v>157</v>
      </c>
    </row>
    <row r="2373" spans="19:22" x14ac:dyDescent="0.45">
      <c r="S2373" t="s">
        <v>589</v>
      </c>
      <c r="T2373" t="s">
        <v>789</v>
      </c>
      <c r="U2373">
        <v>0.10383770823113007</v>
      </c>
      <c r="V2373" t="s">
        <v>157</v>
      </c>
    </row>
    <row r="2374" spans="19:22" x14ac:dyDescent="0.45">
      <c r="S2374" t="s">
        <v>589</v>
      </c>
      <c r="T2374" t="s">
        <v>790</v>
      </c>
      <c r="U2374">
        <v>2.0253799226420014E-2</v>
      </c>
      <c r="V2374" t="s">
        <v>157</v>
      </c>
    </row>
    <row r="2375" spans="19:22" x14ac:dyDescent="0.45">
      <c r="S2375" t="s">
        <v>590</v>
      </c>
      <c r="T2375" t="s">
        <v>779</v>
      </c>
      <c r="U2375">
        <v>0.11937735628152586</v>
      </c>
      <c r="V2375" t="s">
        <v>157</v>
      </c>
    </row>
    <row r="2376" spans="19:22" x14ac:dyDescent="0.45">
      <c r="S2376" t="s">
        <v>590</v>
      </c>
      <c r="T2376" t="s">
        <v>780</v>
      </c>
      <c r="U2376">
        <v>0.11701353298909514</v>
      </c>
      <c r="V2376" t="s">
        <v>157</v>
      </c>
    </row>
    <row r="2377" spans="19:22" x14ac:dyDescent="0.45">
      <c r="S2377" t="s">
        <v>590</v>
      </c>
      <c r="T2377" t="s">
        <v>781</v>
      </c>
      <c r="U2377">
        <v>2.1747979294801455E-2</v>
      </c>
      <c r="V2377" t="s">
        <v>157</v>
      </c>
    </row>
    <row r="2378" spans="19:22" x14ac:dyDescent="0.45">
      <c r="S2378" t="s">
        <v>590</v>
      </c>
      <c r="T2378" t="s">
        <v>782</v>
      </c>
      <c r="U2378">
        <v>0.11013140437554676</v>
      </c>
      <c r="V2378" t="s">
        <v>157</v>
      </c>
    </row>
    <row r="2379" spans="19:22" x14ac:dyDescent="0.45">
      <c r="S2379" t="s">
        <v>590</v>
      </c>
      <c r="T2379" t="s">
        <v>783</v>
      </c>
      <c r="U2379">
        <v>0.10667023462813795</v>
      </c>
      <c r="V2379" t="s">
        <v>157</v>
      </c>
    </row>
    <row r="2380" spans="19:22" x14ac:dyDescent="0.45">
      <c r="S2380" t="s">
        <v>590</v>
      </c>
      <c r="T2380" t="s">
        <v>784</v>
      </c>
      <c r="U2380">
        <v>2.0589162997565417E-2</v>
      </c>
      <c r="V2380" t="s">
        <v>157</v>
      </c>
    </row>
    <row r="2381" spans="19:22" x14ac:dyDescent="0.45">
      <c r="S2381" t="s">
        <v>590</v>
      </c>
      <c r="T2381" t="s">
        <v>785</v>
      </c>
      <c r="U2381">
        <v>0.12347272365344147</v>
      </c>
      <c r="V2381" t="s">
        <v>157</v>
      </c>
    </row>
    <row r="2382" spans="19:22" x14ac:dyDescent="0.45">
      <c r="S2382" t="s">
        <v>590</v>
      </c>
      <c r="T2382" t="s">
        <v>786</v>
      </c>
      <c r="U2382">
        <v>0.1252803463297926</v>
      </c>
      <c r="V2382" t="s">
        <v>157</v>
      </c>
    </row>
    <row r="2383" spans="19:22" x14ac:dyDescent="0.45">
      <c r="S2383" t="s">
        <v>590</v>
      </c>
      <c r="T2383" t="s">
        <v>787</v>
      </c>
      <c r="U2383">
        <v>2.3536931937498989E-2</v>
      </c>
      <c r="V2383" t="s">
        <v>157</v>
      </c>
    </row>
    <row r="2384" spans="19:22" x14ac:dyDescent="0.45">
      <c r="S2384" t="s">
        <v>590</v>
      </c>
      <c r="T2384" t="s">
        <v>788</v>
      </c>
      <c r="U2384">
        <v>0.10583612249499935</v>
      </c>
      <c r="V2384" t="s">
        <v>157</v>
      </c>
    </row>
    <row r="2385" spans="19:22" x14ac:dyDescent="0.45">
      <c r="S2385" t="s">
        <v>590</v>
      </c>
      <c r="T2385" t="s">
        <v>789</v>
      </c>
      <c r="U2385">
        <v>0.10650540695316089</v>
      </c>
      <c r="V2385" t="s">
        <v>157</v>
      </c>
    </row>
    <row r="2386" spans="19:22" x14ac:dyDescent="0.45">
      <c r="S2386" t="s">
        <v>590</v>
      </c>
      <c r="T2386" t="s">
        <v>790</v>
      </c>
      <c r="U2386">
        <v>1.9838798064434129E-2</v>
      </c>
      <c r="V2386" t="s">
        <v>157</v>
      </c>
    </row>
    <row r="2387" spans="19:22" x14ac:dyDescent="0.45">
      <c r="S2387" t="s">
        <v>591</v>
      </c>
      <c r="T2387" t="s">
        <v>779</v>
      </c>
      <c r="U2387">
        <v>0.11758701259247178</v>
      </c>
      <c r="V2387" t="s">
        <v>157</v>
      </c>
    </row>
    <row r="2388" spans="19:22" x14ac:dyDescent="0.45">
      <c r="S2388" t="s">
        <v>591</v>
      </c>
      <c r="T2388" t="s">
        <v>780</v>
      </c>
      <c r="U2388">
        <v>0.11543358686853583</v>
      </c>
      <c r="V2388" t="s">
        <v>157</v>
      </c>
    </row>
    <row r="2389" spans="19:22" x14ac:dyDescent="0.45">
      <c r="S2389" t="s">
        <v>591</v>
      </c>
      <c r="T2389" t="s">
        <v>781</v>
      </c>
      <c r="U2389">
        <v>2.1461789376655448E-2</v>
      </c>
      <c r="V2389" t="s">
        <v>157</v>
      </c>
    </row>
    <row r="2390" spans="19:22" x14ac:dyDescent="0.45">
      <c r="S2390" t="s">
        <v>591</v>
      </c>
      <c r="T2390" t="s">
        <v>782</v>
      </c>
      <c r="U2390">
        <v>0.11374706480640975</v>
      </c>
      <c r="V2390" t="s">
        <v>157</v>
      </c>
    </row>
    <row r="2391" spans="19:22" x14ac:dyDescent="0.45">
      <c r="S2391" t="s">
        <v>591</v>
      </c>
      <c r="T2391" t="s">
        <v>783</v>
      </c>
      <c r="U2391">
        <v>0.10969970213369597</v>
      </c>
      <c r="V2391" t="s">
        <v>157</v>
      </c>
    </row>
    <row r="2392" spans="19:22" x14ac:dyDescent="0.45">
      <c r="S2392" t="s">
        <v>591</v>
      </c>
      <c r="T2392" t="s">
        <v>784</v>
      </c>
      <c r="U2392">
        <v>2.1030545281449008E-2</v>
      </c>
      <c r="V2392" t="s">
        <v>157</v>
      </c>
    </row>
    <row r="2393" spans="19:22" x14ac:dyDescent="0.45">
      <c r="S2393" t="s">
        <v>591</v>
      </c>
      <c r="T2393" t="s">
        <v>785</v>
      </c>
      <c r="U2393">
        <v>0.12325179956522947</v>
      </c>
      <c r="V2393" t="s">
        <v>157</v>
      </c>
    </row>
    <row r="2394" spans="19:22" x14ac:dyDescent="0.45">
      <c r="S2394" t="s">
        <v>591</v>
      </c>
      <c r="T2394" t="s">
        <v>786</v>
      </c>
      <c r="U2394">
        <v>0.12364890175531754</v>
      </c>
      <c r="V2394" t="s">
        <v>157</v>
      </c>
    </row>
    <row r="2395" spans="19:22" x14ac:dyDescent="0.45">
      <c r="S2395" t="s">
        <v>591</v>
      </c>
      <c r="T2395" t="s">
        <v>787</v>
      </c>
      <c r="U2395">
        <v>2.3100515813801355E-2</v>
      </c>
      <c r="V2395" t="s">
        <v>157</v>
      </c>
    </row>
    <row r="2396" spans="19:22" x14ac:dyDescent="0.45">
      <c r="S2396" t="s">
        <v>591</v>
      </c>
      <c r="T2396" t="s">
        <v>788</v>
      </c>
      <c r="U2396">
        <v>0.106548564848755</v>
      </c>
      <c r="V2396" t="s">
        <v>157</v>
      </c>
    </row>
    <row r="2397" spans="19:22" x14ac:dyDescent="0.45">
      <c r="S2397" t="s">
        <v>591</v>
      </c>
      <c r="T2397" t="s">
        <v>789</v>
      </c>
      <c r="U2397">
        <v>0.10521212676243197</v>
      </c>
      <c r="V2397" t="s">
        <v>157</v>
      </c>
    </row>
    <row r="2398" spans="19:22" x14ac:dyDescent="0.45">
      <c r="S2398" t="s">
        <v>591</v>
      </c>
      <c r="T2398" t="s">
        <v>790</v>
      </c>
      <c r="U2398">
        <v>1.9278390195246926E-2</v>
      </c>
      <c r="V2398" t="s">
        <v>157</v>
      </c>
    </row>
    <row r="2399" spans="19:22" x14ac:dyDescent="0.45">
      <c r="S2399" t="s">
        <v>592</v>
      </c>
      <c r="T2399" t="s">
        <v>779</v>
      </c>
      <c r="U2399">
        <v>0.10920919414320204</v>
      </c>
      <c r="V2399" t="s">
        <v>157</v>
      </c>
    </row>
    <row r="2400" spans="19:22" x14ac:dyDescent="0.45">
      <c r="S2400" t="s">
        <v>592</v>
      </c>
      <c r="T2400" t="s">
        <v>780</v>
      </c>
      <c r="U2400">
        <v>0.10985662894887675</v>
      </c>
      <c r="V2400" t="s">
        <v>157</v>
      </c>
    </row>
    <row r="2401" spans="19:22" x14ac:dyDescent="0.45">
      <c r="S2401" t="s">
        <v>592</v>
      </c>
      <c r="T2401" t="s">
        <v>781</v>
      </c>
      <c r="U2401">
        <v>2.0567141743031619E-2</v>
      </c>
      <c r="V2401" t="s">
        <v>157</v>
      </c>
    </row>
    <row r="2402" spans="19:22" x14ac:dyDescent="0.45">
      <c r="S2402" t="s">
        <v>592</v>
      </c>
      <c r="T2402" t="s">
        <v>782</v>
      </c>
      <c r="U2402">
        <v>0.11999916459116676</v>
      </c>
      <c r="V2402" t="s">
        <v>157</v>
      </c>
    </row>
    <row r="2403" spans="19:22" x14ac:dyDescent="0.45">
      <c r="S2403" t="s">
        <v>592</v>
      </c>
      <c r="T2403" t="s">
        <v>783</v>
      </c>
      <c r="U2403">
        <v>0.11804834135598648</v>
      </c>
      <c r="V2403" t="s">
        <v>157</v>
      </c>
    </row>
    <row r="2404" spans="19:22" x14ac:dyDescent="0.45">
      <c r="S2404" t="s">
        <v>592</v>
      </c>
      <c r="T2404" t="s">
        <v>784</v>
      </c>
      <c r="U2404">
        <v>2.2079053172756546E-2</v>
      </c>
      <c r="V2404" t="s">
        <v>157</v>
      </c>
    </row>
    <row r="2405" spans="19:22" x14ac:dyDescent="0.45">
      <c r="S2405" t="s">
        <v>592</v>
      </c>
      <c r="T2405" t="s">
        <v>785</v>
      </c>
      <c r="U2405">
        <v>0.12850530039795729</v>
      </c>
      <c r="V2405" t="s">
        <v>157</v>
      </c>
    </row>
    <row r="2406" spans="19:22" x14ac:dyDescent="0.45">
      <c r="S2406" t="s">
        <v>592</v>
      </c>
      <c r="T2406" t="s">
        <v>786</v>
      </c>
      <c r="U2406">
        <v>0.12212734531592337</v>
      </c>
      <c r="V2406" t="s">
        <v>157</v>
      </c>
    </row>
    <row r="2407" spans="19:22" x14ac:dyDescent="0.45">
      <c r="S2407" t="s">
        <v>592</v>
      </c>
      <c r="T2407" t="s">
        <v>787</v>
      </c>
      <c r="U2407">
        <v>2.4168841191197724E-2</v>
      </c>
      <c r="V2407" t="s">
        <v>157</v>
      </c>
    </row>
    <row r="2408" spans="19:22" x14ac:dyDescent="0.45">
      <c r="S2408" t="s">
        <v>592</v>
      </c>
      <c r="T2408" t="s">
        <v>788</v>
      </c>
      <c r="U2408">
        <v>0.10425928619056614</v>
      </c>
      <c r="V2408" t="s">
        <v>157</v>
      </c>
    </row>
    <row r="2409" spans="19:22" x14ac:dyDescent="0.45">
      <c r="S2409" t="s">
        <v>592</v>
      </c>
      <c r="T2409" t="s">
        <v>789</v>
      </c>
      <c r="U2409">
        <v>0.10249196360258266</v>
      </c>
      <c r="V2409" t="s">
        <v>157</v>
      </c>
    </row>
    <row r="2410" spans="19:22" x14ac:dyDescent="0.45">
      <c r="S2410" t="s">
        <v>592</v>
      </c>
      <c r="T2410" t="s">
        <v>790</v>
      </c>
      <c r="U2410">
        <v>1.8687739346752663E-2</v>
      </c>
      <c r="V2410" t="s">
        <v>157</v>
      </c>
    </row>
    <row r="2411" spans="19:22" x14ac:dyDescent="0.45">
      <c r="S2411" t="s">
        <v>593</v>
      </c>
      <c r="T2411" t="s">
        <v>779</v>
      </c>
      <c r="U2411">
        <v>0.11605447483325537</v>
      </c>
      <c r="V2411" t="s">
        <v>157</v>
      </c>
    </row>
    <row r="2412" spans="19:22" x14ac:dyDescent="0.45">
      <c r="S2412" t="s">
        <v>593</v>
      </c>
      <c r="T2412" t="s">
        <v>780</v>
      </c>
      <c r="U2412">
        <v>0.11638402953375346</v>
      </c>
      <c r="V2412" t="s">
        <v>157</v>
      </c>
    </row>
    <row r="2413" spans="19:22" x14ac:dyDescent="0.45">
      <c r="S2413" t="s">
        <v>593</v>
      </c>
      <c r="T2413" t="s">
        <v>781</v>
      </c>
      <c r="U2413">
        <v>2.0809668417669441E-2</v>
      </c>
      <c r="V2413" t="s">
        <v>157</v>
      </c>
    </row>
    <row r="2414" spans="19:22" x14ac:dyDescent="0.45">
      <c r="S2414" t="s">
        <v>593</v>
      </c>
      <c r="T2414" t="s">
        <v>782</v>
      </c>
      <c r="U2414">
        <v>0.11653267557654774</v>
      </c>
      <c r="V2414" t="s">
        <v>157</v>
      </c>
    </row>
    <row r="2415" spans="19:22" x14ac:dyDescent="0.45">
      <c r="S2415" t="s">
        <v>593</v>
      </c>
      <c r="T2415" t="s">
        <v>783</v>
      </c>
      <c r="U2415">
        <v>0.11364198392621597</v>
      </c>
      <c r="V2415" t="s">
        <v>157</v>
      </c>
    </row>
    <row r="2416" spans="19:22" x14ac:dyDescent="0.45">
      <c r="S2416" t="s">
        <v>593</v>
      </c>
      <c r="T2416" t="s">
        <v>784</v>
      </c>
      <c r="U2416">
        <v>2.0644266609419256E-2</v>
      </c>
      <c r="V2416" t="s">
        <v>157</v>
      </c>
    </row>
    <row r="2417" spans="19:22" x14ac:dyDescent="0.45">
      <c r="S2417" t="s">
        <v>593</v>
      </c>
      <c r="T2417" t="s">
        <v>785</v>
      </c>
      <c r="U2417">
        <v>0.1127046639737405</v>
      </c>
      <c r="V2417" t="s">
        <v>157</v>
      </c>
    </row>
    <row r="2418" spans="19:22" x14ac:dyDescent="0.45">
      <c r="S2418" t="s">
        <v>593</v>
      </c>
      <c r="T2418" t="s">
        <v>786</v>
      </c>
      <c r="U2418">
        <v>0.11345830485676876</v>
      </c>
      <c r="V2418" t="s">
        <v>157</v>
      </c>
    </row>
    <row r="2419" spans="19:22" x14ac:dyDescent="0.45">
      <c r="S2419" t="s">
        <v>593</v>
      </c>
      <c r="T2419" t="s">
        <v>787</v>
      </c>
      <c r="U2419">
        <v>2.0522485617836456E-2</v>
      </c>
      <c r="V2419" t="s">
        <v>157</v>
      </c>
    </row>
    <row r="2420" spans="19:22" x14ac:dyDescent="0.45">
      <c r="S2420" t="s">
        <v>593</v>
      </c>
      <c r="T2420" t="s">
        <v>788</v>
      </c>
      <c r="U2420">
        <v>0.11347064245798508</v>
      </c>
      <c r="V2420" t="s">
        <v>157</v>
      </c>
    </row>
    <row r="2421" spans="19:22" x14ac:dyDescent="0.45">
      <c r="S2421" t="s">
        <v>593</v>
      </c>
      <c r="T2421" t="s">
        <v>789</v>
      </c>
      <c r="U2421">
        <v>0.11487539267521277</v>
      </c>
      <c r="V2421" t="s">
        <v>157</v>
      </c>
    </row>
    <row r="2422" spans="19:22" x14ac:dyDescent="0.45">
      <c r="S2422" t="s">
        <v>593</v>
      </c>
      <c r="T2422" t="s">
        <v>790</v>
      </c>
      <c r="U2422">
        <v>2.0901411521595178E-2</v>
      </c>
      <c r="V2422" t="s">
        <v>157</v>
      </c>
    </row>
    <row r="2423" spans="19:22" x14ac:dyDescent="0.45">
      <c r="S2423" t="s">
        <v>594</v>
      </c>
      <c r="T2423" t="s">
        <v>779</v>
      </c>
      <c r="U2423">
        <v>0.10019525508816987</v>
      </c>
      <c r="V2423" t="s">
        <v>157</v>
      </c>
    </row>
    <row r="2424" spans="19:22" x14ac:dyDescent="0.45">
      <c r="S2424" t="s">
        <v>594</v>
      </c>
      <c r="T2424" t="s">
        <v>780</v>
      </c>
      <c r="U2424">
        <v>0.12597029441293392</v>
      </c>
      <c r="V2424" t="s">
        <v>157</v>
      </c>
    </row>
    <row r="2425" spans="19:22" x14ac:dyDescent="0.45">
      <c r="S2425" t="s">
        <v>594</v>
      </c>
      <c r="T2425" t="s">
        <v>781</v>
      </c>
      <c r="U2425">
        <v>2.1723482272532624E-2</v>
      </c>
      <c r="V2425" t="s">
        <v>157</v>
      </c>
    </row>
    <row r="2426" spans="19:22" x14ac:dyDescent="0.45">
      <c r="S2426" t="s">
        <v>594</v>
      </c>
      <c r="T2426" t="s">
        <v>782</v>
      </c>
      <c r="U2426">
        <v>9.9162992411237369E-2</v>
      </c>
      <c r="V2426" t="s">
        <v>157</v>
      </c>
    </row>
    <row r="2427" spans="19:22" x14ac:dyDescent="0.45">
      <c r="S2427" t="s">
        <v>594</v>
      </c>
      <c r="T2427" t="s">
        <v>783</v>
      </c>
      <c r="U2427">
        <v>0.10894468797309763</v>
      </c>
      <c r="V2427" t="s">
        <v>157</v>
      </c>
    </row>
    <row r="2428" spans="19:22" x14ac:dyDescent="0.45">
      <c r="S2428" t="s">
        <v>594</v>
      </c>
      <c r="T2428" t="s">
        <v>784</v>
      </c>
      <c r="U2428">
        <v>1.9333017312976021E-2</v>
      </c>
      <c r="V2428" t="s">
        <v>157</v>
      </c>
    </row>
    <row r="2429" spans="19:22" x14ac:dyDescent="0.45">
      <c r="S2429" t="s">
        <v>594</v>
      </c>
      <c r="T2429" t="s">
        <v>785</v>
      </c>
      <c r="U2429">
        <v>0.12631090408449352</v>
      </c>
      <c r="V2429" t="s">
        <v>157</v>
      </c>
    </row>
    <row r="2430" spans="19:22" x14ac:dyDescent="0.45">
      <c r="S2430" t="s">
        <v>594</v>
      </c>
      <c r="T2430" t="s">
        <v>786</v>
      </c>
      <c r="U2430">
        <v>0.13000373282421834</v>
      </c>
      <c r="V2430" t="s">
        <v>157</v>
      </c>
    </row>
    <row r="2431" spans="19:22" x14ac:dyDescent="0.45">
      <c r="S2431" t="s">
        <v>594</v>
      </c>
      <c r="T2431" t="s">
        <v>787</v>
      </c>
      <c r="U2431">
        <v>2.3926381263827998E-2</v>
      </c>
      <c r="V2431" t="s">
        <v>157</v>
      </c>
    </row>
    <row r="2432" spans="19:22" x14ac:dyDescent="0.45">
      <c r="S2432" t="s">
        <v>594</v>
      </c>
      <c r="T2432" t="s">
        <v>788</v>
      </c>
      <c r="U2432">
        <v>0.10863622254121276</v>
      </c>
      <c r="V2432" t="s">
        <v>157</v>
      </c>
    </row>
    <row r="2433" spans="19:22" x14ac:dyDescent="0.45">
      <c r="S2433" t="s">
        <v>594</v>
      </c>
      <c r="T2433" t="s">
        <v>789</v>
      </c>
      <c r="U2433">
        <v>0.11404235980980666</v>
      </c>
      <c r="V2433" t="s">
        <v>157</v>
      </c>
    </row>
    <row r="2434" spans="19:22" x14ac:dyDescent="0.45">
      <c r="S2434" t="s">
        <v>594</v>
      </c>
      <c r="T2434" t="s">
        <v>790</v>
      </c>
      <c r="U2434">
        <v>2.1750670005493248E-2</v>
      </c>
      <c r="V2434" t="s">
        <v>157</v>
      </c>
    </row>
    <row r="2435" spans="19:22" x14ac:dyDescent="0.45">
      <c r="S2435" t="s">
        <v>595</v>
      </c>
      <c r="T2435" t="s">
        <v>779</v>
      </c>
      <c r="U2435">
        <v>0.10274375515086452</v>
      </c>
      <c r="V2435" t="s">
        <v>157</v>
      </c>
    </row>
    <row r="2436" spans="19:22" x14ac:dyDescent="0.45">
      <c r="S2436" t="s">
        <v>595</v>
      </c>
      <c r="T2436" t="s">
        <v>780</v>
      </c>
      <c r="U2436">
        <v>0.12937538779987923</v>
      </c>
      <c r="V2436" t="s">
        <v>157</v>
      </c>
    </row>
    <row r="2437" spans="19:22" x14ac:dyDescent="0.45">
      <c r="S2437" t="s">
        <v>595</v>
      </c>
      <c r="T2437" t="s">
        <v>781</v>
      </c>
      <c r="U2437">
        <v>2.22808324451855E-2</v>
      </c>
      <c r="V2437" t="s">
        <v>157</v>
      </c>
    </row>
    <row r="2438" spans="19:22" x14ac:dyDescent="0.45">
      <c r="S2438" t="s">
        <v>595</v>
      </c>
      <c r="T2438" t="s">
        <v>782</v>
      </c>
      <c r="U2438">
        <v>9.4522283116365138E-2</v>
      </c>
      <c r="V2438" t="s">
        <v>157</v>
      </c>
    </row>
    <row r="2439" spans="19:22" x14ac:dyDescent="0.45">
      <c r="S2439" t="s">
        <v>595</v>
      </c>
      <c r="T2439" t="s">
        <v>783</v>
      </c>
      <c r="U2439">
        <v>0.10710059258275094</v>
      </c>
      <c r="V2439" t="s">
        <v>157</v>
      </c>
    </row>
    <row r="2440" spans="19:22" x14ac:dyDescent="0.45">
      <c r="S2440" t="s">
        <v>595</v>
      </c>
      <c r="T2440" t="s">
        <v>784</v>
      </c>
      <c r="U2440">
        <v>1.9063842526516762E-2</v>
      </c>
      <c r="V2440" t="s">
        <v>157</v>
      </c>
    </row>
    <row r="2441" spans="19:22" x14ac:dyDescent="0.45">
      <c r="S2441" t="s">
        <v>595</v>
      </c>
      <c r="T2441" t="s">
        <v>785</v>
      </c>
      <c r="U2441">
        <v>0.12242152130940102</v>
      </c>
      <c r="V2441" t="s">
        <v>157</v>
      </c>
    </row>
    <row r="2442" spans="19:22" x14ac:dyDescent="0.45">
      <c r="S2442" t="s">
        <v>595</v>
      </c>
      <c r="T2442" t="s">
        <v>786</v>
      </c>
      <c r="U2442">
        <v>0.13160805208377371</v>
      </c>
      <c r="V2442" t="s">
        <v>157</v>
      </c>
    </row>
    <row r="2443" spans="19:22" x14ac:dyDescent="0.45">
      <c r="S2443" t="s">
        <v>595</v>
      </c>
      <c r="T2443" t="s">
        <v>787</v>
      </c>
      <c r="U2443">
        <v>2.337987466901981E-2</v>
      </c>
      <c r="V2443" t="s">
        <v>157</v>
      </c>
    </row>
    <row r="2444" spans="19:22" x14ac:dyDescent="0.45">
      <c r="S2444" t="s">
        <v>595</v>
      </c>
      <c r="T2444" t="s">
        <v>788</v>
      </c>
      <c r="U2444">
        <v>0.10890919865694872</v>
      </c>
      <c r="V2444" t="s">
        <v>157</v>
      </c>
    </row>
    <row r="2445" spans="19:22" x14ac:dyDescent="0.45">
      <c r="S2445" t="s">
        <v>595</v>
      </c>
      <c r="T2445" t="s">
        <v>789</v>
      </c>
      <c r="U2445">
        <v>0.11589246418375944</v>
      </c>
      <c r="V2445" t="s">
        <v>157</v>
      </c>
    </row>
    <row r="2446" spans="19:22" x14ac:dyDescent="0.45">
      <c r="S2446" t="s">
        <v>595</v>
      </c>
      <c r="T2446" t="s">
        <v>790</v>
      </c>
      <c r="U2446">
        <v>2.2702195475535192E-2</v>
      </c>
      <c r="V2446" t="s">
        <v>157</v>
      </c>
    </row>
    <row r="2447" spans="19:22" x14ac:dyDescent="0.45">
      <c r="S2447" t="s">
        <v>596</v>
      </c>
      <c r="T2447" t="s">
        <v>779</v>
      </c>
      <c r="U2447">
        <v>0.10770682322368373</v>
      </c>
      <c r="V2447" t="s">
        <v>157</v>
      </c>
    </row>
    <row r="2448" spans="19:22" x14ac:dyDescent="0.45">
      <c r="S2448" t="s">
        <v>596</v>
      </c>
      <c r="T2448" t="s">
        <v>780</v>
      </c>
      <c r="U2448">
        <v>0.13139886523847413</v>
      </c>
      <c r="V2448" t="s">
        <v>157</v>
      </c>
    </row>
    <row r="2449" spans="19:22" x14ac:dyDescent="0.45">
      <c r="S2449" t="s">
        <v>596</v>
      </c>
      <c r="T2449" t="s">
        <v>781</v>
      </c>
      <c r="U2449">
        <v>2.3209492917705608E-2</v>
      </c>
      <c r="V2449" t="s">
        <v>157</v>
      </c>
    </row>
    <row r="2450" spans="19:22" x14ac:dyDescent="0.45">
      <c r="S2450" t="s">
        <v>596</v>
      </c>
      <c r="T2450" t="s">
        <v>782</v>
      </c>
      <c r="U2450">
        <v>9.4299494402660236E-2</v>
      </c>
      <c r="V2450" t="s">
        <v>157</v>
      </c>
    </row>
    <row r="2451" spans="19:22" x14ac:dyDescent="0.45">
      <c r="S2451" t="s">
        <v>596</v>
      </c>
      <c r="T2451" t="s">
        <v>783</v>
      </c>
      <c r="U2451">
        <v>0.10557633394733835</v>
      </c>
      <c r="V2451" t="s">
        <v>157</v>
      </c>
    </row>
    <row r="2452" spans="19:22" x14ac:dyDescent="0.45">
      <c r="S2452" t="s">
        <v>596</v>
      </c>
      <c r="T2452" t="s">
        <v>784</v>
      </c>
      <c r="U2452">
        <v>1.8810656867150905E-2</v>
      </c>
      <c r="V2452" t="s">
        <v>157</v>
      </c>
    </row>
    <row r="2453" spans="19:22" x14ac:dyDescent="0.45">
      <c r="S2453" t="s">
        <v>596</v>
      </c>
      <c r="T2453" t="s">
        <v>785</v>
      </c>
      <c r="U2453">
        <v>0.11855452369227237</v>
      </c>
      <c r="V2453" t="s">
        <v>157</v>
      </c>
    </row>
    <row r="2454" spans="19:22" x14ac:dyDescent="0.45">
      <c r="S2454" t="s">
        <v>596</v>
      </c>
      <c r="T2454" t="s">
        <v>786</v>
      </c>
      <c r="U2454">
        <v>0.13129057087405033</v>
      </c>
      <c r="V2454" t="s">
        <v>157</v>
      </c>
    </row>
    <row r="2455" spans="19:22" x14ac:dyDescent="0.45">
      <c r="S2455" t="s">
        <v>596</v>
      </c>
      <c r="T2455" t="s">
        <v>787</v>
      </c>
      <c r="U2455">
        <v>2.2890908456030926E-2</v>
      </c>
      <c r="V2455" t="s">
        <v>157</v>
      </c>
    </row>
    <row r="2456" spans="19:22" x14ac:dyDescent="0.45">
      <c r="S2456" t="s">
        <v>596</v>
      </c>
      <c r="T2456" t="s">
        <v>788</v>
      </c>
      <c r="U2456">
        <v>0.10847009723245468</v>
      </c>
      <c r="V2456" t="s">
        <v>157</v>
      </c>
    </row>
    <row r="2457" spans="19:22" x14ac:dyDescent="0.45">
      <c r="S2457" t="s">
        <v>596</v>
      </c>
      <c r="T2457" t="s">
        <v>789</v>
      </c>
      <c r="U2457">
        <v>0.11453174529036982</v>
      </c>
      <c r="V2457" t="s">
        <v>157</v>
      </c>
    </row>
    <row r="2458" spans="19:22" x14ac:dyDescent="0.45">
      <c r="S2458" t="s">
        <v>596</v>
      </c>
      <c r="T2458" t="s">
        <v>790</v>
      </c>
      <c r="U2458">
        <v>2.3260487857808917E-2</v>
      </c>
      <c r="V2458" t="s">
        <v>157</v>
      </c>
    </row>
    <row r="2459" spans="19:22" x14ac:dyDescent="0.45">
      <c r="S2459" t="s">
        <v>597</v>
      </c>
      <c r="T2459" t="s">
        <v>779</v>
      </c>
      <c r="U2459">
        <v>0.11329327457460255</v>
      </c>
      <c r="V2459" t="s">
        <v>157</v>
      </c>
    </row>
    <row r="2460" spans="19:22" x14ac:dyDescent="0.45">
      <c r="S2460" t="s">
        <v>597</v>
      </c>
      <c r="T2460" t="s">
        <v>780</v>
      </c>
      <c r="U2460">
        <v>0.1339720911649159</v>
      </c>
      <c r="V2460" t="s">
        <v>157</v>
      </c>
    </row>
    <row r="2461" spans="19:22" x14ac:dyDescent="0.45">
      <c r="S2461" t="s">
        <v>597</v>
      </c>
      <c r="T2461" t="s">
        <v>781</v>
      </c>
      <c r="U2461">
        <v>2.41308783430201E-2</v>
      </c>
      <c r="V2461" t="s">
        <v>157</v>
      </c>
    </row>
    <row r="2462" spans="19:22" x14ac:dyDescent="0.45">
      <c r="S2462" t="s">
        <v>597</v>
      </c>
      <c r="T2462" t="s">
        <v>782</v>
      </c>
      <c r="U2462">
        <v>9.4887604953132448E-2</v>
      </c>
      <c r="V2462" t="s">
        <v>157</v>
      </c>
    </row>
    <row r="2463" spans="19:22" x14ac:dyDescent="0.45">
      <c r="S2463" t="s">
        <v>597</v>
      </c>
      <c r="T2463" t="s">
        <v>783</v>
      </c>
      <c r="U2463">
        <v>0.10434323353327177</v>
      </c>
      <c r="V2463" t="s">
        <v>157</v>
      </c>
    </row>
    <row r="2464" spans="19:22" x14ac:dyDescent="0.45">
      <c r="S2464" t="s">
        <v>597</v>
      </c>
      <c r="T2464" t="s">
        <v>784</v>
      </c>
      <c r="U2464">
        <v>1.9596055874373963E-2</v>
      </c>
      <c r="V2464" t="s">
        <v>157</v>
      </c>
    </row>
    <row r="2465" spans="19:22" x14ac:dyDescent="0.45">
      <c r="S2465" t="s">
        <v>597</v>
      </c>
      <c r="T2465" t="s">
        <v>785</v>
      </c>
      <c r="U2465">
        <v>0.11838124289704542</v>
      </c>
      <c r="V2465" t="s">
        <v>157</v>
      </c>
    </row>
    <row r="2466" spans="19:22" x14ac:dyDescent="0.45">
      <c r="S2466" t="s">
        <v>597</v>
      </c>
      <c r="T2466" t="s">
        <v>786</v>
      </c>
      <c r="U2466">
        <v>0.13096680852021181</v>
      </c>
      <c r="V2466" t="s">
        <v>157</v>
      </c>
    </row>
    <row r="2467" spans="19:22" x14ac:dyDescent="0.45">
      <c r="S2467" t="s">
        <v>597</v>
      </c>
      <c r="T2467" t="s">
        <v>787</v>
      </c>
      <c r="U2467">
        <v>2.2682182434656067E-2</v>
      </c>
      <c r="V2467" t="s">
        <v>157</v>
      </c>
    </row>
    <row r="2468" spans="19:22" x14ac:dyDescent="0.45">
      <c r="S2468" t="s">
        <v>597</v>
      </c>
      <c r="T2468" t="s">
        <v>788</v>
      </c>
      <c r="U2468">
        <v>0.10470864215584905</v>
      </c>
      <c r="V2468" t="s">
        <v>157</v>
      </c>
    </row>
    <row r="2469" spans="19:22" x14ac:dyDescent="0.45">
      <c r="S2469" t="s">
        <v>597</v>
      </c>
      <c r="T2469" t="s">
        <v>789</v>
      </c>
      <c r="U2469">
        <v>0.10959198415936725</v>
      </c>
      <c r="V2469" t="s">
        <v>157</v>
      </c>
    </row>
    <row r="2470" spans="19:22" x14ac:dyDescent="0.45">
      <c r="S2470" t="s">
        <v>597</v>
      </c>
      <c r="T2470" t="s">
        <v>790</v>
      </c>
      <c r="U2470">
        <v>2.3446001389553699E-2</v>
      </c>
      <c r="V2470" t="s">
        <v>157</v>
      </c>
    </row>
    <row r="2471" spans="19:22" x14ac:dyDescent="0.45">
      <c r="S2471" t="s">
        <v>598</v>
      </c>
      <c r="T2471" t="s">
        <v>779</v>
      </c>
      <c r="U2471">
        <v>0.11849731758912485</v>
      </c>
      <c r="V2471" t="s">
        <v>157</v>
      </c>
    </row>
    <row r="2472" spans="19:22" x14ac:dyDescent="0.45">
      <c r="S2472" t="s">
        <v>598</v>
      </c>
      <c r="T2472" t="s">
        <v>780</v>
      </c>
      <c r="U2472">
        <v>0.13646896956570961</v>
      </c>
      <c r="V2472" t="s">
        <v>157</v>
      </c>
    </row>
    <row r="2473" spans="19:22" x14ac:dyDescent="0.45">
      <c r="S2473" t="s">
        <v>598</v>
      </c>
      <c r="T2473" t="s">
        <v>781</v>
      </c>
      <c r="U2473">
        <v>2.4906644409234631E-2</v>
      </c>
      <c r="V2473" t="s">
        <v>157</v>
      </c>
    </row>
    <row r="2474" spans="19:22" x14ac:dyDescent="0.45">
      <c r="S2474" t="s">
        <v>598</v>
      </c>
      <c r="T2474" t="s">
        <v>782</v>
      </c>
      <c r="U2474">
        <v>9.1790147115465237E-2</v>
      </c>
      <c r="V2474" t="s">
        <v>157</v>
      </c>
    </row>
    <row r="2475" spans="19:22" x14ac:dyDescent="0.45">
      <c r="S2475" t="s">
        <v>598</v>
      </c>
      <c r="T2475" t="s">
        <v>783</v>
      </c>
      <c r="U2475">
        <v>0.1036960211013099</v>
      </c>
      <c r="V2475" t="s">
        <v>157</v>
      </c>
    </row>
    <row r="2476" spans="19:22" x14ac:dyDescent="0.45">
      <c r="S2476" t="s">
        <v>598</v>
      </c>
      <c r="T2476" t="s">
        <v>784</v>
      </c>
      <c r="U2476">
        <v>1.9838250818456304E-2</v>
      </c>
      <c r="V2476" t="s">
        <v>157</v>
      </c>
    </row>
    <row r="2477" spans="19:22" x14ac:dyDescent="0.45">
      <c r="S2477" t="s">
        <v>598</v>
      </c>
      <c r="T2477" t="s">
        <v>785</v>
      </c>
      <c r="U2477">
        <v>0.1209624317468854</v>
      </c>
      <c r="V2477" t="s">
        <v>157</v>
      </c>
    </row>
    <row r="2478" spans="19:22" x14ac:dyDescent="0.45">
      <c r="S2478" t="s">
        <v>598</v>
      </c>
      <c r="T2478" t="s">
        <v>786</v>
      </c>
      <c r="U2478">
        <v>0.13285585384313689</v>
      </c>
      <c r="V2478" t="s">
        <v>157</v>
      </c>
    </row>
    <row r="2479" spans="19:22" x14ac:dyDescent="0.45">
      <c r="S2479" t="s">
        <v>598</v>
      </c>
      <c r="T2479" t="s">
        <v>787</v>
      </c>
      <c r="U2479">
        <v>2.2789548330954895E-2</v>
      </c>
      <c r="V2479" t="s">
        <v>157</v>
      </c>
    </row>
    <row r="2480" spans="19:22" x14ac:dyDescent="0.45">
      <c r="S2480" t="s">
        <v>598</v>
      </c>
      <c r="T2480" t="s">
        <v>788</v>
      </c>
      <c r="U2480">
        <v>9.9593546645118353E-2</v>
      </c>
      <c r="V2480" t="s">
        <v>157</v>
      </c>
    </row>
    <row r="2481" spans="19:22" x14ac:dyDescent="0.45">
      <c r="S2481" t="s">
        <v>598</v>
      </c>
      <c r="T2481" t="s">
        <v>789</v>
      </c>
      <c r="U2481">
        <v>0.10569127621663217</v>
      </c>
      <c r="V2481" t="s">
        <v>157</v>
      </c>
    </row>
    <row r="2482" spans="19:22" x14ac:dyDescent="0.45">
      <c r="S2482" t="s">
        <v>598</v>
      </c>
      <c r="T2482" t="s">
        <v>790</v>
      </c>
      <c r="U2482">
        <v>2.2909992617971799E-2</v>
      </c>
      <c r="V2482" t="s">
        <v>157</v>
      </c>
    </row>
    <row r="2483" spans="19:22" x14ac:dyDescent="0.45">
      <c r="S2483" t="s">
        <v>599</v>
      </c>
      <c r="T2483" t="s">
        <v>779</v>
      </c>
      <c r="U2483">
        <v>0.13715892496948048</v>
      </c>
      <c r="V2483" t="s">
        <v>157</v>
      </c>
    </row>
    <row r="2484" spans="19:22" x14ac:dyDescent="0.45">
      <c r="S2484" t="s">
        <v>599</v>
      </c>
      <c r="T2484" t="s">
        <v>780</v>
      </c>
      <c r="U2484">
        <v>0.13632413634278401</v>
      </c>
      <c r="V2484" t="s">
        <v>157</v>
      </c>
    </row>
    <row r="2485" spans="19:22" x14ac:dyDescent="0.45">
      <c r="S2485" t="s">
        <v>599</v>
      </c>
      <c r="T2485" t="s">
        <v>781</v>
      </c>
      <c r="U2485">
        <v>2.521808152024374E-2</v>
      </c>
      <c r="V2485" t="s">
        <v>157</v>
      </c>
    </row>
    <row r="2486" spans="19:22" x14ac:dyDescent="0.45">
      <c r="S2486" t="s">
        <v>599</v>
      </c>
      <c r="T2486" t="s">
        <v>782</v>
      </c>
      <c r="U2486">
        <v>9.7057347716842546E-2</v>
      </c>
      <c r="V2486" t="s">
        <v>157</v>
      </c>
    </row>
    <row r="2487" spans="19:22" x14ac:dyDescent="0.45">
      <c r="S2487" t="s">
        <v>599</v>
      </c>
      <c r="T2487" t="s">
        <v>783</v>
      </c>
      <c r="U2487">
        <v>9.6382093369592622E-2</v>
      </c>
      <c r="V2487" t="s">
        <v>157</v>
      </c>
    </row>
    <row r="2488" spans="19:22" x14ac:dyDescent="0.45">
      <c r="S2488" t="s">
        <v>599</v>
      </c>
      <c r="T2488" t="s">
        <v>784</v>
      </c>
      <c r="U2488">
        <v>1.7145692846109169E-2</v>
      </c>
      <c r="V2488" t="s">
        <v>157</v>
      </c>
    </row>
    <row r="2489" spans="19:22" x14ac:dyDescent="0.45">
      <c r="S2489" t="s">
        <v>599</v>
      </c>
      <c r="T2489" t="s">
        <v>785</v>
      </c>
      <c r="U2489">
        <v>0.12220619254733708</v>
      </c>
      <c r="V2489" t="s">
        <v>157</v>
      </c>
    </row>
    <row r="2490" spans="19:22" x14ac:dyDescent="0.45">
      <c r="S2490" t="s">
        <v>599</v>
      </c>
      <c r="T2490" t="s">
        <v>786</v>
      </c>
      <c r="U2490">
        <v>0.13747678424022158</v>
      </c>
      <c r="V2490" t="s">
        <v>157</v>
      </c>
    </row>
    <row r="2491" spans="19:22" x14ac:dyDescent="0.45">
      <c r="S2491" t="s">
        <v>599</v>
      </c>
      <c r="T2491" t="s">
        <v>787</v>
      </c>
      <c r="U2491">
        <v>2.268209588230527E-2</v>
      </c>
      <c r="V2491" t="s">
        <v>157</v>
      </c>
    </row>
    <row r="2492" spans="19:22" x14ac:dyDescent="0.45">
      <c r="S2492" t="s">
        <v>599</v>
      </c>
      <c r="T2492" t="s">
        <v>788</v>
      </c>
      <c r="U2492">
        <v>0.10127205330837757</v>
      </c>
      <c r="V2492" t="s">
        <v>157</v>
      </c>
    </row>
    <row r="2493" spans="19:22" x14ac:dyDescent="0.45">
      <c r="S2493" t="s">
        <v>599</v>
      </c>
      <c r="T2493" t="s">
        <v>789</v>
      </c>
      <c r="U2493">
        <v>8.9627034805714614E-2</v>
      </c>
      <c r="V2493" t="s">
        <v>157</v>
      </c>
    </row>
    <row r="2494" spans="19:22" x14ac:dyDescent="0.45">
      <c r="S2494" t="s">
        <v>599</v>
      </c>
      <c r="T2494" t="s">
        <v>790</v>
      </c>
      <c r="U2494">
        <v>1.7449562450991368E-2</v>
      </c>
      <c r="V2494" t="s">
        <v>157</v>
      </c>
    </row>
    <row r="2495" spans="19:22" x14ac:dyDescent="0.45">
      <c r="S2495" t="s">
        <v>600</v>
      </c>
      <c r="T2495" t="s">
        <v>779</v>
      </c>
      <c r="U2495">
        <v>0.11630624455457091</v>
      </c>
      <c r="V2495" t="s">
        <v>157</v>
      </c>
    </row>
    <row r="2496" spans="19:22" x14ac:dyDescent="0.45">
      <c r="S2496" t="s">
        <v>600</v>
      </c>
      <c r="T2496" t="s">
        <v>780</v>
      </c>
      <c r="U2496">
        <v>0.11715662324838194</v>
      </c>
      <c r="V2496" t="s">
        <v>157</v>
      </c>
    </row>
    <row r="2497" spans="19:22" x14ac:dyDescent="0.45">
      <c r="S2497" t="s">
        <v>600</v>
      </c>
      <c r="T2497" t="s">
        <v>781</v>
      </c>
      <c r="U2497">
        <v>2.0809074718945955E-2</v>
      </c>
      <c r="V2497" t="s">
        <v>157</v>
      </c>
    </row>
    <row r="2498" spans="19:22" x14ac:dyDescent="0.45">
      <c r="S2498" t="s">
        <v>600</v>
      </c>
      <c r="T2498" t="s">
        <v>782</v>
      </c>
      <c r="U2498">
        <v>0.11563150402671743</v>
      </c>
      <c r="V2498" t="s">
        <v>157</v>
      </c>
    </row>
    <row r="2499" spans="19:22" x14ac:dyDescent="0.45">
      <c r="S2499" t="s">
        <v>600</v>
      </c>
      <c r="T2499" t="s">
        <v>783</v>
      </c>
      <c r="U2499">
        <v>0.11200690799359074</v>
      </c>
      <c r="V2499" t="s">
        <v>157</v>
      </c>
    </row>
    <row r="2500" spans="19:22" x14ac:dyDescent="0.45">
      <c r="S2500" t="s">
        <v>600</v>
      </c>
      <c r="T2500" t="s">
        <v>784</v>
      </c>
      <c r="U2500">
        <v>2.0752604912403789E-2</v>
      </c>
      <c r="V2500" t="s">
        <v>157</v>
      </c>
    </row>
    <row r="2501" spans="19:22" x14ac:dyDescent="0.45">
      <c r="S2501" t="s">
        <v>600</v>
      </c>
      <c r="T2501" t="s">
        <v>785</v>
      </c>
      <c r="U2501">
        <v>0.11300507903810339</v>
      </c>
      <c r="V2501" t="s">
        <v>157</v>
      </c>
    </row>
    <row r="2502" spans="19:22" x14ac:dyDescent="0.45">
      <c r="S2502" t="s">
        <v>600</v>
      </c>
      <c r="T2502" t="s">
        <v>786</v>
      </c>
      <c r="U2502">
        <v>0.11395549079350796</v>
      </c>
      <c r="V2502" t="s">
        <v>157</v>
      </c>
    </row>
    <row r="2503" spans="19:22" x14ac:dyDescent="0.45">
      <c r="S2503" t="s">
        <v>600</v>
      </c>
      <c r="T2503" t="s">
        <v>787</v>
      </c>
      <c r="U2503">
        <v>2.0509684332696627E-2</v>
      </c>
      <c r="V2503" t="s">
        <v>157</v>
      </c>
    </row>
    <row r="2504" spans="19:22" x14ac:dyDescent="0.45">
      <c r="S2504" t="s">
        <v>600</v>
      </c>
      <c r="T2504" t="s">
        <v>788</v>
      </c>
      <c r="U2504">
        <v>0.11241773668721969</v>
      </c>
      <c r="V2504" t="s">
        <v>157</v>
      </c>
    </row>
    <row r="2505" spans="19:22" x14ac:dyDescent="0.45">
      <c r="S2505" t="s">
        <v>600</v>
      </c>
      <c r="T2505" t="s">
        <v>789</v>
      </c>
      <c r="U2505">
        <v>0.11629058548923295</v>
      </c>
      <c r="V2505" t="s">
        <v>157</v>
      </c>
    </row>
    <row r="2506" spans="19:22" x14ac:dyDescent="0.45">
      <c r="S2506" t="s">
        <v>600</v>
      </c>
      <c r="T2506" t="s">
        <v>790</v>
      </c>
      <c r="U2506">
        <v>2.115846420462858E-2</v>
      </c>
      <c r="V2506" t="s">
        <v>157</v>
      </c>
    </row>
    <row r="2507" spans="19:22" x14ac:dyDescent="0.45">
      <c r="S2507" t="s">
        <v>601</v>
      </c>
      <c r="T2507" t="s">
        <v>779</v>
      </c>
      <c r="U2507">
        <v>0.1714013117622924</v>
      </c>
      <c r="V2507" t="s">
        <v>157</v>
      </c>
    </row>
    <row r="2508" spans="19:22" x14ac:dyDescent="0.45">
      <c r="S2508" t="s">
        <v>601</v>
      </c>
      <c r="T2508" t="s">
        <v>780</v>
      </c>
      <c r="U2508">
        <v>0.13753977090101496</v>
      </c>
      <c r="V2508" t="s">
        <v>157</v>
      </c>
    </row>
    <row r="2509" spans="19:22" x14ac:dyDescent="0.45">
      <c r="S2509" t="s">
        <v>601</v>
      </c>
      <c r="T2509" t="s">
        <v>781</v>
      </c>
      <c r="U2509">
        <v>3.5179486484505425E-2</v>
      </c>
      <c r="V2509" t="s">
        <v>157</v>
      </c>
    </row>
    <row r="2510" spans="19:22" x14ac:dyDescent="0.45">
      <c r="S2510" t="s">
        <v>601</v>
      </c>
      <c r="T2510" t="s">
        <v>782</v>
      </c>
      <c r="U2510">
        <v>8.9908886162454266E-2</v>
      </c>
      <c r="V2510" t="s">
        <v>157</v>
      </c>
    </row>
    <row r="2511" spans="19:22" x14ac:dyDescent="0.45">
      <c r="S2511" t="s">
        <v>601</v>
      </c>
      <c r="T2511" t="s">
        <v>783</v>
      </c>
      <c r="U2511">
        <v>7.509540502781048E-2</v>
      </c>
      <c r="V2511" t="s">
        <v>157</v>
      </c>
    </row>
    <row r="2512" spans="19:22" x14ac:dyDescent="0.45">
      <c r="S2512" t="s">
        <v>601</v>
      </c>
      <c r="T2512" t="s">
        <v>784</v>
      </c>
      <c r="U2512">
        <v>1.9368114452392622E-2</v>
      </c>
      <c r="V2512" t="s">
        <v>157</v>
      </c>
    </row>
    <row r="2513" spans="19:22" x14ac:dyDescent="0.45">
      <c r="S2513" t="s">
        <v>601</v>
      </c>
      <c r="T2513" t="s">
        <v>785</v>
      </c>
      <c r="U2513">
        <v>0.11482509231038267</v>
      </c>
      <c r="V2513" t="s">
        <v>157</v>
      </c>
    </row>
    <row r="2514" spans="19:22" x14ac:dyDescent="0.45">
      <c r="S2514" t="s">
        <v>601</v>
      </c>
      <c r="T2514" t="s">
        <v>786</v>
      </c>
      <c r="U2514">
        <v>0.11331939805109016</v>
      </c>
      <c r="V2514" t="s">
        <v>157</v>
      </c>
    </row>
    <row r="2515" spans="19:22" x14ac:dyDescent="0.45">
      <c r="S2515" t="s">
        <v>601</v>
      </c>
      <c r="T2515" t="s">
        <v>787</v>
      </c>
      <c r="U2515">
        <v>2.340900569217267E-2</v>
      </c>
      <c r="V2515" t="s">
        <v>157</v>
      </c>
    </row>
    <row r="2516" spans="19:22" x14ac:dyDescent="0.45">
      <c r="S2516" t="s">
        <v>601</v>
      </c>
      <c r="T2516" t="s">
        <v>788</v>
      </c>
      <c r="U2516">
        <v>0.11045734928097747</v>
      </c>
      <c r="V2516" t="s">
        <v>157</v>
      </c>
    </row>
    <row r="2517" spans="19:22" x14ac:dyDescent="0.45">
      <c r="S2517" t="s">
        <v>601</v>
      </c>
      <c r="T2517" t="s">
        <v>789</v>
      </c>
      <c r="U2517">
        <v>8.4823732818136863E-2</v>
      </c>
      <c r="V2517" t="s">
        <v>157</v>
      </c>
    </row>
    <row r="2518" spans="19:22" x14ac:dyDescent="0.45">
      <c r="S2518" t="s">
        <v>601</v>
      </c>
      <c r="T2518" t="s">
        <v>790</v>
      </c>
      <c r="U2518">
        <v>2.4672447056770005E-2</v>
      </c>
      <c r="V2518" t="s">
        <v>157</v>
      </c>
    </row>
    <row r="2519" spans="19:22" x14ac:dyDescent="0.45">
      <c r="S2519" t="s">
        <v>602</v>
      </c>
      <c r="T2519" t="s">
        <v>779</v>
      </c>
      <c r="U2519">
        <v>0.14358803663536171</v>
      </c>
      <c r="V2519" t="s">
        <v>157</v>
      </c>
    </row>
    <row r="2520" spans="19:22" x14ac:dyDescent="0.45">
      <c r="S2520" t="s">
        <v>602</v>
      </c>
      <c r="T2520" t="s">
        <v>780</v>
      </c>
      <c r="U2520">
        <v>0.13581203353556148</v>
      </c>
      <c r="V2520" t="s">
        <v>157</v>
      </c>
    </row>
    <row r="2521" spans="19:22" x14ac:dyDescent="0.45">
      <c r="S2521" t="s">
        <v>602</v>
      </c>
      <c r="T2521" t="s">
        <v>781</v>
      </c>
      <c r="U2521">
        <v>2.9500389585767443E-2</v>
      </c>
      <c r="V2521" t="s">
        <v>157</v>
      </c>
    </row>
    <row r="2522" spans="19:22" x14ac:dyDescent="0.45">
      <c r="S2522" t="s">
        <v>602</v>
      </c>
      <c r="T2522" t="s">
        <v>782</v>
      </c>
      <c r="U2522">
        <v>9.5460943152694669E-2</v>
      </c>
      <c r="V2522" t="s">
        <v>157</v>
      </c>
    </row>
    <row r="2523" spans="19:22" x14ac:dyDescent="0.45">
      <c r="S2523" t="s">
        <v>602</v>
      </c>
      <c r="T2523" t="s">
        <v>783</v>
      </c>
      <c r="U2523">
        <v>9.350226779108263E-2</v>
      </c>
      <c r="V2523" t="s">
        <v>157</v>
      </c>
    </row>
    <row r="2524" spans="19:22" x14ac:dyDescent="0.45">
      <c r="S2524" t="s">
        <v>602</v>
      </c>
      <c r="T2524" t="s">
        <v>784</v>
      </c>
      <c r="U2524">
        <v>1.8629689122275001E-2</v>
      </c>
      <c r="V2524" t="s">
        <v>157</v>
      </c>
    </row>
    <row r="2525" spans="19:22" x14ac:dyDescent="0.45">
      <c r="S2525" t="s">
        <v>602</v>
      </c>
      <c r="T2525" t="s">
        <v>785</v>
      </c>
      <c r="U2525">
        <v>0.11713810723391507</v>
      </c>
      <c r="V2525" t="s">
        <v>157</v>
      </c>
    </row>
    <row r="2526" spans="19:22" x14ac:dyDescent="0.45">
      <c r="S2526" t="s">
        <v>602</v>
      </c>
      <c r="T2526" t="s">
        <v>786</v>
      </c>
      <c r="U2526">
        <v>0.11847305297368289</v>
      </c>
      <c r="V2526" t="s">
        <v>157</v>
      </c>
    </row>
    <row r="2527" spans="19:22" x14ac:dyDescent="0.45">
      <c r="S2527" t="s">
        <v>602</v>
      </c>
      <c r="T2527" t="s">
        <v>787</v>
      </c>
      <c r="U2527">
        <v>2.3225800902670481E-2</v>
      </c>
      <c r="V2527" t="s">
        <v>157</v>
      </c>
    </row>
    <row r="2528" spans="19:22" x14ac:dyDescent="0.45">
      <c r="S2528" t="s">
        <v>602</v>
      </c>
      <c r="T2528" t="s">
        <v>788</v>
      </c>
      <c r="U2528">
        <v>0.10170362631439063</v>
      </c>
      <c r="V2528" t="s">
        <v>157</v>
      </c>
    </row>
    <row r="2529" spans="19:22" x14ac:dyDescent="0.45">
      <c r="S2529" t="s">
        <v>602</v>
      </c>
      <c r="T2529" t="s">
        <v>789</v>
      </c>
      <c r="U2529">
        <v>0.10016776245582049</v>
      </c>
      <c r="V2529" t="s">
        <v>157</v>
      </c>
    </row>
    <row r="2530" spans="19:22" x14ac:dyDescent="0.45">
      <c r="S2530" t="s">
        <v>602</v>
      </c>
      <c r="T2530" t="s">
        <v>790</v>
      </c>
      <c r="U2530">
        <v>2.2798290296777532E-2</v>
      </c>
      <c r="V2530" t="s">
        <v>157</v>
      </c>
    </row>
    <row r="2531" spans="19:22" x14ac:dyDescent="0.45">
      <c r="S2531" t="s">
        <v>603</v>
      </c>
      <c r="T2531" t="s">
        <v>779</v>
      </c>
      <c r="U2531">
        <v>0.13511834978108397</v>
      </c>
      <c r="V2531" t="s">
        <v>157</v>
      </c>
    </row>
    <row r="2532" spans="19:22" x14ac:dyDescent="0.45">
      <c r="S2532" t="s">
        <v>603</v>
      </c>
      <c r="T2532" t="s">
        <v>780</v>
      </c>
      <c r="U2532">
        <v>0.13318385661572762</v>
      </c>
      <c r="V2532" t="s">
        <v>157</v>
      </c>
    </row>
    <row r="2533" spans="19:22" x14ac:dyDescent="0.45">
      <c r="S2533" t="s">
        <v>603</v>
      </c>
      <c r="T2533" t="s">
        <v>781</v>
      </c>
      <c r="U2533">
        <v>2.709876090971787E-2</v>
      </c>
      <c r="V2533" t="s">
        <v>157</v>
      </c>
    </row>
    <row r="2534" spans="19:22" x14ac:dyDescent="0.45">
      <c r="S2534" t="s">
        <v>603</v>
      </c>
      <c r="T2534" t="s">
        <v>782</v>
      </c>
      <c r="U2534">
        <v>9.4223009081605039E-2</v>
      </c>
      <c r="V2534" t="s">
        <v>157</v>
      </c>
    </row>
    <row r="2535" spans="19:22" x14ac:dyDescent="0.45">
      <c r="S2535" t="s">
        <v>603</v>
      </c>
      <c r="T2535" t="s">
        <v>783</v>
      </c>
      <c r="U2535">
        <v>9.7184861147454837E-2</v>
      </c>
      <c r="V2535" t="s">
        <v>157</v>
      </c>
    </row>
    <row r="2536" spans="19:22" x14ac:dyDescent="0.45">
      <c r="S2536" t="s">
        <v>603</v>
      </c>
      <c r="T2536" t="s">
        <v>784</v>
      </c>
      <c r="U2536">
        <v>1.7614573740828848E-2</v>
      </c>
      <c r="V2536" t="s">
        <v>157</v>
      </c>
    </row>
    <row r="2537" spans="19:22" x14ac:dyDescent="0.45">
      <c r="S2537" t="s">
        <v>603</v>
      </c>
      <c r="T2537" t="s">
        <v>785</v>
      </c>
      <c r="U2537">
        <v>0.12064094712721112</v>
      </c>
      <c r="V2537" t="s">
        <v>157</v>
      </c>
    </row>
    <row r="2538" spans="19:22" x14ac:dyDescent="0.45">
      <c r="S2538" t="s">
        <v>603</v>
      </c>
      <c r="T2538" t="s">
        <v>786</v>
      </c>
      <c r="U2538">
        <v>0.12315829612316292</v>
      </c>
      <c r="V2538" t="s">
        <v>157</v>
      </c>
    </row>
    <row r="2539" spans="19:22" x14ac:dyDescent="0.45">
      <c r="S2539" t="s">
        <v>603</v>
      </c>
      <c r="T2539" t="s">
        <v>787</v>
      </c>
      <c r="U2539">
        <v>2.3273036974044859E-2</v>
      </c>
      <c r="V2539" t="s">
        <v>157</v>
      </c>
    </row>
    <row r="2540" spans="19:22" x14ac:dyDescent="0.45">
      <c r="S2540" t="s">
        <v>603</v>
      </c>
      <c r="T2540" t="s">
        <v>788</v>
      </c>
      <c r="U2540">
        <v>0.10095222067370603</v>
      </c>
      <c r="V2540" t="s">
        <v>157</v>
      </c>
    </row>
    <row r="2541" spans="19:22" x14ac:dyDescent="0.45">
      <c r="S2541" t="s">
        <v>603</v>
      </c>
      <c r="T2541" t="s">
        <v>789</v>
      </c>
      <c r="U2541">
        <v>0.10703105175819032</v>
      </c>
      <c r="V2541" t="s">
        <v>157</v>
      </c>
    </row>
    <row r="2542" spans="19:22" x14ac:dyDescent="0.45">
      <c r="S2542" t="s">
        <v>603</v>
      </c>
      <c r="T2542" t="s">
        <v>790</v>
      </c>
      <c r="U2542">
        <v>2.0521036067266629E-2</v>
      </c>
      <c r="V2542" t="s">
        <v>157</v>
      </c>
    </row>
    <row r="2543" spans="19:22" x14ac:dyDescent="0.45">
      <c r="S2543" t="s">
        <v>604</v>
      </c>
      <c r="T2543" t="s">
        <v>779</v>
      </c>
      <c r="U2543">
        <v>0.13238323351443365</v>
      </c>
      <c r="V2543" t="s">
        <v>157</v>
      </c>
    </row>
    <row r="2544" spans="19:22" x14ac:dyDescent="0.45">
      <c r="S2544" t="s">
        <v>604</v>
      </c>
      <c r="T2544" t="s">
        <v>780</v>
      </c>
      <c r="U2544">
        <v>0.13073356142423306</v>
      </c>
      <c r="V2544" t="s">
        <v>157</v>
      </c>
    </row>
    <row r="2545" spans="19:22" x14ac:dyDescent="0.45">
      <c r="S2545" t="s">
        <v>604</v>
      </c>
      <c r="T2545" t="s">
        <v>781</v>
      </c>
      <c r="U2545">
        <v>2.5809249384524252E-2</v>
      </c>
      <c r="V2545" t="s">
        <v>157</v>
      </c>
    </row>
    <row r="2546" spans="19:22" x14ac:dyDescent="0.45">
      <c r="S2546" t="s">
        <v>604</v>
      </c>
      <c r="T2546" t="s">
        <v>782</v>
      </c>
      <c r="U2546">
        <v>9.3665638767397447E-2</v>
      </c>
      <c r="V2546" t="s">
        <v>157</v>
      </c>
    </row>
    <row r="2547" spans="19:22" x14ac:dyDescent="0.45">
      <c r="S2547" t="s">
        <v>604</v>
      </c>
      <c r="T2547" t="s">
        <v>783</v>
      </c>
      <c r="U2547">
        <v>9.6270215444937801E-2</v>
      </c>
      <c r="V2547" t="s">
        <v>157</v>
      </c>
    </row>
    <row r="2548" spans="19:22" x14ac:dyDescent="0.45">
      <c r="S2548" t="s">
        <v>604</v>
      </c>
      <c r="T2548" t="s">
        <v>784</v>
      </c>
      <c r="U2548">
        <v>1.7227578335322565E-2</v>
      </c>
      <c r="V2548" t="s">
        <v>157</v>
      </c>
    </row>
    <row r="2549" spans="19:22" x14ac:dyDescent="0.45">
      <c r="S2549" t="s">
        <v>604</v>
      </c>
      <c r="T2549" t="s">
        <v>785</v>
      </c>
      <c r="U2549">
        <v>0.12457201510893941</v>
      </c>
      <c r="V2549" t="s">
        <v>157</v>
      </c>
    </row>
    <row r="2550" spans="19:22" x14ac:dyDescent="0.45">
      <c r="S2550" t="s">
        <v>604</v>
      </c>
      <c r="T2550" t="s">
        <v>786</v>
      </c>
      <c r="U2550">
        <v>0.12678497368357711</v>
      </c>
      <c r="V2550" t="s">
        <v>157</v>
      </c>
    </row>
    <row r="2551" spans="19:22" x14ac:dyDescent="0.45">
      <c r="S2551" t="s">
        <v>604</v>
      </c>
      <c r="T2551" t="s">
        <v>787</v>
      </c>
      <c r="U2551">
        <v>2.3356026708146585E-2</v>
      </c>
      <c r="V2551" t="s">
        <v>157</v>
      </c>
    </row>
    <row r="2552" spans="19:22" x14ac:dyDescent="0.45">
      <c r="S2552" t="s">
        <v>604</v>
      </c>
      <c r="T2552" t="s">
        <v>788</v>
      </c>
      <c r="U2552">
        <v>0.10150034377975306</v>
      </c>
      <c r="V2552" t="s">
        <v>157</v>
      </c>
    </row>
    <row r="2553" spans="19:22" x14ac:dyDescent="0.45">
      <c r="S2553" t="s">
        <v>604</v>
      </c>
      <c r="T2553" t="s">
        <v>789</v>
      </c>
      <c r="U2553">
        <v>0.10882300894233654</v>
      </c>
      <c r="V2553" t="s">
        <v>157</v>
      </c>
    </row>
    <row r="2554" spans="19:22" x14ac:dyDescent="0.45">
      <c r="S2554" t="s">
        <v>604</v>
      </c>
      <c r="T2554" t="s">
        <v>790</v>
      </c>
      <c r="U2554">
        <v>1.8874154906398578E-2</v>
      </c>
      <c r="V2554" t="s">
        <v>157</v>
      </c>
    </row>
    <row r="2555" spans="19:22" x14ac:dyDescent="0.45">
      <c r="S2555" t="s">
        <v>605</v>
      </c>
      <c r="T2555" t="s">
        <v>779</v>
      </c>
      <c r="U2555">
        <v>0.12905541452838326</v>
      </c>
      <c r="V2555" t="s">
        <v>157</v>
      </c>
    </row>
    <row r="2556" spans="19:22" x14ac:dyDescent="0.45">
      <c r="S2556" t="s">
        <v>605</v>
      </c>
      <c r="T2556" t="s">
        <v>780</v>
      </c>
      <c r="U2556">
        <v>0.13015593494180883</v>
      </c>
      <c r="V2556" t="s">
        <v>157</v>
      </c>
    </row>
    <row r="2557" spans="19:22" x14ac:dyDescent="0.45">
      <c r="S2557" t="s">
        <v>605</v>
      </c>
      <c r="T2557" t="s">
        <v>781</v>
      </c>
      <c r="U2557">
        <v>2.5020725265182432E-2</v>
      </c>
      <c r="V2557" t="s">
        <v>157</v>
      </c>
    </row>
    <row r="2558" spans="19:22" x14ac:dyDescent="0.45">
      <c r="S2558" t="s">
        <v>605</v>
      </c>
      <c r="T2558" t="s">
        <v>782</v>
      </c>
      <c r="U2558">
        <v>9.5815897676312087E-2</v>
      </c>
      <c r="V2558" t="s">
        <v>157</v>
      </c>
    </row>
    <row r="2559" spans="19:22" x14ac:dyDescent="0.45">
      <c r="S2559" t="s">
        <v>605</v>
      </c>
      <c r="T2559" t="s">
        <v>783</v>
      </c>
      <c r="U2559">
        <v>9.618624333045718E-2</v>
      </c>
      <c r="V2559" t="s">
        <v>157</v>
      </c>
    </row>
    <row r="2560" spans="19:22" x14ac:dyDescent="0.45">
      <c r="S2560" t="s">
        <v>605</v>
      </c>
      <c r="T2560" t="s">
        <v>784</v>
      </c>
      <c r="U2560">
        <v>1.795265399479163E-2</v>
      </c>
      <c r="V2560" t="s">
        <v>157</v>
      </c>
    </row>
    <row r="2561" spans="19:22" x14ac:dyDescent="0.45">
      <c r="S2561" t="s">
        <v>605</v>
      </c>
      <c r="T2561" t="s">
        <v>785</v>
      </c>
      <c r="U2561">
        <v>0.12713202412115635</v>
      </c>
      <c r="V2561" t="s">
        <v>157</v>
      </c>
    </row>
    <row r="2562" spans="19:22" x14ac:dyDescent="0.45">
      <c r="S2562" t="s">
        <v>605</v>
      </c>
      <c r="T2562" t="s">
        <v>786</v>
      </c>
      <c r="U2562">
        <v>0.12780703596999174</v>
      </c>
      <c r="V2562" t="s">
        <v>157</v>
      </c>
    </row>
    <row r="2563" spans="19:22" x14ac:dyDescent="0.45">
      <c r="S2563" t="s">
        <v>605</v>
      </c>
      <c r="T2563" t="s">
        <v>787</v>
      </c>
      <c r="U2563">
        <v>2.3046021812271455E-2</v>
      </c>
      <c r="V2563" t="s">
        <v>157</v>
      </c>
    </row>
    <row r="2564" spans="19:22" x14ac:dyDescent="0.45">
      <c r="S2564" t="s">
        <v>605</v>
      </c>
      <c r="T2564" t="s">
        <v>788</v>
      </c>
      <c r="U2564">
        <v>0.10175049352765901</v>
      </c>
      <c r="V2564" t="s">
        <v>157</v>
      </c>
    </row>
    <row r="2565" spans="19:22" x14ac:dyDescent="0.45">
      <c r="S2565" t="s">
        <v>605</v>
      </c>
      <c r="T2565" t="s">
        <v>789</v>
      </c>
      <c r="U2565">
        <v>0.10736217128530912</v>
      </c>
      <c r="V2565" t="s">
        <v>157</v>
      </c>
    </row>
    <row r="2566" spans="19:22" x14ac:dyDescent="0.45">
      <c r="S2566" t="s">
        <v>605</v>
      </c>
      <c r="T2566" t="s">
        <v>790</v>
      </c>
      <c r="U2566">
        <v>1.8715383546676886E-2</v>
      </c>
      <c r="V2566" t="s">
        <v>157</v>
      </c>
    </row>
    <row r="2567" spans="19:22" x14ac:dyDescent="0.45">
      <c r="S2567" t="s">
        <v>606</v>
      </c>
      <c r="T2567" t="s">
        <v>779</v>
      </c>
      <c r="U2567">
        <v>0.12079318445355963</v>
      </c>
      <c r="V2567" t="s">
        <v>157</v>
      </c>
    </row>
    <row r="2568" spans="19:22" x14ac:dyDescent="0.45">
      <c r="S2568" t="s">
        <v>606</v>
      </c>
      <c r="T2568" t="s">
        <v>780</v>
      </c>
      <c r="U2568">
        <v>0.13131172942068009</v>
      </c>
      <c r="V2568" t="s">
        <v>157</v>
      </c>
    </row>
    <row r="2569" spans="19:22" x14ac:dyDescent="0.45">
      <c r="S2569" t="s">
        <v>606</v>
      </c>
      <c r="T2569" t="s">
        <v>781</v>
      </c>
      <c r="U2569">
        <v>2.4275551570253715E-2</v>
      </c>
      <c r="V2569" t="s">
        <v>157</v>
      </c>
    </row>
    <row r="2570" spans="19:22" x14ac:dyDescent="0.45">
      <c r="S2570" t="s">
        <v>606</v>
      </c>
      <c r="T2570" t="s">
        <v>782</v>
      </c>
      <c r="U2570">
        <v>9.7192359258587754E-2</v>
      </c>
      <c r="V2570" t="s">
        <v>157</v>
      </c>
    </row>
    <row r="2571" spans="19:22" x14ac:dyDescent="0.45">
      <c r="S2571" t="s">
        <v>606</v>
      </c>
      <c r="T2571" t="s">
        <v>783</v>
      </c>
      <c r="U2571">
        <v>0.10045183512077915</v>
      </c>
      <c r="V2571" t="s">
        <v>157</v>
      </c>
    </row>
    <row r="2572" spans="19:22" x14ac:dyDescent="0.45">
      <c r="S2572" t="s">
        <v>606</v>
      </c>
      <c r="T2572" t="s">
        <v>784</v>
      </c>
      <c r="U2572">
        <v>1.8943414288125505E-2</v>
      </c>
      <c r="V2572" t="s">
        <v>157</v>
      </c>
    </row>
    <row r="2573" spans="19:22" x14ac:dyDescent="0.45">
      <c r="S2573" t="s">
        <v>606</v>
      </c>
      <c r="T2573" t="s">
        <v>785</v>
      </c>
      <c r="U2573">
        <v>0.12854560355721817</v>
      </c>
      <c r="V2573" t="s">
        <v>157</v>
      </c>
    </row>
    <row r="2574" spans="19:22" x14ac:dyDescent="0.45">
      <c r="S2574" t="s">
        <v>606</v>
      </c>
      <c r="T2574" t="s">
        <v>786</v>
      </c>
      <c r="U2574">
        <v>0.12842180581034543</v>
      </c>
      <c r="V2574" t="s">
        <v>157</v>
      </c>
    </row>
    <row r="2575" spans="19:22" x14ac:dyDescent="0.45">
      <c r="S2575" t="s">
        <v>606</v>
      </c>
      <c r="T2575" t="s">
        <v>787</v>
      </c>
      <c r="U2575">
        <v>2.2737776800531354E-2</v>
      </c>
      <c r="V2575" t="s">
        <v>157</v>
      </c>
    </row>
    <row r="2576" spans="19:22" x14ac:dyDescent="0.45">
      <c r="S2576" t="s">
        <v>606</v>
      </c>
      <c r="T2576" t="s">
        <v>788</v>
      </c>
      <c r="U2576">
        <v>0.10098233288740205</v>
      </c>
      <c r="V2576" t="s">
        <v>157</v>
      </c>
    </row>
    <row r="2577" spans="19:22" x14ac:dyDescent="0.45">
      <c r="S2577" t="s">
        <v>606</v>
      </c>
      <c r="T2577" t="s">
        <v>789</v>
      </c>
      <c r="U2577">
        <v>0.10718496142376328</v>
      </c>
      <c r="V2577" t="s">
        <v>157</v>
      </c>
    </row>
    <row r="2578" spans="19:22" x14ac:dyDescent="0.45">
      <c r="S2578" t="s">
        <v>606</v>
      </c>
      <c r="T2578" t="s">
        <v>790</v>
      </c>
      <c r="U2578">
        <v>1.9159445408753886E-2</v>
      </c>
      <c r="V2578" t="s">
        <v>157</v>
      </c>
    </row>
    <row r="2579" spans="19:22" x14ac:dyDescent="0.45">
      <c r="S2579" t="s">
        <v>607</v>
      </c>
      <c r="T2579" t="s">
        <v>779</v>
      </c>
      <c r="U2579">
        <v>0.11832946086597033</v>
      </c>
      <c r="V2579" t="s">
        <v>157</v>
      </c>
    </row>
    <row r="2580" spans="19:22" x14ac:dyDescent="0.45">
      <c r="S2580" t="s">
        <v>607</v>
      </c>
      <c r="T2580" t="s">
        <v>780</v>
      </c>
      <c r="U2580">
        <v>0.13161366875622552</v>
      </c>
      <c r="V2580" t="s">
        <v>157</v>
      </c>
    </row>
    <row r="2581" spans="19:22" x14ac:dyDescent="0.45">
      <c r="S2581" t="s">
        <v>607</v>
      </c>
      <c r="T2581" t="s">
        <v>781</v>
      </c>
      <c r="U2581">
        <v>2.3546280450796094E-2</v>
      </c>
      <c r="V2581" t="s">
        <v>157</v>
      </c>
    </row>
    <row r="2582" spans="19:22" x14ac:dyDescent="0.45">
      <c r="S2582" t="s">
        <v>607</v>
      </c>
      <c r="T2582" t="s">
        <v>782</v>
      </c>
      <c r="U2582">
        <v>9.8620441487554847E-2</v>
      </c>
      <c r="V2582" t="s">
        <v>157</v>
      </c>
    </row>
    <row r="2583" spans="19:22" x14ac:dyDescent="0.45">
      <c r="S2583" t="s">
        <v>607</v>
      </c>
      <c r="T2583" t="s">
        <v>783</v>
      </c>
      <c r="U2583">
        <v>0.1044908017110612</v>
      </c>
      <c r="V2583" t="s">
        <v>157</v>
      </c>
    </row>
    <row r="2584" spans="19:22" x14ac:dyDescent="0.45">
      <c r="S2584" t="s">
        <v>607</v>
      </c>
      <c r="T2584" t="s">
        <v>784</v>
      </c>
      <c r="U2584">
        <v>1.860394275867152E-2</v>
      </c>
      <c r="V2584" t="s">
        <v>157</v>
      </c>
    </row>
    <row r="2585" spans="19:22" x14ac:dyDescent="0.45">
      <c r="S2585" t="s">
        <v>607</v>
      </c>
      <c r="T2585" t="s">
        <v>785</v>
      </c>
      <c r="U2585">
        <v>0.12907187232009729</v>
      </c>
      <c r="V2585" t="s">
        <v>157</v>
      </c>
    </row>
    <row r="2586" spans="19:22" x14ac:dyDescent="0.45">
      <c r="S2586" t="s">
        <v>607</v>
      </c>
      <c r="T2586" t="s">
        <v>786</v>
      </c>
      <c r="U2586">
        <v>0.13058072825482106</v>
      </c>
      <c r="V2586" t="s">
        <v>157</v>
      </c>
    </row>
    <row r="2587" spans="19:22" x14ac:dyDescent="0.45">
      <c r="S2587" t="s">
        <v>607</v>
      </c>
      <c r="T2587" t="s">
        <v>787</v>
      </c>
      <c r="U2587">
        <v>2.3264446994237822E-2</v>
      </c>
      <c r="V2587" t="s">
        <v>157</v>
      </c>
    </row>
    <row r="2588" spans="19:22" x14ac:dyDescent="0.45">
      <c r="S2588" t="s">
        <v>607</v>
      </c>
      <c r="T2588" t="s">
        <v>788</v>
      </c>
      <c r="U2588">
        <v>9.6903172154011091E-2</v>
      </c>
      <c r="V2588" t="s">
        <v>157</v>
      </c>
    </row>
    <row r="2589" spans="19:22" x14ac:dyDescent="0.45">
      <c r="S2589" t="s">
        <v>607</v>
      </c>
      <c r="T2589" t="s">
        <v>789</v>
      </c>
      <c r="U2589">
        <v>0.10585609344945632</v>
      </c>
      <c r="V2589" t="s">
        <v>157</v>
      </c>
    </row>
    <row r="2590" spans="19:22" x14ac:dyDescent="0.45">
      <c r="S2590" t="s">
        <v>607</v>
      </c>
      <c r="T2590" t="s">
        <v>790</v>
      </c>
      <c r="U2590">
        <v>1.9119090797096804E-2</v>
      </c>
      <c r="V2590" t="s">
        <v>157</v>
      </c>
    </row>
    <row r="2591" spans="19:22" x14ac:dyDescent="0.45">
      <c r="S2591" t="s">
        <v>608</v>
      </c>
      <c r="T2591" t="s">
        <v>779</v>
      </c>
      <c r="U2591">
        <v>0.11977311834528018</v>
      </c>
      <c r="V2591" t="s">
        <v>157</v>
      </c>
    </row>
    <row r="2592" spans="19:22" x14ac:dyDescent="0.45">
      <c r="S2592" t="s">
        <v>608</v>
      </c>
      <c r="T2592" t="s">
        <v>780</v>
      </c>
      <c r="U2592">
        <v>0.13161857578321767</v>
      </c>
      <c r="V2592" t="s">
        <v>157</v>
      </c>
    </row>
    <row r="2593" spans="19:22" x14ac:dyDescent="0.45">
      <c r="S2593" t="s">
        <v>608</v>
      </c>
      <c r="T2593" t="s">
        <v>781</v>
      </c>
      <c r="U2593">
        <v>2.3361695060405543E-2</v>
      </c>
      <c r="V2593" t="s">
        <v>157</v>
      </c>
    </row>
    <row r="2594" spans="19:22" x14ac:dyDescent="0.45">
      <c r="S2594" t="s">
        <v>608</v>
      </c>
      <c r="T2594" t="s">
        <v>782</v>
      </c>
      <c r="U2594">
        <v>0.1002260940351531</v>
      </c>
      <c r="V2594" t="s">
        <v>157</v>
      </c>
    </row>
    <row r="2595" spans="19:22" x14ac:dyDescent="0.45">
      <c r="S2595" t="s">
        <v>608</v>
      </c>
      <c r="T2595" t="s">
        <v>783</v>
      </c>
      <c r="U2595">
        <v>0.10561402287392395</v>
      </c>
      <c r="V2595" t="s">
        <v>157</v>
      </c>
    </row>
    <row r="2596" spans="19:22" x14ac:dyDescent="0.45">
      <c r="S2596" t="s">
        <v>608</v>
      </c>
      <c r="T2596" t="s">
        <v>784</v>
      </c>
      <c r="U2596">
        <v>1.874075808272524E-2</v>
      </c>
      <c r="V2596" t="s">
        <v>157</v>
      </c>
    </row>
    <row r="2597" spans="19:22" x14ac:dyDescent="0.45">
      <c r="S2597" t="s">
        <v>608</v>
      </c>
      <c r="T2597" t="s">
        <v>785</v>
      </c>
      <c r="U2597">
        <v>0.12948288890319395</v>
      </c>
      <c r="V2597" t="s">
        <v>157</v>
      </c>
    </row>
    <row r="2598" spans="19:22" x14ac:dyDescent="0.45">
      <c r="S2598" t="s">
        <v>608</v>
      </c>
      <c r="T2598" t="s">
        <v>786</v>
      </c>
      <c r="U2598">
        <v>0.13303674552672112</v>
      </c>
      <c r="V2598" t="s">
        <v>157</v>
      </c>
    </row>
    <row r="2599" spans="19:22" x14ac:dyDescent="0.45">
      <c r="S2599" t="s">
        <v>608</v>
      </c>
      <c r="T2599" t="s">
        <v>787</v>
      </c>
      <c r="U2599">
        <v>2.375118244026991E-2</v>
      </c>
      <c r="V2599" t="s">
        <v>157</v>
      </c>
    </row>
    <row r="2600" spans="19:22" x14ac:dyDescent="0.45">
      <c r="S2600" t="s">
        <v>608</v>
      </c>
      <c r="T2600" t="s">
        <v>788</v>
      </c>
      <c r="U2600">
        <v>9.2497977551974975E-2</v>
      </c>
      <c r="V2600" t="s">
        <v>157</v>
      </c>
    </row>
    <row r="2601" spans="19:22" x14ac:dyDescent="0.45">
      <c r="S2601" t="s">
        <v>608</v>
      </c>
      <c r="T2601" t="s">
        <v>789</v>
      </c>
      <c r="U2601">
        <v>0.10335758264900745</v>
      </c>
      <c r="V2601" t="s">
        <v>157</v>
      </c>
    </row>
    <row r="2602" spans="19:22" x14ac:dyDescent="0.45">
      <c r="S2602" t="s">
        <v>608</v>
      </c>
      <c r="T2602" t="s">
        <v>790</v>
      </c>
      <c r="U2602">
        <v>1.8539358748126906E-2</v>
      </c>
      <c r="V2602" t="s">
        <v>157</v>
      </c>
    </row>
    <row r="2603" spans="19:22" x14ac:dyDescent="0.45">
      <c r="S2603" t="s">
        <v>609</v>
      </c>
      <c r="T2603" t="s">
        <v>779</v>
      </c>
      <c r="U2603">
        <v>0.1221478945736396</v>
      </c>
      <c r="V2603" t="s">
        <v>157</v>
      </c>
    </row>
    <row r="2604" spans="19:22" x14ac:dyDescent="0.45">
      <c r="S2604" t="s">
        <v>609</v>
      </c>
      <c r="T2604" t="s">
        <v>780</v>
      </c>
      <c r="U2604">
        <v>0.13214552917400979</v>
      </c>
      <c r="V2604" t="s">
        <v>157</v>
      </c>
    </row>
    <row r="2605" spans="19:22" x14ac:dyDescent="0.45">
      <c r="S2605" t="s">
        <v>609</v>
      </c>
      <c r="T2605" t="s">
        <v>781</v>
      </c>
      <c r="U2605">
        <v>2.3962216354187157E-2</v>
      </c>
      <c r="V2605" t="s">
        <v>157</v>
      </c>
    </row>
    <row r="2606" spans="19:22" x14ac:dyDescent="0.45">
      <c r="S2606" t="s">
        <v>609</v>
      </c>
      <c r="T2606" t="s">
        <v>782</v>
      </c>
      <c r="U2606">
        <v>0.10066999326982258</v>
      </c>
      <c r="V2606" t="s">
        <v>157</v>
      </c>
    </row>
    <row r="2607" spans="19:22" x14ac:dyDescent="0.45">
      <c r="S2607" t="s">
        <v>609</v>
      </c>
      <c r="T2607" t="s">
        <v>783</v>
      </c>
      <c r="U2607">
        <v>0.10702630690425888</v>
      </c>
      <c r="V2607" t="s">
        <v>157</v>
      </c>
    </row>
    <row r="2608" spans="19:22" x14ac:dyDescent="0.45">
      <c r="S2608" t="s">
        <v>609</v>
      </c>
      <c r="T2608" t="s">
        <v>784</v>
      </c>
      <c r="U2608">
        <v>1.8968895647126043E-2</v>
      </c>
      <c r="V2608" t="s">
        <v>157</v>
      </c>
    </row>
    <row r="2609" spans="19:22" x14ac:dyDescent="0.45">
      <c r="S2609" t="s">
        <v>609</v>
      </c>
      <c r="T2609" t="s">
        <v>785</v>
      </c>
      <c r="U2609">
        <v>0.12803381680788409</v>
      </c>
      <c r="V2609" t="s">
        <v>157</v>
      </c>
    </row>
    <row r="2610" spans="19:22" x14ac:dyDescent="0.45">
      <c r="S2610" t="s">
        <v>609</v>
      </c>
      <c r="T2610" t="s">
        <v>786</v>
      </c>
      <c r="U2610">
        <v>0.13560682473049965</v>
      </c>
      <c r="V2610" t="s">
        <v>157</v>
      </c>
    </row>
    <row r="2611" spans="19:22" x14ac:dyDescent="0.45">
      <c r="S2611" t="s">
        <v>609</v>
      </c>
      <c r="T2611" t="s">
        <v>787</v>
      </c>
      <c r="U2611">
        <v>2.358842408204637E-2</v>
      </c>
      <c r="V2611" t="s">
        <v>157</v>
      </c>
    </row>
    <row r="2612" spans="19:22" x14ac:dyDescent="0.45">
      <c r="S2612" t="s">
        <v>609</v>
      </c>
      <c r="T2612" t="s">
        <v>788</v>
      </c>
      <c r="U2612">
        <v>8.8220767853805532E-2</v>
      </c>
      <c r="V2612" t="s">
        <v>157</v>
      </c>
    </row>
    <row r="2613" spans="19:22" x14ac:dyDescent="0.45">
      <c r="S2613" t="s">
        <v>609</v>
      </c>
      <c r="T2613" t="s">
        <v>789</v>
      </c>
      <c r="U2613">
        <v>0.10127444265662679</v>
      </c>
      <c r="V2613" t="s">
        <v>157</v>
      </c>
    </row>
    <row r="2614" spans="19:22" x14ac:dyDescent="0.45">
      <c r="S2614" t="s">
        <v>609</v>
      </c>
      <c r="T2614" t="s">
        <v>790</v>
      </c>
      <c r="U2614">
        <v>1.8354887946093579E-2</v>
      </c>
      <c r="V2614" t="s">
        <v>157</v>
      </c>
    </row>
    <row r="2615" spans="19:22" x14ac:dyDescent="0.45">
      <c r="S2615" t="s">
        <v>610</v>
      </c>
      <c r="T2615" t="s">
        <v>779</v>
      </c>
      <c r="U2615">
        <v>0.11683711043566525</v>
      </c>
      <c r="V2615" t="s">
        <v>157</v>
      </c>
    </row>
    <row r="2616" spans="19:22" x14ac:dyDescent="0.45">
      <c r="S2616" t="s">
        <v>610</v>
      </c>
      <c r="T2616" t="s">
        <v>780</v>
      </c>
      <c r="U2616">
        <v>0.11709066361594052</v>
      </c>
      <c r="V2616" t="s">
        <v>157</v>
      </c>
    </row>
    <row r="2617" spans="19:22" x14ac:dyDescent="0.45">
      <c r="S2617" t="s">
        <v>610</v>
      </c>
      <c r="T2617" t="s">
        <v>781</v>
      </c>
      <c r="U2617">
        <v>2.0946035250021748E-2</v>
      </c>
      <c r="V2617" t="s">
        <v>157</v>
      </c>
    </row>
    <row r="2618" spans="19:22" x14ac:dyDescent="0.45">
      <c r="S2618" t="s">
        <v>610</v>
      </c>
      <c r="T2618" t="s">
        <v>782</v>
      </c>
      <c r="U2618">
        <v>0.11504410341408074</v>
      </c>
      <c r="V2618" t="s">
        <v>157</v>
      </c>
    </row>
    <row r="2619" spans="19:22" x14ac:dyDescent="0.45">
      <c r="S2619" t="s">
        <v>610</v>
      </c>
      <c r="T2619" t="s">
        <v>783</v>
      </c>
      <c r="U2619">
        <v>0.11115616575097988</v>
      </c>
      <c r="V2619" t="s">
        <v>157</v>
      </c>
    </row>
    <row r="2620" spans="19:22" x14ac:dyDescent="0.45">
      <c r="S2620" t="s">
        <v>610</v>
      </c>
      <c r="T2620" t="s">
        <v>784</v>
      </c>
      <c r="U2620">
        <v>2.0870058402618723E-2</v>
      </c>
      <c r="V2620" t="s">
        <v>157</v>
      </c>
    </row>
    <row r="2621" spans="19:22" x14ac:dyDescent="0.45">
      <c r="S2621" t="s">
        <v>610</v>
      </c>
      <c r="T2621" t="s">
        <v>785</v>
      </c>
      <c r="U2621">
        <v>0.11371189260164745</v>
      </c>
      <c r="V2621" t="s">
        <v>157</v>
      </c>
    </row>
    <row r="2622" spans="19:22" x14ac:dyDescent="0.45">
      <c r="S2622" t="s">
        <v>610</v>
      </c>
      <c r="T2622" t="s">
        <v>786</v>
      </c>
      <c r="U2622">
        <v>0.11435643010554103</v>
      </c>
      <c r="V2622" t="s">
        <v>157</v>
      </c>
    </row>
    <row r="2623" spans="19:22" x14ac:dyDescent="0.45">
      <c r="S2623" t="s">
        <v>610</v>
      </c>
      <c r="T2623" t="s">
        <v>787</v>
      </c>
      <c r="U2623">
        <v>2.0462272069571977E-2</v>
      </c>
      <c r="V2623" t="s">
        <v>157</v>
      </c>
    </row>
    <row r="2624" spans="19:22" x14ac:dyDescent="0.45">
      <c r="S2624" t="s">
        <v>610</v>
      </c>
      <c r="T2624" t="s">
        <v>788</v>
      </c>
      <c r="U2624">
        <v>0.11103651736135464</v>
      </c>
      <c r="V2624" t="s">
        <v>157</v>
      </c>
    </row>
    <row r="2625" spans="19:22" x14ac:dyDescent="0.45">
      <c r="S2625" t="s">
        <v>610</v>
      </c>
      <c r="T2625" t="s">
        <v>789</v>
      </c>
      <c r="U2625">
        <v>0.11713064691490445</v>
      </c>
      <c r="V2625" t="s">
        <v>157</v>
      </c>
    </row>
    <row r="2626" spans="19:22" x14ac:dyDescent="0.45">
      <c r="S2626" t="s">
        <v>610</v>
      </c>
      <c r="T2626" t="s">
        <v>790</v>
      </c>
      <c r="U2626">
        <v>2.1358104077673523E-2</v>
      </c>
      <c r="V2626" t="s">
        <v>157</v>
      </c>
    </row>
    <row r="2627" spans="19:22" x14ac:dyDescent="0.45">
      <c r="S2627" t="s">
        <v>611</v>
      </c>
      <c r="T2627" t="s">
        <v>779</v>
      </c>
      <c r="U2627">
        <v>0.12214671958595416</v>
      </c>
      <c r="V2627" t="s">
        <v>157</v>
      </c>
    </row>
    <row r="2628" spans="19:22" x14ac:dyDescent="0.45">
      <c r="S2628" t="s">
        <v>611</v>
      </c>
      <c r="T2628" t="s">
        <v>780</v>
      </c>
      <c r="U2628">
        <v>0.1315171304698903</v>
      </c>
      <c r="V2628" t="s">
        <v>157</v>
      </c>
    </row>
    <row r="2629" spans="19:22" x14ac:dyDescent="0.45">
      <c r="S2629" t="s">
        <v>611</v>
      </c>
      <c r="T2629" t="s">
        <v>781</v>
      </c>
      <c r="U2629">
        <v>2.4231090064773662E-2</v>
      </c>
      <c r="V2629" t="s">
        <v>157</v>
      </c>
    </row>
    <row r="2630" spans="19:22" x14ac:dyDescent="0.45">
      <c r="S2630" t="s">
        <v>611</v>
      </c>
      <c r="T2630" t="s">
        <v>782</v>
      </c>
      <c r="U2630">
        <v>9.9053722929492549E-2</v>
      </c>
      <c r="V2630" t="s">
        <v>157</v>
      </c>
    </row>
    <row r="2631" spans="19:22" x14ac:dyDescent="0.45">
      <c r="S2631" t="s">
        <v>611</v>
      </c>
      <c r="T2631" t="s">
        <v>783</v>
      </c>
      <c r="U2631">
        <v>0.10961265760239071</v>
      </c>
      <c r="V2631" t="s">
        <v>157</v>
      </c>
    </row>
    <row r="2632" spans="19:22" x14ac:dyDescent="0.45">
      <c r="S2632" t="s">
        <v>611</v>
      </c>
      <c r="T2632" t="s">
        <v>784</v>
      </c>
      <c r="U2632">
        <v>1.949840427694087E-2</v>
      </c>
      <c r="V2632" t="s">
        <v>157</v>
      </c>
    </row>
    <row r="2633" spans="19:22" x14ac:dyDescent="0.45">
      <c r="S2633" t="s">
        <v>611</v>
      </c>
      <c r="T2633" t="s">
        <v>785</v>
      </c>
      <c r="U2633">
        <v>0.12642174607223364</v>
      </c>
      <c r="V2633" t="s">
        <v>157</v>
      </c>
    </row>
    <row r="2634" spans="19:22" x14ac:dyDescent="0.45">
      <c r="S2634" t="s">
        <v>611</v>
      </c>
      <c r="T2634" t="s">
        <v>786</v>
      </c>
      <c r="U2634">
        <v>0.13639830286297325</v>
      </c>
      <c r="V2634" t="s">
        <v>157</v>
      </c>
    </row>
    <row r="2635" spans="19:22" x14ac:dyDescent="0.45">
      <c r="S2635" t="s">
        <v>611</v>
      </c>
      <c r="T2635" t="s">
        <v>787</v>
      </c>
      <c r="U2635">
        <v>2.3236718667754428E-2</v>
      </c>
      <c r="V2635" t="s">
        <v>157</v>
      </c>
    </row>
    <row r="2636" spans="19:22" x14ac:dyDescent="0.45">
      <c r="S2636" t="s">
        <v>611</v>
      </c>
      <c r="T2636" t="s">
        <v>788</v>
      </c>
      <c r="U2636">
        <v>8.6077734255956731E-2</v>
      </c>
      <c r="V2636" t="s">
        <v>157</v>
      </c>
    </row>
    <row r="2637" spans="19:22" x14ac:dyDescent="0.45">
      <c r="S2637" t="s">
        <v>611</v>
      </c>
      <c r="T2637" t="s">
        <v>789</v>
      </c>
      <c r="U2637">
        <v>0.10303961574628961</v>
      </c>
      <c r="V2637" t="s">
        <v>157</v>
      </c>
    </row>
    <row r="2638" spans="19:22" x14ac:dyDescent="0.45">
      <c r="S2638" t="s">
        <v>611</v>
      </c>
      <c r="T2638" t="s">
        <v>790</v>
      </c>
      <c r="U2638">
        <v>1.8766157465350111E-2</v>
      </c>
      <c r="V2638" t="s">
        <v>157</v>
      </c>
    </row>
    <row r="2639" spans="19:22" x14ac:dyDescent="0.45">
      <c r="S2639" t="s">
        <v>612</v>
      </c>
      <c r="T2639" t="s">
        <v>779</v>
      </c>
      <c r="U2639">
        <v>0.12343669375606105</v>
      </c>
      <c r="V2639" t="s">
        <v>157</v>
      </c>
    </row>
    <row r="2640" spans="19:22" x14ac:dyDescent="0.45">
      <c r="S2640" t="s">
        <v>612</v>
      </c>
      <c r="T2640" t="s">
        <v>780</v>
      </c>
      <c r="U2640">
        <v>0.12926856060865188</v>
      </c>
      <c r="V2640" t="s">
        <v>157</v>
      </c>
    </row>
    <row r="2641" spans="19:22" x14ac:dyDescent="0.45">
      <c r="S2641" t="s">
        <v>612</v>
      </c>
      <c r="T2641" t="s">
        <v>781</v>
      </c>
      <c r="U2641">
        <v>2.3984519957350035E-2</v>
      </c>
      <c r="V2641" t="s">
        <v>157</v>
      </c>
    </row>
    <row r="2642" spans="19:22" x14ac:dyDescent="0.45">
      <c r="S2642" t="s">
        <v>612</v>
      </c>
      <c r="T2642" t="s">
        <v>782</v>
      </c>
      <c r="U2642">
        <v>9.7469523592413274E-2</v>
      </c>
      <c r="V2642" t="s">
        <v>157</v>
      </c>
    </row>
    <row r="2643" spans="19:22" x14ac:dyDescent="0.45">
      <c r="S2643" t="s">
        <v>612</v>
      </c>
      <c r="T2643" t="s">
        <v>783</v>
      </c>
      <c r="U2643">
        <v>0.1087099373829038</v>
      </c>
      <c r="V2643" t="s">
        <v>157</v>
      </c>
    </row>
    <row r="2644" spans="19:22" x14ac:dyDescent="0.45">
      <c r="S2644" t="s">
        <v>612</v>
      </c>
      <c r="T2644" t="s">
        <v>784</v>
      </c>
      <c r="U2644">
        <v>2.0103037551679963E-2</v>
      </c>
      <c r="V2644" t="s">
        <v>157</v>
      </c>
    </row>
    <row r="2645" spans="19:22" x14ac:dyDescent="0.45">
      <c r="S2645" t="s">
        <v>612</v>
      </c>
      <c r="T2645" t="s">
        <v>785</v>
      </c>
      <c r="U2645">
        <v>0.12625456759421164</v>
      </c>
      <c r="V2645" t="s">
        <v>157</v>
      </c>
    </row>
    <row r="2646" spans="19:22" x14ac:dyDescent="0.45">
      <c r="S2646" t="s">
        <v>612</v>
      </c>
      <c r="T2646" t="s">
        <v>786</v>
      </c>
      <c r="U2646">
        <v>0.1357842777436592</v>
      </c>
      <c r="V2646" t="s">
        <v>157</v>
      </c>
    </row>
    <row r="2647" spans="19:22" x14ac:dyDescent="0.45">
      <c r="S2647" t="s">
        <v>612</v>
      </c>
      <c r="T2647" t="s">
        <v>787</v>
      </c>
      <c r="U2647">
        <v>2.3026993726133455E-2</v>
      </c>
      <c r="V2647" t="s">
        <v>157</v>
      </c>
    </row>
    <row r="2648" spans="19:22" x14ac:dyDescent="0.45">
      <c r="S2648" t="s">
        <v>612</v>
      </c>
      <c r="T2648" t="s">
        <v>788</v>
      </c>
      <c r="U2648">
        <v>8.7672887728333371E-2</v>
      </c>
      <c r="V2648" t="s">
        <v>157</v>
      </c>
    </row>
    <row r="2649" spans="19:22" x14ac:dyDescent="0.45">
      <c r="S2649" t="s">
        <v>612</v>
      </c>
      <c r="T2649" t="s">
        <v>789</v>
      </c>
      <c r="U2649">
        <v>0.10441186115010336</v>
      </c>
      <c r="V2649" t="s">
        <v>157</v>
      </c>
    </row>
    <row r="2650" spans="19:22" x14ac:dyDescent="0.45">
      <c r="S2650" t="s">
        <v>612</v>
      </c>
      <c r="T2650" t="s">
        <v>790</v>
      </c>
      <c r="U2650">
        <v>1.9877139208499008E-2</v>
      </c>
      <c r="V2650" t="s">
        <v>157</v>
      </c>
    </row>
    <row r="2651" spans="19:22" x14ac:dyDescent="0.45">
      <c r="S2651" t="s">
        <v>613</v>
      </c>
      <c r="T2651" t="s">
        <v>779</v>
      </c>
      <c r="U2651">
        <v>0.12686435638965463</v>
      </c>
      <c r="V2651" t="s">
        <v>157</v>
      </c>
    </row>
    <row r="2652" spans="19:22" x14ac:dyDescent="0.45">
      <c r="S2652" t="s">
        <v>613</v>
      </c>
      <c r="T2652" t="s">
        <v>780</v>
      </c>
      <c r="U2652">
        <v>0.12669135400123402</v>
      </c>
      <c r="V2652" t="s">
        <v>157</v>
      </c>
    </row>
    <row r="2653" spans="19:22" x14ac:dyDescent="0.45">
      <c r="S2653" t="s">
        <v>613</v>
      </c>
      <c r="T2653" t="s">
        <v>781</v>
      </c>
      <c r="U2653">
        <v>2.3665662279701669E-2</v>
      </c>
      <c r="V2653" t="s">
        <v>157</v>
      </c>
    </row>
    <row r="2654" spans="19:22" x14ac:dyDescent="0.45">
      <c r="S2654" t="s">
        <v>613</v>
      </c>
      <c r="T2654" t="s">
        <v>782</v>
      </c>
      <c r="U2654">
        <v>9.853382670276975E-2</v>
      </c>
      <c r="V2654" t="s">
        <v>157</v>
      </c>
    </row>
    <row r="2655" spans="19:22" x14ac:dyDescent="0.45">
      <c r="S2655" t="s">
        <v>613</v>
      </c>
      <c r="T2655" t="s">
        <v>783</v>
      </c>
      <c r="U2655">
        <v>0.10382994325838077</v>
      </c>
      <c r="V2655" t="s">
        <v>157</v>
      </c>
    </row>
    <row r="2656" spans="19:22" x14ac:dyDescent="0.45">
      <c r="S2656" t="s">
        <v>613</v>
      </c>
      <c r="T2656" t="s">
        <v>784</v>
      </c>
      <c r="U2656">
        <v>2.0323293964696496E-2</v>
      </c>
      <c r="V2656" t="s">
        <v>157</v>
      </c>
    </row>
    <row r="2657" spans="19:22" x14ac:dyDescent="0.45">
      <c r="S2657" t="s">
        <v>613</v>
      </c>
      <c r="T2657" t="s">
        <v>785</v>
      </c>
      <c r="U2657">
        <v>0.12691679020261248</v>
      </c>
      <c r="V2657" t="s">
        <v>157</v>
      </c>
    </row>
    <row r="2658" spans="19:22" x14ac:dyDescent="0.45">
      <c r="S2658" t="s">
        <v>613</v>
      </c>
      <c r="T2658" t="s">
        <v>786</v>
      </c>
      <c r="U2658">
        <v>0.13482882912207034</v>
      </c>
      <c r="V2658" t="s">
        <v>157</v>
      </c>
    </row>
    <row r="2659" spans="19:22" x14ac:dyDescent="0.45">
      <c r="S2659" t="s">
        <v>613</v>
      </c>
      <c r="T2659" t="s">
        <v>787</v>
      </c>
      <c r="U2659">
        <v>2.3176189403058323E-2</v>
      </c>
      <c r="V2659" t="s">
        <v>157</v>
      </c>
    </row>
    <row r="2660" spans="19:22" x14ac:dyDescent="0.45">
      <c r="S2660" t="s">
        <v>613</v>
      </c>
      <c r="T2660" t="s">
        <v>788</v>
      </c>
      <c r="U2660">
        <v>9.3212706373183046E-2</v>
      </c>
      <c r="V2660" t="s">
        <v>157</v>
      </c>
    </row>
    <row r="2661" spans="19:22" x14ac:dyDescent="0.45">
      <c r="S2661" t="s">
        <v>613</v>
      </c>
      <c r="T2661" t="s">
        <v>789</v>
      </c>
      <c r="U2661">
        <v>0.10097670397139413</v>
      </c>
      <c r="V2661" t="s">
        <v>157</v>
      </c>
    </row>
    <row r="2662" spans="19:22" x14ac:dyDescent="0.45">
      <c r="S2662" t="s">
        <v>613</v>
      </c>
      <c r="T2662" t="s">
        <v>790</v>
      </c>
      <c r="U2662">
        <v>2.0980344331244388E-2</v>
      </c>
      <c r="V2662" t="s">
        <v>157</v>
      </c>
    </row>
    <row r="2663" spans="19:22" x14ac:dyDescent="0.45">
      <c r="S2663" t="s">
        <v>614</v>
      </c>
      <c r="T2663" t="s">
        <v>779</v>
      </c>
      <c r="U2663">
        <v>0.13569435113719602</v>
      </c>
      <c r="V2663" t="s">
        <v>157</v>
      </c>
    </row>
    <row r="2664" spans="19:22" x14ac:dyDescent="0.45">
      <c r="S2664" t="s">
        <v>614</v>
      </c>
      <c r="T2664" t="s">
        <v>780</v>
      </c>
      <c r="U2664">
        <v>0.12248908890641133</v>
      </c>
      <c r="V2664" t="s">
        <v>157</v>
      </c>
    </row>
    <row r="2665" spans="19:22" x14ac:dyDescent="0.45">
      <c r="S2665" t="s">
        <v>614</v>
      </c>
      <c r="T2665" t="s">
        <v>781</v>
      </c>
      <c r="U2665">
        <v>2.3381959824801093E-2</v>
      </c>
      <c r="V2665" t="s">
        <v>157</v>
      </c>
    </row>
    <row r="2666" spans="19:22" x14ac:dyDescent="0.45">
      <c r="S2666" t="s">
        <v>614</v>
      </c>
      <c r="T2666" t="s">
        <v>782</v>
      </c>
      <c r="U2666">
        <v>0.10265799406062501</v>
      </c>
      <c r="V2666" t="s">
        <v>157</v>
      </c>
    </row>
    <row r="2667" spans="19:22" x14ac:dyDescent="0.45">
      <c r="S2667" t="s">
        <v>614</v>
      </c>
      <c r="T2667" t="s">
        <v>783</v>
      </c>
      <c r="U2667">
        <v>9.7492348257497238E-2</v>
      </c>
      <c r="V2667" t="s">
        <v>157</v>
      </c>
    </row>
    <row r="2668" spans="19:22" x14ac:dyDescent="0.45">
      <c r="S2668" t="s">
        <v>614</v>
      </c>
      <c r="T2668" t="s">
        <v>784</v>
      </c>
      <c r="U2668">
        <v>1.9956443134579789E-2</v>
      </c>
      <c r="V2668" t="s">
        <v>157</v>
      </c>
    </row>
    <row r="2669" spans="19:22" x14ac:dyDescent="0.45">
      <c r="S2669" t="s">
        <v>614</v>
      </c>
      <c r="T2669" t="s">
        <v>785</v>
      </c>
      <c r="U2669">
        <v>0.13077655687716805</v>
      </c>
      <c r="V2669" t="s">
        <v>157</v>
      </c>
    </row>
    <row r="2670" spans="19:22" x14ac:dyDescent="0.45">
      <c r="S2670" t="s">
        <v>614</v>
      </c>
      <c r="T2670" t="s">
        <v>786</v>
      </c>
      <c r="U2670">
        <v>0.1316605475293102</v>
      </c>
      <c r="V2670" t="s">
        <v>157</v>
      </c>
    </row>
    <row r="2671" spans="19:22" x14ac:dyDescent="0.45">
      <c r="S2671" t="s">
        <v>614</v>
      </c>
      <c r="T2671" t="s">
        <v>787</v>
      </c>
      <c r="U2671">
        <v>2.3203248093501001E-2</v>
      </c>
      <c r="V2671" t="s">
        <v>157</v>
      </c>
    </row>
    <row r="2672" spans="19:22" x14ac:dyDescent="0.45">
      <c r="S2672" t="s">
        <v>614</v>
      </c>
      <c r="T2672" t="s">
        <v>788</v>
      </c>
      <c r="U2672">
        <v>9.9398930305379191E-2</v>
      </c>
      <c r="V2672" t="s">
        <v>157</v>
      </c>
    </row>
    <row r="2673" spans="19:22" x14ac:dyDescent="0.45">
      <c r="S2673" t="s">
        <v>614</v>
      </c>
      <c r="T2673" t="s">
        <v>789</v>
      </c>
      <c r="U2673">
        <v>9.2226887526992388E-2</v>
      </c>
      <c r="V2673" t="s">
        <v>157</v>
      </c>
    </row>
    <row r="2674" spans="19:22" x14ac:dyDescent="0.45">
      <c r="S2674" t="s">
        <v>614</v>
      </c>
      <c r="T2674" t="s">
        <v>790</v>
      </c>
      <c r="U2674">
        <v>2.106164434653875E-2</v>
      </c>
      <c r="V2674" t="s">
        <v>157</v>
      </c>
    </row>
    <row r="2675" spans="19:22" x14ac:dyDescent="0.45">
      <c r="S2675" t="s">
        <v>615</v>
      </c>
      <c r="T2675" t="s">
        <v>779</v>
      </c>
      <c r="U2675">
        <v>0.14178585513322353</v>
      </c>
      <c r="V2675" t="s">
        <v>157</v>
      </c>
    </row>
    <row r="2676" spans="19:22" x14ac:dyDescent="0.45">
      <c r="S2676" t="s">
        <v>615</v>
      </c>
      <c r="T2676" t="s">
        <v>780</v>
      </c>
      <c r="U2676">
        <v>0.11733210010985363</v>
      </c>
      <c r="V2676" t="s">
        <v>157</v>
      </c>
    </row>
    <row r="2677" spans="19:22" x14ac:dyDescent="0.45">
      <c r="S2677" t="s">
        <v>615</v>
      </c>
      <c r="T2677" t="s">
        <v>781</v>
      </c>
      <c r="U2677">
        <v>2.3295324293422449E-2</v>
      </c>
      <c r="V2677" t="s">
        <v>157</v>
      </c>
    </row>
    <row r="2678" spans="19:22" x14ac:dyDescent="0.45">
      <c r="S2678" t="s">
        <v>615</v>
      </c>
      <c r="T2678" t="s">
        <v>782</v>
      </c>
      <c r="U2678">
        <v>0.10583139045575052</v>
      </c>
      <c r="V2678" t="s">
        <v>157</v>
      </c>
    </row>
    <row r="2679" spans="19:22" x14ac:dyDescent="0.45">
      <c r="S2679" t="s">
        <v>615</v>
      </c>
      <c r="T2679" t="s">
        <v>783</v>
      </c>
      <c r="U2679">
        <v>9.3288843647484021E-2</v>
      </c>
      <c r="V2679" t="s">
        <v>157</v>
      </c>
    </row>
    <row r="2680" spans="19:22" x14ac:dyDescent="0.45">
      <c r="S2680" t="s">
        <v>615</v>
      </c>
      <c r="T2680" t="s">
        <v>784</v>
      </c>
      <c r="U2680">
        <v>1.9081644292780781E-2</v>
      </c>
      <c r="V2680" t="s">
        <v>157</v>
      </c>
    </row>
    <row r="2681" spans="19:22" x14ac:dyDescent="0.45">
      <c r="S2681" t="s">
        <v>615</v>
      </c>
      <c r="T2681" t="s">
        <v>785</v>
      </c>
      <c r="U2681">
        <v>0.13117857847536674</v>
      </c>
      <c r="V2681" t="s">
        <v>157</v>
      </c>
    </row>
    <row r="2682" spans="19:22" x14ac:dyDescent="0.45">
      <c r="S2682" t="s">
        <v>615</v>
      </c>
      <c r="T2682" t="s">
        <v>786</v>
      </c>
      <c r="U2682">
        <v>0.12593122018068478</v>
      </c>
      <c r="V2682" t="s">
        <v>157</v>
      </c>
    </row>
    <row r="2683" spans="19:22" x14ac:dyDescent="0.45">
      <c r="S2683" t="s">
        <v>615</v>
      </c>
      <c r="T2683" t="s">
        <v>787</v>
      </c>
      <c r="U2683">
        <v>2.2974475766210492E-2</v>
      </c>
      <c r="V2683" t="s">
        <v>157</v>
      </c>
    </row>
    <row r="2684" spans="19:22" x14ac:dyDescent="0.45">
      <c r="S2684" t="s">
        <v>615</v>
      </c>
      <c r="T2684" t="s">
        <v>788</v>
      </c>
      <c r="U2684">
        <v>0.10748392503087614</v>
      </c>
      <c r="V2684" t="s">
        <v>157</v>
      </c>
    </row>
    <row r="2685" spans="19:22" x14ac:dyDescent="0.45">
      <c r="S2685" t="s">
        <v>615</v>
      </c>
      <c r="T2685" t="s">
        <v>789</v>
      </c>
      <c r="U2685">
        <v>9.0587669591820241E-2</v>
      </c>
      <c r="V2685" t="s">
        <v>157</v>
      </c>
    </row>
    <row r="2686" spans="19:22" x14ac:dyDescent="0.45">
      <c r="S2686" t="s">
        <v>615</v>
      </c>
      <c r="T2686" t="s">
        <v>790</v>
      </c>
      <c r="U2686">
        <v>2.1228973022526618E-2</v>
      </c>
      <c r="V2686" t="s">
        <v>157</v>
      </c>
    </row>
    <row r="2687" spans="19:22" x14ac:dyDescent="0.45">
      <c r="S2687" t="s">
        <v>616</v>
      </c>
      <c r="T2687" t="s">
        <v>779</v>
      </c>
      <c r="U2687">
        <v>0.13435664845525697</v>
      </c>
      <c r="V2687" t="s">
        <v>157</v>
      </c>
    </row>
    <row r="2688" spans="19:22" x14ac:dyDescent="0.45">
      <c r="S2688" t="s">
        <v>616</v>
      </c>
      <c r="T2688" t="s">
        <v>780</v>
      </c>
      <c r="U2688">
        <v>0.11628371869896292</v>
      </c>
      <c r="V2688" t="s">
        <v>157</v>
      </c>
    </row>
    <row r="2689" spans="19:22" x14ac:dyDescent="0.45">
      <c r="S2689" t="s">
        <v>616</v>
      </c>
      <c r="T2689" t="s">
        <v>781</v>
      </c>
      <c r="U2689">
        <v>2.3362172405162342E-2</v>
      </c>
      <c r="V2689" t="s">
        <v>157</v>
      </c>
    </row>
    <row r="2690" spans="19:22" x14ac:dyDescent="0.45">
      <c r="S2690" t="s">
        <v>616</v>
      </c>
      <c r="T2690" t="s">
        <v>782</v>
      </c>
      <c r="U2690">
        <v>0.1054063347609404</v>
      </c>
      <c r="V2690" t="s">
        <v>157</v>
      </c>
    </row>
    <row r="2691" spans="19:22" x14ac:dyDescent="0.45">
      <c r="S2691" t="s">
        <v>616</v>
      </c>
      <c r="T2691" t="s">
        <v>783</v>
      </c>
      <c r="U2691">
        <v>9.7456899761859492E-2</v>
      </c>
      <c r="V2691" t="s">
        <v>157</v>
      </c>
    </row>
    <row r="2692" spans="19:22" x14ac:dyDescent="0.45">
      <c r="S2692" t="s">
        <v>616</v>
      </c>
      <c r="T2692" t="s">
        <v>784</v>
      </c>
      <c r="U2692">
        <v>1.8990127653168154E-2</v>
      </c>
      <c r="V2692" t="s">
        <v>157</v>
      </c>
    </row>
    <row r="2693" spans="19:22" x14ac:dyDescent="0.45">
      <c r="S2693" t="s">
        <v>616</v>
      </c>
      <c r="T2693" t="s">
        <v>785</v>
      </c>
      <c r="U2693">
        <v>0.1247935039249424</v>
      </c>
      <c r="V2693" t="s">
        <v>157</v>
      </c>
    </row>
    <row r="2694" spans="19:22" x14ac:dyDescent="0.45">
      <c r="S2694" t="s">
        <v>616</v>
      </c>
      <c r="T2694" t="s">
        <v>786</v>
      </c>
      <c r="U2694">
        <v>0.12307649385866383</v>
      </c>
      <c r="V2694" t="s">
        <v>157</v>
      </c>
    </row>
    <row r="2695" spans="19:22" x14ac:dyDescent="0.45">
      <c r="S2695" t="s">
        <v>616</v>
      </c>
      <c r="T2695" t="s">
        <v>787</v>
      </c>
      <c r="U2695">
        <v>2.2910994381278575E-2</v>
      </c>
      <c r="V2695" t="s">
        <v>157</v>
      </c>
    </row>
    <row r="2696" spans="19:22" x14ac:dyDescent="0.45">
      <c r="S2696" t="s">
        <v>616</v>
      </c>
      <c r="T2696" t="s">
        <v>788</v>
      </c>
      <c r="U2696">
        <v>0.1106562180454394</v>
      </c>
      <c r="V2696" t="s">
        <v>157</v>
      </c>
    </row>
    <row r="2697" spans="19:22" x14ac:dyDescent="0.45">
      <c r="S2697" t="s">
        <v>616</v>
      </c>
      <c r="T2697" t="s">
        <v>789</v>
      </c>
      <c r="U2697">
        <v>0.10108605281388974</v>
      </c>
      <c r="V2697" t="s">
        <v>157</v>
      </c>
    </row>
    <row r="2698" spans="19:22" x14ac:dyDescent="0.45">
      <c r="S2698" t="s">
        <v>616</v>
      </c>
      <c r="T2698" t="s">
        <v>790</v>
      </c>
      <c r="U2698">
        <v>2.1620835240435853E-2</v>
      </c>
      <c r="V2698" t="s">
        <v>157</v>
      </c>
    </row>
    <row r="2699" spans="19:22" x14ac:dyDescent="0.45">
      <c r="S2699" t="s">
        <v>617</v>
      </c>
      <c r="T2699" t="s">
        <v>779</v>
      </c>
      <c r="U2699">
        <v>0.12435885507279516</v>
      </c>
      <c r="V2699" t="s">
        <v>157</v>
      </c>
    </row>
    <row r="2700" spans="19:22" x14ac:dyDescent="0.45">
      <c r="S2700" t="s">
        <v>617</v>
      </c>
      <c r="T2700" t="s">
        <v>780</v>
      </c>
      <c r="U2700">
        <v>0.1178946211066947</v>
      </c>
      <c r="V2700" t="s">
        <v>157</v>
      </c>
    </row>
    <row r="2701" spans="19:22" x14ac:dyDescent="0.45">
      <c r="S2701" t="s">
        <v>617</v>
      </c>
      <c r="T2701" t="s">
        <v>781</v>
      </c>
      <c r="U2701">
        <v>2.3170188528713234E-2</v>
      </c>
      <c r="V2701" t="s">
        <v>157</v>
      </c>
    </row>
    <row r="2702" spans="19:22" x14ac:dyDescent="0.45">
      <c r="S2702" t="s">
        <v>617</v>
      </c>
      <c r="T2702" t="s">
        <v>782</v>
      </c>
      <c r="U2702">
        <v>0.10630704913234913</v>
      </c>
      <c r="V2702" t="s">
        <v>157</v>
      </c>
    </row>
    <row r="2703" spans="19:22" x14ac:dyDescent="0.45">
      <c r="S2703" t="s">
        <v>617</v>
      </c>
      <c r="T2703" t="s">
        <v>783</v>
      </c>
      <c r="U2703">
        <v>0.10522591362939364</v>
      </c>
      <c r="V2703" t="s">
        <v>157</v>
      </c>
    </row>
    <row r="2704" spans="19:22" x14ac:dyDescent="0.45">
      <c r="S2704" t="s">
        <v>617</v>
      </c>
      <c r="T2704" t="s">
        <v>784</v>
      </c>
      <c r="U2704">
        <v>1.9745847928529257E-2</v>
      </c>
      <c r="V2704" t="s">
        <v>157</v>
      </c>
    </row>
    <row r="2705" spans="19:22" x14ac:dyDescent="0.45">
      <c r="S2705" t="s">
        <v>617</v>
      </c>
      <c r="T2705" t="s">
        <v>785</v>
      </c>
      <c r="U2705">
        <v>0.12088953649466518</v>
      </c>
      <c r="V2705" t="s">
        <v>157</v>
      </c>
    </row>
    <row r="2706" spans="19:22" x14ac:dyDescent="0.45">
      <c r="S2706" t="s">
        <v>617</v>
      </c>
      <c r="T2706" t="s">
        <v>786</v>
      </c>
      <c r="U2706">
        <v>0.12354896889229512</v>
      </c>
      <c r="V2706" t="s">
        <v>157</v>
      </c>
    </row>
    <row r="2707" spans="19:22" x14ac:dyDescent="0.45">
      <c r="S2707" t="s">
        <v>617</v>
      </c>
      <c r="T2707" t="s">
        <v>787</v>
      </c>
      <c r="U2707">
        <v>2.2990100143959819E-2</v>
      </c>
      <c r="V2707" t="s">
        <v>157</v>
      </c>
    </row>
    <row r="2708" spans="19:22" x14ac:dyDescent="0.45">
      <c r="S2708" t="s">
        <v>617</v>
      </c>
      <c r="T2708" t="s">
        <v>788</v>
      </c>
      <c r="U2708">
        <v>0.10718321739137179</v>
      </c>
      <c r="V2708" t="s">
        <v>157</v>
      </c>
    </row>
    <row r="2709" spans="19:22" x14ac:dyDescent="0.45">
      <c r="S2709" t="s">
        <v>617</v>
      </c>
      <c r="T2709" t="s">
        <v>789</v>
      </c>
      <c r="U2709">
        <v>0.10780110962175776</v>
      </c>
      <c r="V2709" t="s">
        <v>157</v>
      </c>
    </row>
    <row r="2710" spans="19:22" x14ac:dyDescent="0.45">
      <c r="S2710" t="s">
        <v>617</v>
      </c>
      <c r="T2710" t="s">
        <v>790</v>
      </c>
      <c r="U2710">
        <v>2.0884592057475213E-2</v>
      </c>
      <c r="V2710" t="s">
        <v>157</v>
      </c>
    </row>
    <row r="2711" spans="19:22" x14ac:dyDescent="0.45">
      <c r="S2711" t="s">
        <v>618</v>
      </c>
      <c r="T2711" t="s">
        <v>779</v>
      </c>
      <c r="U2711">
        <v>9.8526411392895419E-2</v>
      </c>
      <c r="V2711" t="s">
        <v>157</v>
      </c>
    </row>
    <row r="2712" spans="19:22" x14ac:dyDescent="0.45">
      <c r="S2712" t="s">
        <v>618</v>
      </c>
      <c r="T2712" t="s">
        <v>780</v>
      </c>
      <c r="U2712">
        <v>0.11978987902414895</v>
      </c>
      <c r="V2712" t="s">
        <v>157</v>
      </c>
    </row>
    <row r="2713" spans="19:22" x14ac:dyDescent="0.45">
      <c r="S2713" t="s">
        <v>618</v>
      </c>
      <c r="T2713" t="s">
        <v>781</v>
      </c>
      <c r="U2713">
        <v>1.9622753454442962E-2</v>
      </c>
      <c r="V2713" t="s">
        <v>157</v>
      </c>
    </row>
    <row r="2714" spans="19:22" x14ac:dyDescent="0.45">
      <c r="S2714" t="s">
        <v>618</v>
      </c>
      <c r="T2714" t="s">
        <v>782</v>
      </c>
      <c r="U2714">
        <v>0.11009650434596872</v>
      </c>
      <c r="V2714" t="s">
        <v>157</v>
      </c>
    </row>
    <row r="2715" spans="19:22" x14ac:dyDescent="0.45">
      <c r="S2715" t="s">
        <v>618</v>
      </c>
      <c r="T2715" t="s">
        <v>783</v>
      </c>
      <c r="U2715">
        <v>0.11392704582129544</v>
      </c>
      <c r="V2715" t="s">
        <v>157</v>
      </c>
    </row>
    <row r="2716" spans="19:22" x14ac:dyDescent="0.45">
      <c r="S2716" t="s">
        <v>618</v>
      </c>
      <c r="T2716" t="s">
        <v>784</v>
      </c>
      <c r="U2716">
        <v>1.9720265770553455E-2</v>
      </c>
      <c r="V2716" t="s">
        <v>157</v>
      </c>
    </row>
    <row r="2717" spans="19:22" x14ac:dyDescent="0.45">
      <c r="S2717" t="s">
        <v>618</v>
      </c>
      <c r="T2717" t="s">
        <v>785</v>
      </c>
      <c r="U2717">
        <v>0.12546201799715789</v>
      </c>
      <c r="V2717" t="s">
        <v>157</v>
      </c>
    </row>
    <row r="2718" spans="19:22" x14ac:dyDescent="0.45">
      <c r="S2718" t="s">
        <v>618</v>
      </c>
      <c r="T2718" t="s">
        <v>786</v>
      </c>
      <c r="U2718">
        <v>0.12597523256995136</v>
      </c>
      <c r="V2718" t="s">
        <v>157</v>
      </c>
    </row>
    <row r="2719" spans="19:22" x14ac:dyDescent="0.45">
      <c r="S2719" t="s">
        <v>618</v>
      </c>
      <c r="T2719" t="s">
        <v>787</v>
      </c>
      <c r="U2719">
        <v>2.3365691940475396E-2</v>
      </c>
      <c r="V2719" t="s">
        <v>157</v>
      </c>
    </row>
    <row r="2720" spans="19:22" x14ac:dyDescent="0.45">
      <c r="S2720" t="s">
        <v>618</v>
      </c>
      <c r="T2720" t="s">
        <v>788</v>
      </c>
      <c r="U2720">
        <v>0.11121149979176086</v>
      </c>
      <c r="V2720" t="s">
        <v>157</v>
      </c>
    </row>
    <row r="2721" spans="19:22" x14ac:dyDescent="0.45">
      <c r="S2721" t="s">
        <v>618</v>
      </c>
      <c r="T2721" t="s">
        <v>789</v>
      </c>
      <c r="U2721">
        <v>0.11146274130751108</v>
      </c>
      <c r="V2721" t="s">
        <v>157</v>
      </c>
    </row>
    <row r="2722" spans="19:22" x14ac:dyDescent="0.45">
      <c r="S2722" t="s">
        <v>618</v>
      </c>
      <c r="T2722" t="s">
        <v>790</v>
      </c>
      <c r="U2722">
        <v>2.0839956583838585E-2</v>
      </c>
      <c r="V2722" t="s">
        <v>157</v>
      </c>
    </row>
    <row r="2723" spans="19:22" x14ac:dyDescent="0.45">
      <c r="S2723" t="s">
        <v>619</v>
      </c>
      <c r="T2723" t="s">
        <v>779</v>
      </c>
      <c r="U2723">
        <v>9.6787126306955198E-2</v>
      </c>
      <c r="V2723" t="s">
        <v>157</v>
      </c>
    </row>
    <row r="2724" spans="19:22" x14ac:dyDescent="0.45">
      <c r="S2724" t="s">
        <v>619</v>
      </c>
      <c r="T2724" t="s">
        <v>780</v>
      </c>
      <c r="U2724">
        <v>0.12279977225465492</v>
      </c>
      <c r="V2724" t="s">
        <v>157</v>
      </c>
    </row>
    <row r="2725" spans="19:22" x14ac:dyDescent="0.45">
      <c r="S2725" t="s">
        <v>619</v>
      </c>
      <c r="T2725" t="s">
        <v>781</v>
      </c>
      <c r="U2725">
        <v>2.0194246169061944E-2</v>
      </c>
      <c r="V2725" t="s">
        <v>157</v>
      </c>
    </row>
    <row r="2726" spans="19:22" x14ac:dyDescent="0.45">
      <c r="S2726" t="s">
        <v>619</v>
      </c>
      <c r="T2726" t="s">
        <v>782</v>
      </c>
      <c r="U2726">
        <v>0.10390859097723155</v>
      </c>
      <c r="V2726" t="s">
        <v>157</v>
      </c>
    </row>
    <row r="2727" spans="19:22" x14ac:dyDescent="0.45">
      <c r="S2727" t="s">
        <v>619</v>
      </c>
      <c r="T2727" t="s">
        <v>783</v>
      </c>
      <c r="U2727">
        <v>0.1123430229378253</v>
      </c>
      <c r="V2727" t="s">
        <v>157</v>
      </c>
    </row>
    <row r="2728" spans="19:22" x14ac:dyDescent="0.45">
      <c r="S2728" t="s">
        <v>619</v>
      </c>
      <c r="T2728" t="s">
        <v>784</v>
      </c>
      <c r="U2728">
        <v>1.8942741064421061E-2</v>
      </c>
      <c r="V2728" t="s">
        <v>157</v>
      </c>
    </row>
    <row r="2729" spans="19:22" x14ac:dyDescent="0.45">
      <c r="S2729" t="s">
        <v>619</v>
      </c>
      <c r="T2729" t="s">
        <v>785</v>
      </c>
      <c r="U2729">
        <v>0.12643926485163506</v>
      </c>
      <c r="V2729" t="s">
        <v>157</v>
      </c>
    </row>
    <row r="2730" spans="19:22" x14ac:dyDescent="0.45">
      <c r="S2730" t="s">
        <v>619</v>
      </c>
      <c r="T2730" t="s">
        <v>786</v>
      </c>
      <c r="U2730">
        <v>0.12753850674800871</v>
      </c>
      <c r="V2730" t="s">
        <v>157</v>
      </c>
    </row>
    <row r="2731" spans="19:22" x14ac:dyDescent="0.45">
      <c r="S2731" t="s">
        <v>619</v>
      </c>
      <c r="T2731" t="s">
        <v>787</v>
      </c>
      <c r="U2731">
        <v>2.3468126821597421E-2</v>
      </c>
      <c r="V2731" t="s">
        <v>157</v>
      </c>
    </row>
    <row r="2732" spans="19:22" x14ac:dyDescent="0.45">
      <c r="S2732" t="s">
        <v>619</v>
      </c>
      <c r="T2732" t="s">
        <v>788</v>
      </c>
      <c r="U2732">
        <v>0.11183629357261027</v>
      </c>
      <c r="V2732" t="s">
        <v>157</v>
      </c>
    </row>
    <row r="2733" spans="19:22" x14ac:dyDescent="0.45">
      <c r="S2733" t="s">
        <v>619</v>
      </c>
      <c r="T2733" t="s">
        <v>789</v>
      </c>
      <c r="U2733">
        <v>0.11448399117365848</v>
      </c>
      <c r="V2733" t="s">
        <v>157</v>
      </c>
    </row>
    <row r="2734" spans="19:22" x14ac:dyDescent="0.45">
      <c r="S2734" t="s">
        <v>619</v>
      </c>
      <c r="T2734" t="s">
        <v>790</v>
      </c>
      <c r="U2734">
        <v>2.1258317122340088E-2</v>
      </c>
      <c r="V2734" t="s">
        <v>157</v>
      </c>
    </row>
    <row r="2735" spans="19:22" x14ac:dyDescent="0.45">
      <c r="S2735" t="s">
        <v>620</v>
      </c>
      <c r="T2735" t="s">
        <v>779</v>
      </c>
      <c r="U2735">
        <v>9.8368263606034054E-2</v>
      </c>
      <c r="V2735" t="s">
        <v>157</v>
      </c>
    </row>
    <row r="2736" spans="19:22" x14ac:dyDescent="0.45">
      <c r="S2736" t="s">
        <v>620</v>
      </c>
      <c r="T2736" t="s">
        <v>780</v>
      </c>
      <c r="U2736">
        <v>0.12548722687386929</v>
      </c>
      <c r="V2736" t="s">
        <v>157</v>
      </c>
    </row>
    <row r="2737" spans="19:22" x14ac:dyDescent="0.45">
      <c r="S2737" t="s">
        <v>620</v>
      </c>
      <c r="T2737" t="s">
        <v>781</v>
      </c>
      <c r="U2737">
        <v>2.0667282190939804E-2</v>
      </c>
      <c r="V2737" t="s">
        <v>157</v>
      </c>
    </row>
    <row r="2738" spans="19:22" x14ac:dyDescent="0.45">
      <c r="S2738" t="s">
        <v>620</v>
      </c>
      <c r="T2738" t="s">
        <v>782</v>
      </c>
      <c r="U2738">
        <v>9.9742412245305015E-2</v>
      </c>
      <c r="V2738" t="s">
        <v>157</v>
      </c>
    </row>
    <row r="2739" spans="19:22" x14ac:dyDescent="0.45">
      <c r="S2739" t="s">
        <v>620</v>
      </c>
      <c r="T2739" t="s">
        <v>783</v>
      </c>
      <c r="U2739">
        <v>0.11049465896159286</v>
      </c>
      <c r="V2739" t="s">
        <v>157</v>
      </c>
    </row>
    <row r="2740" spans="19:22" x14ac:dyDescent="0.45">
      <c r="S2740" t="s">
        <v>620</v>
      </c>
      <c r="T2740" t="s">
        <v>784</v>
      </c>
      <c r="U2740">
        <v>1.8401646388888013E-2</v>
      </c>
      <c r="V2740" t="s">
        <v>157</v>
      </c>
    </row>
    <row r="2741" spans="19:22" x14ac:dyDescent="0.45">
      <c r="S2741" t="s">
        <v>620</v>
      </c>
      <c r="T2741" t="s">
        <v>785</v>
      </c>
      <c r="U2741">
        <v>0.12492862059302423</v>
      </c>
      <c r="V2741" t="s">
        <v>157</v>
      </c>
    </row>
    <row r="2742" spans="19:22" x14ac:dyDescent="0.45">
      <c r="S2742" t="s">
        <v>620</v>
      </c>
      <c r="T2742" t="s">
        <v>786</v>
      </c>
      <c r="U2742">
        <v>0.12859594997637083</v>
      </c>
      <c r="V2742" t="s">
        <v>157</v>
      </c>
    </row>
    <row r="2743" spans="19:22" x14ac:dyDescent="0.45">
      <c r="S2743" t="s">
        <v>620</v>
      </c>
      <c r="T2743" t="s">
        <v>787</v>
      </c>
      <c r="U2743">
        <v>2.3221722029089717E-2</v>
      </c>
      <c r="V2743" t="s">
        <v>157</v>
      </c>
    </row>
    <row r="2744" spans="19:22" x14ac:dyDescent="0.45">
      <c r="S2744" t="s">
        <v>620</v>
      </c>
      <c r="T2744" t="s">
        <v>788</v>
      </c>
      <c r="U2744">
        <v>0.11235471006908286</v>
      </c>
      <c r="V2744" t="s">
        <v>157</v>
      </c>
    </row>
    <row r="2745" spans="19:22" x14ac:dyDescent="0.45">
      <c r="S2745" t="s">
        <v>620</v>
      </c>
      <c r="T2745" t="s">
        <v>789</v>
      </c>
      <c r="U2745">
        <v>0.11636833173500827</v>
      </c>
      <c r="V2745" t="s">
        <v>157</v>
      </c>
    </row>
    <row r="2746" spans="19:22" x14ac:dyDescent="0.45">
      <c r="S2746" t="s">
        <v>620</v>
      </c>
      <c r="T2746" t="s">
        <v>790</v>
      </c>
      <c r="U2746">
        <v>2.1369175330795111E-2</v>
      </c>
      <c r="V2746" t="s">
        <v>157</v>
      </c>
    </row>
    <row r="2747" spans="19:22" x14ac:dyDescent="0.45">
      <c r="S2747" t="s">
        <v>621</v>
      </c>
      <c r="T2747" t="s">
        <v>779</v>
      </c>
      <c r="U2747">
        <v>0.10366231290095157</v>
      </c>
      <c r="V2747" t="s">
        <v>157</v>
      </c>
    </row>
    <row r="2748" spans="19:22" x14ac:dyDescent="0.45">
      <c r="S2748" t="s">
        <v>621</v>
      </c>
      <c r="T2748" t="s">
        <v>780</v>
      </c>
      <c r="U2748">
        <v>0.1273580249499365</v>
      </c>
      <c r="V2748" t="s">
        <v>157</v>
      </c>
    </row>
    <row r="2749" spans="19:22" x14ac:dyDescent="0.45">
      <c r="S2749" t="s">
        <v>621</v>
      </c>
      <c r="T2749" t="s">
        <v>781</v>
      </c>
      <c r="U2749">
        <v>2.1065606001196231E-2</v>
      </c>
      <c r="V2749" t="s">
        <v>157</v>
      </c>
    </row>
    <row r="2750" spans="19:22" x14ac:dyDescent="0.45">
      <c r="S2750" t="s">
        <v>621</v>
      </c>
      <c r="T2750" t="s">
        <v>782</v>
      </c>
      <c r="U2750">
        <v>9.8773854007806403E-2</v>
      </c>
      <c r="V2750" t="s">
        <v>157</v>
      </c>
    </row>
    <row r="2751" spans="19:22" x14ac:dyDescent="0.45">
      <c r="S2751" t="s">
        <v>621</v>
      </c>
      <c r="T2751" t="s">
        <v>783</v>
      </c>
      <c r="U2751">
        <v>0.10803660378308251</v>
      </c>
      <c r="V2751" t="s">
        <v>157</v>
      </c>
    </row>
    <row r="2752" spans="19:22" x14ac:dyDescent="0.45">
      <c r="S2752" t="s">
        <v>621</v>
      </c>
      <c r="T2752" t="s">
        <v>784</v>
      </c>
      <c r="U2752">
        <v>1.8351407401294328E-2</v>
      </c>
      <c r="V2752" t="s">
        <v>157</v>
      </c>
    </row>
    <row r="2753" spans="19:22" x14ac:dyDescent="0.45">
      <c r="S2753" t="s">
        <v>621</v>
      </c>
      <c r="T2753" t="s">
        <v>785</v>
      </c>
      <c r="U2753">
        <v>0.12144723592549182</v>
      </c>
      <c r="V2753" t="s">
        <v>157</v>
      </c>
    </row>
    <row r="2754" spans="19:22" x14ac:dyDescent="0.45">
      <c r="S2754" t="s">
        <v>621</v>
      </c>
      <c r="T2754" t="s">
        <v>786</v>
      </c>
      <c r="U2754">
        <v>0.12942233274447484</v>
      </c>
      <c r="V2754" t="s">
        <v>157</v>
      </c>
    </row>
    <row r="2755" spans="19:22" x14ac:dyDescent="0.45">
      <c r="S2755" t="s">
        <v>621</v>
      </c>
      <c r="T2755" t="s">
        <v>787</v>
      </c>
      <c r="U2755">
        <v>2.3026254285538655E-2</v>
      </c>
      <c r="V2755" t="s">
        <v>157</v>
      </c>
    </row>
    <row r="2756" spans="19:22" x14ac:dyDescent="0.45">
      <c r="S2756" t="s">
        <v>621</v>
      </c>
      <c r="T2756" t="s">
        <v>788</v>
      </c>
      <c r="U2756">
        <v>0.1116212359289816</v>
      </c>
      <c r="V2756" t="s">
        <v>157</v>
      </c>
    </row>
    <row r="2757" spans="19:22" x14ac:dyDescent="0.45">
      <c r="S2757" t="s">
        <v>621</v>
      </c>
      <c r="T2757" t="s">
        <v>789</v>
      </c>
      <c r="U2757">
        <v>0.11610399945747127</v>
      </c>
      <c r="V2757" t="s">
        <v>157</v>
      </c>
    </row>
    <row r="2758" spans="19:22" x14ac:dyDescent="0.45">
      <c r="S2758" t="s">
        <v>621</v>
      </c>
      <c r="T2758" t="s">
        <v>790</v>
      </c>
      <c r="U2758">
        <v>2.1131132613774285E-2</v>
      </c>
      <c r="V2758" t="s">
        <v>157</v>
      </c>
    </row>
    <row r="2759" spans="19:22" x14ac:dyDescent="0.45">
      <c r="S2759" t="s">
        <v>622</v>
      </c>
      <c r="T2759" t="s">
        <v>779</v>
      </c>
      <c r="U2759">
        <v>0.11114312458020448</v>
      </c>
      <c r="V2759" t="s">
        <v>157</v>
      </c>
    </row>
    <row r="2760" spans="19:22" x14ac:dyDescent="0.45">
      <c r="S2760" t="s">
        <v>622</v>
      </c>
      <c r="T2760" t="s">
        <v>780</v>
      </c>
      <c r="U2760">
        <v>0.12838486435909818</v>
      </c>
      <c r="V2760" t="s">
        <v>157</v>
      </c>
    </row>
    <row r="2761" spans="19:22" x14ac:dyDescent="0.45">
      <c r="S2761" t="s">
        <v>622</v>
      </c>
      <c r="T2761" t="s">
        <v>781</v>
      </c>
      <c r="U2761">
        <v>2.1680767020134811E-2</v>
      </c>
      <c r="V2761" t="s">
        <v>157</v>
      </c>
    </row>
    <row r="2762" spans="19:22" x14ac:dyDescent="0.45">
      <c r="S2762" t="s">
        <v>622</v>
      </c>
      <c r="T2762" t="s">
        <v>782</v>
      </c>
      <c r="U2762">
        <v>9.8708953219440468E-2</v>
      </c>
      <c r="V2762" t="s">
        <v>157</v>
      </c>
    </row>
    <row r="2763" spans="19:22" x14ac:dyDescent="0.45">
      <c r="S2763" t="s">
        <v>622</v>
      </c>
      <c r="T2763" t="s">
        <v>783</v>
      </c>
      <c r="U2763">
        <v>0.10570527298286553</v>
      </c>
      <c r="V2763" t="s">
        <v>157</v>
      </c>
    </row>
    <row r="2764" spans="19:22" x14ac:dyDescent="0.45">
      <c r="S2764" t="s">
        <v>622</v>
      </c>
      <c r="T2764" t="s">
        <v>784</v>
      </c>
      <c r="U2764">
        <v>1.8712305978563892E-2</v>
      </c>
      <c r="V2764" t="s">
        <v>157</v>
      </c>
    </row>
    <row r="2765" spans="19:22" x14ac:dyDescent="0.45">
      <c r="S2765" t="s">
        <v>622</v>
      </c>
      <c r="T2765" t="s">
        <v>785</v>
      </c>
      <c r="U2765">
        <v>0.11785019597745784</v>
      </c>
      <c r="V2765" t="s">
        <v>157</v>
      </c>
    </row>
    <row r="2766" spans="19:22" x14ac:dyDescent="0.45">
      <c r="S2766" t="s">
        <v>622</v>
      </c>
      <c r="T2766" t="s">
        <v>786</v>
      </c>
      <c r="U2766">
        <v>0.12908573701202422</v>
      </c>
      <c r="V2766" t="s">
        <v>157</v>
      </c>
    </row>
    <row r="2767" spans="19:22" x14ac:dyDescent="0.45">
      <c r="S2767" t="s">
        <v>622</v>
      </c>
      <c r="T2767" t="s">
        <v>787</v>
      </c>
      <c r="U2767">
        <v>2.241859557646023E-2</v>
      </c>
      <c r="V2767" t="s">
        <v>157</v>
      </c>
    </row>
    <row r="2768" spans="19:22" x14ac:dyDescent="0.45">
      <c r="S2768" t="s">
        <v>622</v>
      </c>
      <c r="T2768" t="s">
        <v>788</v>
      </c>
      <c r="U2768">
        <v>0.11047919252149553</v>
      </c>
      <c r="V2768" t="s">
        <v>157</v>
      </c>
    </row>
    <row r="2769" spans="19:22" x14ac:dyDescent="0.45">
      <c r="S2769" t="s">
        <v>622</v>
      </c>
      <c r="T2769" t="s">
        <v>789</v>
      </c>
      <c r="U2769">
        <v>0.11465355695833566</v>
      </c>
      <c r="V2769" t="s">
        <v>157</v>
      </c>
    </row>
    <row r="2770" spans="19:22" x14ac:dyDescent="0.45">
      <c r="S2770" t="s">
        <v>622</v>
      </c>
      <c r="T2770" t="s">
        <v>790</v>
      </c>
      <c r="U2770">
        <v>2.1177433813919219E-2</v>
      </c>
      <c r="V2770" t="s">
        <v>157</v>
      </c>
    </row>
    <row r="2771" spans="19:22" x14ac:dyDescent="0.45">
      <c r="S2771" t="s">
        <v>623</v>
      </c>
      <c r="T2771" t="s">
        <v>779</v>
      </c>
      <c r="U2771">
        <v>0.1182649347271392</v>
      </c>
      <c r="V2771" t="s">
        <v>157</v>
      </c>
    </row>
    <row r="2772" spans="19:22" x14ac:dyDescent="0.45">
      <c r="S2772" t="s">
        <v>623</v>
      </c>
      <c r="T2772" t="s">
        <v>780</v>
      </c>
      <c r="U2772">
        <v>0.12492706998043361</v>
      </c>
      <c r="V2772" t="s">
        <v>157</v>
      </c>
    </row>
    <row r="2773" spans="19:22" x14ac:dyDescent="0.45">
      <c r="S2773" t="s">
        <v>623</v>
      </c>
      <c r="T2773" t="s">
        <v>781</v>
      </c>
      <c r="U2773">
        <v>2.2400073994970369E-2</v>
      </c>
      <c r="V2773" t="s">
        <v>157</v>
      </c>
    </row>
    <row r="2774" spans="19:22" x14ac:dyDescent="0.45">
      <c r="S2774" t="s">
        <v>623</v>
      </c>
      <c r="T2774" t="s">
        <v>782</v>
      </c>
      <c r="U2774">
        <v>9.8619557418728188E-2</v>
      </c>
      <c r="V2774" t="s">
        <v>157</v>
      </c>
    </row>
    <row r="2775" spans="19:22" x14ac:dyDescent="0.45">
      <c r="S2775" t="s">
        <v>623</v>
      </c>
      <c r="T2775" t="s">
        <v>783</v>
      </c>
      <c r="U2775">
        <v>0.10373000032003364</v>
      </c>
      <c r="V2775" t="s">
        <v>157</v>
      </c>
    </row>
    <row r="2776" spans="19:22" x14ac:dyDescent="0.45">
      <c r="S2776" t="s">
        <v>623</v>
      </c>
      <c r="T2776" t="s">
        <v>784</v>
      </c>
      <c r="U2776">
        <v>1.8878237854710191E-2</v>
      </c>
      <c r="V2776" t="s">
        <v>157</v>
      </c>
    </row>
    <row r="2777" spans="19:22" x14ac:dyDescent="0.45">
      <c r="S2777" t="s">
        <v>623</v>
      </c>
      <c r="T2777" t="s">
        <v>785</v>
      </c>
      <c r="U2777">
        <v>0.11450422448711903</v>
      </c>
      <c r="V2777" t="s">
        <v>157</v>
      </c>
    </row>
    <row r="2778" spans="19:22" x14ac:dyDescent="0.45">
      <c r="S2778" t="s">
        <v>623</v>
      </c>
      <c r="T2778" t="s">
        <v>786</v>
      </c>
      <c r="U2778">
        <v>0.12512041006422778</v>
      </c>
      <c r="V2778" t="s">
        <v>157</v>
      </c>
    </row>
    <row r="2779" spans="19:22" x14ac:dyDescent="0.45">
      <c r="S2779" t="s">
        <v>623</v>
      </c>
      <c r="T2779" t="s">
        <v>787</v>
      </c>
      <c r="U2779">
        <v>2.1211617818284623E-2</v>
      </c>
      <c r="V2779" t="s">
        <v>157</v>
      </c>
    </row>
    <row r="2780" spans="19:22" x14ac:dyDescent="0.45">
      <c r="S2780" t="s">
        <v>623</v>
      </c>
      <c r="T2780" t="s">
        <v>788</v>
      </c>
      <c r="U2780">
        <v>0.11392474847351791</v>
      </c>
      <c r="V2780" t="s">
        <v>157</v>
      </c>
    </row>
    <row r="2781" spans="19:22" x14ac:dyDescent="0.45">
      <c r="S2781" t="s">
        <v>623</v>
      </c>
      <c r="T2781" t="s">
        <v>789</v>
      </c>
      <c r="U2781">
        <v>0.11557714663709043</v>
      </c>
      <c r="V2781" t="s">
        <v>157</v>
      </c>
    </row>
    <row r="2782" spans="19:22" x14ac:dyDescent="0.45">
      <c r="S2782" t="s">
        <v>623</v>
      </c>
      <c r="T2782" t="s">
        <v>790</v>
      </c>
      <c r="U2782">
        <v>2.2841978223744976E-2</v>
      </c>
      <c r="V2782" t="s">
        <v>157</v>
      </c>
    </row>
    <row r="2783" spans="19:22" x14ac:dyDescent="0.45">
      <c r="S2783" t="s">
        <v>624</v>
      </c>
      <c r="T2783" t="s">
        <v>779</v>
      </c>
      <c r="U2783">
        <v>0.12106707568729255</v>
      </c>
      <c r="V2783" t="s">
        <v>157</v>
      </c>
    </row>
    <row r="2784" spans="19:22" x14ac:dyDescent="0.45">
      <c r="S2784" t="s">
        <v>624</v>
      </c>
      <c r="T2784" t="s">
        <v>780</v>
      </c>
      <c r="U2784">
        <v>0.1151518532406749</v>
      </c>
      <c r="V2784" t="s">
        <v>157</v>
      </c>
    </row>
    <row r="2785" spans="19:22" x14ac:dyDescent="0.45">
      <c r="S2785" t="s">
        <v>624</v>
      </c>
      <c r="T2785" t="s">
        <v>781</v>
      </c>
      <c r="U2785">
        <v>2.2549544126848078E-2</v>
      </c>
      <c r="V2785" t="s">
        <v>157</v>
      </c>
    </row>
    <row r="2786" spans="19:22" x14ac:dyDescent="0.45">
      <c r="S2786" t="s">
        <v>624</v>
      </c>
      <c r="T2786" t="s">
        <v>782</v>
      </c>
      <c r="U2786">
        <v>0.10405869967064058</v>
      </c>
      <c r="V2786" t="s">
        <v>157</v>
      </c>
    </row>
    <row r="2787" spans="19:22" x14ac:dyDescent="0.45">
      <c r="S2787" t="s">
        <v>624</v>
      </c>
      <c r="T2787" t="s">
        <v>783</v>
      </c>
      <c r="U2787">
        <v>0.10200150707218521</v>
      </c>
      <c r="V2787" t="s">
        <v>157</v>
      </c>
    </row>
    <row r="2788" spans="19:22" x14ac:dyDescent="0.45">
      <c r="S2788" t="s">
        <v>624</v>
      </c>
      <c r="T2788" t="s">
        <v>784</v>
      </c>
      <c r="U2788">
        <v>1.9744063964805623E-2</v>
      </c>
      <c r="V2788" t="s">
        <v>157</v>
      </c>
    </row>
    <row r="2789" spans="19:22" x14ac:dyDescent="0.45">
      <c r="S2789" t="s">
        <v>624</v>
      </c>
      <c r="T2789" t="s">
        <v>785</v>
      </c>
      <c r="U2789">
        <v>0.11215005164163253</v>
      </c>
      <c r="V2789" t="s">
        <v>157</v>
      </c>
    </row>
    <row r="2790" spans="19:22" x14ac:dyDescent="0.45">
      <c r="S2790" t="s">
        <v>624</v>
      </c>
      <c r="T2790" t="s">
        <v>786</v>
      </c>
      <c r="U2790">
        <v>0.1197927535547013</v>
      </c>
      <c r="V2790" t="s">
        <v>157</v>
      </c>
    </row>
    <row r="2791" spans="19:22" x14ac:dyDescent="0.45">
      <c r="S2791" t="s">
        <v>624</v>
      </c>
      <c r="T2791" t="s">
        <v>787</v>
      </c>
      <c r="U2791">
        <v>2.0498414219571666E-2</v>
      </c>
      <c r="V2791" t="s">
        <v>157</v>
      </c>
    </row>
    <row r="2792" spans="19:22" x14ac:dyDescent="0.45">
      <c r="S2792" t="s">
        <v>624</v>
      </c>
      <c r="T2792" t="s">
        <v>788</v>
      </c>
      <c r="U2792">
        <v>0.12250063849812488</v>
      </c>
      <c r="V2792" t="s">
        <v>157</v>
      </c>
    </row>
    <row r="2793" spans="19:22" x14ac:dyDescent="0.45">
      <c r="S2793" t="s">
        <v>624</v>
      </c>
      <c r="T2793" t="s">
        <v>789</v>
      </c>
      <c r="U2793">
        <v>0.11500038206510037</v>
      </c>
      <c r="V2793" t="s">
        <v>157</v>
      </c>
    </row>
    <row r="2794" spans="19:22" x14ac:dyDescent="0.45">
      <c r="S2794" t="s">
        <v>624</v>
      </c>
      <c r="T2794" t="s">
        <v>790</v>
      </c>
      <c r="U2794">
        <v>2.5485016258422356E-2</v>
      </c>
      <c r="V2794" t="s">
        <v>157</v>
      </c>
    </row>
    <row r="2795" spans="19:22" x14ac:dyDescent="0.45">
      <c r="S2795" t="s">
        <v>625</v>
      </c>
      <c r="T2795" t="s">
        <v>779</v>
      </c>
      <c r="U2795">
        <v>0.13011244439263961</v>
      </c>
      <c r="V2795" t="s">
        <v>157</v>
      </c>
    </row>
    <row r="2796" spans="19:22" x14ac:dyDescent="0.45">
      <c r="S2796" t="s">
        <v>625</v>
      </c>
      <c r="T2796" t="s">
        <v>780</v>
      </c>
      <c r="U2796">
        <v>0.11925677324852285</v>
      </c>
      <c r="V2796" t="s">
        <v>157</v>
      </c>
    </row>
    <row r="2797" spans="19:22" x14ac:dyDescent="0.45">
      <c r="S2797" t="s">
        <v>625</v>
      </c>
      <c r="T2797" t="s">
        <v>781</v>
      </c>
      <c r="U2797">
        <v>2.3586582612025939E-2</v>
      </c>
      <c r="V2797" t="s">
        <v>157</v>
      </c>
    </row>
    <row r="2798" spans="19:22" x14ac:dyDescent="0.45">
      <c r="S2798" t="s">
        <v>625</v>
      </c>
      <c r="T2798" t="s">
        <v>782</v>
      </c>
      <c r="U2798">
        <v>0.10517698768023061</v>
      </c>
      <c r="V2798" t="s">
        <v>157</v>
      </c>
    </row>
    <row r="2799" spans="19:22" x14ac:dyDescent="0.45">
      <c r="S2799" t="s">
        <v>625</v>
      </c>
      <c r="T2799" t="s">
        <v>783</v>
      </c>
      <c r="U2799">
        <v>0.10519843387904999</v>
      </c>
      <c r="V2799" t="s">
        <v>157</v>
      </c>
    </row>
    <row r="2800" spans="19:22" x14ac:dyDescent="0.45">
      <c r="S2800" t="s">
        <v>625</v>
      </c>
      <c r="T2800" t="s">
        <v>784</v>
      </c>
      <c r="U2800">
        <v>2.0904034529799657E-2</v>
      </c>
      <c r="V2800" t="s">
        <v>157</v>
      </c>
    </row>
    <row r="2801" spans="19:22" x14ac:dyDescent="0.45">
      <c r="S2801" t="s">
        <v>625</v>
      </c>
      <c r="T2801" t="s">
        <v>785</v>
      </c>
      <c r="U2801">
        <v>0.1114149409393879</v>
      </c>
      <c r="V2801" t="s">
        <v>157</v>
      </c>
    </row>
    <row r="2802" spans="19:22" x14ac:dyDescent="0.45">
      <c r="S2802" t="s">
        <v>625</v>
      </c>
      <c r="T2802" t="s">
        <v>786</v>
      </c>
      <c r="U2802">
        <v>0.11423120209598399</v>
      </c>
      <c r="V2802" t="s">
        <v>157</v>
      </c>
    </row>
    <row r="2803" spans="19:22" x14ac:dyDescent="0.45">
      <c r="S2803" t="s">
        <v>625</v>
      </c>
      <c r="T2803" t="s">
        <v>787</v>
      </c>
      <c r="U2803">
        <v>1.9925935983135343E-2</v>
      </c>
      <c r="V2803" t="s">
        <v>157</v>
      </c>
    </row>
    <row r="2804" spans="19:22" x14ac:dyDescent="0.45">
      <c r="S2804" t="s">
        <v>625</v>
      </c>
      <c r="T2804" t="s">
        <v>788</v>
      </c>
      <c r="U2804">
        <v>0.12024956309283427</v>
      </c>
      <c r="V2804" t="s">
        <v>157</v>
      </c>
    </row>
    <row r="2805" spans="19:22" x14ac:dyDescent="0.45">
      <c r="S2805" t="s">
        <v>625</v>
      </c>
      <c r="T2805" t="s">
        <v>789</v>
      </c>
      <c r="U2805">
        <v>0.10590827832709769</v>
      </c>
      <c r="V2805" t="s">
        <v>157</v>
      </c>
    </row>
    <row r="2806" spans="19:22" x14ac:dyDescent="0.45">
      <c r="S2806" t="s">
        <v>625</v>
      </c>
      <c r="T2806" t="s">
        <v>790</v>
      </c>
      <c r="U2806">
        <v>2.4034823219292043E-2</v>
      </c>
      <c r="V2806" t="s">
        <v>157</v>
      </c>
    </row>
    <row r="2807" spans="19:22" x14ac:dyDescent="0.45">
      <c r="S2807" t="s">
        <v>626</v>
      </c>
      <c r="T2807" t="s">
        <v>779</v>
      </c>
      <c r="U2807">
        <v>0.14022723367727344</v>
      </c>
      <c r="V2807" t="s">
        <v>157</v>
      </c>
    </row>
    <row r="2808" spans="19:22" x14ac:dyDescent="0.45">
      <c r="S2808" t="s">
        <v>626</v>
      </c>
      <c r="T2808" t="s">
        <v>780</v>
      </c>
      <c r="U2808">
        <v>0.12757872115624741</v>
      </c>
      <c r="V2808" t="s">
        <v>157</v>
      </c>
    </row>
    <row r="2809" spans="19:22" x14ac:dyDescent="0.45">
      <c r="S2809" t="s">
        <v>626</v>
      </c>
      <c r="T2809" t="s">
        <v>781</v>
      </c>
      <c r="U2809">
        <v>2.5570878992680193E-2</v>
      </c>
      <c r="V2809" t="s">
        <v>157</v>
      </c>
    </row>
    <row r="2810" spans="19:22" x14ac:dyDescent="0.45">
      <c r="S2810" t="s">
        <v>626</v>
      </c>
      <c r="T2810" t="s">
        <v>782</v>
      </c>
      <c r="U2810">
        <v>0.10576690323033172</v>
      </c>
      <c r="V2810" t="s">
        <v>157</v>
      </c>
    </row>
    <row r="2811" spans="19:22" x14ac:dyDescent="0.45">
      <c r="S2811" t="s">
        <v>626</v>
      </c>
      <c r="T2811" t="s">
        <v>783</v>
      </c>
      <c r="U2811">
        <v>9.8786711333776422E-2</v>
      </c>
      <c r="V2811" t="s">
        <v>157</v>
      </c>
    </row>
    <row r="2812" spans="19:22" x14ac:dyDescent="0.45">
      <c r="S2812" t="s">
        <v>626</v>
      </c>
      <c r="T2812" t="s">
        <v>784</v>
      </c>
      <c r="U2812">
        <v>2.0355289148646687E-2</v>
      </c>
      <c r="V2812" t="s">
        <v>157</v>
      </c>
    </row>
    <row r="2813" spans="19:22" x14ac:dyDescent="0.45">
      <c r="S2813" t="s">
        <v>626</v>
      </c>
      <c r="T2813" t="s">
        <v>785</v>
      </c>
      <c r="U2813">
        <v>0.11091833176552504</v>
      </c>
      <c r="V2813" t="s">
        <v>157</v>
      </c>
    </row>
    <row r="2814" spans="19:22" x14ac:dyDescent="0.45">
      <c r="S2814" t="s">
        <v>626</v>
      </c>
      <c r="T2814" t="s">
        <v>786</v>
      </c>
      <c r="U2814">
        <v>0.11074887719191082</v>
      </c>
      <c r="V2814" t="s">
        <v>157</v>
      </c>
    </row>
    <row r="2815" spans="19:22" x14ac:dyDescent="0.45">
      <c r="S2815" t="s">
        <v>626</v>
      </c>
      <c r="T2815" t="s">
        <v>787</v>
      </c>
      <c r="U2815">
        <v>1.9863836751044851E-2</v>
      </c>
      <c r="V2815" t="s">
        <v>157</v>
      </c>
    </row>
    <row r="2816" spans="19:22" x14ac:dyDescent="0.45">
      <c r="S2816" t="s">
        <v>626</v>
      </c>
      <c r="T2816" t="s">
        <v>788</v>
      </c>
      <c r="U2816">
        <v>0.11457425486961539</v>
      </c>
      <c r="V2816" t="s">
        <v>157</v>
      </c>
    </row>
    <row r="2817" spans="19:22" x14ac:dyDescent="0.45">
      <c r="S2817" t="s">
        <v>626</v>
      </c>
      <c r="T2817" t="s">
        <v>789</v>
      </c>
      <c r="U2817">
        <v>0.10317160516916846</v>
      </c>
      <c r="V2817" t="s">
        <v>157</v>
      </c>
    </row>
    <row r="2818" spans="19:22" x14ac:dyDescent="0.45">
      <c r="S2818" t="s">
        <v>626</v>
      </c>
      <c r="T2818" t="s">
        <v>790</v>
      </c>
      <c r="U2818">
        <v>2.2437356713779576E-2</v>
      </c>
      <c r="V2818" t="s">
        <v>157</v>
      </c>
    </row>
    <row r="2819" spans="19:22" x14ac:dyDescent="0.45">
      <c r="S2819" t="s">
        <v>627</v>
      </c>
      <c r="T2819" t="s">
        <v>779</v>
      </c>
      <c r="U2819">
        <v>0.14006366922222777</v>
      </c>
      <c r="V2819" t="s">
        <v>157</v>
      </c>
    </row>
    <row r="2820" spans="19:22" x14ac:dyDescent="0.45">
      <c r="S2820" t="s">
        <v>627</v>
      </c>
      <c r="T2820" t="s">
        <v>780</v>
      </c>
      <c r="U2820">
        <v>0.12907122813868407</v>
      </c>
      <c r="V2820" t="s">
        <v>157</v>
      </c>
    </row>
    <row r="2821" spans="19:22" x14ac:dyDescent="0.45">
      <c r="S2821" t="s">
        <v>627</v>
      </c>
      <c r="T2821" t="s">
        <v>781</v>
      </c>
      <c r="U2821">
        <v>2.7264037518442998E-2</v>
      </c>
      <c r="V2821" t="s">
        <v>157</v>
      </c>
    </row>
    <row r="2822" spans="19:22" x14ac:dyDescent="0.45">
      <c r="S2822" t="s">
        <v>627</v>
      </c>
      <c r="T2822" t="s">
        <v>782</v>
      </c>
      <c r="U2822">
        <v>0.10438404336615438</v>
      </c>
      <c r="V2822" t="s">
        <v>157</v>
      </c>
    </row>
    <row r="2823" spans="19:22" x14ac:dyDescent="0.45">
      <c r="S2823" t="s">
        <v>627</v>
      </c>
      <c r="T2823" t="s">
        <v>783</v>
      </c>
      <c r="U2823">
        <v>9.9550068186013294E-2</v>
      </c>
      <c r="V2823" t="s">
        <v>157</v>
      </c>
    </row>
    <row r="2824" spans="19:22" x14ac:dyDescent="0.45">
      <c r="S2824" t="s">
        <v>627</v>
      </c>
      <c r="T2824" t="s">
        <v>784</v>
      </c>
      <c r="U2824">
        <v>2.0535242258987153E-2</v>
      </c>
      <c r="V2824" t="s">
        <v>157</v>
      </c>
    </row>
    <row r="2825" spans="19:22" x14ac:dyDescent="0.45">
      <c r="S2825" t="s">
        <v>627</v>
      </c>
      <c r="T2825" t="s">
        <v>785</v>
      </c>
      <c r="U2825">
        <v>0.114292059152348</v>
      </c>
      <c r="V2825" t="s">
        <v>157</v>
      </c>
    </row>
    <row r="2826" spans="19:22" x14ac:dyDescent="0.45">
      <c r="S2826" t="s">
        <v>627</v>
      </c>
      <c r="T2826" t="s">
        <v>786</v>
      </c>
      <c r="U2826">
        <v>0.11745491579364312</v>
      </c>
      <c r="V2826" t="s">
        <v>157</v>
      </c>
    </row>
    <row r="2827" spans="19:22" x14ac:dyDescent="0.45">
      <c r="S2827" t="s">
        <v>627</v>
      </c>
      <c r="T2827" t="s">
        <v>787</v>
      </c>
      <c r="U2827">
        <v>2.1844713408295111E-2</v>
      </c>
      <c r="V2827" t="s">
        <v>157</v>
      </c>
    </row>
    <row r="2828" spans="19:22" x14ac:dyDescent="0.45">
      <c r="S2828" t="s">
        <v>627</v>
      </c>
      <c r="T2828" t="s">
        <v>788</v>
      </c>
      <c r="U2828">
        <v>0.10290986400928474</v>
      </c>
      <c r="V2828" t="s">
        <v>157</v>
      </c>
    </row>
    <row r="2829" spans="19:22" x14ac:dyDescent="0.45">
      <c r="S2829" t="s">
        <v>627</v>
      </c>
      <c r="T2829" t="s">
        <v>789</v>
      </c>
      <c r="U2829">
        <v>0.10068902577661677</v>
      </c>
      <c r="V2829" t="s">
        <v>157</v>
      </c>
    </row>
    <row r="2830" spans="19:22" x14ac:dyDescent="0.45">
      <c r="S2830" t="s">
        <v>627</v>
      </c>
      <c r="T2830" t="s">
        <v>790</v>
      </c>
      <c r="U2830">
        <v>2.1941133169302639E-2</v>
      </c>
      <c r="V2830" t="s">
        <v>157</v>
      </c>
    </row>
    <row r="2831" spans="19:22" x14ac:dyDescent="0.45">
      <c r="S2831" t="s">
        <v>628</v>
      </c>
      <c r="T2831" t="s">
        <v>779</v>
      </c>
      <c r="U2831">
        <v>0.13601560449108818</v>
      </c>
      <c r="V2831" t="s">
        <v>157</v>
      </c>
    </row>
    <row r="2832" spans="19:22" x14ac:dyDescent="0.45">
      <c r="S2832" t="s">
        <v>628</v>
      </c>
      <c r="T2832" t="s">
        <v>780</v>
      </c>
      <c r="U2832">
        <v>0.13160413379583119</v>
      </c>
      <c r="V2832" t="s">
        <v>157</v>
      </c>
    </row>
    <row r="2833" spans="19:22" x14ac:dyDescent="0.45">
      <c r="S2833" t="s">
        <v>628</v>
      </c>
      <c r="T2833" t="s">
        <v>781</v>
      </c>
      <c r="U2833">
        <v>2.7112002794835895E-2</v>
      </c>
      <c r="V2833" t="s">
        <v>157</v>
      </c>
    </row>
    <row r="2834" spans="19:22" x14ac:dyDescent="0.45">
      <c r="S2834" t="s">
        <v>628</v>
      </c>
      <c r="T2834" t="s">
        <v>782</v>
      </c>
      <c r="U2834">
        <v>0.10069099422549964</v>
      </c>
      <c r="V2834" t="s">
        <v>157</v>
      </c>
    </row>
    <row r="2835" spans="19:22" x14ac:dyDescent="0.45">
      <c r="S2835" t="s">
        <v>628</v>
      </c>
      <c r="T2835" t="s">
        <v>783</v>
      </c>
      <c r="U2835">
        <v>9.917245206821293E-2</v>
      </c>
      <c r="V2835" t="s">
        <v>157</v>
      </c>
    </row>
    <row r="2836" spans="19:22" x14ac:dyDescent="0.45">
      <c r="S2836" t="s">
        <v>628</v>
      </c>
      <c r="T2836" t="s">
        <v>784</v>
      </c>
      <c r="U2836">
        <v>1.9558068427912138E-2</v>
      </c>
      <c r="V2836" t="s">
        <v>157</v>
      </c>
    </row>
    <row r="2837" spans="19:22" x14ac:dyDescent="0.45">
      <c r="S2837" t="s">
        <v>628</v>
      </c>
      <c r="T2837" t="s">
        <v>785</v>
      </c>
      <c r="U2837">
        <v>0.11805240127936381</v>
      </c>
      <c r="V2837" t="s">
        <v>157</v>
      </c>
    </row>
    <row r="2838" spans="19:22" x14ac:dyDescent="0.45">
      <c r="S2838" t="s">
        <v>628</v>
      </c>
      <c r="T2838" t="s">
        <v>786</v>
      </c>
      <c r="U2838">
        <v>0.1229891918325007</v>
      </c>
      <c r="V2838" t="s">
        <v>157</v>
      </c>
    </row>
    <row r="2839" spans="19:22" x14ac:dyDescent="0.45">
      <c r="S2839" t="s">
        <v>628</v>
      </c>
      <c r="T2839" t="s">
        <v>787</v>
      </c>
      <c r="U2839">
        <v>2.2612259551789974E-2</v>
      </c>
      <c r="V2839" t="s">
        <v>157</v>
      </c>
    </row>
    <row r="2840" spans="19:22" x14ac:dyDescent="0.45">
      <c r="S2840" t="s">
        <v>628</v>
      </c>
      <c r="T2840" t="s">
        <v>788</v>
      </c>
      <c r="U2840">
        <v>9.6227021123589995E-2</v>
      </c>
      <c r="V2840" t="s">
        <v>157</v>
      </c>
    </row>
    <row r="2841" spans="19:22" x14ac:dyDescent="0.45">
      <c r="S2841" t="s">
        <v>628</v>
      </c>
      <c r="T2841" t="s">
        <v>789</v>
      </c>
      <c r="U2841">
        <v>0.10415904864338668</v>
      </c>
      <c r="V2841" t="s">
        <v>157</v>
      </c>
    </row>
    <row r="2842" spans="19:22" x14ac:dyDescent="0.45">
      <c r="S2842" t="s">
        <v>628</v>
      </c>
      <c r="T2842" t="s">
        <v>790</v>
      </c>
      <c r="U2842">
        <v>2.1806821765988912E-2</v>
      </c>
      <c r="V2842" t="s">
        <v>157</v>
      </c>
    </row>
    <row r="2843" spans="19:22" x14ac:dyDescent="0.45">
      <c r="S2843" t="s">
        <v>629</v>
      </c>
      <c r="T2843" t="s">
        <v>779</v>
      </c>
      <c r="U2843">
        <v>0.13423569492743403</v>
      </c>
      <c r="V2843" t="s">
        <v>157</v>
      </c>
    </row>
    <row r="2844" spans="19:22" x14ac:dyDescent="0.45">
      <c r="S2844" t="s">
        <v>629</v>
      </c>
      <c r="T2844" t="s">
        <v>780</v>
      </c>
      <c r="U2844">
        <v>0.13329598913927593</v>
      </c>
      <c r="V2844" t="s">
        <v>157</v>
      </c>
    </row>
    <row r="2845" spans="19:22" x14ac:dyDescent="0.45">
      <c r="S2845" t="s">
        <v>629</v>
      </c>
      <c r="T2845" t="s">
        <v>781</v>
      </c>
      <c r="U2845">
        <v>2.7139949928838676E-2</v>
      </c>
      <c r="V2845" t="s">
        <v>157</v>
      </c>
    </row>
    <row r="2846" spans="19:22" x14ac:dyDescent="0.45">
      <c r="S2846" t="s">
        <v>629</v>
      </c>
      <c r="T2846" t="s">
        <v>782</v>
      </c>
      <c r="U2846">
        <v>9.6649179794542697E-2</v>
      </c>
      <c r="V2846" t="s">
        <v>157</v>
      </c>
    </row>
    <row r="2847" spans="19:22" x14ac:dyDescent="0.45">
      <c r="S2847" t="s">
        <v>629</v>
      </c>
      <c r="T2847" t="s">
        <v>783</v>
      </c>
      <c r="U2847">
        <v>9.7036827490139421E-2</v>
      </c>
      <c r="V2847" t="s">
        <v>157</v>
      </c>
    </row>
    <row r="2848" spans="19:22" x14ac:dyDescent="0.45">
      <c r="S2848" t="s">
        <v>629</v>
      </c>
      <c r="T2848" t="s">
        <v>784</v>
      </c>
      <c r="U2848">
        <v>1.8696850114075455E-2</v>
      </c>
      <c r="V2848" t="s">
        <v>157</v>
      </c>
    </row>
    <row r="2849" spans="19:22" x14ac:dyDescent="0.45">
      <c r="S2849" t="s">
        <v>629</v>
      </c>
      <c r="T2849" t="s">
        <v>785</v>
      </c>
      <c r="U2849">
        <v>0.12180991523670706</v>
      </c>
      <c r="V2849" t="s">
        <v>157</v>
      </c>
    </row>
    <row r="2850" spans="19:22" x14ac:dyDescent="0.45">
      <c r="S2850" t="s">
        <v>629</v>
      </c>
      <c r="T2850" t="s">
        <v>786</v>
      </c>
      <c r="U2850">
        <v>0.1247540067111915</v>
      </c>
      <c r="V2850" t="s">
        <v>157</v>
      </c>
    </row>
    <row r="2851" spans="19:22" x14ac:dyDescent="0.45">
      <c r="S2851" t="s">
        <v>629</v>
      </c>
      <c r="T2851" t="s">
        <v>787</v>
      </c>
      <c r="U2851">
        <v>2.3073943958459721E-2</v>
      </c>
      <c r="V2851" t="s">
        <v>157</v>
      </c>
    </row>
    <row r="2852" spans="19:22" x14ac:dyDescent="0.45">
      <c r="S2852" t="s">
        <v>629</v>
      </c>
      <c r="T2852" t="s">
        <v>788</v>
      </c>
      <c r="U2852">
        <v>9.6789686240492473E-2</v>
      </c>
      <c r="V2852" t="s">
        <v>157</v>
      </c>
    </row>
    <row r="2853" spans="19:22" x14ac:dyDescent="0.45">
      <c r="S2853" t="s">
        <v>629</v>
      </c>
      <c r="T2853" t="s">
        <v>789</v>
      </c>
      <c r="U2853">
        <v>0.10528489376742402</v>
      </c>
      <c r="V2853" t="s">
        <v>157</v>
      </c>
    </row>
    <row r="2854" spans="19:22" x14ac:dyDescent="0.45">
      <c r="S2854" t="s">
        <v>629</v>
      </c>
      <c r="T2854" t="s">
        <v>790</v>
      </c>
      <c r="U2854">
        <v>2.123306269141903E-2</v>
      </c>
      <c r="V2854" t="s">
        <v>157</v>
      </c>
    </row>
    <row r="2855" spans="19:22" x14ac:dyDescent="0.45">
      <c r="S2855" t="s">
        <v>630</v>
      </c>
      <c r="T2855" t="s">
        <v>779</v>
      </c>
      <c r="U2855">
        <v>0.13862778807494461</v>
      </c>
      <c r="V2855" t="s">
        <v>157</v>
      </c>
    </row>
    <row r="2856" spans="19:22" x14ac:dyDescent="0.45">
      <c r="S2856" t="s">
        <v>630</v>
      </c>
      <c r="T2856" t="s">
        <v>780</v>
      </c>
      <c r="U2856">
        <v>0.13493728456034856</v>
      </c>
      <c r="V2856" t="s">
        <v>157</v>
      </c>
    </row>
    <row r="2857" spans="19:22" x14ac:dyDescent="0.45">
      <c r="S2857" t="s">
        <v>630</v>
      </c>
      <c r="T2857" t="s">
        <v>781</v>
      </c>
      <c r="U2857">
        <v>2.7578589571007419E-2</v>
      </c>
      <c r="V2857" t="s">
        <v>157</v>
      </c>
    </row>
    <row r="2858" spans="19:22" x14ac:dyDescent="0.45">
      <c r="S2858" t="s">
        <v>630</v>
      </c>
      <c r="T2858" t="s">
        <v>782</v>
      </c>
      <c r="U2858">
        <v>9.5283283547296482E-2</v>
      </c>
      <c r="V2858" t="s">
        <v>157</v>
      </c>
    </row>
    <row r="2859" spans="19:22" x14ac:dyDescent="0.45">
      <c r="S2859" t="s">
        <v>630</v>
      </c>
      <c r="T2859" t="s">
        <v>783</v>
      </c>
      <c r="U2859">
        <v>9.1127378012939714E-2</v>
      </c>
      <c r="V2859" t="s">
        <v>157</v>
      </c>
    </row>
    <row r="2860" spans="19:22" x14ac:dyDescent="0.45">
      <c r="S2860" t="s">
        <v>630</v>
      </c>
      <c r="T2860" t="s">
        <v>784</v>
      </c>
      <c r="U2860">
        <v>1.8070138605749957E-2</v>
      </c>
      <c r="V2860" t="s">
        <v>157</v>
      </c>
    </row>
    <row r="2861" spans="19:22" x14ac:dyDescent="0.45">
      <c r="S2861" t="s">
        <v>630</v>
      </c>
      <c r="T2861" t="s">
        <v>785</v>
      </c>
      <c r="U2861">
        <v>0.12408946385255605</v>
      </c>
      <c r="V2861" t="s">
        <v>157</v>
      </c>
    </row>
    <row r="2862" spans="19:22" x14ac:dyDescent="0.45">
      <c r="S2862" t="s">
        <v>630</v>
      </c>
      <c r="T2862" t="s">
        <v>786</v>
      </c>
      <c r="U2862">
        <v>0.12379284893625733</v>
      </c>
      <c r="V2862" t="s">
        <v>157</v>
      </c>
    </row>
    <row r="2863" spans="19:22" x14ac:dyDescent="0.45">
      <c r="S2863" t="s">
        <v>630</v>
      </c>
      <c r="T2863" t="s">
        <v>787</v>
      </c>
      <c r="U2863">
        <v>2.2999655113014734E-2</v>
      </c>
      <c r="V2863" t="s">
        <v>157</v>
      </c>
    </row>
    <row r="2864" spans="19:22" x14ac:dyDescent="0.45">
      <c r="S2864" t="s">
        <v>630</v>
      </c>
      <c r="T2864" t="s">
        <v>788</v>
      </c>
      <c r="U2864">
        <v>0.10156128288635033</v>
      </c>
      <c r="V2864" t="s">
        <v>157</v>
      </c>
    </row>
    <row r="2865" spans="19:22" x14ac:dyDescent="0.45">
      <c r="S2865" t="s">
        <v>630</v>
      </c>
      <c r="T2865" t="s">
        <v>789</v>
      </c>
      <c r="U2865">
        <v>0.10142606829222087</v>
      </c>
      <c r="V2865" t="s">
        <v>157</v>
      </c>
    </row>
    <row r="2866" spans="19:22" x14ac:dyDescent="0.45">
      <c r="S2866" t="s">
        <v>630</v>
      </c>
      <c r="T2866" t="s">
        <v>790</v>
      </c>
      <c r="U2866">
        <v>2.0506218547313937E-2</v>
      </c>
      <c r="V2866" t="s">
        <v>157</v>
      </c>
    </row>
    <row r="2867" spans="19:22" x14ac:dyDescent="0.45">
      <c r="S2867" t="s">
        <v>631</v>
      </c>
      <c r="T2867" t="s">
        <v>779</v>
      </c>
      <c r="U2867">
        <v>0.14439218613960467</v>
      </c>
      <c r="V2867" t="s">
        <v>157</v>
      </c>
    </row>
    <row r="2868" spans="19:22" x14ac:dyDescent="0.45">
      <c r="S2868" t="s">
        <v>631</v>
      </c>
      <c r="T2868" t="s">
        <v>780</v>
      </c>
      <c r="U2868">
        <v>0.13862545839075924</v>
      </c>
      <c r="V2868" t="s">
        <v>157</v>
      </c>
    </row>
    <row r="2869" spans="19:22" x14ac:dyDescent="0.45">
      <c r="S2869" t="s">
        <v>631</v>
      </c>
      <c r="T2869" t="s">
        <v>781</v>
      </c>
      <c r="U2869">
        <v>2.7430029410889786E-2</v>
      </c>
      <c r="V2869" t="s">
        <v>157</v>
      </c>
    </row>
    <row r="2870" spans="19:22" x14ac:dyDescent="0.45">
      <c r="S2870" t="s">
        <v>631</v>
      </c>
      <c r="T2870" t="s">
        <v>782</v>
      </c>
      <c r="U2870">
        <v>9.6551480687667793E-2</v>
      </c>
      <c r="V2870" t="s">
        <v>157</v>
      </c>
    </row>
    <row r="2871" spans="19:22" x14ac:dyDescent="0.45">
      <c r="S2871" t="s">
        <v>631</v>
      </c>
      <c r="T2871" t="s">
        <v>783</v>
      </c>
      <c r="U2871">
        <v>8.6856486470731659E-2</v>
      </c>
      <c r="V2871" t="s">
        <v>157</v>
      </c>
    </row>
    <row r="2872" spans="19:22" x14ac:dyDescent="0.45">
      <c r="S2872" t="s">
        <v>631</v>
      </c>
      <c r="T2872" t="s">
        <v>784</v>
      </c>
      <c r="U2872">
        <v>1.8005571940816145E-2</v>
      </c>
      <c r="V2872" t="s">
        <v>157</v>
      </c>
    </row>
    <row r="2873" spans="19:22" x14ac:dyDescent="0.45">
      <c r="S2873" t="s">
        <v>631</v>
      </c>
      <c r="T2873" t="s">
        <v>785</v>
      </c>
      <c r="U2873">
        <v>0.12426421674570365</v>
      </c>
      <c r="V2873" t="s">
        <v>157</v>
      </c>
    </row>
    <row r="2874" spans="19:22" x14ac:dyDescent="0.45">
      <c r="S2874" t="s">
        <v>631</v>
      </c>
      <c r="T2874" t="s">
        <v>786</v>
      </c>
      <c r="U2874">
        <v>0.12241780555707389</v>
      </c>
      <c r="V2874" t="s">
        <v>157</v>
      </c>
    </row>
    <row r="2875" spans="19:22" x14ac:dyDescent="0.45">
      <c r="S2875" t="s">
        <v>631</v>
      </c>
      <c r="T2875" t="s">
        <v>787</v>
      </c>
      <c r="U2875">
        <v>2.2274292105097532E-2</v>
      </c>
      <c r="V2875" t="s">
        <v>157</v>
      </c>
    </row>
    <row r="2876" spans="19:22" x14ac:dyDescent="0.45">
      <c r="S2876" t="s">
        <v>631</v>
      </c>
      <c r="T2876" t="s">
        <v>788</v>
      </c>
      <c r="U2876">
        <v>0.10470695973159776</v>
      </c>
      <c r="V2876" t="s">
        <v>157</v>
      </c>
    </row>
    <row r="2877" spans="19:22" x14ac:dyDescent="0.45">
      <c r="S2877" t="s">
        <v>631</v>
      </c>
      <c r="T2877" t="s">
        <v>789</v>
      </c>
      <c r="U2877">
        <v>9.4706105908927363E-2</v>
      </c>
      <c r="V2877" t="s">
        <v>157</v>
      </c>
    </row>
    <row r="2878" spans="19:22" x14ac:dyDescent="0.45">
      <c r="S2878" t="s">
        <v>631</v>
      </c>
      <c r="T2878" t="s">
        <v>790</v>
      </c>
      <c r="U2878">
        <v>1.976940691113048E-2</v>
      </c>
      <c r="V2878" t="s">
        <v>157</v>
      </c>
    </row>
    <row r="2879" spans="19:22" x14ac:dyDescent="0.45">
      <c r="S2879" t="s">
        <v>632</v>
      </c>
      <c r="T2879" t="s">
        <v>779</v>
      </c>
      <c r="U2879">
        <v>0.13341824816391437</v>
      </c>
      <c r="V2879" t="s">
        <v>157</v>
      </c>
    </row>
    <row r="2880" spans="19:22" x14ac:dyDescent="0.45">
      <c r="S2880" t="s">
        <v>632</v>
      </c>
      <c r="T2880" t="s">
        <v>780</v>
      </c>
      <c r="U2880">
        <v>0.14095989645792831</v>
      </c>
      <c r="V2880" t="s">
        <v>157</v>
      </c>
    </row>
    <row r="2881" spans="19:22" x14ac:dyDescent="0.45">
      <c r="S2881" t="s">
        <v>632</v>
      </c>
      <c r="T2881" t="s">
        <v>781</v>
      </c>
      <c r="U2881">
        <v>2.5496133294575445E-2</v>
      </c>
      <c r="V2881" t="s">
        <v>157</v>
      </c>
    </row>
    <row r="2882" spans="19:22" x14ac:dyDescent="0.45">
      <c r="S2882" t="s">
        <v>632</v>
      </c>
      <c r="T2882" t="s">
        <v>782</v>
      </c>
      <c r="U2882">
        <v>9.568290397282013E-2</v>
      </c>
      <c r="V2882" t="s">
        <v>157</v>
      </c>
    </row>
    <row r="2883" spans="19:22" x14ac:dyDescent="0.45">
      <c r="S2883" t="s">
        <v>632</v>
      </c>
      <c r="T2883" t="s">
        <v>783</v>
      </c>
      <c r="U2883">
        <v>9.9873073384053906E-2</v>
      </c>
      <c r="V2883" t="s">
        <v>157</v>
      </c>
    </row>
    <row r="2884" spans="19:22" x14ac:dyDescent="0.45">
      <c r="S2884" t="s">
        <v>632</v>
      </c>
      <c r="T2884" t="s">
        <v>784</v>
      </c>
      <c r="U2884">
        <v>1.9378283577624347E-2</v>
      </c>
      <c r="V2884" t="s">
        <v>157</v>
      </c>
    </row>
    <row r="2885" spans="19:22" x14ac:dyDescent="0.45">
      <c r="S2885" t="s">
        <v>632</v>
      </c>
      <c r="T2885" t="s">
        <v>785</v>
      </c>
      <c r="U2885">
        <v>0.12357635234230391</v>
      </c>
      <c r="V2885" t="s">
        <v>157</v>
      </c>
    </row>
    <row r="2886" spans="19:22" x14ac:dyDescent="0.45">
      <c r="S2886" t="s">
        <v>632</v>
      </c>
      <c r="T2886" t="s">
        <v>786</v>
      </c>
      <c r="U2886">
        <v>0.12507152473928623</v>
      </c>
      <c r="V2886" t="s">
        <v>157</v>
      </c>
    </row>
    <row r="2887" spans="19:22" x14ac:dyDescent="0.45">
      <c r="S2887" t="s">
        <v>632</v>
      </c>
      <c r="T2887" t="s">
        <v>787</v>
      </c>
      <c r="U2887">
        <v>2.2405827131994686E-2</v>
      </c>
      <c r="V2887" t="s">
        <v>157</v>
      </c>
    </row>
    <row r="2888" spans="19:22" x14ac:dyDescent="0.45">
      <c r="S2888" t="s">
        <v>632</v>
      </c>
      <c r="T2888" t="s">
        <v>788</v>
      </c>
      <c r="U2888">
        <v>9.8077816566852161E-2</v>
      </c>
      <c r="V2888" t="s">
        <v>157</v>
      </c>
    </row>
    <row r="2889" spans="19:22" x14ac:dyDescent="0.45">
      <c r="S2889" t="s">
        <v>632</v>
      </c>
      <c r="T2889" t="s">
        <v>789</v>
      </c>
      <c r="U2889">
        <v>9.6381216352941501E-2</v>
      </c>
      <c r="V2889" t="s">
        <v>157</v>
      </c>
    </row>
    <row r="2890" spans="19:22" x14ac:dyDescent="0.45">
      <c r="S2890" t="s">
        <v>632</v>
      </c>
      <c r="T2890" t="s">
        <v>790</v>
      </c>
      <c r="U2890">
        <v>1.9678724015705008E-2</v>
      </c>
      <c r="V2890" t="s">
        <v>157</v>
      </c>
    </row>
    <row r="2891" spans="19:22" x14ac:dyDescent="0.45">
      <c r="S2891" t="s">
        <v>633</v>
      </c>
      <c r="T2891" t="s">
        <v>779</v>
      </c>
      <c r="U2891">
        <v>0.12509987938739145</v>
      </c>
      <c r="V2891" t="s">
        <v>157</v>
      </c>
    </row>
    <row r="2892" spans="19:22" x14ac:dyDescent="0.45">
      <c r="S2892" t="s">
        <v>633</v>
      </c>
      <c r="T2892" t="s">
        <v>780</v>
      </c>
      <c r="U2892">
        <v>0.13810090090712662</v>
      </c>
      <c r="V2892" t="s">
        <v>157</v>
      </c>
    </row>
    <row r="2893" spans="19:22" x14ac:dyDescent="0.45">
      <c r="S2893" t="s">
        <v>633</v>
      </c>
      <c r="T2893" t="s">
        <v>781</v>
      </c>
      <c r="U2893">
        <v>2.4131530118910359E-2</v>
      </c>
      <c r="V2893" t="s">
        <v>157</v>
      </c>
    </row>
    <row r="2894" spans="19:22" x14ac:dyDescent="0.45">
      <c r="S2894" t="s">
        <v>633</v>
      </c>
      <c r="T2894" t="s">
        <v>782</v>
      </c>
      <c r="U2894">
        <v>9.5045633742899815E-2</v>
      </c>
      <c r="V2894" t="s">
        <v>157</v>
      </c>
    </row>
    <row r="2895" spans="19:22" x14ac:dyDescent="0.45">
      <c r="S2895" t="s">
        <v>633</v>
      </c>
      <c r="T2895" t="s">
        <v>783</v>
      </c>
      <c r="U2895">
        <v>0.10545043075485049</v>
      </c>
      <c r="V2895" t="s">
        <v>157</v>
      </c>
    </row>
    <row r="2896" spans="19:22" x14ac:dyDescent="0.45">
      <c r="S2896" t="s">
        <v>633</v>
      </c>
      <c r="T2896" t="s">
        <v>784</v>
      </c>
      <c r="U2896">
        <v>1.9711958484011704E-2</v>
      </c>
      <c r="V2896" t="s">
        <v>157</v>
      </c>
    </row>
    <row r="2897" spans="19:22" x14ac:dyDescent="0.45">
      <c r="S2897" t="s">
        <v>633</v>
      </c>
      <c r="T2897" t="s">
        <v>785</v>
      </c>
      <c r="U2897">
        <v>0.12393809033145015</v>
      </c>
      <c r="V2897" t="s">
        <v>157</v>
      </c>
    </row>
    <row r="2898" spans="19:22" x14ac:dyDescent="0.45">
      <c r="S2898" t="s">
        <v>633</v>
      </c>
      <c r="T2898" t="s">
        <v>786</v>
      </c>
      <c r="U2898">
        <v>0.12862570776188095</v>
      </c>
      <c r="V2898" t="s">
        <v>157</v>
      </c>
    </row>
    <row r="2899" spans="19:22" x14ac:dyDescent="0.45">
      <c r="S2899" t="s">
        <v>633</v>
      </c>
      <c r="T2899" t="s">
        <v>787</v>
      </c>
      <c r="U2899">
        <v>2.2953275981675809E-2</v>
      </c>
      <c r="V2899" t="s">
        <v>157</v>
      </c>
    </row>
    <row r="2900" spans="19:22" x14ac:dyDescent="0.45">
      <c r="S2900" t="s">
        <v>633</v>
      </c>
      <c r="T2900" t="s">
        <v>788</v>
      </c>
      <c r="U2900">
        <v>9.5919200209953315E-2</v>
      </c>
      <c r="V2900" t="s">
        <v>157</v>
      </c>
    </row>
    <row r="2901" spans="19:22" x14ac:dyDescent="0.45">
      <c r="S2901" t="s">
        <v>633</v>
      </c>
      <c r="T2901" t="s">
        <v>789</v>
      </c>
      <c r="U2901">
        <v>0.10038709452919213</v>
      </c>
      <c r="V2901" t="s">
        <v>157</v>
      </c>
    </row>
    <row r="2902" spans="19:22" x14ac:dyDescent="0.45">
      <c r="S2902" t="s">
        <v>633</v>
      </c>
      <c r="T2902" t="s">
        <v>790</v>
      </c>
      <c r="U2902">
        <v>2.0636297790657229E-2</v>
      </c>
      <c r="V2902" t="s">
        <v>157</v>
      </c>
    </row>
    <row r="2903" spans="19:22" x14ac:dyDescent="0.45">
      <c r="S2903" t="s">
        <v>634</v>
      </c>
      <c r="T2903" t="s">
        <v>779</v>
      </c>
      <c r="U2903">
        <v>0.12473029794115678</v>
      </c>
      <c r="V2903" t="s">
        <v>157</v>
      </c>
    </row>
    <row r="2904" spans="19:22" x14ac:dyDescent="0.45">
      <c r="S2904" t="s">
        <v>634</v>
      </c>
      <c r="T2904" t="s">
        <v>780</v>
      </c>
      <c r="U2904">
        <v>0.13719198436322036</v>
      </c>
      <c r="V2904" t="s">
        <v>157</v>
      </c>
    </row>
    <row r="2905" spans="19:22" x14ac:dyDescent="0.45">
      <c r="S2905" t="s">
        <v>634</v>
      </c>
      <c r="T2905" t="s">
        <v>781</v>
      </c>
      <c r="U2905">
        <v>2.348157669867406E-2</v>
      </c>
      <c r="V2905" t="s">
        <v>157</v>
      </c>
    </row>
    <row r="2906" spans="19:22" x14ac:dyDescent="0.45">
      <c r="S2906" t="s">
        <v>634</v>
      </c>
      <c r="T2906" t="s">
        <v>782</v>
      </c>
      <c r="U2906">
        <v>9.3825974525394415E-2</v>
      </c>
      <c r="V2906" t="s">
        <v>157</v>
      </c>
    </row>
    <row r="2907" spans="19:22" x14ac:dyDescent="0.45">
      <c r="S2907" t="s">
        <v>634</v>
      </c>
      <c r="T2907" t="s">
        <v>783</v>
      </c>
      <c r="U2907">
        <v>0.10691585228926263</v>
      </c>
      <c r="V2907" t="s">
        <v>157</v>
      </c>
    </row>
    <row r="2908" spans="19:22" x14ac:dyDescent="0.45">
      <c r="S2908" t="s">
        <v>634</v>
      </c>
      <c r="T2908" t="s">
        <v>784</v>
      </c>
      <c r="U2908">
        <v>1.9275217825625787E-2</v>
      </c>
      <c r="V2908" t="s">
        <v>157</v>
      </c>
    </row>
    <row r="2909" spans="19:22" x14ac:dyDescent="0.45">
      <c r="S2909" t="s">
        <v>634</v>
      </c>
      <c r="T2909" t="s">
        <v>785</v>
      </c>
      <c r="U2909">
        <v>0.12458016489720557</v>
      </c>
      <c r="V2909" t="s">
        <v>157</v>
      </c>
    </row>
    <row r="2910" spans="19:22" x14ac:dyDescent="0.45">
      <c r="S2910" t="s">
        <v>634</v>
      </c>
      <c r="T2910" t="s">
        <v>786</v>
      </c>
      <c r="U2910">
        <v>0.13118198810969872</v>
      </c>
      <c r="V2910" t="s">
        <v>157</v>
      </c>
    </row>
    <row r="2911" spans="19:22" x14ac:dyDescent="0.45">
      <c r="S2911" t="s">
        <v>634</v>
      </c>
      <c r="T2911" t="s">
        <v>787</v>
      </c>
      <c r="U2911">
        <v>2.3029025557951437E-2</v>
      </c>
      <c r="V2911" t="s">
        <v>157</v>
      </c>
    </row>
    <row r="2912" spans="19:22" x14ac:dyDescent="0.45">
      <c r="S2912" t="s">
        <v>634</v>
      </c>
      <c r="T2912" t="s">
        <v>788</v>
      </c>
      <c r="U2912">
        <v>9.3910428294216863E-2</v>
      </c>
      <c r="V2912" t="s">
        <v>157</v>
      </c>
    </row>
    <row r="2913" spans="19:22" x14ac:dyDescent="0.45">
      <c r="S2913" t="s">
        <v>634</v>
      </c>
      <c r="T2913" t="s">
        <v>789</v>
      </c>
      <c r="U2913">
        <v>0.10120714349074801</v>
      </c>
      <c r="V2913" t="s">
        <v>157</v>
      </c>
    </row>
    <row r="2914" spans="19:22" x14ac:dyDescent="0.45">
      <c r="S2914" t="s">
        <v>634</v>
      </c>
      <c r="T2914" t="s">
        <v>790</v>
      </c>
      <c r="U2914">
        <v>2.0670346006845381E-2</v>
      </c>
      <c r="V2914" t="s">
        <v>157</v>
      </c>
    </row>
    <row r="2915" spans="19:22" x14ac:dyDescent="0.45">
      <c r="S2915" t="s">
        <v>635</v>
      </c>
      <c r="T2915" t="s">
        <v>779</v>
      </c>
      <c r="U2915">
        <v>0.12766410527060973</v>
      </c>
      <c r="V2915" t="s">
        <v>157</v>
      </c>
    </row>
    <row r="2916" spans="19:22" x14ac:dyDescent="0.45">
      <c r="S2916" t="s">
        <v>635</v>
      </c>
      <c r="T2916" t="s">
        <v>780</v>
      </c>
      <c r="U2916">
        <v>0.13792869770442609</v>
      </c>
      <c r="V2916" t="s">
        <v>157</v>
      </c>
    </row>
    <row r="2917" spans="19:22" x14ac:dyDescent="0.45">
      <c r="S2917" t="s">
        <v>635</v>
      </c>
      <c r="T2917" t="s">
        <v>781</v>
      </c>
      <c r="U2917">
        <v>2.3943565794796673E-2</v>
      </c>
      <c r="V2917" t="s">
        <v>157</v>
      </c>
    </row>
    <row r="2918" spans="19:22" x14ac:dyDescent="0.45">
      <c r="S2918" t="s">
        <v>635</v>
      </c>
      <c r="T2918" t="s">
        <v>782</v>
      </c>
      <c r="U2918">
        <v>9.3428834567181707E-2</v>
      </c>
      <c r="V2918" t="s">
        <v>157</v>
      </c>
    </row>
    <row r="2919" spans="19:22" x14ac:dyDescent="0.45">
      <c r="S2919" t="s">
        <v>635</v>
      </c>
      <c r="T2919" t="s">
        <v>783</v>
      </c>
      <c r="U2919">
        <v>0.10495352578934315</v>
      </c>
      <c r="V2919" t="s">
        <v>157</v>
      </c>
    </row>
    <row r="2920" spans="19:22" x14ac:dyDescent="0.45">
      <c r="S2920" t="s">
        <v>635</v>
      </c>
      <c r="T2920" t="s">
        <v>784</v>
      </c>
      <c r="U2920">
        <v>1.9491125101352372E-2</v>
      </c>
      <c r="V2920" t="s">
        <v>157</v>
      </c>
    </row>
    <row r="2921" spans="19:22" x14ac:dyDescent="0.45">
      <c r="S2921" t="s">
        <v>635</v>
      </c>
      <c r="T2921" t="s">
        <v>785</v>
      </c>
      <c r="U2921">
        <v>0.12299250542526328</v>
      </c>
      <c r="V2921" t="s">
        <v>157</v>
      </c>
    </row>
    <row r="2922" spans="19:22" x14ac:dyDescent="0.45">
      <c r="S2922" t="s">
        <v>635</v>
      </c>
      <c r="T2922" t="s">
        <v>786</v>
      </c>
      <c r="U2922">
        <v>0.13606967202729134</v>
      </c>
      <c r="V2922" t="s">
        <v>157</v>
      </c>
    </row>
    <row r="2923" spans="19:22" x14ac:dyDescent="0.45">
      <c r="S2923" t="s">
        <v>635</v>
      </c>
      <c r="T2923" t="s">
        <v>787</v>
      </c>
      <c r="U2923">
        <v>2.2743979571017234E-2</v>
      </c>
      <c r="V2923" t="s">
        <v>157</v>
      </c>
    </row>
    <row r="2924" spans="19:22" x14ac:dyDescent="0.45">
      <c r="S2924" t="s">
        <v>635</v>
      </c>
      <c r="T2924" t="s">
        <v>788</v>
      </c>
      <c r="U2924">
        <v>9.1963699608036104E-2</v>
      </c>
      <c r="V2924" t="s">
        <v>157</v>
      </c>
    </row>
    <row r="2925" spans="19:22" x14ac:dyDescent="0.45">
      <c r="S2925" t="s">
        <v>635</v>
      </c>
      <c r="T2925" t="s">
        <v>789</v>
      </c>
      <c r="U2925">
        <v>9.8721328642673689E-2</v>
      </c>
      <c r="V2925" t="s">
        <v>157</v>
      </c>
    </row>
    <row r="2926" spans="19:22" x14ac:dyDescent="0.45">
      <c r="S2926" t="s">
        <v>635</v>
      </c>
      <c r="T2926" t="s">
        <v>790</v>
      </c>
      <c r="U2926">
        <v>2.0098960498008658E-2</v>
      </c>
      <c r="V2926" t="s">
        <v>157</v>
      </c>
    </row>
    <row r="2927" spans="19:22" x14ac:dyDescent="0.45">
      <c r="S2927" t="s">
        <v>636</v>
      </c>
      <c r="T2927" t="s">
        <v>779</v>
      </c>
      <c r="U2927">
        <v>0.12938729754365644</v>
      </c>
      <c r="V2927" t="s">
        <v>157</v>
      </c>
    </row>
    <row r="2928" spans="19:22" x14ac:dyDescent="0.45">
      <c r="S2928" t="s">
        <v>636</v>
      </c>
      <c r="T2928" t="s">
        <v>780</v>
      </c>
      <c r="U2928">
        <v>0.13667562481589191</v>
      </c>
      <c r="V2928" t="s">
        <v>157</v>
      </c>
    </row>
    <row r="2929" spans="19:22" x14ac:dyDescent="0.45">
      <c r="S2929" t="s">
        <v>636</v>
      </c>
      <c r="T2929" t="s">
        <v>781</v>
      </c>
      <c r="U2929">
        <v>2.4483393026403802E-2</v>
      </c>
      <c r="V2929" t="s">
        <v>157</v>
      </c>
    </row>
    <row r="2930" spans="19:22" x14ac:dyDescent="0.45">
      <c r="S2930" t="s">
        <v>636</v>
      </c>
      <c r="T2930" t="s">
        <v>782</v>
      </c>
      <c r="U2930">
        <v>9.3125359224681931E-2</v>
      </c>
      <c r="V2930" t="s">
        <v>157</v>
      </c>
    </row>
    <row r="2931" spans="19:22" x14ac:dyDescent="0.45">
      <c r="S2931" t="s">
        <v>636</v>
      </c>
      <c r="T2931" t="s">
        <v>783</v>
      </c>
      <c r="U2931">
        <v>0.1062177781761591</v>
      </c>
      <c r="V2931" t="s">
        <v>157</v>
      </c>
    </row>
    <row r="2932" spans="19:22" x14ac:dyDescent="0.45">
      <c r="S2932" t="s">
        <v>636</v>
      </c>
      <c r="T2932" t="s">
        <v>784</v>
      </c>
      <c r="U2932">
        <v>2.0293586401194778E-2</v>
      </c>
      <c r="V2932" t="s">
        <v>157</v>
      </c>
    </row>
    <row r="2933" spans="19:22" x14ac:dyDescent="0.45">
      <c r="S2933" t="s">
        <v>636</v>
      </c>
      <c r="T2933" t="s">
        <v>785</v>
      </c>
      <c r="U2933">
        <v>0.1223212378230585</v>
      </c>
      <c r="V2933" t="s">
        <v>157</v>
      </c>
    </row>
    <row r="2934" spans="19:22" x14ac:dyDescent="0.45">
      <c r="S2934" t="s">
        <v>636</v>
      </c>
      <c r="T2934" t="s">
        <v>786</v>
      </c>
      <c r="U2934">
        <v>0.13548482696665456</v>
      </c>
      <c r="V2934" t="s">
        <v>157</v>
      </c>
    </row>
    <row r="2935" spans="19:22" x14ac:dyDescent="0.45">
      <c r="S2935" t="s">
        <v>636</v>
      </c>
      <c r="T2935" t="s">
        <v>787</v>
      </c>
      <c r="U2935">
        <v>2.2707931018484534E-2</v>
      </c>
      <c r="V2935" t="s">
        <v>157</v>
      </c>
    </row>
    <row r="2936" spans="19:22" x14ac:dyDescent="0.45">
      <c r="S2936" t="s">
        <v>636</v>
      </c>
      <c r="T2936" t="s">
        <v>788</v>
      </c>
      <c r="U2936">
        <v>9.1285932257319555E-2</v>
      </c>
      <c r="V2936" t="s">
        <v>157</v>
      </c>
    </row>
    <row r="2937" spans="19:22" x14ac:dyDescent="0.45">
      <c r="S2937" t="s">
        <v>636</v>
      </c>
      <c r="T2937" t="s">
        <v>789</v>
      </c>
      <c r="U2937">
        <v>9.8184284685678552E-2</v>
      </c>
      <c r="V2937" t="s">
        <v>157</v>
      </c>
    </row>
    <row r="2938" spans="19:22" x14ac:dyDescent="0.45">
      <c r="S2938" t="s">
        <v>636</v>
      </c>
      <c r="T2938" t="s">
        <v>790</v>
      </c>
      <c r="U2938">
        <v>1.9832748060816408E-2</v>
      </c>
      <c r="V2938" t="s">
        <v>157</v>
      </c>
    </row>
    <row r="2939" spans="19:22" x14ac:dyDescent="0.45">
      <c r="S2939" t="s">
        <v>637</v>
      </c>
      <c r="T2939" t="s">
        <v>779</v>
      </c>
      <c r="U2939">
        <v>0.13352491779861542</v>
      </c>
      <c r="V2939" t="s">
        <v>157</v>
      </c>
    </row>
    <row r="2940" spans="19:22" x14ac:dyDescent="0.45">
      <c r="S2940" t="s">
        <v>637</v>
      </c>
      <c r="T2940" t="s">
        <v>780</v>
      </c>
      <c r="U2940">
        <v>0.13216529834249585</v>
      </c>
      <c r="V2940" t="s">
        <v>157</v>
      </c>
    </row>
    <row r="2941" spans="19:22" x14ac:dyDescent="0.45">
      <c r="S2941" t="s">
        <v>637</v>
      </c>
      <c r="T2941" t="s">
        <v>781</v>
      </c>
      <c r="U2941">
        <v>2.4500989694288499E-2</v>
      </c>
      <c r="V2941" t="s">
        <v>157</v>
      </c>
    </row>
    <row r="2942" spans="19:22" x14ac:dyDescent="0.45">
      <c r="S2942" t="s">
        <v>637</v>
      </c>
      <c r="T2942" t="s">
        <v>782</v>
      </c>
      <c r="U2942">
        <v>9.3146347949764646E-2</v>
      </c>
      <c r="V2942" t="s">
        <v>157</v>
      </c>
    </row>
    <row r="2943" spans="19:22" x14ac:dyDescent="0.45">
      <c r="S2943" t="s">
        <v>637</v>
      </c>
      <c r="T2943" t="s">
        <v>783</v>
      </c>
      <c r="U2943">
        <v>0.10355214058948339</v>
      </c>
      <c r="V2943" t="s">
        <v>157</v>
      </c>
    </row>
    <row r="2944" spans="19:22" x14ac:dyDescent="0.45">
      <c r="S2944" t="s">
        <v>637</v>
      </c>
      <c r="T2944" t="s">
        <v>784</v>
      </c>
      <c r="U2944">
        <v>2.0415893345841353E-2</v>
      </c>
      <c r="V2944" t="s">
        <v>157</v>
      </c>
    </row>
    <row r="2945" spans="19:22" x14ac:dyDescent="0.45">
      <c r="S2945" t="s">
        <v>637</v>
      </c>
      <c r="T2945" t="s">
        <v>785</v>
      </c>
      <c r="U2945">
        <v>0.12381351418915702</v>
      </c>
      <c r="V2945" t="s">
        <v>157</v>
      </c>
    </row>
    <row r="2946" spans="19:22" x14ac:dyDescent="0.45">
      <c r="S2946" t="s">
        <v>637</v>
      </c>
      <c r="T2946" t="s">
        <v>786</v>
      </c>
      <c r="U2946">
        <v>0.13241541977227075</v>
      </c>
      <c r="V2946" t="s">
        <v>157</v>
      </c>
    </row>
    <row r="2947" spans="19:22" x14ac:dyDescent="0.45">
      <c r="S2947" t="s">
        <v>637</v>
      </c>
      <c r="T2947" t="s">
        <v>787</v>
      </c>
      <c r="U2947">
        <v>2.2236550682739682E-2</v>
      </c>
      <c r="V2947" t="s">
        <v>157</v>
      </c>
    </row>
    <row r="2948" spans="19:22" x14ac:dyDescent="0.45">
      <c r="S2948" t="s">
        <v>637</v>
      </c>
      <c r="T2948" t="s">
        <v>788</v>
      </c>
      <c r="U2948">
        <v>9.7253702686152937E-2</v>
      </c>
      <c r="V2948" t="s">
        <v>157</v>
      </c>
    </row>
    <row r="2949" spans="19:22" x14ac:dyDescent="0.45">
      <c r="S2949" t="s">
        <v>637</v>
      </c>
      <c r="T2949" t="s">
        <v>789</v>
      </c>
      <c r="U2949">
        <v>9.6185037936836915E-2</v>
      </c>
      <c r="V2949" t="s">
        <v>157</v>
      </c>
    </row>
    <row r="2950" spans="19:22" x14ac:dyDescent="0.45">
      <c r="S2950" t="s">
        <v>637</v>
      </c>
      <c r="T2950" t="s">
        <v>790</v>
      </c>
      <c r="U2950">
        <v>2.0790187012353589E-2</v>
      </c>
      <c r="V2950" t="s">
        <v>157</v>
      </c>
    </row>
    <row r="2951" spans="19:22" x14ac:dyDescent="0.45">
      <c r="S2951" t="s">
        <v>638</v>
      </c>
      <c r="T2951" t="s">
        <v>779</v>
      </c>
      <c r="U2951">
        <v>0.14204350878492766</v>
      </c>
      <c r="V2951" t="s">
        <v>157</v>
      </c>
    </row>
    <row r="2952" spans="19:22" x14ac:dyDescent="0.45">
      <c r="S2952" t="s">
        <v>638</v>
      </c>
      <c r="T2952" t="s">
        <v>780</v>
      </c>
      <c r="U2952">
        <v>0.12636675556401109</v>
      </c>
      <c r="V2952" t="s">
        <v>157</v>
      </c>
    </row>
    <row r="2953" spans="19:22" x14ac:dyDescent="0.45">
      <c r="S2953" t="s">
        <v>638</v>
      </c>
      <c r="T2953" t="s">
        <v>781</v>
      </c>
      <c r="U2953">
        <v>2.4119474430266314E-2</v>
      </c>
      <c r="V2953" t="s">
        <v>157</v>
      </c>
    </row>
    <row r="2954" spans="19:22" x14ac:dyDescent="0.45">
      <c r="S2954" t="s">
        <v>638</v>
      </c>
      <c r="T2954" t="s">
        <v>782</v>
      </c>
      <c r="U2954">
        <v>9.5210749720895771E-2</v>
      </c>
      <c r="V2954" t="s">
        <v>157</v>
      </c>
    </row>
    <row r="2955" spans="19:22" x14ac:dyDescent="0.45">
      <c r="S2955" t="s">
        <v>638</v>
      </c>
      <c r="T2955" t="s">
        <v>783</v>
      </c>
      <c r="U2955">
        <v>9.5933739828209741E-2</v>
      </c>
      <c r="V2955" t="s">
        <v>157</v>
      </c>
    </row>
    <row r="2956" spans="19:22" x14ac:dyDescent="0.45">
      <c r="S2956" t="s">
        <v>638</v>
      </c>
      <c r="T2956" t="s">
        <v>784</v>
      </c>
      <c r="U2956">
        <v>1.9777856879130612E-2</v>
      </c>
      <c r="V2956" t="s">
        <v>157</v>
      </c>
    </row>
    <row r="2957" spans="19:22" x14ac:dyDescent="0.45">
      <c r="S2957" t="s">
        <v>638</v>
      </c>
      <c r="T2957" t="s">
        <v>785</v>
      </c>
      <c r="U2957">
        <v>0.12721389252826623</v>
      </c>
      <c r="V2957" t="s">
        <v>157</v>
      </c>
    </row>
    <row r="2958" spans="19:22" x14ac:dyDescent="0.45">
      <c r="S2958" t="s">
        <v>638</v>
      </c>
      <c r="T2958" t="s">
        <v>786</v>
      </c>
      <c r="U2958">
        <v>0.12721460531446713</v>
      </c>
      <c r="V2958" t="s">
        <v>157</v>
      </c>
    </row>
    <row r="2959" spans="19:22" x14ac:dyDescent="0.45">
      <c r="S2959" t="s">
        <v>638</v>
      </c>
      <c r="T2959" t="s">
        <v>787</v>
      </c>
      <c r="U2959">
        <v>2.1883408575149123E-2</v>
      </c>
      <c r="V2959" t="s">
        <v>157</v>
      </c>
    </row>
    <row r="2960" spans="19:22" x14ac:dyDescent="0.45">
      <c r="S2960" t="s">
        <v>638</v>
      </c>
      <c r="T2960" t="s">
        <v>788</v>
      </c>
      <c r="U2960">
        <v>0.10628570804193006</v>
      </c>
      <c r="V2960" t="s">
        <v>157</v>
      </c>
    </row>
    <row r="2961" spans="19:22" x14ac:dyDescent="0.45">
      <c r="S2961" t="s">
        <v>638</v>
      </c>
      <c r="T2961" t="s">
        <v>789</v>
      </c>
      <c r="U2961">
        <v>9.2113628533589439E-2</v>
      </c>
      <c r="V2961" t="s">
        <v>157</v>
      </c>
    </row>
    <row r="2962" spans="19:22" x14ac:dyDescent="0.45">
      <c r="S2962" t="s">
        <v>638</v>
      </c>
      <c r="T2962" t="s">
        <v>790</v>
      </c>
      <c r="U2962">
        <v>2.1836671799156868E-2</v>
      </c>
      <c r="V2962" t="s">
        <v>157</v>
      </c>
    </row>
    <row r="2963" spans="19:22" x14ac:dyDescent="0.45">
      <c r="S2963" t="s">
        <v>639</v>
      </c>
      <c r="T2963" t="s">
        <v>779</v>
      </c>
      <c r="U2963">
        <v>0.14807226750288349</v>
      </c>
      <c r="V2963" t="s">
        <v>157</v>
      </c>
    </row>
    <row r="2964" spans="19:22" x14ac:dyDescent="0.45">
      <c r="S2964" t="s">
        <v>639</v>
      </c>
      <c r="T2964" t="s">
        <v>780</v>
      </c>
      <c r="U2964">
        <v>0.11994139948142796</v>
      </c>
      <c r="V2964" t="s">
        <v>157</v>
      </c>
    </row>
    <row r="2965" spans="19:22" x14ac:dyDescent="0.45">
      <c r="S2965" t="s">
        <v>639</v>
      </c>
      <c r="T2965" t="s">
        <v>781</v>
      </c>
      <c r="U2965">
        <v>2.3661332395380728E-2</v>
      </c>
      <c r="V2965" t="s">
        <v>157</v>
      </c>
    </row>
    <row r="2966" spans="19:22" x14ac:dyDescent="0.45">
      <c r="S2966" t="s">
        <v>639</v>
      </c>
      <c r="T2966" t="s">
        <v>782</v>
      </c>
      <c r="U2966">
        <v>9.8417800818569379E-2</v>
      </c>
      <c r="V2966" t="s">
        <v>157</v>
      </c>
    </row>
    <row r="2967" spans="19:22" x14ac:dyDescent="0.45">
      <c r="S2967" t="s">
        <v>639</v>
      </c>
      <c r="T2967" t="s">
        <v>783</v>
      </c>
      <c r="U2967">
        <v>8.8260293806007722E-2</v>
      </c>
      <c r="V2967" t="s">
        <v>157</v>
      </c>
    </row>
    <row r="2968" spans="19:22" x14ac:dyDescent="0.45">
      <c r="S2968" t="s">
        <v>639</v>
      </c>
      <c r="T2968" t="s">
        <v>784</v>
      </c>
      <c r="U2968">
        <v>1.8684878161913186E-2</v>
      </c>
      <c r="V2968" t="s">
        <v>157</v>
      </c>
    </row>
    <row r="2969" spans="19:22" x14ac:dyDescent="0.45">
      <c r="S2969" t="s">
        <v>639</v>
      </c>
      <c r="T2969" t="s">
        <v>785</v>
      </c>
      <c r="U2969">
        <v>0.13075131170161799</v>
      </c>
      <c r="V2969" t="s">
        <v>157</v>
      </c>
    </row>
    <row r="2970" spans="19:22" x14ac:dyDescent="0.45">
      <c r="S2970" t="s">
        <v>639</v>
      </c>
      <c r="T2970" t="s">
        <v>786</v>
      </c>
      <c r="U2970">
        <v>0.12271759010180439</v>
      </c>
      <c r="V2970" t="s">
        <v>157</v>
      </c>
    </row>
    <row r="2971" spans="19:22" x14ac:dyDescent="0.45">
      <c r="S2971" t="s">
        <v>639</v>
      </c>
      <c r="T2971" t="s">
        <v>787</v>
      </c>
      <c r="U2971">
        <v>2.1948821509152026E-2</v>
      </c>
      <c r="V2971" t="s">
        <v>157</v>
      </c>
    </row>
    <row r="2972" spans="19:22" x14ac:dyDescent="0.45">
      <c r="S2972" t="s">
        <v>639</v>
      </c>
      <c r="T2972" t="s">
        <v>788</v>
      </c>
      <c r="U2972">
        <v>0.11200465732945761</v>
      </c>
      <c r="V2972" t="s">
        <v>157</v>
      </c>
    </row>
    <row r="2973" spans="19:22" x14ac:dyDescent="0.45">
      <c r="S2973" t="s">
        <v>639</v>
      </c>
      <c r="T2973" t="s">
        <v>789</v>
      </c>
      <c r="U2973">
        <v>9.3328985180661753E-2</v>
      </c>
      <c r="V2973" t="s">
        <v>157</v>
      </c>
    </row>
    <row r="2974" spans="19:22" x14ac:dyDescent="0.45">
      <c r="S2974" t="s">
        <v>639</v>
      </c>
      <c r="T2974" t="s">
        <v>790</v>
      </c>
      <c r="U2974">
        <v>2.2210662011123865E-2</v>
      </c>
      <c r="V2974" t="s">
        <v>157</v>
      </c>
    </row>
    <row r="2975" spans="19:22" x14ac:dyDescent="0.45">
      <c r="S2975" t="s">
        <v>640</v>
      </c>
      <c r="T2975" t="s">
        <v>779</v>
      </c>
      <c r="U2975">
        <v>0.13898645251847716</v>
      </c>
      <c r="V2975" t="s">
        <v>157</v>
      </c>
    </row>
    <row r="2976" spans="19:22" x14ac:dyDescent="0.45">
      <c r="S2976" t="s">
        <v>640</v>
      </c>
      <c r="T2976" t="s">
        <v>780</v>
      </c>
      <c r="U2976">
        <v>0.11761939351902422</v>
      </c>
      <c r="V2976" t="s">
        <v>157</v>
      </c>
    </row>
    <row r="2977" spans="19:22" x14ac:dyDescent="0.45">
      <c r="S2977" t="s">
        <v>640</v>
      </c>
      <c r="T2977" t="s">
        <v>781</v>
      </c>
      <c r="U2977">
        <v>2.4169049881069597E-2</v>
      </c>
      <c r="V2977" t="s">
        <v>157</v>
      </c>
    </row>
    <row r="2978" spans="19:22" x14ac:dyDescent="0.45">
      <c r="S2978" t="s">
        <v>640</v>
      </c>
      <c r="T2978" t="s">
        <v>782</v>
      </c>
      <c r="U2978">
        <v>0.10171892230884279</v>
      </c>
      <c r="V2978" t="s">
        <v>157</v>
      </c>
    </row>
    <row r="2979" spans="19:22" x14ac:dyDescent="0.45">
      <c r="S2979" t="s">
        <v>640</v>
      </c>
      <c r="T2979" t="s">
        <v>783</v>
      </c>
      <c r="U2979">
        <v>9.1852328987940365E-2</v>
      </c>
      <c r="V2979" t="s">
        <v>157</v>
      </c>
    </row>
    <row r="2980" spans="19:22" x14ac:dyDescent="0.45">
      <c r="S2980" t="s">
        <v>640</v>
      </c>
      <c r="T2980" t="s">
        <v>784</v>
      </c>
      <c r="U2980">
        <v>1.8820954675211606E-2</v>
      </c>
      <c r="V2980" t="s">
        <v>157</v>
      </c>
    </row>
    <row r="2981" spans="19:22" x14ac:dyDescent="0.45">
      <c r="S2981" t="s">
        <v>640</v>
      </c>
      <c r="T2981" t="s">
        <v>785</v>
      </c>
      <c r="U2981">
        <v>0.12718645481960042</v>
      </c>
      <c r="V2981" t="s">
        <v>157</v>
      </c>
    </row>
    <row r="2982" spans="19:22" x14ac:dyDescent="0.45">
      <c r="S2982" t="s">
        <v>640</v>
      </c>
      <c r="T2982" t="s">
        <v>786</v>
      </c>
      <c r="U2982">
        <v>0.12103104092398058</v>
      </c>
      <c r="V2982" t="s">
        <v>157</v>
      </c>
    </row>
    <row r="2983" spans="19:22" x14ac:dyDescent="0.45">
      <c r="S2983" t="s">
        <v>640</v>
      </c>
      <c r="T2983" t="s">
        <v>787</v>
      </c>
      <c r="U2983">
        <v>2.230493834209947E-2</v>
      </c>
      <c r="V2983" t="s">
        <v>157</v>
      </c>
    </row>
    <row r="2984" spans="19:22" x14ac:dyDescent="0.45">
      <c r="S2984" t="s">
        <v>640</v>
      </c>
      <c r="T2984" t="s">
        <v>788</v>
      </c>
      <c r="U2984">
        <v>0.11112452797371292</v>
      </c>
      <c r="V2984" t="s">
        <v>157</v>
      </c>
    </row>
    <row r="2985" spans="19:22" x14ac:dyDescent="0.45">
      <c r="S2985" t="s">
        <v>640</v>
      </c>
      <c r="T2985" t="s">
        <v>789</v>
      </c>
      <c r="U2985">
        <v>0.10306629261331766</v>
      </c>
      <c r="V2985" t="s">
        <v>157</v>
      </c>
    </row>
    <row r="2986" spans="19:22" x14ac:dyDescent="0.45">
      <c r="S2986" t="s">
        <v>640</v>
      </c>
      <c r="T2986" t="s">
        <v>790</v>
      </c>
      <c r="U2986">
        <v>2.2119643436723277E-2</v>
      </c>
      <c r="V2986" t="s">
        <v>157</v>
      </c>
    </row>
    <row r="2987" spans="19:22" x14ac:dyDescent="0.45">
      <c r="S2987" t="s">
        <v>641</v>
      </c>
      <c r="T2987" t="s">
        <v>779</v>
      </c>
      <c r="U2987">
        <v>0.12712246327468338</v>
      </c>
      <c r="V2987" t="s">
        <v>157</v>
      </c>
    </row>
    <row r="2988" spans="19:22" x14ac:dyDescent="0.45">
      <c r="S2988" t="s">
        <v>641</v>
      </c>
      <c r="T2988" t="s">
        <v>780</v>
      </c>
      <c r="U2988">
        <v>0.11953544506355843</v>
      </c>
      <c r="V2988" t="s">
        <v>157</v>
      </c>
    </row>
    <row r="2989" spans="19:22" x14ac:dyDescent="0.45">
      <c r="S2989" t="s">
        <v>641</v>
      </c>
      <c r="T2989" t="s">
        <v>781</v>
      </c>
      <c r="U2989">
        <v>2.4503697783019168E-2</v>
      </c>
      <c r="V2989" t="s">
        <v>157</v>
      </c>
    </row>
    <row r="2990" spans="19:22" x14ac:dyDescent="0.45">
      <c r="S2990" t="s">
        <v>641</v>
      </c>
      <c r="T2990" t="s">
        <v>782</v>
      </c>
      <c r="U2990">
        <v>0.10341660808746475</v>
      </c>
      <c r="V2990" t="s">
        <v>157</v>
      </c>
    </row>
    <row r="2991" spans="19:22" x14ac:dyDescent="0.45">
      <c r="S2991" t="s">
        <v>641</v>
      </c>
      <c r="T2991" t="s">
        <v>783</v>
      </c>
      <c r="U2991">
        <v>0.10102706847714528</v>
      </c>
      <c r="V2991" t="s">
        <v>157</v>
      </c>
    </row>
    <row r="2992" spans="19:22" x14ac:dyDescent="0.45">
      <c r="S2992" t="s">
        <v>641</v>
      </c>
      <c r="T2992" t="s">
        <v>784</v>
      </c>
      <c r="U2992">
        <v>1.9870068590888419E-2</v>
      </c>
      <c r="V2992" t="s">
        <v>157</v>
      </c>
    </row>
    <row r="2993" spans="19:22" x14ac:dyDescent="0.45">
      <c r="S2993" t="s">
        <v>641</v>
      </c>
      <c r="T2993" t="s">
        <v>785</v>
      </c>
      <c r="U2993">
        <v>0.12203014362655541</v>
      </c>
      <c r="V2993" t="s">
        <v>157</v>
      </c>
    </row>
    <row r="2994" spans="19:22" x14ac:dyDescent="0.45">
      <c r="S2994" t="s">
        <v>641</v>
      </c>
      <c r="T2994" t="s">
        <v>786</v>
      </c>
      <c r="U2994">
        <v>0.1223801963043698</v>
      </c>
      <c r="V2994" t="s">
        <v>157</v>
      </c>
    </row>
    <row r="2995" spans="19:22" x14ac:dyDescent="0.45">
      <c r="S2995" t="s">
        <v>641</v>
      </c>
      <c r="T2995" t="s">
        <v>787</v>
      </c>
      <c r="U2995">
        <v>2.2477897697504537E-2</v>
      </c>
      <c r="V2995" t="s">
        <v>157</v>
      </c>
    </row>
    <row r="2996" spans="19:22" x14ac:dyDescent="0.45">
      <c r="S2996" t="s">
        <v>641</v>
      </c>
      <c r="T2996" t="s">
        <v>788</v>
      </c>
      <c r="U2996">
        <v>0.10755405074495987</v>
      </c>
      <c r="V2996" t="s">
        <v>157</v>
      </c>
    </row>
    <row r="2997" spans="19:22" x14ac:dyDescent="0.45">
      <c r="S2997" t="s">
        <v>641</v>
      </c>
      <c r="T2997" t="s">
        <v>789</v>
      </c>
      <c r="U2997">
        <v>0.10865864223493028</v>
      </c>
      <c r="V2997" t="s">
        <v>157</v>
      </c>
    </row>
    <row r="2998" spans="19:22" x14ac:dyDescent="0.45">
      <c r="S2998" t="s">
        <v>641</v>
      </c>
      <c r="T2998" t="s">
        <v>790</v>
      </c>
      <c r="U2998">
        <v>2.1423718114920658E-2</v>
      </c>
      <c r="V2998" t="s">
        <v>157</v>
      </c>
    </row>
    <row r="2999" spans="19:22" x14ac:dyDescent="0.45">
      <c r="S2999" t="s">
        <v>642</v>
      </c>
      <c r="T2999" t="s">
        <v>779</v>
      </c>
      <c r="U2999">
        <v>0.12215214698490652</v>
      </c>
      <c r="V2999" t="s">
        <v>157</v>
      </c>
    </row>
    <row r="3000" spans="19:22" x14ac:dyDescent="0.45">
      <c r="S3000" t="s">
        <v>642</v>
      </c>
      <c r="T3000" t="s">
        <v>780</v>
      </c>
      <c r="U3000">
        <v>0.12109559648123382</v>
      </c>
      <c r="V3000" t="s">
        <v>157</v>
      </c>
    </row>
    <row r="3001" spans="19:22" x14ac:dyDescent="0.45">
      <c r="S3001" t="s">
        <v>642</v>
      </c>
      <c r="T3001" t="s">
        <v>781</v>
      </c>
      <c r="U3001">
        <v>2.371490186188923E-2</v>
      </c>
      <c r="V3001" t="s">
        <v>157</v>
      </c>
    </row>
    <row r="3002" spans="19:22" x14ac:dyDescent="0.45">
      <c r="S3002" t="s">
        <v>642</v>
      </c>
      <c r="T3002" t="s">
        <v>782</v>
      </c>
      <c r="U3002">
        <v>0.10490719272382261</v>
      </c>
      <c r="V3002" t="s">
        <v>157</v>
      </c>
    </row>
    <row r="3003" spans="19:22" x14ac:dyDescent="0.45">
      <c r="S3003" t="s">
        <v>642</v>
      </c>
      <c r="T3003" t="s">
        <v>783</v>
      </c>
      <c r="U3003">
        <v>0.10736336988623463</v>
      </c>
      <c r="V3003" t="s">
        <v>157</v>
      </c>
    </row>
    <row r="3004" spans="19:22" x14ac:dyDescent="0.45">
      <c r="S3004" t="s">
        <v>642</v>
      </c>
      <c r="T3004" t="s">
        <v>784</v>
      </c>
      <c r="U3004">
        <v>2.0528253578241007E-2</v>
      </c>
      <c r="V3004" t="s">
        <v>157</v>
      </c>
    </row>
    <row r="3005" spans="19:22" x14ac:dyDescent="0.45">
      <c r="S3005" t="s">
        <v>642</v>
      </c>
      <c r="T3005" t="s">
        <v>785</v>
      </c>
      <c r="U3005">
        <v>0.12083724781208738</v>
      </c>
      <c r="V3005" t="s">
        <v>157</v>
      </c>
    </row>
    <row r="3006" spans="19:22" x14ac:dyDescent="0.45">
      <c r="S3006" t="s">
        <v>642</v>
      </c>
      <c r="T3006" t="s">
        <v>786</v>
      </c>
      <c r="U3006">
        <v>0.12454293674861641</v>
      </c>
      <c r="V3006" t="s">
        <v>157</v>
      </c>
    </row>
    <row r="3007" spans="19:22" x14ac:dyDescent="0.45">
      <c r="S3007" t="s">
        <v>642</v>
      </c>
      <c r="T3007" t="s">
        <v>787</v>
      </c>
      <c r="U3007">
        <v>2.2437882744468573E-2</v>
      </c>
      <c r="V3007" t="s">
        <v>157</v>
      </c>
    </row>
    <row r="3008" spans="19:22" x14ac:dyDescent="0.45">
      <c r="S3008" t="s">
        <v>642</v>
      </c>
      <c r="T3008" t="s">
        <v>788</v>
      </c>
      <c r="U3008">
        <v>0.10456565219343218</v>
      </c>
      <c r="V3008" t="s">
        <v>157</v>
      </c>
    </row>
    <row r="3009" spans="19:22" x14ac:dyDescent="0.45">
      <c r="S3009" t="s">
        <v>642</v>
      </c>
      <c r="T3009" t="s">
        <v>789</v>
      </c>
      <c r="U3009">
        <v>0.10785450977990074</v>
      </c>
      <c r="V3009" t="s">
        <v>157</v>
      </c>
    </row>
    <row r="3010" spans="19:22" x14ac:dyDescent="0.45">
      <c r="S3010" t="s">
        <v>642</v>
      </c>
      <c r="T3010" t="s">
        <v>790</v>
      </c>
      <c r="U3010">
        <v>2.0000309205166895E-2</v>
      </c>
      <c r="V3010" t="s">
        <v>157</v>
      </c>
    </row>
    <row r="3011" spans="19:22" x14ac:dyDescent="0.45">
      <c r="S3011" t="s">
        <v>643</v>
      </c>
      <c r="T3011" t="s">
        <v>779</v>
      </c>
      <c r="U3011">
        <v>0.11948759768557317</v>
      </c>
      <c r="V3011" t="s">
        <v>157</v>
      </c>
    </row>
    <row r="3012" spans="19:22" x14ac:dyDescent="0.45">
      <c r="S3012" t="s">
        <v>643</v>
      </c>
      <c r="T3012" t="s">
        <v>780</v>
      </c>
      <c r="U3012">
        <v>0.11994041373084643</v>
      </c>
      <c r="V3012" t="s">
        <v>157</v>
      </c>
    </row>
    <row r="3013" spans="19:22" x14ac:dyDescent="0.45">
      <c r="S3013" t="s">
        <v>643</v>
      </c>
      <c r="T3013" t="s">
        <v>781</v>
      </c>
      <c r="U3013">
        <v>2.2876744397561134E-2</v>
      </c>
      <c r="V3013" t="s">
        <v>157</v>
      </c>
    </row>
    <row r="3014" spans="19:22" x14ac:dyDescent="0.45">
      <c r="S3014" t="s">
        <v>643</v>
      </c>
      <c r="T3014" t="s">
        <v>782</v>
      </c>
      <c r="U3014">
        <v>0.10886148451840259</v>
      </c>
      <c r="V3014" t="s">
        <v>157</v>
      </c>
    </row>
    <row r="3015" spans="19:22" x14ac:dyDescent="0.45">
      <c r="S3015" t="s">
        <v>643</v>
      </c>
      <c r="T3015" t="s">
        <v>783</v>
      </c>
      <c r="U3015">
        <v>0.11072289267027809</v>
      </c>
      <c r="V3015" t="s">
        <v>157</v>
      </c>
    </row>
    <row r="3016" spans="19:22" x14ac:dyDescent="0.45">
      <c r="S3016" t="s">
        <v>643</v>
      </c>
      <c r="T3016" t="s">
        <v>784</v>
      </c>
      <c r="U3016">
        <v>2.0611221502254147E-2</v>
      </c>
      <c r="V3016" t="s">
        <v>157</v>
      </c>
    </row>
    <row r="3017" spans="19:22" x14ac:dyDescent="0.45">
      <c r="S3017" t="s">
        <v>643</v>
      </c>
      <c r="T3017" t="s">
        <v>785</v>
      </c>
      <c r="U3017">
        <v>0.11967052773043195</v>
      </c>
      <c r="V3017" t="s">
        <v>157</v>
      </c>
    </row>
    <row r="3018" spans="19:22" x14ac:dyDescent="0.45">
      <c r="S3018" t="s">
        <v>643</v>
      </c>
      <c r="T3018" t="s">
        <v>786</v>
      </c>
      <c r="U3018">
        <v>0.12326982389611882</v>
      </c>
      <c r="V3018" t="s">
        <v>157</v>
      </c>
    </row>
    <row r="3019" spans="19:22" x14ac:dyDescent="0.45">
      <c r="S3019" t="s">
        <v>643</v>
      </c>
      <c r="T3019" t="s">
        <v>787</v>
      </c>
      <c r="U3019">
        <v>2.2265634270590234E-2</v>
      </c>
      <c r="V3019" t="s">
        <v>157</v>
      </c>
    </row>
    <row r="3020" spans="19:22" x14ac:dyDescent="0.45">
      <c r="S3020" t="s">
        <v>643</v>
      </c>
      <c r="T3020" t="s">
        <v>788</v>
      </c>
      <c r="U3020">
        <v>0.10511583708310922</v>
      </c>
      <c r="V3020" t="s">
        <v>157</v>
      </c>
    </row>
    <row r="3021" spans="19:22" x14ac:dyDescent="0.45">
      <c r="S3021" t="s">
        <v>643</v>
      </c>
      <c r="T3021" t="s">
        <v>789</v>
      </c>
      <c r="U3021">
        <v>0.10787024453779373</v>
      </c>
      <c r="V3021" t="s">
        <v>157</v>
      </c>
    </row>
    <row r="3022" spans="19:22" x14ac:dyDescent="0.45">
      <c r="S3022" t="s">
        <v>643</v>
      </c>
      <c r="T3022" t="s">
        <v>790</v>
      </c>
      <c r="U3022">
        <v>1.9307577977040444E-2</v>
      </c>
      <c r="V3022" t="s">
        <v>157</v>
      </c>
    </row>
    <row r="3023" spans="19:22" x14ac:dyDescent="0.45">
      <c r="S3023" t="s">
        <v>644</v>
      </c>
      <c r="T3023" t="s">
        <v>779</v>
      </c>
      <c r="U3023">
        <v>0.11702440215838293</v>
      </c>
      <c r="V3023" t="s">
        <v>157</v>
      </c>
    </row>
    <row r="3024" spans="19:22" x14ac:dyDescent="0.45">
      <c r="S3024" t="s">
        <v>644</v>
      </c>
      <c r="T3024" t="s">
        <v>780</v>
      </c>
      <c r="U3024">
        <v>0.11845591335533218</v>
      </c>
      <c r="V3024" t="s">
        <v>157</v>
      </c>
    </row>
    <row r="3025" spans="19:22" x14ac:dyDescent="0.45">
      <c r="S3025" t="s">
        <v>644</v>
      </c>
      <c r="T3025" t="s">
        <v>781</v>
      </c>
      <c r="U3025">
        <v>2.2345088728682291E-2</v>
      </c>
      <c r="V3025" t="s">
        <v>157</v>
      </c>
    </row>
    <row r="3026" spans="19:22" x14ac:dyDescent="0.45">
      <c r="S3026" t="s">
        <v>644</v>
      </c>
      <c r="T3026" t="s">
        <v>782</v>
      </c>
      <c r="U3026">
        <v>0.11232274770349343</v>
      </c>
      <c r="V3026" t="s">
        <v>157</v>
      </c>
    </row>
    <row r="3027" spans="19:22" x14ac:dyDescent="0.45">
      <c r="S3027" t="s">
        <v>644</v>
      </c>
      <c r="T3027" t="s">
        <v>783</v>
      </c>
      <c r="U3027">
        <v>0.11299690418719337</v>
      </c>
      <c r="V3027" t="s">
        <v>157</v>
      </c>
    </row>
    <row r="3028" spans="19:22" x14ac:dyDescent="0.45">
      <c r="S3028" t="s">
        <v>644</v>
      </c>
      <c r="T3028" t="s">
        <v>784</v>
      </c>
      <c r="U3028">
        <v>2.0612739310792022E-2</v>
      </c>
      <c r="V3028" t="s">
        <v>157</v>
      </c>
    </row>
    <row r="3029" spans="19:22" x14ac:dyDescent="0.45">
      <c r="S3029" t="s">
        <v>644</v>
      </c>
      <c r="T3029" t="s">
        <v>785</v>
      </c>
      <c r="U3029">
        <v>0.11957645596475394</v>
      </c>
      <c r="V3029" t="s">
        <v>157</v>
      </c>
    </row>
    <row r="3030" spans="19:22" x14ac:dyDescent="0.45">
      <c r="S3030" t="s">
        <v>644</v>
      </c>
      <c r="T3030" t="s">
        <v>786</v>
      </c>
      <c r="U3030">
        <v>0.12245924158432692</v>
      </c>
      <c r="V3030" t="s">
        <v>157</v>
      </c>
    </row>
    <row r="3031" spans="19:22" x14ac:dyDescent="0.45">
      <c r="S3031" t="s">
        <v>644</v>
      </c>
      <c r="T3031" t="s">
        <v>787</v>
      </c>
      <c r="U3031">
        <v>2.2667698316522145E-2</v>
      </c>
      <c r="V3031" t="s">
        <v>157</v>
      </c>
    </row>
    <row r="3032" spans="19:22" x14ac:dyDescent="0.45">
      <c r="S3032" t="s">
        <v>644</v>
      </c>
      <c r="T3032" t="s">
        <v>788</v>
      </c>
      <c r="U3032">
        <v>0.10558964713297801</v>
      </c>
      <c r="V3032" t="s">
        <v>157</v>
      </c>
    </row>
    <row r="3033" spans="19:22" x14ac:dyDescent="0.45">
      <c r="S3033" t="s">
        <v>644</v>
      </c>
      <c r="T3033" t="s">
        <v>789</v>
      </c>
      <c r="U3033">
        <v>0.1066076063414044</v>
      </c>
      <c r="V3033" t="s">
        <v>157</v>
      </c>
    </row>
    <row r="3034" spans="19:22" x14ac:dyDescent="0.45">
      <c r="S3034" t="s">
        <v>644</v>
      </c>
      <c r="T3034" t="s">
        <v>790</v>
      </c>
      <c r="U3034">
        <v>1.9341555216138277E-2</v>
      </c>
      <c r="V3034" t="s">
        <v>157</v>
      </c>
    </row>
    <row r="3035" spans="19:22" x14ac:dyDescent="0.45">
      <c r="S3035" t="s">
        <v>645</v>
      </c>
      <c r="T3035" t="s">
        <v>779</v>
      </c>
      <c r="U3035">
        <v>9.7568634480643485E-2</v>
      </c>
      <c r="V3035" t="s">
        <v>157</v>
      </c>
    </row>
    <row r="3036" spans="19:22" x14ac:dyDescent="0.45">
      <c r="S3036" t="s">
        <v>645</v>
      </c>
      <c r="T3036" t="s">
        <v>780</v>
      </c>
      <c r="U3036">
        <v>0.11871237807034295</v>
      </c>
      <c r="V3036" t="s">
        <v>157</v>
      </c>
    </row>
    <row r="3037" spans="19:22" x14ac:dyDescent="0.45">
      <c r="S3037" t="s">
        <v>645</v>
      </c>
      <c r="T3037" t="s">
        <v>781</v>
      </c>
      <c r="U3037">
        <v>1.8725335053572736E-2</v>
      </c>
      <c r="V3037" t="s">
        <v>157</v>
      </c>
    </row>
    <row r="3038" spans="19:22" x14ac:dyDescent="0.45">
      <c r="S3038" t="s">
        <v>645</v>
      </c>
      <c r="T3038" t="s">
        <v>782</v>
      </c>
      <c r="U3038">
        <v>0.11274660957858203</v>
      </c>
      <c r="V3038" t="s">
        <v>157</v>
      </c>
    </row>
    <row r="3039" spans="19:22" x14ac:dyDescent="0.45">
      <c r="S3039" t="s">
        <v>645</v>
      </c>
      <c r="T3039" t="s">
        <v>783</v>
      </c>
      <c r="U3039">
        <v>0.11543174628143002</v>
      </c>
      <c r="V3039" t="s">
        <v>157</v>
      </c>
    </row>
    <row r="3040" spans="19:22" x14ac:dyDescent="0.45">
      <c r="S3040" t="s">
        <v>645</v>
      </c>
      <c r="T3040" t="s">
        <v>784</v>
      </c>
      <c r="U3040">
        <v>2.0060074000075184E-2</v>
      </c>
      <c r="V3040" t="s">
        <v>157</v>
      </c>
    </row>
    <row r="3041" spans="19:22" x14ac:dyDescent="0.45">
      <c r="S3041" t="s">
        <v>645</v>
      </c>
      <c r="T3041" t="s">
        <v>785</v>
      </c>
      <c r="U3041">
        <v>0.12353154834324002</v>
      </c>
      <c r="V3041" t="s">
        <v>157</v>
      </c>
    </row>
    <row r="3042" spans="19:22" x14ac:dyDescent="0.45">
      <c r="S3042" t="s">
        <v>645</v>
      </c>
      <c r="T3042" t="s">
        <v>786</v>
      </c>
      <c r="U3042">
        <v>0.12661067708728238</v>
      </c>
      <c r="V3042" t="s">
        <v>157</v>
      </c>
    </row>
    <row r="3043" spans="19:22" x14ac:dyDescent="0.45">
      <c r="S3043" t="s">
        <v>645</v>
      </c>
      <c r="T3043" t="s">
        <v>787</v>
      </c>
      <c r="U3043">
        <v>2.2783015537331891E-2</v>
      </c>
      <c r="V3043" t="s">
        <v>157</v>
      </c>
    </row>
    <row r="3044" spans="19:22" x14ac:dyDescent="0.45">
      <c r="S3044" t="s">
        <v>645</v>
      </c>
      <c r="T3044" t="s">
        <v>788</v>
      </c>
      <c r="U3044">
        <v>0.11412124925799964</v>
      </c>
      <c r="V3044" t="s">
        <v>157</v>
      </c>
    </row>
    <row r="3045" spans="19:22" x14ac:dyDescent="0.45">
      <c r="S3045" t="s">
        <v>645</v>
      </c>
      <c r="T3045" t="s">
        <v>789</v>
      </c>
      <c r="U3045">
        <v>0.10946135238710364</v>
      </c>
      <c r="V3045" t="s">
        <v>157</v>
      </c>
    </row>
    <row r="3046" spans="19:22" x14ac:dyDescent="0.45">
      <c r="S3046" t="s">
        <v>645</v>
      </c>
      <c r="T3046" t="s">
        <v>790</v>
      </c>
      <c r="U3046">
        <v>2.0247379922395916E-2</v>
      </c>
      <c r="V3046" t="s">
        <v>157</v>
      </c>
    </row>
    <row r="3047" spans="19:22" x14ac:dyDescent="0.45">
      <c r="S3047" t="s">
        <v>646</v>
      </c>
      <c r="T3047" t="s">
        <v>779</v>
      </c>
      <c r="U3047">
        <v>9.6347167971727543E-2</v>
      </c>
      <c r="V3047" t="s">
        <v>157</v>
      </c>
    </row>
    <row r="3048" spans="19:22" x14ac:dyDescent="0.45">
      <c r="S3048" t="s">
        <v>646</v>
      </c>
      <c r="T3048" t="s">
        <v>780</v>
      </c>
      <c r="U3048">
        <v>0.12042592759140003</v>
      </c>
      <c r="V3048" t="s">
        <v>157</v>
      </c>
    </row>
    <row r="3049" spans="19:22" x14ac:dyDescent="0.45">
      <c r="S3049" t="s">
        <v>646</v>
      </c>
      <c r="T3049" t="s">
        <v>781</v>
      </c>
      <c r="U3049">
        <v>1.9396586454532974E-2</v>
      </c>
      <c r="V3049" t="s">
        <v>157</v>
      </c>
    </row>
    <row r="3050" spans="19:22" x14ac:dyDescent="0.45">
      <c r="S3050" t="s">
        <v>646</v>
      </c>
      <c r="T3050" t="s">
        <v>782</v>
      </c>
      <c r="U3050">
        <v>0.10973669083649092</v>
      </c>
      <c r="V3050" t="s">
        <v>157</v>
      </c>
    </row>
    <row r="3051" spans="19:22" x14ac:dyDescent="0.45">
      <c r="S3051" t="s">
        <v>646</v>
      </c>
      <c r="T3051" t="s">
        <v>783</v>
      </c>
      <c r="U3051">
        <v>0.11401366493585431</v>
      </c>
      <c r="V3051" t="s">
        <v>157</v>
      </c>
    </row>
    <row r="3052" spans="19:22" x14ac:dyDescent="0.45">
      <c r="S3052" t="s">
        <v>646</v>
      </c>
      <c r="T3052" t="s">
        <v>784</v>
      </c>
      <c r="U3052">
        <v>1.9570942105471754E-2</v>
      </c>
      <c r="V3052" t="s">
        <v>157</v>
      </c>
    </row>
    <row r="3053" spans="19:22" x14ac:dyDescent="0.45">
      <c r="S3053" t="s">
        <v>646</v>
      </c>
      <c r="T3053" t="s">
        <v>785</v>
      </c>
      <c r="U3053">
        <v>0.1246241966372852</v>
      </c>
      <c r="V3053" t="s">
        <v>157</v>
      </c>
    </row>
    <row r="3054" spans="19:22" x14ac:dyDescent="0.45">
      <c r="S3054" t="s">
        <v>646</v>
      </c>
      <c r="T3054" t="s">
        <v>786</v>
      </c>
      <c r="U3054">
        <v>0.12739571040605085</v>
      </c>
      <c r="V3054" t="s">
        <v>157</v>
      </c>
    </row>
    <row r="3055" spans="19:22" x14ac:dyDescent="0.45">
      <c r="S3055" t="s">
        <v>646</v>
      </c>
      <c r="T3055" t="s">
        <v>787</v>
      </c>
      <c r="U3055">
        <v>2.2997018049846045E-2</v>
      </c>
      <c r="V3055" t="s">
        <v>157</v>
      </c>
    </row>
    <row r="3056" spans="19:22" x14ac:dyDescent="0.45">
      <c r="S3056" t="s">
        <v>646</v>
      </c>
      <c r="T3056" t="s">
        <v>788</v>
      </c>
      <c r="U3056">
        <v>0.11422892728251778</v>
      </c>
      <c r="V3056" t="s">
        <v>157</v>
      </c>
    </row>
    <row r="3057" spans="19:22" x14ac:dyDescent="0.45">
      <c r="S3057" t="s">
        <v>646</v>
      </c>
      <c r="T3057" t="s">
        <v>789</v>
      </c>
      <c r="U3057">
        <v>0.11111496821340602</v>
      </c>
      <c r="V3057" t="s">
        <v>157</v>
      </c>
    </row>
    <row r="3058" spans="19:22" x14ac:dyDescent="0.45">
      <c r="S3058" t="s">
        <v>646</v>
      </c>
      <c r="T3058" t="s">
        <v>790</v>
      </c>
      <c r="U3058">
        <v>2.0148199515416659E-2</v>
      </c>
      <c r="V3058" t="s">
        <v>157</v>
      </c>
    </row>
    <row r="3059" spans="19:22" x14ac:dyDescent="0.45">
      <c r="S3059" t="s">
        <v>647</v>
      </c>
      <c r="T3059" t="s">
        <v>779</v>
      </c>
      <c r="U3059">
        <v>9.8075994094330765E-2</v>
      </c>
      <c r="V3059" t="s">
        <v>157</v>
      </c>
    </row>
    <row r="3060" spans="19:22" x14ac:dyDescent="0.45">
      <c r="S3060" t="s">
        <v>647</v>
      </c>
      <c r="T3060" t="s">
        <v>780</v>
      </c>
      <c r="U3060">
        <v>0.1223256570569112</v>
      </c>
      <c r="V3060" t="s">
        <v>157</v>
      </c>
    </row>
    <row r="3061" spans="19:22" x14ac:dyDescent="0.45">
      <c r="S3061" t="s">
        <v>647</v>
      </c>
      <c r="T3061" t="s">
        <v>781</v>
      </c>
      <c r="U3061">
        <v>1.974887713576334E-2</v>
      </c>
      <c r="V3061" t="s">
        <v>157</v>
      </c>
    </row>
    <row r="3062" spans="19:22" x14ac:dyDescent="0.45">
      <c r="S3062" t="s">
        <v>647</v>
      </c>
      <c r="T3062" t="s">
        <v>782</v>
      </c>
      <c r="U3062">
        <v>0.10711081513130992</v>
      </c>
      <c r="V3062" t="s">
        <v>157</v>
      </c>
    </row>
    <row r="3063" spans="19:22" x14ac:dyDescent="0.45">
      <c r="S3063" t="s">
        <v>647</v>
      </c>
      <c r="T3063" t="s">
        <v>783</v>
      </c>
      <c r="U3063">
        <v>0.11297413825972313</v>
      </c>
      <c r="V3063" t="s">
        <v>157</v>
      </c>
    </row>
    <row r="3064" spans="19:22" x14ac:dyDescent="0.45">
      <c r="S3064" t="s">
        <v>647</v>
      </c>
      <c r="T3064" t="s">
        <v>784</v>
      </c>
      <c r="U3064">
        <v>1.9189312225985397E-2</v>
      </c>
      <c r="V3064" t="s">
        <v>157</v>
      </c>
    </row>
    <row r="3065" spans="19:22" x14ac:dyDescent="0.45">
      <c r="S3065" t="s">
        <v>647</v>
      </c>
      <c r="T3065" t="s">
        <v>785</v>
      </c>
      <c r="U3065">
        <v>0.12444401184779839</v>
      </c>
      <c r="V3065" t="s">
        <v>157</v>
      </c>
    </row>
    <row r="3066" spans="19:22" x14ac:dyDescent="0.45">
      <c r="S3066" t="s">
        <v>647</v>
      </c>
      <c r="T3066" t="s">
        <v>786</v>
      </c>
      <c r="U3066">
        <v>0.12798950901511161</v>
      </c>
      <c r="V3066" t="s">
        <v>157</v>
      </c>
    </row>
    <row r="3067" spans="19:22" x14ac:dyDescent="0.45">
      <c r="S3067" t="s">
        <v>647</v>
      </c>
      <c r="T3067" t="s">
        <v>787</v>
      </c>
      <c r="U3067">
        <v>2.3079741460499462E-2</v>
      </c>
      <c r="V3067" t="s">
        <v>157</v>
      </c>
    </row>
    <row r="3068" spans="19:22" x14ac:dyDescent="0.45">
      <c r="S3068" t="s">
        <v>647</v>
      </c>
      <c r="T3068" t="s">
        <v>788</v>
      </c>
      <c r="U3068">
        <v>0.11345148496065356</v>
      </c>
      <c r="V3068" t="s">
        <v>157</v>
      </c>
    </row>
    <row r="3069" spans="19:22" x14ac:dyDescent="0.45">
      <c r="S3069" t="s">
        <v>647</v>
      </c>
      <c r="T3069" t="s">
        <v>789</v>
      </c>
      <c r="U3069">
        <v>0.11169485392656187</v>
      </c>
      <c r="V3069" t="s">
        <v>157</v>
      </c>
    </row>
    <row r="3070" spans="19:22" x14ac:dyDescent="0.45">
      <c r="S3070" t="s">
        <v>647</v>
      </c>
      <c r="T3070" t="s">
        <v>790</v>
      </c>
      <c r="U3070">
        <v>1.9915604885351317E-2</v>
      </c>
      <c r="V3070" t="s">
        <v>157</v>
      </c>
    </row>
    <row r="3071" spans="19:22" x14ac:dyDescent="0.45">
      <c r="S3071" t="s">
        <v>648</v>
      </c>
      <c r="T3071" t="s">
        <v>779</v>
      </c>
      <c r="U3071">
        <v>0.10281229360670076</v>
      </c>
      <c r="V3071" t="s">
        <v>157</v>
      </c>
    </row>
    <row r="3072" spans="19:22" x14ac:dyDescent="0.45">
      <c r="S3072" t="s">
        <v>648</v>
      </c>
      <c r="T3072" t="s">
        <v>780</v>
      </c>
      <c r="U3072">
        <v>0.12402482079681341</v>
      </c>
      <c r="V3072" t="s">
        <v>157</v>
      </c>
    </row>
    <row r="3073" spans="19:22" x14ac:dyDescent="0.45">
      <c r="S3073" t="s">
        <v>648</v>
      </c>
      <c r="T3073" t="s">
        <v>781</v>
      </c>
      <c r="U3073">
        <v>2.0092650547417278E-2</v>
      </c>
      <c r="V3073" t="s">
        <v>157</v>
      </c>
    </row>
    <row r="3074" spans="19:22" x14ac:dyDescent="0.45">
      <c r="S3074" t="s">
        <v>648</v>
      </c>
      <c r="T3074" t="s">
        <v>782</v>
      </c>
      <c r="U3074">
        <v>0.10518333639931729</v>
      </c>
      <c r="V3074" t="s">
        <v>157</v>
      </c>
    </row>
    <row r="3075" spans="19:22" x14ac:dyDescent="0.45">
      <c r="S3075" t="s">
        <v>648</v>
      </c>
      <c r="T3075" t="s">
        <v>783</v>
      </c>
      <c r="U3075">
        <v>0.11149256040430387</v>
      </c>
      <c r="V3075" t="s">
        <v>157</v>
      </c>
    </row>
    <row r="3076" spans="19:22" x14ac:dyDescent="0.45">
      <c r="S3076" t="s">
        <v>648</v>
      </c>
      <c r="T3076" t="s">
        <v>784</v>
      </c>
      <c r="U3076">
        <v>1.8757752405859973E-2</v>
      </c>
      <c r="V3076" t="s">
        <v>157</v>
      </c>
    </row>
    <row r="3077" spans="19:22" x14ac:dyDescent="0.45">
      <c r="S3077" t="s">
        <v>648</v>
      </c>
      <c r="T3077" t="s">
        <v>785</v>
      </c>
      <c r="U3077">
        <v>0.12275615501432692</v>
      </c>
      <c r="V3077" t="s">
        <v>157</v>
      </c>
    </row>
    <row r="3078" spans="19:22" x14ac:dyDescent="0.45">
      <c r="S3078" t="s">
        <v>648</v>
      </c>
      <c r="T3078" t="s">
        <v>786</v>
      </c>
      <c r="U3078">
        <v>0.12805041523910501</v>
      </c>
      <c r="V3078" t="s">
        <v>157</v>
      </c>
    </row>
    <row r="3079" spans="19:22" x14ac:dyDescent="0.45">
      <c r="S3079" t="s">
        <v>648</v>
      </c>
      <c r="T3079" t="s">
        <v>787</v>
      </c>
      <c r="U3079">
        <v>2.2993280740578707E-2</v>
      </c>
      <c r="V3079" t="s">
        <v>157</v>
      </c>
    </row>
    <row r="3080" spans="19:22" x14ac:dyDescent="0.45">
      <c r="S3080" t="s">
        <v>648</v>
      </c>
      <c r="T3080" t="s">
        <v>788</v>
      </c>
      <c r="U3080">
        <v>0.11308775715744966</v>
      </c>
      <c r="V3080" t="s">
        <v>157</v>
      </c>
    </row>
    <row r="3081" spans="19:22" x14ac:dyDescent="0.45">
      <c r="S3081" t="s">
        <v>648</v>
      </c>
      <c r="T3081" t="s">
        <v>789</v>
      </c>
      <c r="U3081">
        <v>0.11106626842861822</v>
      </c>
      <c r="V3081" t="s">
        <v>157</v>
      </c>
    </row>
    <row r="3082" spans="19:22" x14ac:dyDescent="0.45">
      <c r="S3082" t="s">
        <v>648</v>
      </c>
      <c r="T3082" t="s">
        <v>790</v>
      </c>
      <c r="U3082">
        <v>1.9682709259508956E-2</v>
      </c>
      <c r="V3082" t="s">
        <v>157</v>
      </c>
    </row>
    <row r="3083" spans="19:22" x14ac:dyDescent="0.45">
      <c r="S3083" t="s">
        <v>649</v>
      </c>
      <c r="T3083" t="s">
        <v>779</v>
      </c>
      <c r="U3083">
        <v>0.10905576483834642</v>
      </c>
      <c r="V3083" t="s">
        <v>157</v>
      </c>
    </row>
    <row r="3084" spans="19:22" x14ac:dyDescent="0.45">
      <c r="S3084" t="s">
        <v>649</v>
      </c>
      <c r="T3084" t="s">
        <v>780</v>
      </c>
      <c r="U3084">
        <v>0.12484667546035175</v>
      </c>
      <c r="V3084" t="s">
        <v>157</v>
      </c>
    </row>
    <row r="3085" spans="19:22" x14ac:dyDescent="0.45">
      <c r="S3085" t="s">
        <v>649</v>
      </c>
      <c r="T3085" t="s">
        <v>781</v>
      </c>
      <c r="U3085">
        <v>2.0981525554669121E-2</v>
      </c>
      <c r="V3085" t="s">
        <v>157</v>
      </c>
    </row>
    <row r="3086" spans="19:22" x14ac:dyDescent="0.45">
      <c r="S3086" t="s">
        <v>649</v>
      </c>
      <c r="T3086" t="s">
        <v>782</v>
      </c>
      <c r="U3086">
        <v>0.10384532599065509</v>
      </c>
      <c r="V3086" t="s">
        <v>157</v>
      </c>
    </row>
    <row r="3087" spans="19:22" x14ac:dyDescent="0.45">
      <c r="S3087" t="s">
        <v>649</v>
      </c>
      <c r="T3087" t="s">
        <v>783</v>
      </c>
      <c r="U3087">
        <v>0.10959845630747526</v>
      </c>
      <c r="V3087" t="s">
        <v>157</v>
      </c>
    </row>
    <row r="3088" spans="19:22" x14ac:dyDescent="0.45">
      <c r="S3088" t="s">
        <v>649</v>
      </c>
      <c r="T3088" t="s">
        <v>784</v>
      </c>
      <c r="U3088">
        <v>1.8411633996523839E-2</v>
      </c>
      <c r="V3088" t="s">
        <v>157</v>
      </c>
    </row>
    <row r="3089" spans="19:22" x14ac:dyDescent="0.45">
      <c r="S3089" t="s">
        <v>649</v>
      </c>
      <c r="T3089" t="s">
        <v>785</v>
      </c>
      <c r="U3089">
        <v>0.12028324557576098</v>
      </c>
      <c r="V3089" t="s">
        <v>157</v>
      </c>
    </row>
    <row r="3090" spans="19:22" x14ac:dyDescent="0.45">
      <c r="S3090" t="s">
        <v>649</v>
      </c>
      <c r="T3090" t="s">
        <v>786</v>
      </c>
      <c r="U3090">
        <v>0.12756152773822535</v>
      </c>
      <c r="V3090" t="s">
        <v>157</v>
      </c>
    </row>
    <row r="3091" spans="19:22" x14ac:dyDescent="0.45">
      <c r="S3091" t="s">
        <v>649</v>
      </c>
      <c r="T3091" t="s">
        <v>787</v>
      </c>
      <c r="U3091">
        <v>2.2385779826340216E-2</v>
      </c>
      <c r="V3091" t="s">
        <v>157</v>
      </c>
    </row>
    <row r="3092" spans="19:22" x14ac:dyDescent="0.45">
      <c r="S3092" t="s">
        <v>649</v>
      </c>
      <c r="T3092" t="s">
        <v>788</v>
      </c>
      <c r="U3092">
        <v>0.11283555537073828</v>
      </c>
      <c r="V3092" t="s">
        <v>157</v>
      </c>
    </row>
    <row r="3093" spans="19:22" x14ac:dyDescent="0.45">
      <c r="S3093" t="s">
        <v>649</v>
      </c>
      <c r="T3093" t="s">
        <v>789</v>
      </c>
      <c r="U3093">
        <v>0.1105760215439988</v>
      </c>
      <c r="V3093" t="s">
        <v>157</v>
      </c>
    </row>
    <row r="3094" spans="19:22" x14ac:dyDescent="0.45">
      <c r="S3094" t="s">
        <v>649</v>
      </c>
      <c r="T3094" t="s">
        <v>790</v>
      </c>
      <c r="U3094">
        <v>1.9618487796914802E-2</v>
      </c>
      <c r="V3094" t="s">
        <v>157</v>
      </c>
    </row>
    <row r="3095" spans="19:22" x14ac:dyDescent="0.45">
      <c r="S3095" t="s">
        <v>650</v>
      </c>
      <c r="T3095" t="s">
        <v>779</v>
      </c>
      <c r="U3095">
        <v>0.11402859841296871</v>
      </c>
      <c r="V3095" t="s">
        <v>157</v>
      </c>
    </row>
    <row r="3096" spans="19:22" x14ac:dyDescent="0.45">
      <c r="S3096" t="s">
        <v>650</v>
      </c>
      <c r="T3096" t="s">
        <v>780</v>
      </c>
      <c r="U3096">
        <v>0.12328650460963102</v>
      </c>
      <c r="V3096" t="s">
        <v>157</v>
      </c>
    </row>
    <row r="3097" spans="19:22" x14ac:dyDescent="0.45">
      <c r="S3097" t="s">
        <v>650</v>
      </c>
      <c r="T3097" t="s">
        <v>781</v>
      </c>
      <c r="U3097">
        <v>2.1784734782374131E-2</v>
      </c>
      <c r="V3097" t="s">
        <v>157</v>
      </c>
    </row>
    <row r="3098" spans="19:22" x14ac:dyDescent="0.45">
      <c r="S3098" t="s">
        <v>650</v>
      </c>
      <c r="T3098" t="s">
        <v>782</v>
      </c>
      <c r="U3098">
        <v>0.10298766061326563</v>
      </c>
      <c r="V3098" t="s">
        <v>157</v>
      </c>
    </row>
    <row r="3099" spans="19:22" x14ac:dyDescent="0.45">
      <c r="S3099" t="s">
        <v>650</v>
      </c>
      <c r="T3099" t="s">
        <v>783</v>
      </c>
      <c r="U3099">
        <v>0.10937452957114489</v>
      </c>
      <c r="V3099" t="s">
        <v>157</v>
      </c>
    </row>
    <row r="3100" spans="19:22" x14ac:dyDescent="0.45">
      <c r="S3100" t="s">
        <v>650</v>
      </c>
      <c r="T3100" t="s">
        <v>784</v>
      </c>
      <c r="U3100">
        <v>1.8883289565109498E-2</v>
      </c>
      <c r="V3100" t="s">
        <v>157</v>
      </c>
    </row>
    <row r="3101" spans="19:22" x14ac:dyDescent="0.45">
      <c r="S3101" t="s">
        <v>650</v>
      </c>
      <c r="T3101" t="s">
        <v>785</v>
      </c>
      <c r="U3101">
        <v>0.11678673737997718</v>
      </c>
      <c r="V3101" t="s">
        <v>157</v>
      </c>
    </row>
    <row r="3102" spans="19:22" x14ac:dyDescent="0.45">
      <c r="S3102" t="s">
        <v>650</v>
      </c>
      <c r="T3102" t="s">
        <v>786</v>
      </c>
      <c r="U3102">
        <v>0.12581271263672336</v>
      </c>
      <c r="V3102" t="s">
        <v>157</v>
      </c>
    </row>
    <row r="3103" spans="19:22" x14ac:dyDescent="0.45">
      <c r="S3103" t="s">
        <v>650</v>
      </c>
      <c r="T3103" t="s">
        <v>787</v>
      </c>
      <c r="U3103">
        <v>2.1610031075217476E-2</v>
      </c>
      <c r="V3103" t="s">
        <v>157</v>
      </c>
    </row>
    <row r="3104" spans="19:22" x14ac:dyDescent="0.45">
      <c r="S3104" t="s">
        <v>650</v>
      </c>
      <c r="T3104" t="s">
        <v>788</v>
      </c>
      <c r="U3104">
        <v>0.11250726251686244</v>
      </c>
      <c r="V3104" t="s">
        <v>157</v>
      </c>
    </row>
    <row r="3105" spans="19:22" x14ac:dyDescent="0.45">
      <c r="S3105" t="s">
        <v>650</v>
      </c>
      <c r="T3105" t="s">
        <v>789</v>
      </c>
      <c r="U3105">
        <v>0.11257488795226031</v>
      </c>
      <c r="V3105" t="s">
        <v>157</v>
      </c>
    </row>
    <row r="3106" spans="19:22" x14ac:dyDescent="0.45">
      <c r="S3106" t="s">
        <v>650</v>
      </c>
      <c r="T3106" t="s">
        <v>790</v>
      </c>
      <c r="U3106">
        <v>2.0363050884465425E-2</v>
      </c>
      <c r="V3106" t="s">
        <v>157</v>
      </c>
    </row>
    <row r="3107" spans="19:22" x14ac:dyDescent="0.45">
      <c r="S3107" t="s">
        <v>651</v>
      </c>
      <c r="T3107" t="s">
        <v>779</v>
      </c>
      <c r="U3107">
        <v>0.11918956468725012</v>
      </c>
      <c r="V3107" t="s">
        <v>157</v>
      </c>
    </row>
    <row r="3108" spans="19:22" x14ac:dyDescent="0.45">
      <c r="S3108" t="s">
        <v>651</v>
      </c>
      <c r="T3108" t="s">
        <v>780</v>
      </c>
      <c r="U3108">
        <v>0.12499124238304821</v>
      </c>
      <c r="V3108" t="s">
        <v>157</v>
      </c>
    </row>
    <row r="3109" spans="19:22" x14ac:dyDescent="0.45">
      <c r="S3109" t="s">
        <v>651</v>
      </c>
      <c r="T3109" t="s">
        <v>781</v>
      </c>
      <c r="U3109">
        <v>2.1259459769976178E-2</v>
      </c>
      <c r="V3109" t="s">
        <v>157</v>
      </c>
    </row>
    <row r="3110" spans="19:22" x14ac:dyDescent="0.45">
      <c r="S3110" t="s">
        <v>651</v>
      </c>
      <c r="T3110" t="s">
        <v>782</v>
      </c>
      <c r="U3110">
        <v>0.10526697034205591</v>
      </c>
      <c r="V3110" t="s">
        <v>157</v>
      </c>
    </row>
    <row r="3111" spans="19:22" x14ac:dyDescent="0.45">
      <c r="S3111" t="s">
        <v>651</v>
      </c>
      <c r="T3111" t="s">
        <v>783</v>
      </c>
      <c r="U3111">
        <v>0.11400259754911785</v>
      </c>
      <c r="V3111" t="s">
        <v>157</v>
      </c>
    </row>
    <row r="3112" spans="19:22" x14ac:dyDescent="0.45">
      <c r="S3112" t="s">
        <v>651</v>
      </c>
      <c r="T3112" t="s">
        <v>784</v>
      </c>
      <c r="U3112">
        <v>2.0919040558285459E-2</v>
      </c>
      <c r="V3112" t="s">
        <v>157</v>
      </c>
    </row>
    <row r="3113" spans="19:22" x14ac:dyDescent="0.45">
      <c r="S3113" t="s">
        <v>651</v>
      </c>
      <c r="T3113" t="s">
        <v>785</v>
      </c>
      <c r="U3113">
        <v>0.11402761825820926</v>
      </c>
      <c r="V3113" t="s">
        <v>157</v>
      </c>
    </row>
    <row r="3114" spans="19:22" x14ac:dyDescent="0.45">
      <c r="S3114" t="s">
        <v>651</v>
      </c>
      <c r="T3114" t="s">
        <v>786</v>
      </c>
      <c r="U3114">
        <v>0.12017689463943262</v>
      </c>
      <c r="V3114" t="s">
        <v>157</v>
      </c>
    </row>
    <row r="3115" spans="19:22" x14ac:dyDescent="0.45">
      <c r="S3115" t="s">
        <v>651</v>
      </c>
      <c r="T3115" t="s">
        <v>787</v>
      </c>
      <c r="U3115">
        <v>2.1267831708237039E-2</v>
      </c>
      <c r="V3115" t="s">
        <v>157</v>
      </c>
    </row>
    <row r="3116" spans="19:22" x14ac:dyDescent="0.45">
      <c r="S3116" t="s">
        <v>651</v>
      </c>
      <c r="T3116" t="s">
        <v>788</v>
      </c>
      <c r="U3116">
        <v>0.10228570842632226</v>
      </c>
      <c r="V3116" t="s">
        <v>157</v>
      </c>
    </row>
    <row r="3117" spans="19:22" x14ac:dyDescent="0.45">
      <c r="S3117" t="s">
        <v>651</v>
      </c>
      <c r="T3117" t="s">
        <v>789</v>
      </c>
      <c r="U3117">
        <v>0.1150866893735388</v>
      </c>
      <c r="V3117" t="s">
        <v>157</v>
      </c>
    </row>
    <row r="3118" spans="19:22" x14ac:dyDescent="0.45">
      <c r="S3118" t="s">
        <v>651</v>
      </c>
      <c r="T3118" t="s">
        <v>790</v>
      </c>
      <c r="U3118">
        <v>2.1526382304526252E-2</v>
      </c>
      <c r="V3118" t="s">
        <v>157</v>
      </c>
    </row>
    <row r="3119" spans="19:22" x14ac:dyDescent="0.45">
      <c r="S3119" t="s">
        <v>652</v>
      </c>
      <c r="T3119" t="s">
        <v>779</v>
      </c>
      <c r="U3119">
        <v>0.12719501212249881</v>
      </c>
      <c r="V3119" t="s">
        <v>157</v>
      </c>
    </row>
    <row r="3120" spans="19:22" x14ac:dyDescent="0.45">
      <c r="S3120" t="s">
        <v>652</v>
      </c>
      <c r="T3120" t="s">
        <v>780</v>
      </c>
      <c r="U3120">
        <v>0.12738691833756111</v>
      </c>
      <c r="V3120" t="s">
        <v>157</v>
      </c>
    </row>
    <row r="3121" spans="19:22" x14ac:dyDescent="0.45">
      <c r="S3121" t="s">
        <v>652</v>
      </c>
      <c r="T3121" t="s">
        <v>781</v>
      </c>
      <c r="U3121">
        <v>2.3025179690715554E-2</v>
      </c>
      <c r="V3121" t="s">
        <v>157</v>
      </c>
    </row>
    <row r="3122" spans="19:22" x14ac:dyDescent="0.45">
      <c r="S3122" t="s">
        <v>652</v>
      </c>
      <c r="T3122" t="s">
        <v>782</v>
      </c>
      <c r="U3122">
        <v>0.10727662772921046</v>
      </c>
      <c r="V3122" t="s">
        <v>157</v>
      </c>
    </row>
    <row r="3123" spans="19:22" x14ac:dyDescent="0.45">
      <c r="S3123" t="s">
        <v>652</v>
      </c>
      <c r="T3123" t="s">
        <v>783</v>
      </c>
      <c r="U3123">
        <v>0.10834246402295369</v>
      </c>
      <c r="V3123" t="s">
        <v>157</v>
      </c>
    </row>
    <row r="3124" spans="19:22" x14ac:dyDescent="0.45">
      <c r="S3124" t="s">
        <v>652</v>
      </c>
      <c r="T3124" t="s">
        <v>784</v>
      </c>
      <c r="U3124">
        <v>1.9713885909167821E-2</v>
      </c>
      <c r="V3124" t="s">
        <v>157</v>
      </c>
    </row>
    <row r="3125" spans="19:22" x14ac:dyDescent="0.45">
      <c r="S3125" t="s">
        <v>652</v>
      </c>
      <c r="T3125" t="s">
        <v>785</v>
      </c>
      <c r="U3125">
        <v>0.11559168653730534</v>
      </c>
      <c r="V3125" t="s">
        <v>157</v>
      </c>
    </row>
    <row r="3126" spans="19:22" x14ac:dyDescent="0.45">
      <c r="S3126" t="s">
        <v>652</v>
      </c>
      <c r="T3126" t="s">
        <v>786</v>
      </c>
      <c r="U3126">
        <v>0.11550815656209362</v>
      </c>
      <c r="V3126" t="s">
        <v>157</v>
      </c>
    </row>
    <row r="3127" spans="19:22" x14ac:dyDescent="0.45">
      <c r="S3127" t="s">
        <v>652</v>
      </c>
      <c r="T3127" t="s">
        <v>787</v>
      </c>
      <c r="U3127">
        <v>2.0518780070871736E-2</v>
      </c>
      <c r="V3127" t="s">
        <v>157</v>
      </c>
    </row>
    <row r="3128" spans="19:22" x14ac:dyDescent="0.45">
      <c r="S3128" t="s">
        <v>652</v>
      </c>
      <c r="T3128" t="s">
        <v>788</v>
      </c>
      <c r="U3128">
        <v>0.10257976903529373</v>
      </c>
      <c r="V3128" t="s">
        <v>157</v>
      </c>
    </row>
    <row r="3129" spans="19:22" x14ac:dyDescent="0.45">
      <c r="S3129" t="s">
        <v>652</v>
      </c>
      <c r="T3129" t="s">
        <v>789</v>
      </c>
      <c r="U3129">
        <v>0.11261341237614521</v>
      </c>
      <c r="V3129" t="s">
        <v>157</v>
      </c>
    </row>
    <row r="3130" spans="19:22" x14ac:dyDescent="0.45">
      <c r="S3130" t="s">
        <v>652</v>
      </c>
      <c r="T3130" t="s">
        <v>790</v>
      </c>
      <c r="U3130">
        <v>2.0248107606182817E-2</v>
      </c>
      <c r="V3130" t="s">
        <v>157</v>
      </c>
    </row>
    <row r="3131" spans="19:22" x14ac:dyDescent="0.45">
      <c r="S3131" t="s">
        <v>653</v>
      </c>
      <c r="T3131" t="s">
        <v>779</v>
      </c>
      <c r="U3131">
        <v>0.13546026673711267</v>
      </c>
      <c r="V3131" t="s">
        <v>157</v>
      </c>
    </row>
    <row r="3132" spans="19:22" x14ac:dyDescent="0.45">
      <c r="S3132" t="s">
        <v>653</v>
      </c>
      <c r="T3132" t="s">
        <v>780</v>
      </c>
      <c r="U3132">
        <v>0.13095401240184321</v>
      </c>
      <c r="V3132" t="s">
        <v>157</v>
      </c>
    </row>
    <row r="3133" spans="19:22" x14ac:dyDescent="0.45">
      <c r="S3133" t="s">
        <v>653</v>
      </c>
      <c r="T3133" t="s">
        <v>781</v>
      </c>
      <c r="U3133">
        <v>2.5379366865795835E-2</v>
      </c>
      <c r="V3133" t="s">
        <v>157</v>
      </c>
    </row>
    <row r="3134" spans="19:22" x14ac:dyDescent="0.45">
      <c r="S3134" t="s">
        <v>653</v>
      </c>
      <c r="T3134" t="s">
        <v>782</v>
      </c>
      <c r="U3134">
        <v>0.10528621882403008</v>
      </c>
      <c r="V3134" t="s">
        <v>157</v>
      </c>
    </row>
    <row r="3135" spans="19:22" x14ac:dyDescent="0.45">
      <c r="S3135" t="s">
        <v>653</v>
      </c>
      <c r="T3135" t="s">
        <v>783</v>
      </c>
      <c r="U3135">
        <v>9.9706233301101038E-2</v>
      </c>
      <c r="V3135" t="s">
        <v>157</v>
      </c>
    </row>
    <row r="3136" spans="19:22" x14ac:dyDescent="0.45">
      <c r="S3136" t="s">
        <v>653</v>
      </c>
      <c r="T3136" t="s">
        <v>784</v>
      </c>
      <c r="U3136">
        <v>1.8769972873634751E-2</v>
      </c>
      <c r="V3136" t="s">
        <v>157</v>
      </c>
    </row>
    <row r="3137" spans="19:22" x14ac:dyDescent="0.45">
      <c r="S3137" t="s">
        <v>653</v>
      </c>
      <c r="T3137" t="s">
        <v>785</v>
      </c>
      <c r="U3137">
        <v>0.1173143982698721</v>
      </c>
      <c r="V3137" t="s">
        <v>157</v>
      </c>
    </row>
    <row r="3138" spans="19:22" x14ac:dyDescent="0.45">
      <c r="S3138" t="s">
        <v>653</v>
      </c>
      <c r="T3138" t="s">
        <v>786</v>
      </c>
      <c r="U3138">
        <v>0.11896951953295008</v>
      </c>
      <c r="V3138" t="s">
        <v>157</v>
      </c>
    </row>
    <row r="3139" spans="19:22" x14ac:dyDescent="0.45">
      <c r="S3139" t="s">
        <v>653</v>
      </c>
      <c r="T3139" t="s">
        <v>787</v>
      </c>
      <c r="U3139">
        <v>2.1185489304245915E-2</v>
      </c>
      <c r="V3139" t="s">
        <v>157</v>
      </c>
    </row>
    <row r="3140" spans="19:22" x14ac:dyDescent="0.45">
      <c r="S3140" t="s">
        <v>653</v>
      </c>
      <c r="T3140" t="s">
        <v>788</v>
      </c>
      <c r="U3140">
        <v>0.10148526558892668</v>
      </c>
      <c r="V3140" t="s">
        <v>157</v>
      </c>
    </row>
    <row r="3141" spans="19:22" x14ac:dyDescent="0.45">
      <c r="S3141" t="s">
        <v>653</v>
      </c>
      <c r="T3141" t="s">
        <v>789</v>
      </c>
      <c r="U3141">
        <v>0.10599144087302328</v>
      </c>
      <c r="V3141" t="s">
        <v>157</v>
      </c>
    </row>
    <row r="3142" spans="19:22" x14ac:dyDescent="0.45">
      <c r="S3142" t="s">
        <v>653</v>
      </c>
      <c r="T3142" t="s">
        <v>790</v>
      </c>
      <c r="U3142">
        <v>1.9497815427464378E-2</v>
      </c>
      <c r="V3142" t="s">
        <v>157</v>
      </c>
    </row>
    <row r="3143" spans="19:22" x14ac:dyDescent="0.45">
      <c r="S3143" t="s">
        <v>654</v>
      </c>
      <c r="T3143" t="s">
        <v>779</v>
      </c>
      <c r="U3143">
        <v>0.13915950656979661</v>
      </c>
      <c r="V3143" t="s">
        <v>157</v>
      </c>
    </row>
    <row r="3144" spans="19:22" x14ac:dyDescent="0.45">
      <c r="S3144" t="s">
        <v>654</v>
      </c>
      <c r="T3144" t="s">
        <v>780</v>
      </c>
      <c r="U3144">
        <v>0.13859660870441343</v>
      </c>
      <c r="V3144" t="s">
        <v>157</v>
      </c>
    </row>
    <row r="3145" spans="19:22" x14ac:dyDescent="0.45">
      <c r="S3145" t="s">
        <v>654</v>
      </c>
      <c r="T3145" t="s">
        <v>781</v>
      </c>
      <c r="U3145">
        <v>2.7436713561879895E-2</v>
      </c>
      <c r="V3145" t="s">
        <v>157</v>
      </c>
    </row>
    <row r="3146" spans="19:22" x14ac:dyDescent="0.45">
      <c r="S3146" t="s">
        <v>654</v>
      </c>
      <c r="T3146" t="s">
        <v>782</v>
      </c>
      <c r="U3146">
        <v>9.944317788971628E-2</v>
      </c>
      <c r="V3146" t="s">
        <v>157</v>
      </c>
    </row>
    <row r="3147" spans="19:22" x14ac:dyDescent="0.45">
      <c r="S3147" t="s">
        <v>654</v>
      </c>
      <c r="T3147" t="s">
        <v>783</v>
      </c>
      <c r="U3147">
        <v>9.4186568033970852E-2</v>
      </c>
      <c r="V3147" t="s">
        <v>157</v>
      </c>
    </row>
    <row r="3148" spans="19:22" x14ac:dyDescent="0.45">
      <c r="S3148" t="s">
        <v>654</v>
      </c>
      <c r="T3148" t="s">
        <v>784</v>
      </c>
      <c r="U3148">
        <v>1.8447844024116249E-2</v>
      </c>
      <c r="V3148" t="s">
        <v>157</v>
      </c>
    </row>
    <row r="3149" spans="19:22" x14ac:dyDescent="0.45">
      <c r="S3149" t="s">
        <v>654</v>
      </c>
      <c r="T3149" t="s">
        <v>785</v>
      </c>
      <c r="U3149">
        <v>0.12140446165581008</v>
      </c>
      <c r="V3149" t="s">
        <v>157</v>
      </c>
    </row>
    <row r="3150" spans="19:22" x14ac:dyDescent="0.45">
      <c r="S3150" t="s">
        <v>654</v>
      </c>
      <c r="T3150" t="s">
        <v>786</v>
      </c>
      <c r="U3150">
        <v>0.12465555864623176</v>
      </c>
      <c r="V3150" t="s">
        <v>157</v>
      </c>
    </row>
    <row r="3151" spans="19:22" x14ac:dyDescent="0.45">
      <c r="S3151" t="s">
        <v>654</v>
      </c>
      <c r="T3151" t="s">
        <v>787</v>
      </c>
      <c r="U3151">
        <v>2.2663076075902965E-2</v>
      </c>
      <c r="V3151" t="s">
        <v>157</v>
      </c>
    </row>
    <row r="3152" spans="19:22" x14ac:dyDescent="0.45">
      <c r="S3152" t="s">
        <v>654</v>
      </c>
      <c r="T3152" t="s">
        <v>788</v>
      </c>
      <c r="U3152">
        <v>9.4690486246459801E-2</v>
      </c>
      <c r="V3152" t="s">
        <v>157</v>
      </c>
    </row>
    <row r="3153" spans="19:22" x14ac:dyDescent="0.45">
      <c r="S3153" t="s">
        <v>654</v>
      </c>
      <c r="T3153" t="s">
        <v>789</v>
      </c>
      <c r="U3153">
        <v>0.10016361531608317</v>
      </c>
      <c r="V3153" t="s">
        <v>157</v>
      </c>
    </row>
    <row r="3154" spans="19:22" x14ac:dyDescent="0.45">
      <c r="S3154" t="s">
        <v>654</v>
      </c>
      <c r="T3154" t="s">
        <v>790</v>
      </c>
      <c r="U3154">
        <v>1.9152383275618929E-2</v>
      </c>
      <c r="V3154" t="s">
        <v>157</v>
      </c>
    </row>
    <row r="3155" spans="19:22" x14ac:dyDescent="0.45">
      <c r="S3155" t="s">
        <v>655</v>
      </c>
      <c r="T3155" t="s">
        <v>779</v>
      </c>
      <c r="U3155">
        <v>0.1406526169452339</v>
      </c>
      <c r="V3155" t="s">
        <v>157</v>
      </c>
    </row>
    <row r="3156" spans="19:22" x14ac:dyDescent="0.45">
      <c r="S3156" t="s">
        <v>655</v>
      </c>
      <c r="T3156" t="s">
        <v>780</v>
      </c>
      <c r="U3156">
        <v>0.14203113125359332</v>
      </c>
      <c r="V3156" t="s">
        <v>157</v>
      </c>
    </row>
    <row r="3157" spans="19:22" x14ac:dyDescent="0.45">
      <c r="S3157" t="s">
        <v>655</v>
      </c>
      <c r="T3157" t="s">
        <v>781</v>
      </c>
      <c r="U3157">
        <v>2.8177001353327513E-2</v>
      </c>
      <c r="V3157" t="s">
        <v>157</v>
      </c>
    </row>
    <row r="3158" spans="19:22" x14ac:dyDescent="0.45">
      <c r="S3158" t="s">
        <v>655</v>
      </c>
      <c r="T3158" t="s">
        <v>782</v>
      </c>
      <c r="U3158">
        <v>9.4122804932208357E-2</v>
      </c>
      <c r="V3158" t="s">
        <v>157</v>
      </c>
    </row>
    <row r="3159" spans="19:22" x14ac:dyDescent="0.45">
      <c r="S3159" t="s">
        <v>655</v>
      </c>
      <c r="T3159" t="s">
        <v>783</v>
      </c>
      <c r="U3159">
        <v>9.2383726549071718E-2</v>
      </c>
      <c r="V3159" t="s">
        <v>157</v>
      </c>
    </row>
    <row r="3160" spans="19:22" x14ac:dyDescent="0.45">
      <c r="S3160" t="s">
        <v>655</v>
      </c>
      <c r="T3160" t="s">
        <v>784</v>
      </c>
      <c r="U3160">
        <v>1.8189698201519049E-2</v>
      </c>
      <c r="V3160" t="s">
        <v>157</v>
      </c>
    </row>
    <row r="3161" spans="19:22" x14ac:dyDescent="0.45">
      <c r="S3161" t="s">
        <v>655</v>
      </c>
      <c r="T3161" t="s">
        <v>785</v>
      </c>
      <c r="U3161">
        <v>0.12347296703542081</v>
      </c>
      <c r="V3161" t="s">
        <v>157</v>
      </c>
    </row>
    <row r="3162" spans="19:22" x14ac:dyDescent="0.45">
      <c r="S3162" t="s">
        <v>655</v>
      </c>
      <c r="T3162" t="s">
        <v>786</v>
      </c>
      <c r="U3162">
        <v>0.12613849420594508</v>
      </c>
      <c r="V3162" t="s">
        <v>157</v>
      </c>
    </row>
    <row r="3163" spans="19:22" x14ac:dyDescent="0.45">
      <c r="S3163" t="s">
        <v>655</v>
      </c>
      <c r="T3163" t="s">
        <v>787</v>
      </c>
      <c r="U3163">
        <v>2.3202553922862384E-2</v>
      </c>
      <c r="V3163" t="s">
        <v>157</v>
      </c>
    </row>
    <row r="3164" spans="19:22" x14ac:dyDescent="0.45">
      <c r="S3164" t="s">
        <v>655</v>
      </c>
      <c r="T3164" t="s">
        <v>788</v>
      </c>
      <c r="U3164">
        <v>9.4466282060339038E-2</v>
      </c>
      <c r="V3164" t="s">
        <v>157</v>
      </c>
    </row>
    <row r="3165" spans="19:22" x14ac:dyDescent="0.45">
      <c r="S3165" t="s">
        <v>655</v>
      </c>
      <c r="T3165" t="s">
        <v>789</v>
      </c>
      <c r="U3165">
        <v>9.7798941455722946E-2</v>
      </c>
      <c r="V3165" t="s">
        <v>157</v>
      </c>
    </row>
    <row r="3166" spans="19:22" x14ac:dyDescent="0.45">
      <c r="S3166" t="s">
        <v>655</v>
      </c>
      <c r="T3166" t="s">
        <v>790</v>
      </c>
      <c r="U3166">
        <v>1.9363782084755879E-2</v>
      </c>
      <c r="V3166" t="s">
        <v>157</v>
      </c>
    </row>
    <row r="3167" spans="19:22" x14ac:dyDescent="0.45">
      <c r="S3167" t="s">
        <v>656</v>
      </c>
      <c r="T3167" t="s">
        <v>779</v>
      </c>
      <c r="U3167">
        <v>0.15967029335565003</v>
      </c>
      <c r="V3167" t="s">
        <v>157</v>
      </c>
    </row>
    <row r="3168" spans="19:22" x14ac:dyDescent="0.45">
      <c r="S3168" t="s">
        <v>656</v>
      </c>
      <c r="T3168" t="s">
        <v>780</v>
      </c>
      <c r="U3168">
        <v>0.14119170418993346</v>
      </c>
      <c r="V3168" t="s">
        <v>157</v>
      </c>
    </row>
    <row r="3169" spans="19:22" x14ac:dyDescent="0.45">
      <c r="S3169" t="s">
        <v>656</v>
      </c>
      <c r="T3169" t="s">
        <v>781</v>
      </c>
      <c r="U3169">
        <v>2.5911317462796114E-2</v>
      </c>
      <c r="V3169" t="s">
        <v>157</v>
      </c>
    </row>
    <row r="3170" spans="19:22" x14ac:dyDescent="0.45">
      <c r="S3170" t="s">
        <v>656</v>
      </c>
      <c r="T3170" t="s">
        <v>782</v>
      </c>
      <c r="U3170">
        <v>9.3025994637915832E-2</v>
      </c>
      <c r="V3170" t="s">
        <v>157</v>
      </c>
    </row>
    <row r="3171" spans="19:22" x14ac:dyDescent="0.45">
      <c r="S3171" t="s">
        <v>656</v>
      </c>
      <c r="T3171" t="s">
        <v>783</v>
      </c>
      <c r="U3171">
        <v>9.7687894351691659E-2</v>
      </c>
      <c r="V3171" t="s">
        <v>157</v>
      </c>
    </row>
    <row r="3172" spans="19:22" x14ac:dyDescent="0.45">
      <c r="S3172" t="s">
        <v>656</v>
      </c>
      <c r="T3172" t="s">
        <v>784</v>
      </c>
      <c r="U3172">
        <v>2.0016157806530852E-2</v>
      </c>
      <c r="V3172" t="s">
        <v>157</v>
      </c>
    </row>
    <row r="3173" spans="19:22" x14ac:dyDescent="0.45">
      <c r="S3173" t="s">
        <v>656</v>
      </c>
      <c r="T3173" t="s">
        <v>785</v>
      </c>
      <c r="U3173">
        <v>0.12063201459201692</v>
      </c>
      <c r="V3173" t="s">
        <v>157</v>
      </c>
    </row>
    <row r="3174" spans="19:22" x14ac:dyDescent="0.45">
      <c r="S3174" t="s">
        <v>656</v>
      </c>
      <c r="T3174" t="s">
        <v>786</v>
      </c>
      <c r="U3174">
        <v>0.11196048797433379</v>
      </c>
      <c r="V3174" t="s">
        <v>157</v>
      </c>
    </row>
    <row r="3175" spans="19:22" x14ac:dyDescent="0.45">
      <c r="S3175" t="s">
        <v>656</v>
      </c>
      <c r="T3175" t="s">
        <v>787</v>
      </c>
      <c r="U3175">
        <v>2.147191912417766E-2</v>
      </c>
      <c r="V3175" t="s">
        <v>157</v>
      </c>
    </row>
    <row r="3176" spans="19:22" x14ac:dyDescent="0.45">
      <c r="S3176" t="s">
        <v>656</v>
      </c>
      <c r="T3176" t="s">
        <v>788</v>
      </c>
      <c r="U3176">
        <v>0.10107068630363183</v>
      </c>
      <c r="V3176" t="s">
        <v>157</v>
      </c>
    </row>
    <row r="3177" spans="19:22" x14ac:dyDescent="0.45">
      <c r="S3177" t="s">
        <v>656</v>
      </c>
      <c r="T3177" t="s">
        <v>789</v>
      </c>
      <c r="U3177">
        <v>8.5496566830441378E-2</v>
      </c>
      <c r="V3177" t="s">
        <v>157</v>
      </c>
    </row>
    <row r="3178" spans="19:22" x14ac:dyDescent="0.45">
      <c r="S3178" t="s">
        <v>656</v>
      </c>
      <c r="T3178" t="s">
        <v>790</v>
      </c>
      <c r="U3178">
        <v>2.186496337088048E-2</v>
      </c>
      <c r="V3178" t="s">
        <v>157</v>
      </c>
    </row>
    <row r="3179" spans="19:22" x14ac:dyDescent="0.45">
      <c r="S3179" t="s">
        <v>657</v>
      </c>
      <c r="T3179" t="s">
        <v>779</v>
      </c>
      <c r="U3179">
        <v>0.16054697040979454</v>
      </c>
      <c r="V3179" t="s">
        <v>157</v>
      </c>
    </row>
    <row r="3180" spans="19:22" x14ac:dyDescent="0.45">
      <c r="S3180" t="s">
        <v>657</v>
      </c>
      <c r="T3180" t="s">
        <v>780</v>
      </c>
      <c r="U3180">
        <v>0.14399428115179261</v>
      </c>
      <c r="V3180" t="s">
        <v>157</v>
      </c>
    </row>
    <row r="3181" spans="19:22" x14ac:dyDescent="0.45">
      <c r="S3181" t="s">
        <v>657</v>
      </c>
      <c r="T3181" t="s">
        <v>781</v>
      </c>
      <c r="U3181">
        <v>2.5854285230474689E-2</v>
      </c>
      <c r="V3181" t="s">
        <v>157</v>
      </c>
    </row>
    <row r="3182" spans="19:22" x14ac:dyDescent="0.45">
      <c r="S3182" t="s">
        <v>657</v>
      </c>
      <c r="T3182" t="s">
        <v>782</v>
      </c>
      <c r="U3182">
        <v>9.0038992842455826E-2</v>
      </c>
      <c r="V3182" t="s">
        <v>157</v>
      </c>
    </row>
    <row r="3183" spans="19:22" x14ac:dyDescent="0.45">
      <c r="S3183" t="s">
        <v>657</v>
      </c>
      <c r="T3183" t="s">
        <v>783</v>
      </c>
      <c r="U3183">
        <v>9.4481825728062852E-2</v>
      </c>
      <c r="V3183" t="s">
        <v>157</v>
      </c>
    </row>
    <row r="3184" spans="19:22" x14ac:dyDescent="0.45">
      <c r="S3184" t="s">
        <v>657</v>
      </c>
      <c r="T3184" t="s">
        <v>784</v>
      </c>
      <c r="U3184">
        <v>1.9662527346019591E-2</v>
      </c>
      <c r="V3184" t="s">
        <v>157</v>
      </c>
    </row>
    <row r="3185" spans="19:22" x14ac:dyDescent="0.45">
      <c r="S3185" t="s">
        <v>657</v>
      </c>
      <c r="T3185" t="s">
        <v>785</v>
      </c>
      <c r="U3185">
        <v>0.11780660327773089</v>
      </c>
      <c r="V3185" t="s">
        <v>157</v>
      </c>
    </row>
    <row r="3186" spans="19:22" x14ac:dyDescent="0.45">
      <c r="S3186" t="s">
        <v>657</v>
      </c>
      <c r="T3186" t="s">
        <v>786</v>
      </c>
      <c r="U3186">
        <v>0.10946177296392372</v>
      </c>
      <c r="V3186" t="s">
        <v>157</v>
      </c>
    </row>
    <row r="3187" spans="19:22" x14ac:dyDescent="0.45">
      <c r="S3187" t="s">
        <v>657</v>
      </c>
      <c r="T3187" t="s">
        <v>787</v>
      </c>
      <c r="U3187">
        <v>2.2253592918321293E-2</v>
      </c>
      <c r="V3187" t="s">
        <v>157</v>
      </c>
    </row>
    <row r="3188" spans="19:22" x14ac:dyDescent="0.45">
      <c r="S3188" t="s">
        <v>657</v>
      </c>
      <c r="T3188" t="s">
        <v>788</v>
      </c>
      <c r="U3188">
        <v>0.10463436818948303</v>
      </c>
      <c r="V3188" t="s">
        <v>157</v>
      </c>
    </row>
    <row r="3189" spans="19:22" x14ac:dyDescent="0.45">
      <c r="S3189" t="s">
        <v>657</v>
      </c>
      <c r="T3189" t="s">
        <v>789</v>
      </c>
      <c r="U3189">
        <v>8.8639798698133432E-2</v>
      </c>
      <c r="V3189" t="s">
        <v>157</v>
      </c>
    </row>
    <row r="3190" spans="19:22" x14ac:dyDescent="0.45">
      <c r="S3190" t="s">
        <v>657</v>
      </c>
      <c r="T3190" t="s">
        <v>790</v>
      </c>
      <c r="U3190">
        <v>2.2624981243807577E-2</v>
      </c>
      <c r="V3190" t="s">
        <v>157</v>
      </c>
    </row>
    <row r="3191" spans="19:22" x14ac:dyDescent="0.45">
      <c r="S3191" t="s">
        <v>658</v>
      </c>
      <c r="T3191" t="s">
        <v>779</v>
      </c>
      <c r="U3191">
        <v>0.15273307196362465</v>
      </c>
      <c r="V3191" t="s">
        <v>157</v>
      </c>
    </row>
    <row r="3192" spans="19:22" x14ac:dyDescent="0.45">
      <c r="S3192" t="s">
        <v>658</v>
      </c>
      <c r="T3192" t="s">
        <v>780</v>
      </c>
      <c r="U3192">
        <v>0.1416591200477664</v>
      </c>
      <c r="V3192" t="s">
        <v>157</v>
      </c>
    </row>
    <row r="3193" spans="19:22" x14ac:dyDescent="0.45">
      <c r="S3193" t="s">
        <v>658</v>
      </c>
      <c r="T3193" t="s">
        <v>781</v>
      </c>
      <c r="U3193">
        <v>2.5396876642898657E-2</v>
      </c>
      <c r="V3193" t="s">
        <v>157</v>
      </c>
    </row>
    <row r="3194" spans="19:22" x14ac:dyDescent="0.45">
      <c r="S3194" t="s">
        <v>658</v>
      </c>
      <c r="T3194" t="s">
        <v>782</v>
      </c>
      <c r="U3194">
        <v>9.0911507588569682E-2</v>
      </c>
      <c r="V3194" t="s">
        <v>157</v>
      </c>
    </row>
    <row r="3195" spans="19:22" x14ac:dyDescent="0.45">
      <c r="S3195" t="s">
        <v>658</v>
      </c>
      <c r="T3195" t="s">
        <v>783</v>
      </c>
      <c r="U3195">
        <v>9.7263756205733978E-2</v>
      </c>
      <c r="V3195" t="s">
        <v>157</v>
      </c>
    </row>
    <row r="3196" spans="19:22" x14ac:dyDescent="0.45">
      <c r="S3196" t="s">
        <v>658</v>
      </c>
      <c r="T3196" t="s">
        <v>784</v>
      </c>
      <c r="U3196">
        <v>1.9593170388517551E-2</v>
      </c>
      <c r="V3196" t="s">
        <v>157</v>
      </c>
    </row>
    <row r="3197" spans="19:22" x14ac:dyDescent="0.45">
      <c r="S3197" t="s">
        <v>658</v>
      </c>
      <c r="T3197" t="s">
        <v>785</v>
      </c>
      <c r="U3197">
        <v>0.115534913600268</v>
      </c>
      <c r="V3197" t="s">
        <v>157</v>
      </c>
    </row>
    <row r="3198" spans="19:22" x14ac:dyDescent="0.45">
      <c r="S3198" t="s">
        <v>658</v>
      </c>
      <c r="T3198" t="s">
        <v>786</v>
      </c>
      <c r="U3198">
        <v>0.11843048664751211</v>
      </c>
      <c r="V3198" t="s">
        <v>157</v>
      </c>
    </row>
    <row r="3199" spans="19:22" x14ac:dyDescent="0.45">
      <c r="S3199" t="s">
        <v>658</v>
      </c>
      <c r="T3199" t="s">
        <v>787</v>
      </c>
      <c r="U3199">
        <v>2.1703961752762849E-2</v>
      </c>
      <c r="V3199" t="s">
        <v>157</v>
      </c>
    </row>
    <row r="3200" spans="19:22" x14ac:dyDescent="0.45">
      <c r="S3200" t="s">
        <v>658</v>
      </c>
      <c r="T3200" t="s">
        <v>788</v>
      </c>
      <c r="U3200">
        <v>0.10518866708922225</v>
      </c>
      <c r="V3200" t="s">
        <v>157</v>
      </c>
    </row>
    <row r="3201" spans="19:22" x14ac:dyDescent="0.45">
      <c r="S3201" t="s">
        <v>658</v>
      </c>
      <c r="T3201" t="s">
        <v>789</v>
      </c>
      <c r="U3201">
        <v>8.8249015791455082E-2</v>
      </c>
      <c r="V3201" t="s">
        <v>157</v>
      </c>
    </row>
    <row r="3202" spans="19:22" x14ac:dyDescent="0.45">
      <c r="S3202" t="s">
        <v>658</v>
      </c>
      <c r="T3202" t="s">
        <v>790</v>
      </c>
      <c r="U3202">
        <v>2.3335452281668802E-2</v>
      </c>
      <c r="V3202" t="s">
        <v>157</v>
      </c>
    </row>
    <row r="3203" spans="19:22" x14ac:dyDescent="0.45">
      <c r="S3203" t="s">
        <v>659</v>
      </c>
      <c r="T3203" t="s">
        <v>779</v>
      </c>
      <c r="U3203">
        <v>0.14088009590739795</v>
      </c>
      <c r="V3203" t="s">
        <v>157</v>
      </c>
    </row>
    <row r="3204" spans="19:22" x14ac:dyDescent="0.45">
      <c r="S3204" t="s">
        <v>659</v>
      </c>
      <c r="T3204" t="s">
        <v>780</v>
      </c>
      <c r="U3204">
        <v>0.13328086864008906</v>
      </c>
      <c r="V3204" t="s">
        <v>157</v>
      </c>
    </row>
    <row r="3205" spans="19:22" x14ac:dyDescent="0.45">
      <c r="S3205" t="s">
        <v>659</v>
      </c>
      <c r="T3205" t="s">
        <v>781</v>
      </c>
      <c r="U3205">
        <v>2.416650926162758E-2</v>
      </c>
      <c r="V3205" t="s">
        <v>157</v>
      </c>
    </row>
    <row r="3206" spans="19:22" x14ac:dyDescent="0.45">
      <c r="S3206" t="s">
        <v>659</v>
      </c>
      <c r="T3206" t="s">
        <v>782</v>
      </c>
      <c r="U3206">
        <v>9.2088199346179428E-2</v>
      </c>
      <c r="V3206" t="s">
        <v>157</v>
      </c>
    </row>
    <row r="3207" spans="19:22" x14ac:dyDescent="0.45">
      <c r="S3207" t="s">
        <v>659</v>
      </c>
      <c r="T3207" t="s">
        <v>783</v>
      </c>
      <c r="U3207">
        <v>0.10113007977819791</v>
      </c>
      <c r="V3207" t="s">
        <v>157</v>
      </c>
    </row>
    <row r="3208" spans="19:22" x14ac:dyDescent="0.45">
      <c r="S3208" t="s">
        <v>659</v>
      </c>
      <c r="T3208" t="s">
        <v>784</v>
      </c>
      <c r="U3208">
        <v>1.9385923042230351E-2</v>
      </c>
      <c r="V3208" t="s">
        <v>157</v>
      </c>
    </row>
    <row r="3209" spans="19:22" x14ac:dyDescent="0.45">
      <c r="S3209" t="s">
        <v>659</v>
      </c>
      <c r="T3209" t="s">
        <v>785</v>
      </c>
      <c r="U3209">
        <v>0.11945194938996359</v>
      </c>
      <c r="V3209" t="s">
        <v>157</v>
      </c>
    </row>
    <row r="3210" spans="19:22" x14ac:dyDescent="0.45">
      <c r="S3210" t="s">
        <v>659</v>
      </c>
      <c r="T3210" t="s">
        <v>786</v>
      </c>
      <c r="U3210">
        <v>0.12156257209092629</v>
      </c>
      <c r="V3210" t="s">
        <v>157</v>
      </c>
    </row>
    <row r="3211" spans="19:22" x14ac:dyDescent="0.45">
      <c r="S3211" t="s">
        <v>659</v>
      </c>
      <c r="T3211" t="s">
        <v>787</v>
      </c>
      <c r="U3211">
        <v>2.2160197260605387E-2</v>
      </c>
      <c r="V3211" t="s">
        <v>157</v>
      </c>
    </row>
    <row r="3212" spans="19:22" x14ac:dyDescent="0.45">
      <c r="S3212" t="s">
        <v>659</v>
      </c>
      <c r="T3212" t="s">
        <v>788</v>
      </c>
      <c r="U3212">
        <v>0.10224875026930103</v>
      </c>
      <c r="V3212" t="s">
        <v>157</v>
      </c>
    </row>
    <row r="3213" spans="19:22" x14ac:dyDescent="0.45">
      <c r="S3213" t="s">
        <v>659</v>
      </c>
      <c r="T3213" t="s">
        <v>789</v>
      </c>
      <c r="U3213">
        <v>0.10162813552595952</v>
      </c>
      <c r="V3213" t="s">
        <v>157</v>
      </c>
    </row>
    <row r="3214" spans="19:22" x14ac:dyDescent="0.45">
      <c r="S3214" t="s">
        <v>659</v>
      </c>
      <c r="T3214" t="s">
        <v>790</v>
      </c>
      <c r="U3214">
        <v>2.2016719487521895E-2</v>
      </c>
      <c r="V3214" t="s">
        <v>157</v>
      </c>
    </row>
    <row r="3215" spans="19:22" x14ac:dyDescent="0.45">
      <c r="S3215" t="s">
        <v>660</v>
      </c>
      <c r="T3215" t="s">
        <v>779</v>
      </c>
      <c r="U3215">
        <v>0.13231659945893487</v>
      </c>
      <c r="V3215" t="s">
        <v>157</v>
      </c>
    </row>
    <row r="3216" spans="19:22" x14ac:dyDescent="0.45">
      <c r="S3216" t="s">
        <v>660</v>
      </c>
      <c r="T3216" t="s">
        <v>780</v>
      </c>
      <c r="U3216">
        <v>0.13051996509467165</v>
      </c>
      <c r="V3216" t="s">
        <v>157</v>
      </c>
    </row>
    <row r="3217" spans="19:22" x14ac:dyDescent="0.45">
      <c r="S3217" t="s">
        <v>660</v>
      </c>
      <c r="T3217" t="s">
        <v>781</v>
      </c>
      <c r="U3217">
        <v>2.4447660108810686E-2</v>
      </c>
      <c r="V3217" t="s">
        <v>157</v>
      </c>
    </row>
    <row r="3218" spans="19:22" x14ac:dyDescent="0.45">
      <c r="S3218" t="s">
        <v>660</v>
      </c>
      <c r="T3218" t="s">
        <v>782</v>
      </c>
      <c r="U3218">
        <v>9.1481949790762712E-2</v>
      </c>
      <c r="V3218" t="s">
        <v>157</v>
      </c>
    </row>
    <row r="3219" spans="19:22" x14ac:dyDescent="0.45">
      <c r="S3219" t="s">
        <v>660</v>
      </c>
      <c r="T3219" t="s">
        <v>783</v>
      </c>
      <c r="U3219">
        <v>0.10034811708684797</v>
      </c>
      <c r="V3219" t="s">
        <v>157</v>
      </c>
    </row>
    <row r="3220" spans="19:22" x14ac:dyDescent="0.45">
      <c r="S3220" t="s">
        <v>660</v>
      </c>
      <c r="T3220" t="s">
        <v>784</v>
      </c>
      <c r="U3220">
        <v>1.9108031355222342E-2</v>
      </c>
      <c r="V3220" t="s">
        <v>157</v>
      </c>
    </row>
    <row r="3221" spans="19:22" x14ac:dyDescent="0.45">
      <c r="S3221" t="s">
        <v>660</v>
      </c>
      <c r="T3221" t="s">
        <v>785</v>
      </c>
      <c r="U3221">
        <v>0.12263643048655813</v>
      </c>
      <c r="V3221" t="s">
        <v>157</v>
      </c>
    </row>
    <row r="3222" spans="19:22" x14ac:dyDescent="0.45">
      <c r="S3222" t="s">
        <v>660</v>
      </c>
      <c r="T3222" t="s">
        <v>786</v>
      </c>
      <c r="U3222">
        <v>0.12494259878322679</v>
      </c>
      <c r="V3222" t="s">
        <v>157</v>
      </c>
    </row>
    <row r="3223" spans="19:22" x14ac:dyDescent="0.45">
      <c r="S3223" t="s">
        <v>660</v>
      </c>
      <c r="T3223" t="s">
        <v>787</v>
      </c>
      <c r="U3223">
        <v>2.304485168777921E-2</v>
      </c>
      <c r="V3223" t="s">
        <v>157</v>
      </c>
    </row>
    <row r="3224" spans="19:22" x14ac:dyDescent="0.45">
      <c r="S3224" t="s">
        <v>660</v>
      </c>
      <c r="T3224" t="s">
        <v>788</v>
      </c>
      <c r="U3224">
        <v>0.10169558117717305</v>
      </c>
      <c r="V3224" t="s">
        <v>157</v>
      </c>
    </row>
    <row r="3225" spans="19:22" x14ac:dyDescent="0.45">
      <c r="S3225" t="s">
        <v>660</v>
      </c>
      <c r="T3225" t="s">
        <v>789</v>
      </c>
      <c r="U3225">
        <v>0.10795319582673174</v>
      </c>
      <c r="V3225" t="s">
        <v>157</v>
      </c>
    </row>
    <row r="3226" spans="19:22" x14ac:dyDescent="0.45">
      <c r="S3226" t="s">
        <v>660</v>
      </c>
      <c r="T3226" t="s">
        <v>790</v>
      </c>
      <c r="U3226">
        <v>2.150501914328087E-2</v>
      </c>
      <c r="V3226" t="s">
        <v>157</v>
      </c>
    </row>
    <row r="3227" spans="19:22" x14ac:dyDescent="0.45">
      <c r="S3227" t="s">
        <v>661</v>
      </c>
      <c r="T3227" t="s">
        <v>779</v>
      </c>
      <c r="U3227">
        <v>0.12701922753164596</v>
      </c>
      <c r="V3227" t="s">
        <v>157</v>
      </c>
    </row>
    <row r="3228" spans="19:22" x14ac:dyDescent="0.45">
      <c r="S3228" t="s">
        <v>661</v>
      </c>
      <c r="T3228" t="s">
        <v>780</v>
      </c>
      <c r="U3228">
        <v>0.12736020479968069</v>
      </c>
      <c r="V3228" t="s">
        <v>157</v>
      </c>
    </row>
    <row r="3229" spans="19:22" x14ac:dyDescent="0.45">
      <c r="S3229" t="s">
        <v>661</v>
      </c>
      <c r="T3229" t="s">
        <v>781</v>
      </c>
      <c r="U3229">
        <v>2.4235815202776186E-2</v>
      </c>
      <c r="V3229" t="s">
        <v>157</v>
      </c>
    </row>
    <row r="3230" spans="19:22" x14ac:dyDescent="0.45">
      <c r="S3230" t="s">
        <v>661</v>
      </c>
      <c r="T3230" t="s">
        <v>782</v>
      </c>
      <c r="U3230">
        <v>9.3562151289954765E-2</v>
      </c>
      <c r="V3230" t="s">
        <v>157</v>
      </c>
    </row>
    <row r="3231" spans="19:22" x14ac:dyDescent="0.45">
      <c r="S3231" t="s">
        <v>661</v>
      </c>
      <c r="T3231" t="s">
        <v>783</v>
      </c>
      <c r="U3231">
        <v>9.9147027223350573E-2</v>
      </c>
      <c r="V3231" t="s">
        <v>157</v>
      </c>
    </row>
    <row r="3232" spans="19:22" x14ac:dyDescent="0.45">
      <c r="S3232" t="s">
        <v>661</v>
      </c>
      <c r="T3232" t="s">
        <v>784</v>
      </c>
      <c r="U3232">
        <v>1.875478750467956E-2</v>
      </c>
      <c r="V3232" t="s">
        <v>157</v>
      </c>
    </row>
    <row r="3233" spans="19:22" x14ac:dyDescent="0.45">
      <c r="S3233" t="s">
        <v>661</v>
      </c>
      <c r="T3233" t="s">
        <v>785</v>
      </c>
      <c r="U3233">
        <v>0.12370527506090866</v>
      </c>
      <c r="V3233" t="s">
        <v>157</v>
      </c>
    </row>
    <row r="3234" spans="19:22" x14ac:dyDescent="0.45">
      <c r="S3234" t="s">
        <v>661</v>
      </c>
      <c r="T3234" t="s">
        <v>786</v>
      </c>
      <c r="U3234">
        <v>0.12746061948832496</v>
      </c>
      <c r="V3234" t="s">
        <v>157</v>
      </c>
    </row>
    <row r="3235" spans="19:22" x14ac:dyDescent="0.45">
      <c r="S3235" t="s">
        <v>661</v>
      </c>
      <c r="T3235" t="s">
        <v>787</v>
      </c>
      <c r="U3235">
        <v>2.3302035596958395E-2</v>
      </c>
      <c r="V3235" t="s">
        <v>157</v>
      </c>
    </row>
    <row r="3236" spans="19:22" x14ac:dyDescent="0.45">
      <c r="S3236" t="s">
        <v>661</v>
      </c>
      <c r="T3236" t="s">
        <v>788</v>
      </c>
      <c r="U3236">
        <v>0.10279477944567668</v>
      </c>
      <c r="V3236" t="s">
        <v>157</v>
      </c>
    </row>
    <row r="3237" spans="19:22" x14ac:dyDescent="0.45">
      <c r="S3237" t="s">
        <v>661</v>
      </c>
      <c r="T3237" t="s">
        <v>789</v>
      </c>
      <c r="U3237">
        <v>0.1114086726823591</v>
      </c>
      <c r="V3237" t="s">
        <v>157</v>
      </c>
    </row>
    <row r="3238" spans="19:22" x14ac:dyDescent="0.45">
      <c r="S3238" t="s">
        <v>661</v>
      </c>
      <c r="T3238" t="s">
        <v>790</v>
      </c>
      <c r="U3238">
        <v>2.1249404173684448E-2</v>
      </c>
      <c r="V3238" t="s">
        <v>157</v>
      </c>
    </row>
    <row r="3239" spans="19:22" x14ac:dyDescent="0.45">
      <c r="S3239" t="s">
        <v>662</v>
      </c>
      <c r="T3239" t="s">
        <v>779</v>
      </c>
      <c r="U3239">
        <v>0.12323289932677232</v>
      </c>
      <c r="V3239" t="s">
        <v>157</v>
      </c>
    </row>
    <row r="3240" spans="19:22" x14ac:dyDescent="0.45">
      <c r="S3240" t="s">
        <v>662</v>
      </c>
      <c r="T3240" t="s">
        <v>780</v>
      </c>
      <c r="U3240">
        <v>0.1258625967255261</v>
      </c>
      <c r="V3240" t="s">
        <v>157</v>
      </c>
    </row>
    <row r="3241" spans="19:22" x14ac:dyDescent="0.45">
      <c r="S3241" t="s">
        <v>662</v>
      </c>
      <c r="T3241" t="s">
        <v>781</v>
      </c>
      <c r="U3241">
        <v>2.3615911896006848E-2</v>
      </c>
      <c r="V3241" t="s">
        <v>157</v>
      </c>
    </row>
    <row r="3242" spans="19:22" x14ac:dyDescent="0.45">
      <c r="S3242" t="s">
        <v>662</v>
      </c>
      <c r="T3242" t="s">
        <v>782</v>
      </c>
      <c r="U3242">
        <v>9.8170875173268515E-2</v>
      </c>
      <c r="V3242" t="s">
        <v>157</v>
      </c>
    </row>
    <row r="3243" spans="19:22" x14ac:dyDescent="0.45">
      <c r="S3243" t="s">
        <v>662</v>
      </c>
      <c r="T3243" t="s">
        <v>783</v>
      </c>
      <c r="U3243">
        <v>0.10104092642355544</v>
      </c>
      <c r="V3243" t="s">
        <v>157</v>
      </c>
    </row>
    <row r="3244" spans="19:22" x14ac:dyDescent="0.45">
      <c r="S3244" t="s">
        <v>662</v>
      </c>
      <c r="T3244" t="s">
        <v>784</v>
      </c>
      <c r="U3244">
        <v>1.9117632105402356E-2</v>
      </c>
      <c r="V3244" t="s">
        <v>157</v>
      </c>
    </row>
    <row r="3245" spans="19:22" x14ac:dyDescent="0.45">
      <c r="S3245" t="s">
        <v>662</v>
      </c>
      <c r="T3245" t="s">
        <v>785</v>
      </c>
      <c r="U3245">
        <v>0.12204070074033072</v>
      </c>
      <c r="V3245" t="s">
        <v>157</v>
      </c>
    </row>
    <row r="3246" spans="19:22" x14ac:dyDescent="0.45">
      <c r="S3246" t="s">
        <v>662</v>
      </c>
      <c r="T3246" t="s">
        <v>786</v>
      </c>
      <c r="U3246">
        <v>0.12808816314222252</v>
      </c>
      <c r="V3246" t="s">
        <v>157</v>
      </c>
    </row>
    <row r="3247" spans="19:22" x14ac:dyDescent="0.45">
      <c r="S3247" t="s">
        <v>662</v>
      </c>
      <c r="T3247" t="s">
        <v>787</v>
      </c>
      <c r="U3247">
        <v>2.2999069600297014E-2</v>
      </c>
      <c r="V3247" t="s">
        <v>157</v>
      </c>
    </row>
    <row r="3248" spans="19:22" x14ac:dyDescent="0.45">
      <c r="S3248" t="s">
        <v>662</v>
      </c>
      <c r="T3248" t="s">
        <v>788</v>
      </c>
      <c r="U3248">
        <v>0.10368002494845939</v>
      </c>
      <c r="V3248" t="s">
        <v>157</v>
      </c>
    </row>
    <row r="3249" spans="19:22" x14ac:dyDescent="0.45">
      <c r="S3249" t="s">
        <v>662</v>
      </c>
      <c r="T3249" t="s">
        <v>789</v>
      </c>
      <c r="U3249">
        <v>0.11176205141383223</v>
      </c>
      <c r="V3249" t="s">
        <v>157</v>
      </c>
    </row>
    <row r="3250" spans="19:22" x14ac:dyDescent="0.45">
      <c r="S3250" t="s">
        <v>662</v>
      </c>
      <c r="T3250" t="s">
        <v>790</v>
      </c>
      <c r="U3250">
        <v>2.0389148504326517E-2</v>
      </c>
      <c r="V3250" t="s">
        <v>157</v>
      </c>
    </row>
    <row r="3251" spans="19:22" x14ac:dyDescent="0.45">
      <c r="S3251" t="s">
        <v>663</v>
      </c>
      <c r="T3251" t="s">
        <v>779</v>
      </c>
      <c r="U3251">
        <v>0.12119379584715383</v>
      </c>
      <c r="V3251" t="s">
        <v>157</v>
      </c>
    </row>
    <row r="3252" spans="19:22" x14ac:dyDescent="0.45">
      <c r="S3252" t="s">
        <v>663</v>
      </c>
      <c r="T3252" t="s">
        <v>780</v>
      </c>
      <c r="U3252">
        <v>0.12588463235192052</v>
      </c>
      <c r="V3252" t="s">
        <v>157</v>
      </c>
    </row>
    <row r="3253" spans="19:22" x14ac:dyDescent="0.45">
      <c r="S3253" t="s">
        <v>663</v>
      </c>
      <c r="T3253" t="s">
        <v>781</v>
      </c>
      <c r="U3253">
        <v>2.3162926290918089E-2</v>
      </c>
      <c r="V3253" t="s">
        <v>157</v>
      </c>
    </row>
    <row r="3254" spans="19:22" x14ac:dyDescent="0.45">
      <c r="S3254" t="s">
        <v>663</v>
      </c>
      <c r="T3254" t="s">
        <v>782</v>
      </c>
      <c r="U3254">
        <v>0.10237665989103739</v>
      </c>
      <c r="V3254" t="s">
        <v>157</v>
      </c>
    </row>
    <row r="3255" spans="19:22" x14ac:dyDescent="0.45">
      <c r="S3255" t="s">
        <v>663</v>
      </c>
      <c r="T3255" t="s">
        <v>783</v>
      </c>
      <c r="U3255">
        <v>0.10497991059022119</v>
      </c>
      <c r="V3255" t="s">
        <v>157</v>
      </c>
    </row>
    <row r="3256" spans="19:22" x14ac:dyDescent="0.45">
      <c r="S3256" t="s">
        <v>663</v>
      </c>
      <c r="T3256" t="s">
        <v>784</v>
      </c>
      <c r="U3256">
        <v>1.988272918685436E-2</v>
      </c>
      <c r="V3256" t="s">
        <v>157</v>
      </c>
    </row>
    <row r="3257" spans="19:22" x14ac:dyDescent="0.45">
      <c r="S3257" t="s">
        <v>663</v>
      </c>
      <c r="T3257" t="s">
        <v>785</v>
      </c>
      <c r="U3257">
        <v>0.12002262919089496</v>
      </c>
      <c r="V3257" t="s">
        <v>157</v>
      </c>
    </row>
    <row r="3258" spans="19:22" x14ac:dyDescent="0.45">
      <c r="S3258" t="s">
        <v>663</v>
      </c>
      <c r="T3258" t="s">
        <v>786</v>
      </c>
      <c r="U3258">
        <v>0.12708623391748824</v>
      </c>
      <c r="V3258" t="s">
        <v>157</v>
      </c>
    </row>
    <row r="3259" spans="19:22" x14ac:dyDescent="0.45">
      <c r="S3259" t="s">
        <v>663</v>
      </c>
      <c r="T3259" t="s">
        <v>787</v>
      </c>
      <c r="U3259">
        <v>2.2365515414646164E-2</v>
      </c>
      <c r="V3259" t="s">
        <v>157</v>
      </c>
    </row>
    <row r="3260" spans="19:22" x14ac:dyDescent="0.45">
      <c r="S3260" t="s">
        <v>663</v>
      </c>
      <c r="T3260" t="s">
        <v>788</v>
      </c>
      <c r="U3260">
        <v>0.10407270541643465</v>
      </c>
      <c r="V3260" t="s">
        <v>157</v>
      </c>
    </row>
    <row r="3261" spans="19:22" x14ac:dyDescent="0.45">
      <c r="S3261" t="s">
        <v>663</v>
      </c>
      <c r="T3261" t="s">
        <v>789</v>
      </c>
      <c r="U3261">
        <v>0.10961758977913873</v>
      </c>
      <c r="V3261" t="s">
        <v>157</v>
      </c>
    </row>
    <row r="3262" spans="19:22" x14ac:dyDescent="0.45">
      <c r="S3262" t="s">
        <v>663</v>
      </c>
      <c r="T3262" t="s">
        <v>790</v>
      </c>
      <c r="U3262">
        <v>1.9354672123291915E-2</v>
      </c>
      <c r="V3262" t="s">
        <v>157</v>
      </c>
    </row>
    <row r="3263" spans="19:22" x14ac:dyDescent="0.45">
      <c r="S3263" t="s">
        <v>664</v>
      </c>
      <c r="T3263" t="s">
        <v>779</v>
      </c>
      <c r="U3263">
        <v>0.12057381729821889</v>
      </c>
      <c r="V3263" t="s">
        <v>157</v>
      </c>
    </row>
    <row r="3264" spans="19:22" x14ac:dyDescent="0.45">
      <c r="S3264" t="s">
        <v>664</v>
      </c>
      <c r="T3264" t="s">
        <v>780</v>
      </c>
      <c r="U3264">
        <v>0.12456817807527802</v>
      </c>
      <c r="V3264" t="s">
        <v>157</v>
      </c>
    </row>
    <row r="3265" spans="19:22" x14ac:dyDescent="0.45">
      <c r="S3265" t="s">
        <v>664</v>
      </c>
      <c r="T3265" t="s">
        <v>781</v>
      </c>
      <c r="U3265">
        <v>2.2776078113920184E-2</v>
      </c>
      <c r="V3265" t="s">
        <v>157</v>
      </c>
    </row>
    <row r="3266" spans="19:22" x14ac:dyDescent="0.45">
      <c r="S3266" t="s">
        <v>664</v>
      </c>
      <c r="T3266" t="s">
        <v>782</v>
      </c>
      <c r="U3266">
        <v>0.1047207949074261</v>
      </c>
      <c r="V3266" t="s">
        <v>157</v>
      </c>
    </row>
    <row r="3267" spans="19:22" x14ac:dyDescent="0.45">
      <c r="S3267" t="s">
        <v>664</v>
      </c>
      <c r="T3267" t="s">
        <v>783</v>
      </c>
      <c r="U3267">
        <v>0.10835921842839805</v>
      </c>
      <c r="V3267" t="s">
        <v>157</v>
      </c>
    </row>
    <row r="3268" spans="19:22" x14ac:dyDescent="0.45">
      <c r="S3268" t="s">
        <v>664</v>
      </c>
      <c r="T3268" t="s">
        <v>784</v>
      </c>
      <c r="U3268">
        <v>2.0157392593988927E-2</v>
      </c>
      <c r="V3268" t="s">
        <v>157</v>
      </c>
    </row>
    <row r="3269" spans="19:22" x14ac:dyDescent="0.45">
      <c r="S3269" t="s">
        <v>664</v>
      </c>
      <c r="T3269" t="s">
        <v>785</v>
      </c>
      <c r="U3269">
        <v>0.11928409539949893</v>
      </c>
      <c r="V3269" t="s">
        <v>157</v>
      </c>
    </row>
    <row r="3270" spans="19:22" x14ac:dyDescent="0.45">
      <c r="S3270" t="s">
        <v>664</v>
      </c>
      <c r="T3270" t="s">
        <v>786</v>
      </c>
      <c r="U3270">
        <v>0.12575462204768448</v>
      </c>
      <c r="V3270" t="s">
        <v>157</v>
      </c>
    </row>
    <row r="3271" spans="19:22" x14ac:dyDescent="0.45">
      <c r="S3271" t="s">
        <v>664</v>
      </c>
      <c r="T3271" t="s">
        <v>787</v>
      </c>
      <c r="U3271">
        <v>2.1694941823356538E-2</v>
      </c>
      <c r="V3271" t="s">
        <v>157</v>
      </c>
    </row>
    <row r="3272" spans="19:22" x14ac:dyDescent="0.45">
      <c r="S3272" t="s">
        <v>664</v>
      </c>
      <c r="T3272" t="s">
        <v>788</v>
      </c>
      <c r="U3272">
        <v>0.10480023352596531</v>
      </c>
      <c r="V3272" t="s">
        <v>157</v>
      </c>
    </row>
    <row r="3273" spans="19:22" x14ac:dyDescent="0.45">
      <c r="S3273" t="s">
        <v>664</v>
      </c>
      <c r="T3273" t="s">
        <v>789</v>
      </c>
      <c r="U3273">
        <v>0.10820741301168649</v>
      </c>
      <c r="V3273" t="s">
        <v>157</v>
      </c>
    </row>
    <row r="3274" spans="19:22" x14ac:dyDescent="0.45">
      <c r="S3274" t="s">
        <v>664</v>
      </c>
      <c r="T3274" t="s">
        <v>790</v>
      </c>
      <c r="U3274">
        <v>1.9103214774578076E-2</v>
      </c>
      <c r="V3274" t="s">
        <v>157</v>
      </c>
    </row>
    <row r="3275" spans="19:22" x14ac:dyDescent="0.45">
      <c r="S3275" t="s">
        <v>665</v>
      </c>
      <c r="T3275" t="s">
        <v>779</v>
      </c>
      <c r="U3275">
        <v>0.11935401054677319</v>
      </c>
      <c r="V3275" t="s">
        <v>157</v>
      </c>
    </row>
    <row r="3276" spans="19:22" x14ac:dyDescent="0.45">
      <c r="S3276" t="s">
        <v>665</v>
      </c>
      <c r="T3276" t="s">
        <v>780</v>
      </c>
      <c r="U3276">
        <v>0.1213552108564763</v>
      </c>
      <c r="V3276" t="s">
        <v>157</v>
      </c>
    </row>
    <row r="3277" spans="19:22" x14ac:dyDescent="0.45">
      <c r="S3277" t="s">
        <v>665</v>
      </c>
      <c r="T3277" t="s">
        <v>781</v>
      </c>
      <c r="U3277">
        <v>2.2007741073505702E-2</v>
      </c>
      <c r="V3277" t="s">
        <v>157</v>
      </c>
    </row>
    <row r="3278" spans="19:22" x14ac:dyDescent="0.45">
      <c r="S3278" t="s">
        <v>665</v>
      </c>
      <c r="T3278" t="s">
        <v>782</v>
      </c>
      <c r="U3278">
        <v>0.10826667415344515</v>
      </c>
      <c r="V3278" t="s">
        <v>157</v>
      </c>
    </row>
    <row r="3279" spans="19:22" x14ac:dyDescent="0.45">
      <c r="S3279" t="s">
        <v>665</v>
      </c>
      <c r="T3279" t="s">
        <v>783</v>
      </c>
      <c r="U3279">
        <v>0.11132900920504842</v>
      </c>
      <c r="V3279" t="s">
        <v>157</v>
      </c>
    </row>
    <row r="3280" spans="19:22" x14ac:dyDescent="0.45">
      <c r="S3280" t="s">
        <v>665</v>
      </c>
      <c r="T3280" t="s">
        <v>784</v>
      </c>
      <c r="U3280">
        <v>2.0255542816441808E-2</v>
      </c>
      <c r="V3280" t="s">
        <v>157</v>
      </c>
    </row>
    <row r="3281" spans="19:22" x14ac:dyDescent="0.45">
      <c r="S3281" t="s">
        <v>665</v>
      </c>
      <c r="T3281" t="s">
        <v>785</v>
      </c>
      <c r="U3281">
        <v>0.11840084399178916</v>
      </c>
      <c r="V3281" t="s">
        <v>157</v>
      </c>
    </row>
    <row r="3282" spans="19:22" x14ac:dyDescent="0.45">
      <c r="S3282" t="s">
        <v>665</v>
      </c>
      <c r="T3282" t="s">
        <v>786</v>
      </c>
      <c r="U3282">
        <v>0.12464053384245417</v>
      </c>
      <c r="V3282" t="s">
        <v>157</v>
      </c>
    </row>
    <row r="3283" spans="19:22" x14ac:dyDescent="0.45">
      <c r="S3283" t="s">
        <v>665</v>
      </c>
      <c r="T3283" t="s">
        <v>787</v>
      </c>
      <c r="U3283">
        <v>2.1901983155768235E-2</v>
      </c>
      <c r="V3283" t="s">
        <v>157</v>
      </c>
    </row>
    <row r="3284" spans="19:22" x14ac:dyDescent="0.45">
      <c r="S3284" t="s">
        <v>665</v>
      </c>
      <c r="T3284" t="s">
        <v>788</v>
      </c>
      <c r="U3284">
        <v>0.10564699566295752</v>
      </c>
      <c r="V3284" t="s">
        <v>157</v>
      </c>
    </row>
    <row r="3285" spans="19:22" x14ac:dyDescent="0.45">
      <c r="S3285" t="s">
        <v>665</v>
      </c>
      <c r="T3285" t="s">
        <v>789</v>
      </c>
      <c r="U3285">
        <v>0.10756759891102359</v>
      </c>
      <c r="V3285" t="s">
        <v>157</v>
      </c>
    </row>
    <row r="3286" spans="19:22" x14ac:dyDescent="0.45">
      <c r="S3286" t="s">
        <v>665</v>
      </c>
      <c r="T3286" t="s">
        <v>790</v>
      </c>
      <c r="U3286">
        <v>1.9273855784316715E-2</v>
      </c>
      <c r="V3286" t="s">
        <v>157</v>
      </c>
    </row>
    <row r="3287" spans="19:22" x14ac:dyDescent="0.45">
      <c r="S3287" t="s">
        <v>666</v>
      </c>
      <c r="T3287" t="s">
        <v>779</v>
      </c>
      <c r="U3287">
        <v>9.8837742775634438E-2</v>
      </c>
      <c r="V3287" t="s">
        <v>157</v>
      </c>
    </row>
    <row r="3288" spans="19:22" x14ac:dyDescent="0.45">
      <c r="S3288" t="s">
        <v>666</v>
      </c>
      <c r="T3288" t="s">
        <v>780</v>
      </c>
      <c r="U3288">
        <v>0.11910933272689594</v>
      </c>
      <c r="V3288" t="s">
        <v>157</v>
      </c>
    </row>
    <row r="3289" spans="19:22" x14ac:dyDescent="0.45">
      <c r="S3289" t="s">
        <v>666</v>
      </c>
      <c r="T3289" t="s">
        <v>781</v>
      </c>
      <c r="U3289">
        <v>1.9039240699486988E-2</v>
      </c>
      <c r="V3289" t="s">
        <v>157</v>
      </c>
    </row>
    <row r="3290" spans="19:22" x14ac:dyDescent="0.45">
      <c r="S3290" t="s">
        <v>666</v>
      </c>
      <c r="T3290" t="s">
        <v>782</v>
      </c>
      <c r="U3290">
        <v>0.11602118402047774</v>
      </c>
      <c r="V3290" t="s">
        <v>157</v>
      </c>
    </row>
    <row r="3291" spans="19:22" x14ac:dyDescent="0.45">
      <c r="S3291" t="s">
        <v>666</v>
      </c>
      <c r="T3291" t="s">
        <v>783</v>
      </c>
      <c r="U3291">
        <v>0.1150319865790134</v>
      </c>
      <c r="V3291" t="s">
        <v>157</v>
      </c>
    </row>
    <row r="3292" spans="19:22" x14ac:dyDescent="0.45">
      <c r="S3292" t="s">
        <v>666</v>
      </c>
      <c r="T3292" t="s">
        <v>784</v>
      </c>
      <c r="U3292">
        <v>2.0369130725968774E-2</v>
      </c>
      <c r="V3292" t="s">
        <v>157</v>
      </c>
    </row>
    <row r="3293" spans="19:22" x14ac:dyDescent="0.45">
      <c r="S3293" t="s">
        <v>666</v>
      </c>
      <c r="T3293" t="s">
        <v>785</v>
      </c>
      <c r="U3293">
        <v>0.12299219137329966</v>
      </c>
      <c r="V3293" t="s">
        <v>157</v>
      </c>
    </row>
    <row r="3294" spans="19:22" x14ac:dyDescent="0.45">
      <c r="S3294" t="s">
        <v>666</v>
      </c>
      <c r="T3294" t="s">
        <v>786</v>
      </c>
      <c r="U3294">
        <v>0.12631076899530785</v>
      </c>
      <c r="V3294" t="s">
        <v>157</v>
      </c>
    </row>
    <row r="3295" spans="19:22" x14ac:dyDescent="0.45">
      <c r="S3295" t="s">
        <v>666</v>
      </c>
      <c r="T3295" t="s">
        <v>787</v>
      </c>
      <c r="U3295">
        <v>2.2529264352302888E-2</v>
      </c>
      <c r="V3295" t="s">
        <v>157</v>
      </c>
    </row>
    <row r="3296" spans="19:22" x14ac:dyDescent="0.45">
      <c r="S3296" t="s">
        <v>666</v>
      </c>
      <c r="T3296" t="s">
        <v>788</v>
      </c>
      <c r="U3296">
        <v>0.11509306381974048</v>
      </c>
      <c r="V3296" t="s">
        <v>157</v>
      </c>
    </row>
    <row r="3297" spans="19:22" x14ac:dyDescent="0.45">
      <c r="S3297" t="s">
        <v>666</v>
      </c>
      <c r="T3297" t="s">
        <v>789</v>
      </c>
      <c r="U3297">
        <v>0.1052133857894979</v>
      </c>
      <c r="V3297" t="s">
        <v>157</v>
      </c>
    </row>
    <row r="3298" spans="19:22" x14ac:dyDescent="0.45">
      <c r="S3298" t="s">
        <v>666</v>
      </c>
      <c r="T3298" t="s">
        <v>790</v>
      </c>
      <c r="U3298">
        <v>1.9452708142373838E-2</v>
      </c>
      <c r="V3298" t="s">
        <v>157</v>
      </c>
    </row>
    <row r="3299" spans="19:22" x14ac:dyDescent="0.45">
      <c r="S3299" t="s">
        <v>667</v>
      </c>
      <c r="T3299" t="s">
        <v>779</v>
      </c>
      <c r="U3299">
        <v>9.9907123894880018E-2</v>
      </c>
      <c r="V3299" t="s">
        <v>157</v>
      </c>
    </row>
    <row r="3300" spans="19:22" x14ac:dyDescent="0.45">
      <c r="S3300" t="s">
        <v>667</v>
      </c>
      <c r="T3300" t="s">
        <v>780</v>
      </c>
      <c r="U3300">
        <v>0.12042396519798508</v>
      </c>
      <c r="V3300" t="s">
        <v>157</v>
      </c>
    </row>
    <row r="3301" spans="19:22" x14ac:dyDescent="0.45">
      <c r="S3301" t="s">
        <v>667</v>
      </c>
      <c r="T3301" t="s">
        <v>781</v>
      </c>
      <c r="U3301">
        <v>1.9350079444294094E-2</v>
      </c>
      <c r="V3301" t="s">
        <v>157</v>
      </c>
    </row>
    <row r="3302" spans="19:22" x14ac:dyDescent="0.45">
      <c r="S3302" t="s">
        <v>667</v>
      </c>
      <c r="T3302" t="s">
        <v>782</v>
      </c>
      <c r="U3302">
        <v>0.11385225810046695</v>
      </c>
      <c r="V3302" t="s">
        <v>157</v>
      </c>
    </row>
    <row r="3303" spans="19:22" x14ac:dyDescent="0.45">
      <c r="S3303" t="s">
        <v>667</v>
      </c>
      <c r="T3303" t="s">
        <v>783</v>
      </c>
      <c r="U3303">
        <v>0.11398863817081396</v>
      </c>
      <c r="V3303" t="s">
        <v>157</v>
      </c>
    </row>
    <row r="3304" spans="19:22" x14ac:dyDescent="0.45">
      <c r="S3304" t="s">
        <v>667</v>
      </c>
      <c r="T3304" t="s">
        <v>784</v>
      </c>
      <c r="U3304">
        <v>1.9952988386127971E-2</v>
      </c>
      <c r="V3304" t="s">
        <v>157</v>
      </c>
    </row>
    <row r="3305" spans="19:22" x14ac:dyDescent="0.45">
      <c r="S3305" t="s">
        <v>667</v>
      </c>
      <c r="T3305" t="s">
        <v>785</v>
      </c>
      <c r="U3305">
        <v>0.12413137214599355</v>
      </c>
      <c r="V3305" t="s">
        <v>157</v>
      </c>
    </row>
    <row r="3306" spans="19:22" x14ac:dyDescent="0.45">
      <c r="S3306" t="s">
        <v>667</v>
      </c>
      <c r="T3306" t="s">
        <v>786</v>
      </c>
      <c r="U3306">
        <v>0.12652989201926948</v>
      </c>
      <c r="V3306" t="s">
        <v>157</v>
      </c>
    </row>
    <row r="3307" spans="19:22" x14ac:dyDescent="0.45">
      <c r="S3307" t="s">
        <v>667</v>
      </c>
      <c r="T3307" t="s">
        <v>787</v>
      </c>
      <c r="U3307">
        <v>2.3112953839627415E-2</v>
      </c>
      <c r="V3307" t="s">
        <v>157</v>
      </c>
    </row>
    <row r="3308" spans="19:22" x14ac:dyDescent="0.45">
      <c r="S3308" t="s">
        <v>667</v>
      </c>
      <c r="T3308" t="s">
        <v>788</v>
      </c>
      <c r="U3308">
        <v>0.11408348072324533</v>
      </c>
      <c r="V3308" t="s">
        <v>157</v>
      </c>
    </row>
    <row r="3309" spans="19:22" x14ac:dyDescent="0.45">
      <c r="S3309" t="s">
        <v>667</v>
      </c>
      <c r="T3309" t="s">
        <v>789</v>
      </c>
      <c r="U3309">
        <v>0.10536592126511894</v>
      </c>
      <c r="V3309" t="s">
        <v>157</v>
      </c>
    </row>
    <row r="3310" spans="19:22" x14ac:dyDescent="0.45">
      <c r="S3310" t="s">
        <v>667</v>
      </c>
      <c r="T3310" t="s">
        <v>790</v>
      </c>
      <c r="U3310">
        <v>1.9301326812177222E-2</v>
      </c>
      <c r="V3310" t="s">
        <v>157</v>
      </c>
    </row>
    <row r="3311" spans="19:22" x14ac:dyDescent="0.45">
      <c r="S3311" t="s">
        <v>668</v>
      </c>
      <c r="T3311" t="s">
        <v>779</v>
      </c>
      <c r="U3311">
        <v>0.10421018769890286</v>
      </c>
      <c r="V3311" t="s">
        <v>157</v>
      </c>
    </row>
    <row r="3312" spans="19:22" x14ac:dyDescent="0.45">
      <c r="S3312" t="s">
        <v>668</v>
      </c>
      <c r="T3312" t="s">
        <v>780</v>
      </c>
      <c r="U3312">
        <v>0.12190944593810775</v>
      </c>
      <c r="V3312" t="s">
        <v>157</v>
      </c>
    </row>
    <row r="3313" spans="19:22" x14ac:dyDescent="0.45">
      <c r="S3313" t="s">
        <v>668</v>
      </c>
      <c r="T3313" t="s">
        <v>781</v>
      </c>
      <c r="U3313">
        <v>1.9752219515132521E-2</v>
      </c>
      <c r="V3313" t="s">
        <v>157</v>
      </c>
    </row>
    <row r="3314" spans="19:22" x14ac:dyDescent="0.45">
      <c r="S3314" t="s">
        <v>668</v>
      </c>
      <c r="T3314" t="s">
        <v>782</v>
      </c>
      <c r="U3314">
        <v>0.11098751556705798</v>
      </c>
      <c r="V3314" t="s">
        <v>157</v>
      </c>
    </row>
    <row r="3315" spans="19:22" x14ac:dyDescent="0.45">
      <c r="S3315" t="s">
        <v>668</v>
      </c>
      <c r="T3315" t="s">
        <v>783</v>
      </c>
      <c r="U3315">
        <v>0.1126446300994404</v>
      </c>
      <c r="V3315" t="s">
        <v>157</v>
      </c>
    </row>
    <row r="3316" spans="19:22" x14ac:dyDescent="0.45">
      <c r="S3316" t="s">
        <v>668</v>
      </c>
      <c r="T3316" t="s">
        <v>784</v>
      </c>
      <c r="U3316">
        <v>1.9204472326579521E-2</v>
      </c>
      <c r="V3316" t="s">
        <v>157</v>
      </c>
    </row>
    <row r="3317" spans="19:22" x14ac:dyDescent="0.45">
      <c r="S3317" t="s">
        <v>668</v>
      </c>
      <c r="T3317" t="s">
        <v>785</v>
      </c>
      <c r="U3317">
        <v>0.12455059118418398</v>
      </c>
      <c r="V3317" t="s">
        <v>157</v>
      </c>
    </row>
    <row r="3318" spans="19:22" x14ac:dyDescent="0.45">
      <c r="S3318" t="s">
        <v>668</v>
      </c>
      <c r="T3318" t="s">
        <v>786</v>
      </c>
      <c r="U3318">
        <v>0.12661765044623741</v>
      </c>
      <c r="V3318" t="s">
        <v>157</v>
      </c>
    </row>
    <row r="3319" spans="19:22" x14ac:dyDescent="0.45">
      <c r="S3319" t="s">
        <v>668</v>
      </c>
      <c r="T3319" t="s">
        <v>787</v>
      </c>
      <c r="U3319">
        <v>2.342324221845301E-2</v>
      </c>
      <c r="V3319" t="s">
        <v>157</v>
      </c>
    </row>
    <row r="3320" spans="19:22" x14ac:dyDescent="0.45">
      <c r="S3320" t="s">
        <v>668</v>
      </c>
      <c r="T3320" t="s">
        <v>788</v>
      </c>
      <c r="U3320">
        <v>0.1128955901423136</v>
      </c>
      <c r="V3320" t="s">
        <v>157</v>
      </c>
    </row>
    <row r="3321" spans="19:22" x14ac:dyDescent="0.45">
      <c r="S3321" t="s">
        <v>668</v>
      </c>
      <c r="T3321" t="s">
        <v>789</v>
      </c>
      <c r="U3321">
        <v>0.10470960373249276</v>
      </c>
      <c r="V3321" t="s">
        <v>157</v>
      </c>
    </row>
    <row r="3322" spans="19:22" x14ac:dyDescent="0.45">
      <c r="S3322" t="s">
        <v>668</v>
      </c>
      <c r="T3322" t="s">
        <v>790</v>
      </c>
      <c r="U3322">
        <v>1.9094851131098239E-2</v>
      </c>
      <c r="V3322" t="s">
        <v>157</v>
      </c>
    </row>
    <row r="3323" spans="19:22" x14ac:dyDescent="0.45">
      <c r="S3323" t="s">
        <v>669</v>
      </c>
      <c r="T3323" t="s">
        <v>779</v>
      </c>
      <c r="U3323">
        <v>0.11051982707515405</v>
      </c>
      <c r="V3323" t="s">
        <v>157</v>
      </c>
    </row>
    <row r="3324" spans="19:22" x14ac:dyDescent="0.45">
      <c r="S3324" t="s">
        <v>669</v>
      </c>
      <c r="T3324" t="s">
        <v>780</v>
      </c>
      <c r="U3324">
        <v>0.12324943236764781</v>
      </c>
      <c r="V3324" t="s">
        <v>157</v>
      </c>
    </row>
    <row r="3325" spans="19:22" x14ac:dyDescent="0.45">
      <c r="S3325" t="s">
        <v>669</v>
      </c>
      <c r="T3325" t="s">
        <v>781</v>
      </c>
      <c r="U3325">
        <v>2.0465355715139959E-2</v>
      </c>
      <c r="V3325" t="s">
        <v>157</v>
      </c>
    </row>
    <row r="3326" spans="19:22" x14ac:dyDescent="0.45">
      <c r="S3326" t="s">
        <v>669</v>
      </c>
      <c r="T3326" t="s">
        <v>782</v>
      </c>
      <c r="U3326">
        <v>0.10813414162028971</v>
      </c>
      <c r="V3326" t="s">
        <v>157</v>
      </c>
    </row>
    <row r="3327" spans="19:22" x14ac:dyDescent="0.45">
      <c r="S3327" t="s">
        <v>669</v>
      </c>
      <c r="T3327" t="s">
        <v>783</v>
      </c>
      <c r="U3327">
        <v>0.11088228999138151</v>
      </c>
      <c r="V3327" t="s">
        <v>157</v>
      </c>
    </row>
    <row r="3328" spans="19:22" x14ac:dyDescent="0.45">
      <c r="S3328" t="s">
        <v>669</v>
      </c>
      <c r="T3328" t="s">
        <v>784</v>
      </c>
      <c r="U3328">
        <v>1.8770933960214307E-2</v>
      </c>
      <c r="V3328" t="s">
        <v>157</v>
      </c>
    </row>
    <row r="3329" spans="19:22" x14ac:dyDescent="0.45">
      <c r="S3329" t="s">
        <v>669</v>
      </c>
      <c r="T3329" t="s">
        <v>785</v>
      </c>
      <c r="U3329">
        <v>0.12412792479650291</v>
      </c>
      <c r="V3329" t="s">
        <v>157</v>
      </c>
    </row>
    <row r="3330" spans="19:22" x14ac:dyDescent="0.45">
      <c r="S3330" t="s">
        <v>669</v>
      </c>
      <c r="T3330" t="s">
        <v>786</v>
      </c>
      <c r="U3330">
        <v>0.12680648669546099</v>
      </c>
      <c r="V3330" t="s">
        <v>157</v>
      </c>
    </row>
    <row r="3331" spans="19:22" x14ac:dyDescent="0.45">
      <c r="S3331" t="s">
        <v>669</v>
      </c>
      <c r="T3331" t="s">
        <v>787</v>
      </c>
      <c r="U3331">
        <v>2.3323814936412102E-2</v>
      </c>
      <c r="V3331" t="s">
        <v>157</v>
      </c>
    </row>
    <row r="3332" spans="19:22" x14ac:dyDescent="0.45">
      <c r="S3332" t="s">
        <v>669</v>
      </c>
      <c r="T3332" t="s">
        <v>788</v>
      </c>
      <c r="U3332">
        <v>0.11034594415376107</v>
      </c>
      <c r="V3332" t="s">
        <v>157</v>
      </c>
    </row>
    <row r="3333" spans="19:22" x14ac:dyDescent="0.45">
      <c r="S3333" t="s">
        <v>669</v>
      </c>
      <c r="T3333" t="s">
        <v>789</v>
      </c>
      <c r="U3333">
        <v>0.10465354883527804</v>
      </c>
      <c r="V3333" t="s">
        <v>157</v>
      </c>
    </row>
    <row r="3334" spans="19:22" x14ac:dyDescent="0.45">
      <c r="S3334" t="s">
        <v>669</v>
      </c>
      <c r="T3334" t="s">
        <v>790</v>
      </c>
      <c r="U3334">
        <v>1.8720299852757489E-2</v>
      </c>
      <c r="V3334" t="s">
        <v>157</v>
      </c>
    </row>
    <row r="3335" spans="19:22" x14ac:dyDescent="0.45">
      <c r="S3335" t="s">
        <v>670</v>
      </c>
      <c r="T3335" t="s">
        <v>779</v>
      </c>
      <c r="U3335">
        <v>0.11437180947779879</v>
      </c>
      <c r="V3335" t="s">
        <v>157</v>
      </c>
    </row>
    <row r="3336" spans="19:22" x14ac:dyDescent="0.45">
      <c r="S3336" t="s">
        <v>670</v>
      </c>
      <c r="T3336" t="s">
        <v>780</v>
      </c>
      <c r="U3336">
        <v>0.12239704808203179</v>
      </c>
      <c r="V3336" t="s">
        <v>157</v>
      </c>
    </row>
    <row r="3337" spans="19:22" x14ac:dyDescent="0.45">
      <c r="S3337" t="s">
        <v>670</v>
      </c>
      <c r="T3337" t="s">
        <v>781</v>
      </c>
      <c r="U3337">
        <v>2.0762500437346051E-2</v>
      </c>
      <c r="V3337" t="s">
        <v>157</v>
      </c>
    </row>
    <row r="3338" spans="19:22" x14ac:dyDescent="0.45">
      <c r="S3338" t="s">
        <v>670</v>
      </c>
      <c r="T3338" t="s">
        <v>782</v>
      </c>
      <c r="U3338">
        <v>0.10651434765610555</v>
      </c>
      <c r="V3338" t="s">
        <v>157</v>
      </c>
    </row>
    <row r="3339" spans="19:22" x14ac:dyDescent="0.45">
      <c r="S3339" t="s">
        <v>670</v>
      </c>
      <c r="T3339" t="s">
        <v>783</v>
      </c>
      <c r="U3339">
        <v>0.11100454651549575</v>
      </c>
      <c r="V3339" t="s">
        <v>157</v>
      </c>
    </row>
    <row r="3340" spans="19:22" x14ac:dyDescent="0.45">
      <c r="S3340" t="s">
        <v>670</v>
      </c>
      <c r="T3340" t="s">
        <v>784</v>
      </c>
      <c r="U3340">
        <v>1.9122159413797239E-2</v>
      </c>
      <c r="V3340" t="s">
        <v>157</v>
      </c>
    </row>
    <row r="3341" spans="19:22" x14ac:dyDescent="0.45">
      <c r="S3341" t="s">
        <v>670</v>
      </c>
      <c r="T3341" t="s">
        <v>785</v>
      </c>
      <c r="U3341">
        <v>0.12320828638819829</v>
      </c>
      <c r="V3341" t="s">
        <v>157</v>
      </c>
    </row>
    <row r="3342" spans="19:22" x14ac:dyDescent="0.45">
      <c r="S3342" t="s">
        <v>670</v>
      </c>
      <c r="T3342" t="s">
        <v>786</v>
      </c>
      <c r="U3342">
        <v>0.12806905929725393</v>
      </c>
      <c r="V3342" t="s">
        <v>157</v>
      </c>
    </row>
    <row r="3343" spans="19:22" x14ac:dyDescent="0.45">
      <c r="S3343" t="s">
        <v>670</v>
      </c>
      <c r="T3343" t="s">
        <v>787</v>
      </c>
      <c r="U3343">
        <v>2.3299791813091678E-2</v>
      </c>
      <c r="V3343" t="s">
        <v>157</v>
      </c>
    </row>
    <row r="3344" spans="19:22" x14ac:dyDescent="0.45">
      <c r="S3344" t="s">
        <v>670</v>
      </c>
      <c r="T3344" t="s">
        <v>788</v>
      </c>
      <c r="U3344">
        <v>0.10639576722835183</v>
      </c>
      <c r="V3344" t="s">
        <v>157</v>
      </c>
    </row>
    <row r="3345" spans="19:22" x14ac:dyDescent="0.45">
      <c r="S3345" t="s">
        <v>670</v>
      </c>
      <c r="T3345" t="s">
        <v>789</v>
      </c>
      <c r="U3345">
        <v>0.10614300521261431</v>
      </c>
      <c r="V3345" t="s">
        <v>157</v>
      </c>
    </row>
    <row r="3346" spans="19:22" x14ac:dyDescent="0.45">
      <c r="S3346" t="s">
        <v>670</v>
      </c>
      <c r="T3346" t="s">
        <v>790</v>
      </c>
      <c r="U3346">
        <v>1.8711678477914773E-2</v>
      </c>
      <c r="V3346" t="s">
        <v>157</v>
      </c>
    </row>
    <row r="3347" spans="19:22" x14ac:dyDescent="0.45">
      <c r="S3347" t="s">
        <v>671</v>
      </c>
      <c r="T3347" t="s">
        <v>779</v>
      </c>
      <c r="U3347">
        <v>0.11385024870254216</v>
      </c>
      <c r="V3347" t="s">
        <v>157</v>
      </c>
    </row>
    <row r="3348" spans="19:22" x14ac:dyDescent="0.45">
      <c r="S3348" t="s">
        <v>671</v>
      </c>
      <c r="T3348" t="s">
        <v>780</v>
      </c>
      <c r="U3348">
        <v>0.12193638007485035</v>
      </c>
      <c r="V3348" t="s">
        <v>157</v>
      </c>
    </row>
    <row r="3349" spans="19:22" x14ac:dyDescent="0.45">
      <c r="S3349" t="s">
        <v>671</v>
      </c>
      <c r="T3349" t="s">
        <v>781</v>
      </c>
      <c r="U3349">
        <v>2.0311342076720047E-2</v>
      </c>
      <c r="V3349" t="s">
        <v>157</v>
      </c>
    </row>
    <row r="3350" spans="19:22" x14ac:dyDescent="0.45">
      <c r="S3350" t="s">
        <v>671</v>
      </c>
      <c r="T3350" t="s">
        <v>782</v>
      </c>
      <c r="U3350">
        <v>0.10644830868104618</v>
      </c>
      <c r="V3350" t="s">
        <v>157</v>
      </c>
    </row>
    <row r="3351" spans="19:22" x14ac:dyDescent="0.45">
      <c r="S3351" t="s">
        <v>671</v>
      </c>
      <c r="T3351" t="s">
        <v>783</v>
      </c>
      <c r="U3351">
        <v>0.1133189431791527</v>
      </c>
      <c r="V3351" t="s">
        <v>157</v>
      </c>
    </row>
    <row r="3352" spans="19:22" x14ac:dyDescent="0.45">
      <c r="S3352" t="s">
        <v>671</v>
      </c>
      <c r="T3352" t="s">
        <v>784</v>
      </c>
      <c r="U3352">
        <v>1.9690463024076163E-2</v>
      </c>
      <c r="V3352" t="s">
        <v>157</v>
      </c>
    </row>
    <row r="3353" spans="19:22" x14ac:dyDescent="0.45">
      <c r="S3353" t="s">
        <v>671</v>
      </c>
      <c r="T3353" t="s">
        <v>785</v>
      </c>
      <c r="U3353">
        <v>0.1234630125861696</v>
      </c>
      <c r="V3353" t="s">
        <v>157</v>
      </c>
    </row>
    <row r="3354" spans="19:22" x14ac:dyDescent="0.45">
      <c r="S3354" t="s">
        <v>671</v>
      </c>
      <c r="T3354" t="s">
        <v>786</v>
      </c>
      <c r="U3354">
        <v>0.12795885589865519</v>
      </c>
      <c r="V3354" t="s">
        <v>157</v>
      </c>
    </row>
    <row r="3355" spans="19:22" x14ac:dyDescent="0.45">
      <c r="S3355" t="s">
        <v>671</v>
      </c>
      <c r="T3355" t="s">
        <v>787</v>
      </c>
      <c r="U3355">
        <v>2.2996840700338354E-2</v>
      </c>
      <c r="V3355" t="s">
        <v>157</v>
      </c>
    </row>
    <row r="3356" spans="19:22" x14ac:dyDescent="0.45">
      <c r="S3356" t="s">
        <v>671</v>
      </c>
      <c r="T3356" t="s">
        <v>788</v>
      </c>
      <c r="U3356">
        <v>0.10170054004350726</v>
      </c>
      <c r="V3356" t="s">
        <v>157</v>
      </c>
    </row>
    <row r="3357" spans="19:22" x14ac:dyDescent="0.45">
      <c r="S3357" t="s">
        <v>671</v>
      </c>
      <c r="T3357" t="s">
        <v>789</v>
      </c>
      <c r="U3357">
        <v>0.10907106312223379</v>
      </c>
      <c r="V3357" t="s">
        <v>157</v>
      </c>
    </row>
    <row r="3358" spans="19:22" x14ac:dyDescent="0.45">
      <c r="S3358" t="s">
        <v>671</v>
      </c>
      <c r="T3358" t="s">
        <v>790</v>
      </c>
      <c r="U3358">
        <v>1.9254001910708297E-2</v>
      </c>
      <c r="V3358" t="s">
        <v>157</v>
      </c>
    </row>
    <row r="3359" spans="19:22" x14ac:dyDescent="0.45">
      <c r="S3359" t="s">
        <v>672</v>
      </c>
      <c r="T3359" t="s">
        <v>779</v>
      </c>
      <c r="U3359">
        <v>0.12358795039115565</v>
      </c>
      <c r="V3359" t="s">
        <v>157</v>
      </c>
    </row>
    <row r="3360" spans="19:22" x14ac:dyDescent="0.45">
      <c r="S3360" t="s">
        <v>672</v>
      </c>
      <c r="T3360" t="s">
        <v>780</v>
      </c>
      <c r="U3360">
        <v>0.12747484065211886</v>
      </c>
      <c r="V3360" t="s">
        <v>157</v>
      </c>
    </row>
    <row r="3361" spans="19:22" x14ac:dyDescent="0.45">
      <c r="S3361" t="s">
        <v>672</v>
      </c>
      <c r="T3361" t="s">
        <v>781</v>
      </c>
      <c r="U3361">
        <v>2.2422356217053293E-2</v>
      </c>
      <c r="V3361" t="s">
        <v>157</v>
      </c>
    </row>
    <row r="3362" spans="19:22" x14ac:dyDescent="0.45">
      <c r="S3362" t="s">
        <v>672</v>
      </c>
      <c r="T3362" t="s">
        <v>782</v>
      </c>
      <c r="U3362">
        <v>0.10405184465302067</v>
      </c>
      <c r="V3362" t="s">
        <v>157</v>
      </c>
    </row>
    <row r="3363" spans="19:22" x14ac:dyDescent="0.45">
      <c r="S3363" t="s">
        <v>672</v>
      </c>
      <c r="T3363" t="s">
        <v>783</v>
      </c>
      <c r="U3363">
        <v>0.10675153626667847</v>
      </c>
      <c r="V3363" t="s">
        <v>157</v>
      </c>
    </row>
    <row r="3364" spans="19:22" x14ac:dyDescent="0.45">
      <c r="S3364" t="s">
        <v>672</v>
      </c>
      <c r="T3364" t="s">
        <v>784</v>
      </c>
      <c r="U3364">
        <v>1.9377033593302097E-2</v>
      </c>
      <c r="V3364" t="s">
        <v>157</v>
      </c>
    </row>
    <row r="3365" spans="19:22" x14ac:dyDescent="0.45">
      <c r="S3365" t="s">
        <v>672</v>
      </c>
      <c r="T3365" t="s">
        <v>785</v>
      </c>
      <c r="U3365">
        <v>0.12280234169858775</v>
      </c>
      <c r="V3365" t="s">
        <v>157</v>
      </c>
    </row>
    <row r="3366" spans="19:22" x14ac:dyDescent="0.45">
      <c r="S3366" t="s">
        <v>672</v>
      </c>
      <c r="T3366" t="s">
        <v>786</v>
      </c>
      <c r="U3366">
        <v>0.1264213276018904</v>
      </c>
      <c r="V3366" t="s">
        <v>157</v>
      </c>
    </row>
    <row r="3367" spans="19:22" x14ac:dyDescent="0.45">
      <c r="S3367" t="s">
        <v>672</v>
      </c>
      <c r="T3367" t="s">
        <v>787</v>
      </c>
      <c r="U3367">
        <v>2.270853580625647E-2</v>
      </c>
      <c r="V3367" t="s">
        <v>157</v>
      </c>
    </row>
    <row r="3368" spans="19:22" x14ac:dyDescent="0.45">
      <c r="S3368" t="s">
        <v>672</v>
      </c>
      <c r="T3368" t="s">
        <v>788</v>
      </c>
      <c r="U3368">
        <v>9.8060075760429938E-2</v>
      </c>
      <c r="V3368" t="s">
        <v>157</v>
      </c>
    </row>
    <row r="3369" spans="19:22" x14ac:dyDescent="0.45">
      <c r="S3369" t="s">
        <v>672</v>
      </c>
      <c r="T3369" t="s">
        <v>789</v>
      </c>
      <c r="U3369">
        <v>0.10664913776325052</v>
      </c>
      <c r="V3369" t="s">
        <v>157</v>
      </c>
    </row>
    <row r="3370" spans="19:22" x14ac:dyDescent="0.45">
      <c r="S3370" t="s">
        <v>672</v>
      </c>
      <c r="T3370" t="s">
        <v>790</v>
      </c>
      <c r="U3370">
        <v>1.9693019596255867E-2</v>
      </c>
      <c r="V3370" t="s">
        <v>157</v>
      </c>
    </row>
    <row r="3371" spans="19:22" x14ac:dyDescent="0.45">
      <c r="S3371" t="s">
        <v>673</v>
      </c>
      <c r="T3371" t="s">
        <v>779</v>
      </c>
      <c r="U3371">
        <v>0.13977870916851473</v>
      </c>
      <c r="V3371" t="s">
        <v>157</v>
      </c>
    </row>
    <row r="3372" spans="19:22" x14ac:dyDescent="0.45">
      <c r="S3372" t="s">
        <v>673</v>
      </c>
      <c r="T3372" t="s">
        <v>780</v>
      </c>
      <c r="U3372">
        <v>0.13076623033701185</v>
      </c>
      <c r="V3372" t="s">
        <v>157</v>
      </c>
    </row>
    <row r="3373" spans="19:22" x14ac:dyDescent="0.45">
      <c r="S3373" t="s">
        <v>673</v>
      </c>
      <c r="T3373" t="s">
        <v>781</v>
      </c>
      <c r="U3373">
        <v>2.3930410396586672E-2</v>
      </c>
      <c r="V3373" t="s">
        <v>157</v>
      </c>
    </row>
    <row r="3374" spans="19:22" x14ac:dyDescent="0.45">
      <c r="S3374" t="s">
        <v>673</v>
      </c>
      <c r="T3374" t="s">
        <v>782</v>
      </c>
      <c r="U3374">
        <v>0.10078617283178526</v>
      </c>
      <c r="V3374" t="s">
        <v>157</v>
      </c>
    </row>
    <row r="3375" spans="19:22" x14ac:dyDescent="0.45">
      <c r="S3375" t="s">
        <v>673</v>
      </c>
      <c r="T3375" t="s">
        <v>783</v>
      </c>
      <c r="U3375">
        <v>9.4032994238682388E-2</v>
      </c>
      <c r="V3375" t="s">
        <v>157</v>
      </c>
    </row>
    <row r="3376" spans="19:22" x14ac:dyDescent="0.45">
      <c r="S3376" t="s">
        <v>673</v>
      </c>
      <c r="T3376" t="s">
        <v>784</v>
      </c>
      <c r="U3376">
        <v>1.8104106388690359E-2</v>
      </c>
      <c r="V3376" t="s">
        <v>157</v>
      </c>
    </row>
    <row r="3377" spans="19:22" x14ac:dyDescent="0.45">
      <c r="S3377" t="s">
        <v>673</v>
      </c>
      <c r="T3377" t="s">
        <v>785</v>
      </c>
      <c r="U3377">
        <v>0.12523457303641272</v>
      </c>
      <c r="V3377" t="s">
        <v>157</v>
      </c>
    </row>
    <row r="3378" spans="19:22" x14ac:dyDescent="0.45">
      <c r="S3378" t="s">
        <v>673</v>
      </c>
      <c r="T3378" t="s">
        <v>786</v>
      </c>
      <c r="U3378">
        <v>0.1229538286739852</v>
      </c>
      <c r="V3378" t="s">
        <v>157</v>
      </c>
    </row>
    <row r="3379" spans="19:22" x14ac:dyDescent="0.45">
      <c r="S3379" t="s">
        <v>673</v>
      </c>
      <c r="T3379" t="s">
        <v>787</v>
      </c>
      <c r="U3379">
        <v>2.2383231525094128E-2</v>
      </c>
      <c r="V3379" t="s">
        <v>157</v>
      </c>
    </row>
    <row r="3380" spans="19:22" x14ac:dyDescent="0.45">
      <c r="S3380" t="s">
        <v>673</v>
      </c>
      <c r="T3380" t="s">
        <v>788</v>
      </c>
      <c r="U3380">
        <v>0.10274953329156226</v>
      </c>
      <c r="V3380" t="s">
        <v>157</v>
      </c>
    </row>
    <row r="3381" spans="19:22" x14ac:dyDescent="0.45">
      <c r="S3381" t="s">
        <v>673</v>
      </c>
      <c r="T3381" t="s">
        <v>789</v>
      </c>
      <c r="U3381">
        <v>0.10040875525962777</v>
      </c>
      <c r="V3381" t="s">
        <v>157</v>
      </c>
    </row>
    <row r="3382" spans="19:22" x14ac:dyDescent="0.45">
      <c r="S3382" t="s">
        <v>673</v>
      </c>
      <c r="T3382" t="s">
        <v>790</v>
      </c>
      <c r="U3382">
        <v>1.8871454852046676E-2</v>
      </c>
      <c r="V3382" t="s">
        <v>157</v>
      </c>
    </row>
    <row r="3383" spans="19:22" x14ac:dyDescent="0.45">
      <c r="S3383" t="s">
        <v>674</v>
      </c>
      <c r="T3383" t="s">
        <v>779</v>
      </c>
      <c r="U3383">
        <v>0.17530892889755095</v>
      </c>
      <c r="V3383" t="s">
        <v>157</v>
      </c>
    </row>
    <row r="3384" spans="19:22" x14ac:dyDescent="0.45">
      <c r="S3384" t="s">
        <v>674</v>
      </c>
      <c r="T3384" t="s">
        <v>780</v>
      </c>
      <c r="U3384">
        <v>0.1355953544493137</v>
      </c>
      <c r="V3384" t="s">
        <v>157</v>
      </c>
    </row>
    <row r="3385" spans="19:22" x14ac:dyDescent="0.45">
      <c r="S3385" t="s">
        <v>674</v>
      </c>
      <c r="T3385" t="s">
        <v>781</v>
      </c>
      <c r="U3385">
        <v>2.7997860662204197E-2</v>
      </c>
      <c r="V3385" t="s">
        <v>157</v>
      </c>
    </row>
    <row r="3386" spans="19:22" x14ac:dyDescent="0.45">
      <c r="S3386" t="s">
        <v>674</v>
      </c>
      <c r="T3386" t="s">
        <v>782</v>
      </c>
      <c r="U3386">
        <v>9.1063614204213508E-2</v>
      </c>
      <c r="V3386" t="s">
        <v>157</v>
      </c>
    </row>
    <row r="3387" spans="19:22" x14ac:dyDescent="0.45">
      <c r="S3387" t="s">
        <v>674</v>
      </c>
      <c r="T3387" t="s">
        <v>783</v>
      </c>
      <c r="U3387">
        <v>9.150559380090921E-2</v>
      </c>
      <c r="V3387" t="s">
        <v>157</v>
      </c>
    </row>
    <row r="3388" spans="19:22" x14ac:dyDescent="0.45">
      <c r="S3388" t="s">
        <v>674</v>
      </c>
      <c r="T3388" t="s">
        <v>784</v>
      </c>
      <c r="U3388">
        <v>1.7938989707598635E-2</v>
      </c>
      <c r="V3388" t="s">
        <v>157</v>
      </c>
    </row>
    <row r="3389" spans="19:22" x14ac:dyDescent="0.45">
      <c r="S3389" t="s">
        <v>674</v>
      </c>
      <c r="T3389" t="s">
        <v>785</v>
      </c>
      <c r="U3389">
        <v>0.1198285024819398</v>
      </c>
      <c r="V3389" t="s">
        <v>157</v>
      </c>
    </row>
    <row r="3390" spans="19:22" x14ac:dyDescent="0.45">
      <c r="S3390" t="s">
        <v>674</v>
      </c>
      <c r="T3390" t="s">
        <v>786</v>
      </c>
      <c r="U3390">
        <v>0.10590366436470786</v>
      </c>
      <c r="V3390" t="s">
        <v>157</v>
      </c>
    </row>
    <row r="3391" spans="19:22" x14ac:dyDescent="0.45">
      <c r="S3391" t="s">
        <v>674</v>
      </c>
      <c r="T3391" t="s">
        <v>787</v>
      </c>
      <c r="U3391">
        <v>2.1564558209950995E-2</v>
      </c>
      <c r="V3391" t="s">
        <v>157</v>
      </c>
    </row>
    <row r="3392" spans="19:22" x14ac:dyDescent="0.45">
      <c r="S3392" t="s">
        <v>674</v>
      </c>
      <c r="T3392" t="s">
        <v>788</v>
      </c>
      <c r="U3392">
        <v>0.10360892676181489</v>
      </c>
      <c r="V3392" t="s">
        <v>157</v>
      </c>
    </row>
    <row r="3393" spans="19:22" x14ac:dyDescent="0.45">
      <c r="S3393" t="s">
        <v>674</v>
      </c>
      <c r="T3393" t="s">
        <v>789</v>
      </c>
      <c r="U3393">
        <v>8.6261527609164168E-2</v>
      </c>
      <c r="V3393" t="s">
        <v>157</v>
      </c>
    </row>
    <row r="3394" spans="19:22" x14ac:dyDescent="0.45">
      <c r="S3394" t="s">
        <v>674</v>
      </c>
      <c r="T3394" t="s">
        <v>790</v>
      </c>
      <c r="U3394">
        <v>2.3422478850632131E-2</v>
      </c>
      <c r="V3394" t="s">
        <v>157</v>
      </c>
    </row>
    <row r="3395" spans="19:22" x14ac:dyDescent="0.45">
      <c r="S3395" t="s">
        <v>675</v>
      </c>
      <c r="T3395" t="s">
        <v>779</v>
      </c>
      <c r="U3395">
        <v>0.16130365921213133</v>
      </c>
      <c r="V3395" t="s">
        <v>157</v>
      </c>
    </row>
    <row r="3396" spans="19:22" x14ac:dyDescent="0.45">
      <c r="S3396" t="s">
        <v>675</v>
      </c>
      <c r="T3396" t="s">
        <v>780</v>
      </c>
      <c r="U3396">
        <v>0.1353883943786276</v>
      </c>
      <c r="V3396" t="s">
        <v>157</v>
      </c>
    </row>
    <row r="3397" spans="19:22" x14ac:dyDescent="0.45">
      <c r="S3397" t="s">
        <v>675</v>
      </c>
      <c r="T3397" t="s">
        <v>781</v>
      </c>
      <c r="U3397">
        <v>2.5885948284065517E-2</v>
      </c>
      <c r="V3397" t="s">
        <v>157</v>
      </c>
    </row>
    <row r="3398" spans="19:22" x14ac:dyDescent="0.45">
      <c r="S3398" t="s">
        <v>675</v>
      </c>
      <c r="T3398" t="s">
        <v>782</v>
      </c>
      <c r="U3398">
        <v>9.1425618042011936E-2</v>
      </c>
      <c r="V3398" t="s">
        <v>157</v>
      </c>
    </row>
    <row r="3399" spans="19:22" x14ac:dyDescent="0.45">
      <c r="S3399" t="s">
        <v>675</v>
      </c>
      <c r="T3399" t="s">
        <v>783</v>
      </c>
      <c r="U3399">
        <v>9.5723856338561397E-2</v>
      </c>
      <c r="V3399" t="s">
        <v>157</v>
      </c>
    </row>
    <row r="3400" spans="19:22" x14ac:dyDescent="0.45">
      <c r="S3400" t="s">
        <v>675</v>
      </c>
      <c r="T3400" t="s">
        <v>784</v>
      </c>
      <c r="U3400">
        <v>1.7725157784805962E-2</v>
      </c>
      <c r="V3400" t="s">
        <v>157</v>
      </c>
    </row>
    <row r="3401" spans="19:22" x14ac:dyDescent="0.45">
      <c r="S3401" t="s">
        <v>675</v>
      </c>
      <c r="T3401" t="s">
        <v>785</v>
      </c>
      <c r="U3401">
        <v>0.1217813744788218</v>
      </c>
      <c r="V3401" t="s">
        <v>157</v>
      </c>
    </row>
    <row r="3402" spans="19:22" x14ac:dyDescent="0.45">
      <c r="S3402" t="s">
        <v>675</v>
      </c>
      <c r="T3402" t="s">
        <v>786</v>
      </c>
      <c r="U3402">
        <v>0.11355621095091413</v>
      </c>
      <c r="V3402" t="s">
        <v>157</v>
      </c>
    </row>
    <row r="3403" spans="19:22" x14ac:dyDescent="0.45">
      <c r="S3403" t="s">
        <v>675</v>
      </c>
      <c r="T3403" t="s">
        <v>787</v>
      </c>
      <c r="U3403">
        <v>2.3434463575105806E-2</v>
      </c>
      <c r="V3403" t="s">
        <v>157</v>
      </c>
    </row>
    <row r="3404" spans="19:22" x14ac:dyDescent="0.45">
      <c r="S3404" t="s">
        <v>675</v>
      </c>
      <c r="T3404" t="s">
        <v>788</v>
      </c>
      <c r="U3404">
        <v>9.8064187846103421E-2</v>
      </c>
      <c r="V3404" t="s">
        <v>157</v>
      </c>
    </row>
    <row r="3405" spans="19:22" x14ac:dyDescent="0.45">
      <c r="S3405" t="s">
        <v>675</v>
      </c>
      <c r="T3405" t="s">
        <v>789</v>
      </c>
      <c r="U3405">
        <v>9.423561595737287E-2</v>
      </c>
      <c r="V3405" t="s">
        <v>157</v>
      </c>
    </row>
    <row r="3406" spans="19:22" x14ac:dyDescent="0.45">
      <c r="S3406" t="s">
        <v>675</v>
      </c>
      <c r="T3406" t="s">
        <v>790</v>
      </c>
      <c r="U3406">
        <v>2.1475513151478217E-2</v>
      </c>
      <c r="V3406" t="s">
        <v>157</v>
      </c>
    </row>
    <row r="3407" spans="19:22" x14ac:dyDescent="0.45">
      <c r="S3407" t="s">
        <v>676</v>
      </c>
      <c r="T3407" t="s">
        <v>779</v>
      </c>
      <c r="U3407">
        <v>0.13495651556442967</v>
      </c>
      <c r="V3407" t="s">
        <v>157</v>
      </c>
    </row>
    <row r="3408" spans="19:22" x14ac:dyDescent="0.45">
      <c r="S3408" t="s">
        <v>676</v>
      </c>
      <c r="T3408" t="s">
        <v>780</v>
      </c>
      <c r="U3408">
        <v>0.13793273455629362</v>
      </c>
      <c r="V3408" t="s">
        <v>157</v>
      </c>
    </row>
    <row r="3409" spans="19:22" x14ac:dyDescent="0.45">
      <c r="S3409" t="s">
        <v>676</v>
      </c>
      <c r="T3409" t="s">
        <v>781</v>
      </c>
      <c r="U3409">
        <v>2.5658468671230283E-2</v>
      </c>
      <c r="V3409" t="s">
        <v>157</v>
      </c>
    </row>
    <row r="3410" spans="19:22" x14ac:dyDescent="0.45">
      <c r="S3410" t="s">
        <v>676</v>
      </c>
      <c r="T3410" t="s">
        <v>782</v>
      </c>
      <c r="U3410">
        <v>8.9769532995441936E-2</v>
      </c>
      <c r="V3410" t="s">
        <v>157</v>
      </c>
    </row>
    <row r="3411" spans="19:22" x14ac:dyDescent="0.45">
      <c r="S3411" t="s">
        <v>676</v>
      </c>
      <c r="T3411" t="s">
        <v>783</v>
      </c>
      <c r="U3411">
        <v>0.10273591596113733</v>
      </c>
      <c r="V3411" t="s">
        <v>157</v>
      </c>
    </row>
    <row r="3412" spans="19:22" x14ac:dyDescent="0.45">
      <c r="S3412" t="s">
        <v>676</v>
      </c>
      <c r="T3412" t="s">
        <v>784</v>
      </c>
      <c r="U3412">
        <v>1.8610233800331232E-2</v>
      </c>
      <c r="V3412" t="s">
        <v>157</v>
      </c>
    </row>
    <row r="3413" spans="19:22" x14ac:dyDescent="0.45">
      <c r="S3413" t="s">
        <v>676</v>
      </c>
      <c r="T3413" t="s">
        <v>785</v>
      </c>
      <c r="U3413">
        <v>0.11887562584316137</v>
      </c>
      <c r="V3413" t="s">
        <v>157</v>
      </c>
    </row>
    <row r="3414" spans="19:22" x14ac:dyDescent="0.45">
      <c r="S3414" t="s">
        <v>676</v>
      </c>
      <c r="T3414" t="s">
        <v>786</v>
      </c>
      <c r="U3414">
        <v>0.1206388739985363</v>
      </c>
      <c r="V3414" t="s">
        <v>157</v>
      </c>
    </row>
    <row r="3415" spans="19:22" x14ac:dyDescent="0.45">
      <c r="S3415" t="s">
        <v>676</v>
      </c>
      <c r="T3415" t="s">
        <v>787</v>
      </c>
      <c r="U3415">
        <v>2.3232025472916754E-2</v>
      </c>
      <c r="V3415" t="s">
        <v>157</v>
      </c>
    </row>
    <row r="3416" spans="19:22" x14ac:dyDescent="0.45">
      <c r="S3416" t="s">
        <v>676</v>
      </c>
      <c r="T3416" t="s">
        <v>788</v>
      </c>
      <c r="U3416">
        <v>9.7599828363851657E-2</v>
      </c>
      <c r="V3416" t="s">
        <v>157</v>
      </c>
    </row>
    <row r="3417" spans="19:22" x14ac:dyDescent="0.45">
      <c r="S3417" t="s">
        <v>676</v>
      </c>
      <c r="T3417" t="s">
        <v>789</v>
      </c>
      <c r="U3417">
        <v>0.10930251577049831</v>
      </c>
      <c r="V3417" t="s">
        <v>157</v>
      </c>
    </row>
    <row r="3418" spans="19:22" x14ac:dyDescent="0.45">
      <c r="S3418" t="s">
        <v>676</v>
      </c>
      <c r="T3418" t="s">
        <v>790</v>
      </c>
      <c r="U3418">
        <v>2.0687729002171577E-2</v>
      </c>
      <c r="V3418" t="s">
        <v>157</v>
      </c>
    </row>
    <row r="3419" spans="19:22" x14ac:dyDescent="0.45">
      <c r="S3419" t="s">
        <v>677</v>
      </c>
      <c r="T3419" t="s">
        <v>779</v>
      </c>
      <c r="U3419">
        <v>0.12605518078705624</v>
      </c>
      <c r="V3419" t="s">
        <v>157</v>
      </c>
    </row>
    <row r="3420" spans="19:22" x14ac:dyDescent="0.45">
      <c r="S3420" t="s">
        <v>677</v>
      </c>
      <c r="T3420" t="s">
        <v>780</v>
      </c>
      <c r="U3420">
        <v>0.13628062265730934</v>
      </c>
      <c r="V3420" t="s">
        <v>157</v>
      </c>
    </row>
    <row r="3421" spans="19:22" x14ac:dyDescent="0.45">
      <c r="S3421" t="s">
        <v>677</v>
      </c>
      <c r="T3421" t="s">
        <v>781</v>
      </c>
      <c r="U3421">
        <v>2.4827758338618808E-2</v>
      </c>
      <c r="V3421" t="s">
        <v>157</v>
      </c>
    </row>
    <row r="3422" spans="19:22" x14ac:dyDescent="0.45">
      <c r="S3422" t="s">
        <v>677</v>
      </c>
      <c r="T3422" t="s">
        <v>782</v>
      </c>
      <c r="U3422">
        <v>9.1546055257778827E-2</v>
      </c>
      <c r="V3422" t="s">
        <v>157</v>
      </c>
    </row>
    <row r="3423" spans="19:22" x14ac:dyDescent="0.45">
      <c r="S3423" t="s">
        <v>677</v>
      </c>
      <c r="T3423" t="s">
        <v>783</v>
      </c>
      <c r="U3423">
        <v>0.10397220597101169</v>
      </c>
      <c r="V3423" t="s">
        <v>157</v>
      </c>
    </row>
    <row r="3424" spans="19:22" x14ac:dyDescent="0.45">
      <c r="S3424" t="s">
        <v>677</v>
      </c>
      <c r="T3424" t="s">
        <v>784</v>
      </c>
      <c r="U3424">
        <v>1.8687143075822595E-2</v>
      </c>
      <c r="V3424" t="s">
        <v>157</v>
      </c>
    </row>
    <row r="3425" spans="19:22" x14ac:dyDescent="0.45">
      <c r="S3425" t="s">
        <v>677</v>
      </c>
      <c r="T3425" t="s">
        <v>785</v>
      </c>
      <c r="U3425">
        <v>0.1201091006351106</v>
      </c>
      <c r="V3425" t="s">
        <v>157</v>
      </c>
    </row>
    <row r="3426" spans="19:22" x14ac:dyDescent="0.45">
      <c r="S3426" t="s">
        <v>677</v>
      </c>
      <c r="T3426" t="s">
        <v>786</v>
      </c>
      <c r="U3426">
        <v>0.12406683918467587</v>
      </c>
      <c r="V3426" t="s">
        <v>157</v>
      </c>
    </row>
    <row r="3427" spans="19:22" x14ac:dyDescent="0.45">
      <c r="S3427" t="s">
        <v>677</v>
      </c>
      <c r="T3427" t="s">
        <v>787</v>
      </c>
      <c r="U3427">
        <v>2.2975460437638793E-2</v>
      </c>
      <c r="V3427" t="s">
        <v>157</v>
      </c>
    </row>
    <row r="3428" spans="19:22" x14ac:dyDescent="0.45">
      <c r="S3428" t="s">
        <v>677</v>
      </c>
      <c r="T3428" t="s">
        <v>788</v>
      </c>
      <c r="U3428">
        <v>9.9891239298464496E-2</v>
      </c>
      <c r="V3428" t="s">
        <v>157</v>
      </c>
    </row>
    <row r="3429" spans="19:22" x14ac:dyDescent="0.45">
      <c r="S3429" t="s">
        <v>677</v>
      </c>
      <c r="T3429" t="s">
        <v>789</v>
      </c>
      <c r="U3429">
        <v>0.1114742338140798</v>
      </c>
      <c r="V3429" t="s">
        <v>157</v>
      </c>
    </row>
    <row r="3430" spans="19:22" x14ac:dyDescent="0.45">
      <c r="S3430" t="s">
        <v>677</v>
      </c>
      <c r="T3430" t="s">
        <v>790</v>
      </c>
      <c r="U3430">
        <v>2.0114160542432879E-2</v>
      </c>
      <c r="V3430" t="s">
        <v>157</v>
      </c>
    </row>
    <row r="3431" spans="19:22" x14ac:dyDescent="0.45">
      <c r="S3431" t="s">
        <v>678</v>
      </c>
      <c r="T3431" t="s">
        <v>779</v>
      </c>
      <c r="U3431">
        <v>0.12292013949956164</v>
      </c>
      <c r="V3431" t="s">
        <v>157</v>
      </c>
    </row>
    <row r="3432" spans="19:22" x14ac:dyDescent="0.45">
      <c r="S3432" t="s">
        <v>678</v>
      </c>
      <c r="T3432" t="s">
        <v>780</v>
      </c>
      <c r="U3432">
        <v>0.1328277026380513</v>
      </c>
      <c r="V3432" t="s">
        <v>157</v>
      </c>
    </row>
    <row r="3433" spans="19:22" x14ac:dyDescent="0.45">
      <c r="S3433" t="s">
        <v>678</v>
      </c>
      <c r="T3433" t="s">
        <v>781</v>
      </c>
      <c r="U3433">
        <v>2.3549814633815332E-2</v>
      </c>
      <c r="V3433" t="s">
        <v>157</v>
      </c>
    </row>
    <row r="3434" spans="19:22" x14ac:dyDescent="0.45">
      <c r="S3434" t="s">
        <v>678</v>
      </c>
      <c r="T3434" t="s">
        <v>782</v>
      </c>
      <c r="U3434">
        <v>9.6698241952467859E-2</v>
      </c>
      <c r="V3434" t="s">
        <v>157</v>
      </c>
    </row>
    <row r="3435" spans="19:22" x14ac:dyDescent="0.45">
      <c r="S3435" t="s">
        <v>678</v>
      </c>
      <c r="T3435" t="s">
        <v>783</v>
      </c>
      <c r="U3435">
        <v>0.10483021211580819</v>
      </c>
      <c r="V3435" t="s">
        <v>157</v>
      </c>
    </row>
    <row r="3436" spans="19:22" x14ac:dyDescent="0.45">
      <c r="S3436" t="s">
        <v>678</v>
      </c>
      <c r="T3436" t="s">
        <v>784</v>
      </c>
      <c r="U3436">
        <v>1.8958356691968055E-2</v>
      </c>
      <c r="V3436" t="s">
        <v>157</v>
      </c>
    </row>
    <row r="3437" spans="19:22" x14ac:dyDescent="0.45">
      <c r="S3437" t="s">
        <v>678</v>
      </c>
      <c r="T3437" t="s">
        <v>785</v>
      </c>
      <c r="U3437">
        <v>0.12064816088355258</v>
      </c>
      <c r="V3437" t="s">
        <v>157</v>
      </c>
    </row>
    <row r="3438" spans="19:22" x14ac:dyDescent="0.45">
      <c r="S3438" t="s">
        <v>678</v>
      </c>
      <c r="T3438" t="s">
        <v>786</v>
      </c>
      <c r="U3438">
        <v>0.12561423494365978</v>
      </c>
      <c r="V3438" t="s">
        <v>157</v>
      </c>
    </row>
    <row r="3439" spans="19:22" x14ac:dyDescent="0.45">
      <c r="S3439" t="s">
        <v>678</v>
      </c>
      <c r="T3439" t="s">
        <v>787</v>
      </c>
      <c r="U3439">
        <v>2.2527965554696619E-2</v>
      </c>
      <c r="V3439" t="s">
        <v>157</v>
      </c>
    </row>
    <row r="3440" spans="19:22" x14ac:dyDescent="0.45">
      <c r="S3440" t="s">
        <v>678</v>
      </c>
      <c r="T3440" t="s">
        <v>788</v>
      </c>
      <c r="U3440">
        <v>0.10171643681678566</v>
      </c>
      <c r="V3440" t="s">
        <v>157</v>
      </c>
    </row>
    <row r="3441" spans="19:22" x14ac:dyDescent="0.45">
      <c r="S3441" t="s">
        <v>678</v>
      </c>
      <c r="T3441" t="s">
        <v>789</v>
      </c>
      <c r="U3441">
        <v>0.11022244134367803</v>
      </c>
      <c r="V3441" t="s">
        <v>157</v>
      </c>
    </row>
    <row r="3442" spans="19:22" x14ac:dyDescent="0.45">
      <c r="S3442" t="s">
        <v>678</v>
      </c>
      <c r="T3442" t="s">
        <v>790</v>
      </c>
      <c r="U3442">
        <v>1.948629292595495E-2</v>
      </c>
      <c r="V3442" t="s">
        <v>157</v>
      </c>
    </row>
    <row r="3443" spans="19:22" x14ac:dyDescent="0.45">
      <c r="S3443" t="s">
        <v>679</v>
      </c>
      <c r="T3443" t="s">
        <v>779</v>
      </c>
      <c r="U3443">
        <v>0.12154061003769565</v>
      </c>
      <c r="V3443" t="s">
        <v>157</v>
      </c>
    </row>
    <row r="3444" spans="19:22" x14ac:dyDescent="0.45">
      <c r="S3444" t="s">
        <v>679</v>
      </c>
      <c r="T3444" t="s">
        <v>780</v>
      </c>
      <c r="U3444">
        <v>0.13001469946950742</v>
      </c>
      <c r="V3444" t="s">
        <v>157</v>
      </c>
    </row>
    <row r="3445" spans="19:22" x14ac:dyDescent="0.45">
      <c r="S3445" t="s">
        <v>679</v>
      </c>
      <c r="T3445" t="s">
        <v>781</v>
      </c>
      <c r="U3445">
        <v>2.2529017256010492E-2</v>
      </c>
      <c r="V3445" t="s">
        <v>157</v>
      </c>
    </row>
    <row r="3446" spans="19:22" x14ac:dyDescent="0.45">
      <c r="S3446" t="s">
        <v>679</v>
      </c>
      <c r="T3446" t="s">
        <v>782</v>
      </c>
      <c r="U3446">
        <v>0.1021002254844449</v>
      </c>
      <c r="V3446" t="s">
        <v>157</v>
      </c>
    </row>
    <row r="3447" spans="19:22" x14ac:dyDescent="0.45">
      <c r="S3447" t="s">
        <v>679</v>
      </c>
      <c r="T3447" t="s">
        <v>783</v>
      </c>
      <c r="U3447">
        <v>0.10606636664343011</v>
      </c>
      <c r="V3447" t="s">
        <v>157</v>
      </c>
    </row>
    <row r="3448" spans="19:22" x14ac:dyDescent="0.45">
      <c r="S3448" t="s">
        <v>679</v>
      </c>
      <c r="T3448" t="s">
        <v>784</v>
      </c>
      <c r="U3448">
        <v>1.9486279336196392E-2</v>
      </c>
      <c r="V3448" t="s">
        <v>157</v>
      </c>
    </row>
    <row r="3449" spans="19:22" x14ac:dyDescent="0.45">
      <c r="S3449" t="s">
        <v>679</v>
      </c>
      <c r="T3449" t="s">
        <v>785</v>
      </c>
      <c r="U3449">
        <v>0.12022138986560928</v>
      </c>
      <c r="V3449" t="s">
        <v>157</v>
      </c>
    </row>
    <row r="3450" spans="19:22" x14ac:dyDescent="0.45">
      <c r="S3450" t="s">
        <v>679</v>
      </c>
      <c r="T3450" t="s">
        <v>786</v>
      </c>
      <c r="U3450">
        <v>0.12555156870183828</v>
      </c>
      <c r="V3450" t="s">
        <v>157</v>
      </c>
    </row>
    <row r="3451" spans="19:22" x14ac:dyDescent="0.45">
      <c r="S3451" t="s">
        <v>679</v>
      </c>
      <c r="T3451" t="s">
        <v>787</v>
      </c>
      <c r="U3451">
        <v>2.208126111704091E-2</v>
      </c>
      <c r="V3451" t="s">
        <v>157</v>
      </c>
    </row>
    <row r="3452" spans="19:22" x14ac:dyDescent="0.45">
      <c r="S3452" t="s">
        <v>679</v>
      </c>
      <c r="T3452" t="s">
        <v>788</v>
      </c>
      <c r="U3452">
        <v>0.10305345089922992</v>
      </c>
      <c r="V3452" t="s">
        <v>157</v>
      </c>
    </row>
    <row r="3453" spans="19:22" x14ac:dyDescent="0.45">
      <c r="S3453" t="s">
        <v>679</v>
      </c>
      <c r="T3453" t="s">
        <v>789</v>
      </c>
      <c r="U3453">
        <v>0.10860927873039362</v>
      </c>
      <c r="V3453" t="s">
        <v>157</v>
      </c>
    </row>
    <row r="3454" spans="19:22" x14ac:dyDescent="0.45">
      <c r="S3454" t="s">
        <v>679</v>
      </c>
      <c r="T3454" t="s">
        <v>790</v>
      </c>
      <c r="U3454">
        <v>1.8745852458603014E-2</v>
      </c>
      <c r="V3454" t="s">
        <v>157</v>
      </c>
    </row>
    <row r="3455" spans="19:22" x14ac:dyDescent="0.45">
      <c r="S3455" t="s">
        <v>680</v>
      </c>
      <c r="T3455" t="s">
        <v>779</v>
      </c>
      <c r="U3455">
        <v>0.12019693244726473</v>
      </c>
      <c r="V3455" t="s">
        <v>157</v>
      </c>
    </row>
    <row r="3456" spans="19:22" x14ac:dyDescent="0.45">
      <c r="S3456" t="s">
        <v>680</v>
      </c>
      <c r="T3456" t="s">
        <v>780</v>
      </c>
      <c r="U3456">
        <v>0.12537889308855127</v>
      </c>
      <c r="V3456" t="s">
        <v>157</v>
      </c>
    </row>
    <row r="3457" spans="19:22" x14ac:dyDescent="0.45">
      <c r="S3457" t="s">
        <v>680</v>
      </c>
      <c r="T3457" t="s">
        <v>781</v>
      </c>
      <c r="U3457">
        <v>2.2430655001009263E-2</v>
      </c>
      <c r="V3457" t="s">
        <v>157</v>
      </c>
    </row>
    <row r="3458" spans="19:22" x14ac:dyDescent="0.45">
      <c r="S3458" t="s">
        <v>680</v>
      </c>
      <c r="T3458" t="s">
        <v>782</v>
      </c>
      <c r="U3458">
        <v>0.10635108542009805</v>
      </c>
      <c r="V3458" t="s">
        <v>157</v>
      </c>
    </row>
    <row r="3459" spans="19:22" x14ac:dyDescent="0.45">
      <c r="S3459" t="s">
        <v>680</v>
      </c>
      <c r="T3459" t="s">
        <v>783</v>
      </c>
      <c r="U3459">
        <v>0.10989628284753475</v>
      </c>
      <c r="V3459" t="s">
        <v>157</v>
      </c>
    </row>
    <row r="3460" spans="19:22" x14ac:dyDescent="0.45">
      <c r="S3460" t="s">
        <v>680</v>
      </c>
      <c r="T3460" t="s">
        <v>784</v>
      </c>
      <c r="U3460">
        <v>2.0139925498326796E-2</v>
      </c>
      <c r="V3460" t="s">
        <v>157</v>
      </c>
    </row>
    <row r="3461" spans="19:22" x14ac:dyDescent="0.45">
      <c r="S3461" t="s">
        <v>680</v>
      </c>
      <c r="T3461" t="s">
        <v>785</v>
      </c>
      <c r="U3461">
        <v>0.11906821740568095</v>
      </c>
      <c r="V3461" t="s">
        <v>157</v>
      </c>
    </row>
    <row r="3462" spans="19:22" x14ac:dyDescent="0.45">
      <c r="S3462" t="s">
        <v>680</v>
      </c>
      <c r="T3462" t="s">
        <v>786</v>
      </c>
      <c r="U3462">
        <v>0.12405836356117453</v>
      </c>
      <c r="V3462" t="s">
        <v>157</v>
      </c>
    </row>
    <row r="3463" spans="19:22" x14ac:dyDescent="0.45">
      <c r="S3463" t="s">
        <v>680</v>
      </c>
      <c r="T3463" t="s">
        <v>787</v>
      </c>
      <c r="U3463">
        <v>2.1380293492228818E-2</v>
      </c>
      <c r="V3463" t="s">
        <v>157</v>
      </c>
    </row>
    <row r="3464" spans="19:22" x14ac:dyDescent="0.45">
      <c r="S3464" t="s">
        <v>680</v>
      </c>
      <c r="T3464" t="s">
        <v>788</v>
      </c>
      <c r="U3464">
        <v>0.10560379519276057</v>
      </c>
      <c r="V3464" t="s">
        <v>157</v>
      </c>
    </row>
    <row r="3465" spans="19:22" x14ac:dyDescent="0.45">
      <c r="S3465" t="s">
        <v>680</v>
      </c>
      <c r="T3465" t="s">
        <v>789</v>
      </c>
      <c r="U3465">
        <v>0.10650400454807671</v>
      </c>
      <c r="V3465" t="s">
        <v>157</v>
      </c>
    </row>
    <row r="3466" spans="19:22" x14ac:dyDescent="0.45">
      <c r="S3466" t="s">
        <v>680</v>
      </c>
      <c r="T3466" t="s">
        <v>790</v>
      </c>
      <c r="U3466">
        <v>1.899155149729367E-2</v>
      </c>
      <c r="V3466" t="s">
        <v>157</v>
      </c>
    </row>
    <row r="3467" spans="19:22" x14ac:dyDescent="0.45">
      <c r="S3467" t="s">
        <v>681</v>
      </c>
      <c r="T3467" t="s">
        <v>779</v>
      </c>
      <c r="U3467">
        <v>0.11504821308032259</v>
      </c>
      <c r="V3467" t="s">
        <v>157</v>
      </c>
    </row>
    <row r="3468" spans="19:22" x14ac:dyDescent="0.45">
      <c r="S3468" t="s">
        <v>681</v>
      </c>
      <c r="T3468" t="s">
        <v>780</v>
      </c>
      <c r="U3468">
        <v>0.11268977081285957</v>
      </c>
      <c r="V3468" t="s">
        <v>157</v>
      </c>
    </row>
    <row r="3469" spans="19:22" x14ac:dyDescent="0.45">
      <c r="S3469" t="s">
        <v>681</v>
      </c>
      <c r="T3469" t="s">
        <v>781</v>
      </c>
      <c r="U3469">
        <v>2.0822261194816626E-2</v>
      </c>
      <c r="V3469" t="s">
        <v>157</v>
      </c>
    </row>
    <row r="3470" spans="19:22" x14ac:dyDescent="0.45">
      <c r="S3470" t="s">
        <v>681</v>
      </c>
      <c r="T3470" t="s">
        <v>782</v>
      </c>
      <c r="U3470">
        <v>0.11542244326823821</v>
      </c>
      <c r="V3470" t="s">
        <v>157</v>
      </c>
    </row>
    <row r="3471" spans="19:22" x14ac:dyDescent="0.45">
      <c r="S3471" t="s">
        <v>681</v>
      </c>
      <c r="T3471" t="s">
        <v>783</v>
      </c>
      <c r="U3471">
        <v>0.1180476740886527</v>
      </c>
      <c r="V3471" t="s">
        <v>157</v>
      </c>
    </row>
    <row r="3472" spans="19:22" x14ac:dyDescent="0.45">
      <c r="S3472" t="s">
        <v>681</v>
      </c>
      <c r="T3472" t="s">
        <v>784</v>
      </c>
      <c r="U3472">
        <v>2.0768367547701058E-2</v>
      </c>
      <c r="V3472" t="s">
        <v>157</v>
      </c>
    </row>
    <row r="3473" spans="19:22" x14ac:dyDescent="0.45">
      <c r="S3473" t="s">
        <v>681</v>
      </c>
      <c r="T3473" t="s">
        <v>785</v>
      </c>
      <c r="U3473">
        <v>0.1141212061927722</v>
      </c>
      <c r="V3473" t="s">
        <v>157</v>
      </c>
    </row>
    <row r="3474" spans="19:22" x14ac:dyDescent="0.45">
      <c r="S3474" t="s">
        <v>681</v>
      </c>
      <c r="T3474" t="s">
        <v>786</v>
      </c>
      <c r="U3474">
        <v>0.1177148676781338</v>
      </c>
      <c r="V3474" t="s">
        <v>157</v>
      </c>
    </row>
    <row r="3475" spans="19:22" x14ac:dyDescent="0.45">
      <c r="S3475" t="s">
        <v>681</v>
      </c>
      <c r="T3475" t="s">
        <v>787</v>
      </c>
      <c r="U3475">
        <v>2.0533462648547929E-2</v>
      </c>
      <c r="V3475" t="s">
        <v>157</v>
      </c>
    </row>
    <row r="3476" spans="19:22" x14ac:dyDescent="0.45">
      <c r="S3476" t="s">
        <v>681</v>
      </c>
      <c r="T3476" t="s">
        <v>788</v>
      </c>
      <c r="U3476">
        <v>0.11444322066841844</v>
      </c>
      <c r="V3476" t="s">
        <v>157</v>
      </c>
    </row>
    <row r="3477" spans="19:22" x14ac:dyDescent="0.45">
      <c r="S3477" t="s">
        <v>681</v>
      </c>
      <c r="T3477" t="s">
        <v>789</v>
      </c>
      <c r="U3477">
        <v>0.11014422229044722</v>
      </c>
      <c r="V3477" t="s">
        <v>157</v>
      </c>
    </row>
    <row r="3478" spans="19:22" x14ac:dyDescent="0.45">
      <c r="S3478" t="s">
        <v>681</v>
      </c>
      <c r="T3478" t="s">
        <v>790</v>
      </c>
      <c r="U3478">
        <v>2.0244290529089659E-2</v>
      </c>
      <c r="V3478" t="s">
        <v>157</v>
      </c>
    </row>
    <row r="3479" spans="19:22" x14ac:dyDescent="0.45">
      <c r="S3479" t="s">
        <v>682</v>
      </c>
      <c r="T3479" t="s">
        <v>779</v>
      </c>
      <c r="U3479">
        <v>0.11411241817850487</v>
      </c>
      <c r="V3479" t="s">
        <v>157</v>
      </c>
    </row>
    <row r="3480" spans="19:22" x14ac:dyDescent="0.45">
      <c r="S3480" t="s">
        <v>682</v>
      </c>
      <c r="T3480" t="s">
        <v>780</v>
      </c>
      <c r="U3480">
        <v>0.10923087043833257</v>
      </c>
      <c r="V3480" t="s">
        <v>157</v>
      </c>
    </row>
    <row r="3481" spans="19:22" x14ac:dyDescent="0.45">
      <c r="S3481" t="s">
        <v>682</v>
      </c>
      <c r="T3481" t="s">
        <v>781</v>
      </c>
      <c r="U3481">
        <v>1.9282399762402869E-2</v>
      </c>
      <c r="V3481" t="s">
        <v>157</v>
      </c>
    </row>
    <row r="3482" spans="19:22" x14ac:dyDescent="0.45">
      <c r="S3482" t="s">
        <v>682</v>
      </c>
      <c r="T3482" t="s">
        <v>782</v>
      </c>
      <c r="U3482">
        <v>0.12168566408529735</v>
      </c>
      <c r="V3482" t="s">
        <v>157</v>
      </c>
    </row>
    <row r="3483" spans="19:22" x14ac:dyDescent="0.45">
      <c r="S3483" t="s">
        <v>682</v>
      </c>
      <c r="T3483" t="s">
        <v>783</v>
      </c>
      <c r="U3483">
        <v>0.12094044381708931</v>
      </c>
      <c r="V3483" t="s">
        <v>157</v>
      </c>
    </row>
    <row r="3484" spans="19:22" x14ac:dyDescent="0.45">
      <c r="S3484" t="s">
        <v>682</v>
      </c>
      <c r="T3484" t="s">
        <v>784</v>
      </c>
      <c r="U3484">
        <v>2.1733296701238025E-2</v>
      </c>
      <c r="V3484" t="s">
        <v>157</v>
      </c>
    </row>
    <row r="3485" spans="19:22" x14ac:dyDescent="0.45">
      <c r="S3485" t="s">
        <v>682</v>
      </c>
      <c r="T3485" t="s">
        <v>785</v>
      </c>
      <c r="U3485">
        <v>0.12044537134732484</v>
      </c>
      <c r="V3485" t="s">
        <v>157</v>
      </c>
    </row>
    <row r="3486" spans="19:22" x14ac:dyDescent="0.45">
      <c r="S3486" t="s">
        <v>682</v>
      </c>
      <c r="T3486" t="s">
        <v>786</v>
      </c>
      <c r="U3486">
        <v>0.11983347398144795</v>
      </c>
      <c r="V3486" t="s">
        <v>157</v>
      </c>
    </row>
    <row r="3487" spans="19:22" x14ac:dyDescent="0.45">
      <c r="S3487" t="s">
        <v>682</v>
      </c>
      <c r="T3487" t="s">
        <v>787</v>
      </c>
      <c r="U3487">
        <v>2.0999862449178598E-2</v>
      </c>
      <c r="V3487" t="s">
        <v>157</v>
      </c>
    </row>
    <row r="3488" spans="19:22" x14ac:dyDescent="0.45">
      <c r="S3488" t="s">
        <v>682</v>
      </c>
      <c r="T3488" t="s">
        <v>788</v>
      </c>
      <c r="U3488">
        <v>0.10704510620745199</v>
      </c>
      <c r="V3488" t="s">
        <v>157</v>
      </c>
    </row>
    <row r="3489" spans="19:22" x14ac:dyDescent="0.45">
      <c r="S3489" t="s">
        <v>682</v>
      </c>
      <c r="T3489" t="s">
        <v>789</v>
      </c>
      <c r="U3489">
        <v>0.10515208159326146</v>
      </c>
      <c r="V3489" t="s">
        <v>157</v>
      </c>
    </row>
    <row r="3490" spans="19:22" x14ac:dyDescent="0.45">
      <c r="S3490" t="s">
        <v>682</v>
      </c>
      <c r="T3490" t="s">
        <v>790</v>
      </c>
      <c r="U3490">
        <v>1.9539011438470241E-2</v>
      </c>
      <c r="V3490" t="s">
        <v>157</v>
      </c>
    </row>
    <row r="3491" spans="19:22" x14ac:dyDescent="0.45">
      <c r="S3491" t="s">
        <v>683</v>
      </c>
      <c r="T3491" t="s">
        <v>779</v>
      </c>
      <c r="U3491">
        <v>0.11376722660404147</v>
      </c>
      <c r="V3491" t="s">
        <v>157</v>
      </c>
    </row>
    <row r="3492" spans="19:22" x14ac:dyDescent="0.45">
      <c r="S3492" t="s">
        <v>683</v>
      </c>
      <c r="T3492" t="s">
        <v>780</v>
      </c>
      <c r="U3492">
        <v>0.10925810488701555</v>
      </c>
      <c r="V3492" t="s">
        <v>157</v>
      </c>
    </row>
    <row r="3493" spans="19:22" x14ac:dyDescent="0.45">
      <c r="S3493" t="s">
        <v>683</v>
      </c>
      <c r="T3493" t="s">
        <v>781</v>
      </c>
      <c r="U3493">
        <v>1.9059275227945049E-2</v>
      </c>
      <c r="V3493" t="s">
        <v>157</v>
      </c>
    </row>
    <row r="3494" spans="19:22" x14ac:dyDescent="0.45">
      <c r="S3494" t="s">
        <v>683</v>
      </c>
      <c r="T3494" t="s">
        <v>782</v>
      </c>
      <c r="U3494">
        <v>0.12241210450971136</v>
      </c>
      <c r="V3494" t="s">
        <v>157</v>
      </c>
    </row>
    <row r="3495" spans="19:22" x14ac:dyDescent="0.45">
      <c r="S3495" t="s">
        <v>683</v>
      </c>
      <c r="T3495" t="s">
        <v>783</v>
      </c>
      <c r="U3495">
        <v>0.12058813283467869</v>
      </c>
      <c r="V3495" t="s">
        <v>157</v>
      </c>
    </row>
    <row r="3496" spans="19:22" x14ac:dyDescent="0.45">
      <c r="S3496" t="s">
        <v>683</v>
      </c>
      <c r="T3496" t="s">
        <v>784</v>
      </c>
      <c r="U3496">
        <v>2.175087217298478E-2</v>
      </c>
      <c r="V3496" t="s">
        <v>157</v>
      </c>
    </row>
    <row r="3497" spans="19:22" x14ac:dyDescent="0.45">
      <c r="S3497" t="s">
        <v>683</v>
      </c>
      <c r="T3497" t="s">
        <v>785</v>
      </c>
      <c r="U3497">
        <v>0.12185257275311885</v>
      </c>
      <c r="V3497" t="s">
        <v>157</v>
      </c>
    </row>
    <row r="3498" spans="19:22" x14ac:dyDescent="0.45">
      <c r="S3498" t="s">
        <v>683</v>
      </c>
      <c r="T3498" t="s">
        <v>786</v>
      </c>
      <c r="U3498">
        <v>0.12039164196286771</v>
      </c>
      <c r="V3498" t="s">
        <v>157</v>
      </c>
    </row>
    <row r="3499" spans="19:22" x14ac:dyDescent="0.45">
      <c r="S3499" t="s">
        <v>683</v>
      </c>
      <c r="T3499" t="s">
        <v>787</v>
      </c>
      <c r="U3499">
        <v>2.1276318440118052E-2</v>
      </c>
      <c r="V3499" t="s">
        <v>157</v>
      </c>
    </row>
    <row r="3500" spans="19:22" x14ac:dyDescent="0.45">
      <c r="S3500" t="s">
        <v>683</v>
      </c>
      <c r="T3500" t="s">
        <v>788</v>
      </c>
      <c r="U3500">
        <v>0.10612777630586746</v>
      </c>
      <c r="V3500" t="s">
        <v>157</v>
      </c>
    </row>
    <row r="3501" spans="19:22" x14ac:dyDescent="0.45">
      <c r="S3501" t="s">
        <v>683</v>
      </c>
      <c r="T3501" t="s">
        <v>789</v>
      </c>
      <c r="U3501">
        <v>0.10393202645808713</v>
      </c>
      <c r="V3501" t="s">
        <v>157</v>
      </c>
    </row>
    <row r="3502" spans="19:22" x14ac:dyDescent="0.45">
      <c r="S3502" t="s">
        <v>683</v>
      </c>
      <c r="T3502" t="s">
        <v>790</v>
      </c>
      <c r="U3502">
        <v>1.9583947843563893E-2</v>
      </c>
      <c r="V3502" t="s">
        <v>157</v>
      </c>
    </row>
    <row r="3503" spans="19:22" x14ac:dyDescent="0.45">
      <c r="S3503" t="s">
        <v>684</v>
      </c>
      <c r="T3503" t="s">
        <v>779</v>
      </c>
      <c r="U3503">
        <v>0.113841333939142</v>
      </c>
      <c r="V3503" t="s">
        <v>157</v>
      </c>
    </row>
    <row r="3504" spans="19:22" x14ac:dyDescent="0.45">
      <c r="S3504" t="s">
        <v>684</v>
      </c>
      <c r="T3504" t="s">
        <v>780</v>
      </c>
      <c r="U3504">
        <v>0.12110264864358661</v>
      </c>
      <c r="V3504" t="s">
        <v>157</v>
      </c>
    </row>
    <row r="3505" spans="19:22" x14ac:dyDescent="0.45">
      <c r="S3505" t="s">
        <v>684</v>
      </c>
      <c r="T3505" t="s">
        <v>781</v>
      </c>
      <c r="U3505">
        <v>1.8998066639237272E-2</v>
      </c>
      <c r="V3505" t="s">
        <v>157</v>
      </c>
    </row>
    <row r="3506" spans="19:22" x14ac:dyDescent="0.45">
      <c r="S3506" t="s">
        <v>684</v>
      </c>
      <c r="T3506" t="s">
        <v>782</v>
      </c>
      <c r="U3506">
        <v>0.1115745568556249</v>
      </c>
      <c r="V3506" t="s">
        <v>157</v>
      </c>
    </row>
    <row r="3507" spans="19:22" x14ac:dyDescent="0.45">
      <c r="S3507" t="s">
        <v>684</v>
      </c>
      <c r="T3507" t="s">
        <v>783</v>
      </c>
      <c r="U3507">
        <v>0.11074043618078361</v>
      </c>
      <c r="V3507" t="s">
        <v>157</v>
      </c>
    </row>
    <row r="3508" spans="19:22" x14ac:dyDescent="0.45">
      <c r="S3508" t="s">
        <v>684</v>
      </c>
      <c r="T3508" t="s">
        <v>784</v>
      </c>
      <c r="U3508">
        <v>1.8889930422670703E-2</v>
      </c>
      <c r="V3508" t="s">
        <v>157</v>
      </c>
    </row>
    <row r="3509" spans="19:22" x14ac:dyDescent="0.45">
      <c r="S3509" t="s">
        <v>684</v>
      </c>
      <c r="T3509" t="s">
        <v>785</v>
      </c>
      <c r="U3509">
        <v>0.12419788781574394</v>
      </c>
      <c r="V3509" t="s">
        <v>157</v>
      </c>
    </row>
    <row r="3510" spans="19:22" x14ac:dyDescent="0.45">
      <c r="S3510" t="s">
        <v>684</v>
      </c>
      <c r="T3510" t="s">
        <v>786</v>
      </c>
      <c r="U3510">
        <v>0.12828190662298053</v>
      </c>
      <c r="V3510" t="s">
        <v>157</v>
      </c>
    </row>
    <row r="3511" spans="19:22" x14ac:dyDescent="0.45">
      <c r="S3511" t="s">
        <v>684</v>
      </c>
      <c r="T3511" t="s">
        <v>787</v>
      </c>
      <c r="U3511">
        <v>2.3602180548422249E-2</v>
      </c>
      <c r="V3511" t="s">
        <v>157</v>
      </c>
    </row>
    <row r="3512" spans="19:22" x14ac:dyDescent="0.45">
      <c r="S3512" t="s">
        <v>684</v>
      </c>
      <c r="T3512" t="s">
        <v>788</v>
      </c>
      <c r="U3512">
        <v>0.10801948169372957</v>
      </c>
      <c r="V3512" t="s">
        <v>157</v>
      </c>
    </row>
    <row r="3513" spans="19:22" x14ac:dyDescent="0.45">
      <c r="S3513" t="s">
        <v>684</v>
      </c>
      <c r="T3513" t="s">
        <v>789</v>
      </c>
      <c r="U3513">
        <v>0.10188949474152882</v>
      </c>
      <c r="V3513" t="s">
        <v>157</v>
      </c>
    </row>
    <row r="3514" spans="19:22" x14ac:dyDescent="0.45">
      <c r="S3514" t="s">
        <v>684</v>
      </c>
      <c r="T3514" t="s">
        <v>790</v>
      </c>
      <c r="U3514">
        <v>1.8862075896549885E-2</v>
      </c>
      <c r="V3514" t="s">
        <v>157</v>
      </c>
    </row>
    <row r="3515" spans="19:22" x14ac:dyDescent="0.45">
      <c r="S3515" t="s">
        <v>685</v>
      </c>
      <c r="T3515" t="s">
        <v>779</v>
      </c>
      <c r="U3515">
        <v>0.11633391323132523</v>
      </c>
      <c r="V3515" t="s">
        <v>157</v>
      </c>
    </row>
    <row r="3516" spans="19:22" x14ac:dyDescent="0.45">
      <c r="S3516" t="s">
        <v>685</v>
      </c>
      <c r="T3516" t="s">
        <v>780</v>
      </c>
      <c r="U3516">
        <v>0.12120352780362997</v>
      </c>
      <c r="V3516" t="s">
        <v>157</v>
      </c>
    </row>
    <row r="3517" spans="19:22" x14ac:dyDescent="0.45">
      <c r="S3517" t="s">
        <v>685</v>
      </c>
      <c r="T3517" t="s">
        <v>781</v>
      </c>
      <c r="U3517">
        <v>1.9564522866527476E-2</v>
      </c>
      <c r="V3517" t="s">
        <v>157</v>
      </c>
    </row>
    <row r="3518" spans="19:22" x14ac:dyDescent="0.45">
      <c r="S3518" t="s">
        <v>685</v>
      </c>
      <c r="T3518" t="s">
        <v>782</v>
      </c>
      <c r="U3518">
        <v>0.10912663230567966</v>
      </c>
      <c r="V3518" t="s">
        <v>157</v>
      </c>
    </row>
    <row r="3519" spans="19:22" x14ac:dyDescent="0.45">
      <c r="S3519" t="s">
        <v>685</v>
      </c>
      <c r="T3519" t="s">
        <v>783</v>
      </c>
      <c r="U3519">
        <v>0.11095931056880641</v>
      </c>
      <c r="V3519" t="s">
        <v>157</v>
      </c>
    </row>
    <row r="3520" spans="19:22" x14ac:dyDescent="0.45">
      <c r="S3520" t="s">
        <v>685</v>
      </c>
      <c r="T3520" t="s">
        <v>784</v>
      </c>
      <c r="U3520">
        <v>1.8768803255304944E-2</v>
      </c>
      <c r="V3520" t="s">
        <v>157</v>
      </c>
    </row>
    <row r="3521" spans="19:22" x14ac:dyDescent="0.45">
      <c r="S3521" t="s">
        <v>685</v>
      </c>
      <c r="T3521" t="s">
        <v>785</v>
      </c>
      <c r="U3521">
        <v>0.12467724738942693</v>
      </c>
      <c r="V3521" t="s">
        <v>157</v>
      </c>
    </row>
    <row r="3522" spans="19:22" x14ac:dyDescent="0.45">
      <c r="S3522" t="s">
        <v>685</v>
      </c>
      <c r="T3522" t="s">
        <v>786</v>
      </c>
      <c r="U3522">
        <v>0.12973905766904736</v>
      </c>
      <c r="V3522" t="s">
        <v>157</v>
      </c>
    </row>
    <row r="3523" spans="19:22" x14ac:dyDescent="0.45">
      <c r="S3523" t="s">
        <v>685</v>
      </c>
      <c r="T3523" t="s">
        <v>787</v>
      </c>
      <c r="U3523">
        <v>2.3410154963621279E-2</v>
      </c>
      <c r="V3523" t="s">
        <v>157</v>
      </c>
    </row>
    <row r="3524" spans="19:22" x14ac:dyDescent="0.45">
      <c r="S3524" t="s">
        <v>685</v>
      </c>
      <c r="T3524" t="s">
        <v>788</v>
      </c>
      <c r="U3524">
        <v>0.1044200564208228</v>
      </c>
      <c r="V3524" t="s">
        <v>157</v>
      </c>
    </row>
    <row r="3525" spans="19:22" x14ac:dyDescent="0.45">
      <c r="S3525" t="s">
        <v>685</v>
      </c>
      <c r="T3525" t="s">
        <v>789</v>
      </c>
      <c r="U3525">
        <v>0.10329867586268954</v>
      </c>
      <c r="V3525" t="s">
        <v>157</v>
      </c>
    </row>
    <row r="3526" spans="19:22" x14ac:dyDescent="0.45">
      <c r="S3526" t="s">
        <v>685</v>
      </c>
      <c r="T3526" t="s">
        <v>790</v>
      </c>
      <c r="U3526">
        <v>1.8498097663118315E-2</v>
      </c>
      <c r="V3526" t="s">
        <v>157</v>
      </c>
    </row>
    <row r="3527" spans="19:22" x14ac:dyDescent="0.45">
      <c r="S3527" t="s">
        <v>686</v>
      </c>
      <c r="T3527" t="s">
        <v>779</v>
      </c>
      <c r="U3527">
        <v>0.1170624733397148</v>
      </c>
      <c r="V3527" t="s">
        <v>157</v>
      </c>
    </row>
    <row r="3528" spans="19:22" x14ac:dyDescent="0.45">
      <c r="S3528" t="s">
        <v>686</v>
      </c>
      <c r="T3528" t="s">
        <v>780</v>
      </c>
      <c r="U3528">
        <v>0.12188181654789713</v>
      </c>
      <c r="V3528" t="s">
        <v>157</v>
      </c>
    </row>
    <row r="3529" spans="19:22" x14ac:dyDescent="0.45">
      <c r="S3529" t="s">
        <v>686</v>
      </c>
      <c r="T3529" t="s">
        <v>781</v>
      </c>
      <c r="U3529">
        <v>1.9853925874173228E-2</v>
      </c>
      <c r="V3529" t="s">
        <v>157</v>
      </c>
    </row>
    <row r="3530" spans="19:22" x14ac:dyDescent="0.45">
      <c r="S3530" t="s">
        <v>686</v>
      </c>
      <c r="T3530" t="s">
        <v>782</v>
      </c>
      <c r="U3530">
        <v>0.10736838749654419</v>
      </c>
      <c r="V3530" t="s">
        <v>157</v>
      </c>
    </row>
    <row r="3531" spans="19:22" x14ac:dyDescent="0.45">
      <c r="S3531" t="s">
        <v>686</v>
      </c>
      <c r="T3531" t="s">
        <v>783</v>
      </c>
      <c r="U3531">
        <v>0.11268536270558765</v>
      </c>
      <c r="V3531" t="s">
        <v>157</v>
      </c>
    </row>
    <row r="3532" spans="19:22" x14ac:dyDescent="0.45">
      <c r="S3532" t="s">
        <v>686</v>
      </c>
      <c r="T3532" t="s">
        <v>784</v>
      </c>
      <c r="U3532">
        <v>1.9264399381184634E-2</v>
      </c>
      <c r="V3532" t="s">
        <v>157</v>
      </c>
    </row>
    <row r="3533" spans="19:22" x14ac:dyDescent="0.45">
      <c r="S3533" t="s">
        <v>686</v>
      </c>
      <c r="T3533" t="s">
        <v>785</v>
      </c>
      <c r="U3533">
        <v>0.12514973510004815</v>
      </c>
      <c r="V3533" t="s">
        <v>157</v>
      </c>
    </row>
    <row r="3534" spans="19:22" x14ac:dyDescent="0.45">
      <c r="S3534" t="s">
        <v>686</v>
      </c>
      <c r="T3534" t="s">
        <v>786</v>
      </c>
      <c r="U3534">
        <v>0.13050635593925014</v>
      </c>
      <c r="V3534" t="s">
        <v>157</v>
      </c>
    </row>
    <row r="3535" spans="19:22" x14ac:dyDescent="0.45">
      <c r="S3535" t="s">
        <v>686</v>
      </c>
      <c r="T3535" t="s">
        <v>787</v>
      </c>
      <c r="U3535">
        <v>2.2662799017251999E-2</v>
      </c>
      <c r="V3535" t="s">
        <v>157</v>
      </c>
    </row>
    <row r="3536" spans="19:22" x14ac:dyDescent="0.45">
      <c r="S3536" t="s">
        <v>686</v>
      </c>
      <c r="T3536" t="s">
        <v>788</v>
      </c>
      <c r="U3536">
        <v>9.9586466482831718E-2</v>
      </c>
      <c r="V3536" t="s">
        <v>157</v>
      </c>
    </row>
    <row r="3537" spans="19:22" x14ac:dyDescent="0.45">
      <c r="S3537" t="s">
        <v>686</v>
      </c>
      <c r="T3537" t="s">
        <v>789</v>
      </c>
      <c r="U3537">
        <v>0.10565029231409659</v>
      </c>
      <c r="V3537" t="s">
        <v>157</v>
      </c>
    </row>
    <row r="3538" spans="19:22" x14ac:dyDescent="0.45">
      <c r="S3538" t="s">
        <v>686</v>
      </c>
      <c r="T3538" t="s">
        <v>790</v>
      </c>
      <c r="U3538">
        <v>1.8327985801419772E-2</v>
      </c>
      <c r="V3538" t="s">
        <v>157</v>
      </c>
    </row>
    <row r="3539" spans="19:22" x14ac:dyDescent="0.45">
      <c r="S3539" t="s">
        <v>687</v>
      </c>
      <c r="T3539" t="s">
        <v>779</v>
      </c>
      <c r="U3539">
        <v>0.1149641269569404</v>
      </c>
      <c r="V3539" t="s">
        <v>157</v>
      </c>
    </row>
    <row r="3540" spans="19:22" x14ac:dyDescent="0.45">
      <c r="S3540" t="s">
        <v>687</v>
      </c>
      <c r="T3540" t="s">
        <v>780</v>
      </c>
      <c r="U3540">
        <v>0.12509517109714616</v>
      </c>
      <c r="V3540" t="s">
        <v>157</v>
      </c>
    </row>
    <row r="3541" spans="19:22" x14ac:dyDescent="0.45">
      <c r="S3541" t="s">
        <v>687</v>
      </c>
      <c r="T3541" t="s">
        <v>781</v>
      </c>
      <c r="U3541">
        <v>2.1047449055096538E-2</v>
      </c>
      <c r="V3541" t="s">
        <v>157</v>
      </c>
    </row>
    <row r="3542" spans="19:22" x14ac:dyDescent="0.45">
      <c r="S3542" t="s">
        <v>687</v>
      </c>
      <c r="T3542" t="s">
        <v>782</v>
      </c>
      <c r="U3542">
        <v>0.10396432381408509</v>
      </c>
      <c r="V3542" t="s">
        <v>157</v>
      </c>
    </row>
    <row r="3543" spans="19:22" x14ac:dyDescent="0.45">
      <c r="S3543" t="s">
        <v>687</v>
      </c>
      <c r="T3543" t="s">
        <v>783</v>
      </c>
      <c r="U3543">
        <v>0.11004680429390779</v>
      </c>
      <c r="V3543" t="s">
        <v>157</v>
      </c>
    </row>
    <row r="3544" spans="19:22" x14ac:dyDescent="0.45">
      <c r="S3544" t="s">
        <v>687</v>
      </c>
      <c r="T3544" t="s">
        <v>784</v>
      </c>
      <c r="U3544">
        <v>2.0244852877848545E-2</v>
      </c>
      <c r="V3544" t="s">
        <v>157</v>
      </c>
    </row>
    <row r="3545" spans="19:22" x14ac:dyDescent="0.45">
      <c r="S3545" t="s">
        <v>687</v>
      </c>
      <c r="T3545" t="s">
        <v>785</v>
      </c>
      <c r="U3545">
        <v>0.12495996154948563</v>
      </c>
      <c r="V3545" t="s">
        <v>157</v>
      </c>
    </row>
    <row r="3546" spans="19:22" x14ac:dyDescent="0.45">
      <c r="S3546" t="s">
        <v>687</v>
      </c>
      <c r="T3546" t="s">
        <v>786</v>
      </c>
      <c r="U3546">
        <v>0.1294584490145633</v>
      </c>
      <c r="V3546" t="s">
        <v>157</v>
      </c>
    </row>
    <row r="3547" spans="19:22" x14ac:dyDescent="0.45">
      <c r="S3547" t="s">
        <v>687</v>
      </c>
      <c r="T3547" t="s">
        <v>787</v>
      </c>
      <c r="U3547">
        <v>2.2129625072497626E-2</v>
      </c>
      <c r="V3547" t="s">
        <v>157</v>
      </c>
    </row>
    <row r="3548" spans="19:22" x14ac:dyDescent="0.45">
      <c r="S3548" t="s">
        <v>687</v>
      </c>
      <c r="T3548" t="s">
        <v>788</v>
      </c>
      <c r="U3548">
        <v>9.7254730805715575E-2</v>
      </c>
      <c r="V3548" t="s">
        <v>157</v>
      </c>
    </row>
    <row r="3549" spans="19:22" x14ac:dyDescent="0.45">
      <c r="S3549" t="s">
        <v>687</v>
      </c>
      <c r="T3549" t="s">
        <v>789</v>
      </c>
      <c r="U3549">
        <v>0.11079670710753298</v>
      </c>
      <c r="V3549" t="s">
        <v>157</v>
      </c>
    </row>
    <row r="3550" spans="19:22" x14ac:dyDescent="0.45">
      <c r="S3550" t="s">
        <v>687</v>
      </c>
      <c r="T3550" t="s">
        <v>790</v>
      </c>
      <c r="U3550">
        <v>2.0037798355180374E-2</v>
      </c>
      <c r="V3550" t="s">
        <v>157</v>
      </c>
    </row>
    <row r="3551" spans="19:22" x14ac:dyDescent="0.45">
      <c r="S3551" t="s">
        <v>688</v>
      </c>
      <c r="T3551" t="s">
        <v>779</v>
      </c>
      <c r="U3551">
        <v>0.11832465843245972</v>
      </c>
      <c r="V3551" t="s">
        <v>157</v>
      </c>
    </row>
    <row r="3552" spans="19:22" x14ac:dyDescent="0.45">
      <c r="S3552" t="s">
        <v>688</v>
      </c>
      <c r="T3552" t="s">
        <v>780</v>
      </c>
      <c r="U3552">
        <v>0.12841425356092956</v>
      </c>
      <c r="V3552" t="s">
        <v>157</v>
      </c>
    </row>
    <row r="3553" spans="19:22" x14ac:dyDescent="0.45">
      <c r="S3553" t="s">
        <v>688</v>
      </c>
      <c r="T3553" t="s">
        <v>781</v>
      </c>
      <c r="U3553">
        <v>2.1551874294912798E-2</v>
      </c>
      <c r="V3553" t="s">
        <v>157</v>
      </c>
    </row>
    <row r="3554" spans="19:22" x14ac:dyDescent="0.45">
      <c r="S3554" t="s">
        <v>688</v>
      </c>
      <c r="T3554" t="s">
        <v>782</v>
      </c>
      <c r="U3554">
        <v>0.10257095132909733</v>
      </c>
      <c r="V3554" t="s">
        <v>157</v>
      </c>
    </row>
    <row r="3555" spans="19:22" x14ac:dyDescent="0.45">
      <c r="S3555" t="s">
        <v>688</v>
      </c>
      <c r="T3555" t="s">
        <v>783</v>
      </c>
      <c r="U3555">
        <v>0.10542510909636395</v>
      </c>
      <c r="V3555" t="s">
        <v>157</v>
      </c>
    </row>
    <row r="3556" spans="19:22" x14ac:dyDescent="0.45">
      <c r="S3556" t="s">
        <v>688</v>
      </c>
      <c r="T3556" t="s">
        <v>784</v>
      </c>
      <c r="U3556">
        <v>1.9760391546499455E-2</v>
      </c>
      <c r="V3556" t="s">
        <v>157</v>
      </c>
    </row>
    <row r="3557" spans="19:22" x14ac:dyDescent="0.45">
      <c r="S3557" t="s">
        <v>688</v>
      </c>
      <c r="T3557" t="s">
        <v>785</v>
      </c>
      <c r="U3557">
        <v>0.12695496679836757</v>
      </c>
      <c r="V3557" t="s">
        <v>157</v>
      </c>
    </row>
    <row r="3558" spans="19:22" x14ac:dyDescent="0.45">
      <c r="S3558" t="s">
        <v>688</v>
      </c>
      <c r="T3558" t="s">
        <v>786</v>
      </c>
      <c r="U3558">
        <v>0.13185650616656427</v>
      </c>
      <c r="V3558" t="s">
        <v>157</v>
      </c>
    </row>
    <row r="3559" spans="19:22" x14ac:dyDescent="0.45">
      <c r="S3559" t="s">
        <v>688</v>
      </c>
      <c r="T3559" t="s">
        <v>787</v>
      </c>
      <c r="U3559">
        <v>2.2217183884902462E-2</v>
      </c>
      <c r="V3559" t="s">
        <v>157</v>
      </c>
    </row>
    <row r="3560" spans="19:22" x14ac:dyDescent="0.45">
      <c r="S3560" t="s">
        <v>688</v>
      </c>
      <c r="T3560" t="s">
        <v>788</v>
      </c>
      <c r="U3560">
        <v>9.4430442495361991E-2</v>
      </c>
      <c r="V3560" t="s">
        <v>157</v>
      </c>
    </row>
    <row r="3561" spans="19:22" x14ac:dyDescent="0.45">
      <c r="S3561" t="s">
        <v>688</v>
      </c>
      <c r="T3561" t="s">
        <v>789</v>
      </c>
      <c r="U3561">
        <v>0.10910789446408722</v>
      </c>
      <c r="V3561" t="s">
        <v>157</v>
      </c>
    </row>
    <row r="3562" spans="19:22" x14ac:dyDescent="0.45">
      <c r="S3562" t="s">
        <v>688</v>
      </c>
      <c r="T3562" t="s">
        <v>790</v>
      </c>
      <c r="U3562">
        <v>1.9385767930453639E-2</v>
      </c>
      <c r="V3562" t="s">
        <v>157</v>
      </c>
    </row>
    <row r="3563" spans="19:22" x14ac:dyDescent="0.45">
      <c r="S3563" t="s">
        <v>689</v>
      </c>
      <c r="T3563" t="s">
        <v>779</v>
      </c>
      <c r="U3563">
        <v>0.12995973362792718</v>
      </c>
      <c r="V3563" t="s">
        <v>157</v>
      </c>
    </row>
    <row r="3564" spans="19:22" x14ac:dyDescent="0.45">
      <c r="S3564" t="s">
        <v>689</v>
      </c>
      <c r="T3564" t="s">
        <v>780</v>
      </c>
      <c r="U3564">
        <v>0.13338553308048681</v>
      </c>
      <c r="V3564" t="s">
        <v>157</v>
      </c>
    </row>
    <row r="3565" spans="19:22" x14ac:dyDescent="0.45">
      <c r="S3565" t="s">
        <v>689</v>
      </c>
      <c r="T3565" t="s">
        <v>781</v>
      </c>
      <c r="U3565">
        <v>2.2859402794633339E-2</v>
      </c>
      <c r="V3565" t="s">
        <v>157</v>
      </c>
    </row>
    <row r="3566" spans="19:22" x14ac:dyDescent="0.45">
      <c r="S3566" t="s">
        <v>689</v>
      </c>
      <c r="T3566" t="s">
        <v>782</v>
      </c>
      <c r="U3566">
        <v>0.10068644757891672</v>
      </c>
      <c r="V3566" t="s">
        <v>157</v>
      </c>
    </row>
    <row r="3567" spans="19:22" x14ac:dyDescent="0.45">
      <c r="S3567" t="s">
        <v>689</v>
      </c>
      <c r="T3567" t="s">
        <v>783</v>
      </c>
      <c r="U3567">
        <v>9.7677573371236295E-2</v>
      </c>
      <c r="V3567" t="s">
        <v>157</v>
      </c>
    </row>
    <row r="3568" spans="19:22" x14ac:dyDescent="0.45">
      <c r="S3568" t="s">
        <v>689</v>
      </c>
      <c r="T3568" t="s">
        <v>784</v>
      </c>
      <c r="U3568">
        <v>1.8888906061387978E-2</v>
      </c>
      <c r="V3568" t="s">
        <v>157</v>
      </c>
    </row>
    <row r="3569" spans="19:22" x14ac:dyDescent="0.45">
      <c r="S3569" t="s">
        <v>689</v>
      </c>
      <c r="T3569" t="s">
        <v>785</v>
      </c>
      <c r="U3569">
        <v>0.128999519023793</v>
      </c>
      <c r="V3569" t="s">
        <v>157</v>
      </c>
    </row>
    <row r="3570" spans="19:22" x14ac:dyDescent="0.45">
      <c r="S3570" t="s">
        <v>689</v>
      </c>
      <c r="T3570" t="s">
        <v>786</v>
      </c>
      <c r="U3570">
        <v>0.13083867716891545</v>
      </c>
      <c r="V3570" t="s">
        <v>157</v>
      </c>
    </row>
    <row r="3571" spans="19:22" x14ac:dyDescent="0.45">
      <c r="S3571" t="s">
        <v>689</v>
      </c>
      <c r="T3571" t="s">
        <v>787</v>
      </c>
      <c r="U3571">
        <v>2.3080956247855937E-2</v>
      </c>
      <c r="V3571" t="s">
        <v>157</v>
      </c>
    </row>
    <row r="3572" spans="19:22" x14ac:dyDescent="0.45">
      <c r="S3572" t="s">
        <v>689</v>
      </c>
      <c r="T3572" t="s">
        <v>788</v>
      </c>
      <c r="U3572">
        <v>9.3848524811998707E-2</v>
      </c>
      <c r="V3572" t="s">
        <v>157</v>
      </c>
    </row>
    <row r="3573" spans="19:22" x14ac:dyDescent="0.45">
      <c r="S3573" t="s">
        <v>689</v>
      </c>
      <c r="T3573" t="s">
        <v>789</v>
      </c>
      <c r="U3573">
        <v>0.10136878987592375</v>
      </c>
      <c r="V3573" t="s">
        <v>157</v>
      </c>
    </row>
    <row r="3574" spans="19:22" x14ac:dyDescent="0.45">
      <c r="S3574" t="s">
        <v>689</v>
      </c>
      <c r="T3574" t="s">
        <v>790</v>
      </c>
      <c r="U3574">
        <v>1.8405936356924803E-2</v>
      </c>
      <c r="V3574" t="s">
        <v>157</v>
      </c>
    </row>
    <row r="3575" spans="19:22" x14ac:dyDescent="0.45">
      <c r="S3575" t="s">
        <v>690</v>
      </c>
      <c r="T3575" t="s">
        <v>779</v>
      </c>
      <c r="U3575">
        <v>0.14837797954648804</v>
      </c>
      <c r="V3575" t="s">
        <v>157</v>
      </c>
    </row>
    <row r="3576" spans="19:22" x14ac:dyDescent="0.45">
      <c r="S3576" t="s">
        <v>690</v>
      </c>
      <c r="T3576" t="s">
        <v>780</v>
      </c>
      <c r="U3576">
        <v>0.13952419496566287</v>
      </c>
      <c r="V3576" t="s">
        <v>157</v>
      </c>
    </row>
    <row r="3577" spans="19:22" x14ac:dyDescent="0.45">
      <c r="S3577" t="s">
        <v>690</v>
      </c>
      <c r="T3577" t="s">
        <v>781</v>
      </c>
      <c r="U3577">
        <v>2.548856631596624E-2</v>
      </c>
      <c r="V3577" t="s">
        <v>157</v>
      </c>
    </row>
    <row r="3578" spans="19:22" x14ac:dyDescent="0.45">
      <c r="S3578" t="s">
        <v>690</v>
      </c>
      <c r="T3578" t="s">
        <v>782</v>
      </c>
      <c r="U3578">
        <v>0.10043666520240646</v>
      </c>
      <c r="V3578" t="s">
        <v>157</v>
      </c>
    </row>
    <row r="3579" spans="19:22" x14ac:dyDescent="0.45">
      <c r="S3579" t="s">
        <v>690</v>
      </c>
      <c r="T3579" t="s">
        <v>783</v>
      </c>
      <c r="U3579">
        <v>9.1262581114326308E-2</v>
      </c>
      <c r="V3579" t="s">
        <v>157</v>
      </c>
    </row>
    <row r="3580" spans="19:22" x14ac:dyDescent="0.45">
      <c r="S3580" t="s">
        <v>690</v>
      </c>
      <c r="T3580" t="s">
        <v>784</v>
      </c>
      <c r="U3580">
        <v>1.8511835736802509E-2</v>
      </c>
      <c r="V3580" t="s">
        <v>157</v>
      </c>
    </row>
    <row r="3581" spans="19:22" x14ac:dyDescent="0.45">
      <c r="S3581" t="s">
        <v>690</v>
      </c>
      <c r="T3581" t="s">
        <v>785</v>
      </c>
      <c r="U3581">
        <v>0.130279665257027</v>
      </c>
      <c r="V3581" t="s">
        <v>157</v>
      </c>
    </row>
    <row r="3582" spans="19:22" x14ac:dyDescent="0.45">
      <c r="S3582" t="s">
        <v>690</v>
      </c>
      <c r="T3582" t="s">
        <v>786</v>
      </c>
      <c r="U3582">
        <v>0.12551521608253705</v>
      </c>
      <c r="V3582" t="s">
        <v>157</v>
      </c>
    </row>
    <row r="3583" spans="19:22" x14ac:dyDescent="0.45">
      <c r="S3583" t="s">
        <v>690</v>
      </c>
      <c r="T3583" t="s">
        <v>787</v>
      </c>
      <c r="U3583">
        <v>2.3629712124223445E-2</v>
      </c>
      <c r="V3583" t="s">
        <v>157</v>
      </c>
    </row>
    <row r="3584" spans="19:22" x14ac:dyDescent="0.45">
      <c r="S3584" t="s">
        <v>690</v>
      </c>
      <c r="T3584" t="s">
        <v>788</v>
      </c>
      <c r="U3584">
        <v>9.3121275711582102E-2</v>
      </c>
      <c r="V3584" t="s">
        <v>157</v>
      </c>
    </row>
    <row r="3585" spans="19:22" x14ac:dyDescent="0.45">
      <c r="S3585" t="s">
        <v>690</v>
      </c>
      <c r="T3585" t="s">
        <v>789</v>
      </c>
      <c r="U3585">
        <v>8.5744571807505013E-2</v>
      </c>
      <c r="V3585" t="s">
        <v>157</v>
      </c>
    </row>
    <row r="3586" spans="19:22" x14ac:dyDescent="0.45">
      <c r="S3586" t="s">
        <v>690</v>
      </c>
      <c r="T3586" t="s">
        <v>790</v>
      </c>
      <c r="U3586">
        <v>1.810773613547291E-2</v>
      </c>
      <c r="V3586" t="s">
        <v>157</v>
      </c>
    </row>
    <row r="3587" spans="19:22" x14ac:dyDescent="0.45">
      <c r="S3587" t="s">
        <v>691</v>
      </c>
      <c r="T3587" t="s">
        <v>779</v>
      </c>
      <c r="U3587">
        <v>0.18703531983437119</v>
      </c>
      <c r="V3587" t="s">
        <v>157</v>
      </c>
    </row>
    <row r="3588" spans="19:22" x14ac:dyDescent="0.45">
      <c r="S3588" t="s">
        <v>691</v>
      </c>
      <c r="T3588" t="s">
        <v>780</v>
      </c>
      <c r="U3588">
        <v>0.13739389128021312</v>
      </c>
      <c r="V3588" t="s">
        <v>157</v>
      </c>
    </row>
    <row r="3589" spans="19:22" x14ac:dyDescent="0.45">
      <c r="S3589" t="s">
        <v>691</v>
      </c>
      <c r="T3589" t="s">
        <v>781</v>
      </c>
      <c r="U3589">
        <v>3.0433671807408441E-2</v>
      </c>
      <c r="V3589" t="s">
        <v>157</v>
      </c>
    </row>
    <row r="3590" spans="19:22" x14ac:dyDescent="0.45">
      <c r="S3590" t="s">
        <v>691</v>
      </c>
      <c r="T3590" t="s">
        <v>782</v>
      </c>
      <c r="U3590">
        <v>8.459892042385124E-2</v>
      </c>
      <c r="V3590" t="s">
        <v>157</v>
      </c>
    </row>
    <row r="3591" spans="19:22" x14ac:dyDescent="0.45">
      <c r="S3591" t="s">
        <v>691</v>
      </c>
      <c r="T3591" t="s">
        <v>783</v>
      </c>
      <c r="U3591">
        <v>9.5939401745599409E-2</v>
      </c>
      <c r="V3591" t="s">
        <v>157</v>
      </c>
    </row>
    <row r="3592" spans="19:22" x14ac:dyDescent="0.45">
      <c r="S3592" t="s">
        <v>691</v>
      </c>
      <c r="T3592" t="s">
        <v>784</v>
      </c>
      <c r="U3592">
        <v>1.4899662648943188E-2</v>
      </c>
      <c r="V3592" t="s">
        <v>157</v>
      </c>
    </row>
    <row r="3593" spans="19:22" x14ac:dyDescent="0.45">
      <c r="S3593" t="s">
        <v>691</v>
      </c>
      <c r="T3593" t="s">
        <v>785</v>
      </c>
      <c r="U3593">
        <v>0.11730523443574818</v>
      </c>
      <c r="V3593" t="s">
        <v>157</v>
      </c>
    </row>
    <row r="3594" spans="19:22" x14ac:dyDescent="0.45">
      <c r="S3594" t="s">
        <v>691</v>
      </c>
      <c r="T3594" t="s">
        <v>786</v>
      </c>
      <c r="U3594">
        <v>0.11812545400656572</v>
      </c>
      <c r="V3594" t="s">
        <v>157</v>
      </c>
    </row>
    <row r="3595" spans="19:22" x14ac:dyDescent="0.45">
      <c r="S3595" t="s">
        <v>691</v>
      </c>
      <c r="T3595" t="s">
        <v>787</v>
      </c>
      <c r="U3595">
        <v>2.2006020006358571E-2</v>
      </c>
      <c r="V3595" t="s">
        <v>157</v>
      </c>
    </row>
    <row r="3596" spans="19:22" x14ac:dyDescent="0.45">
      <c r="S3596" t="s">
        <v>691</v>
      </c>
      <c r="T3596" t="s">
        <v>788</v>
      </c>
      <c r="U3596">
        <v>8.613444098295249E-2</v>
      </c>
      <c r="V3596" t="s">
        <v>157</v>
      </c>
    </row>
    <row r="3597" spans="19:22" x14ac:dyDescent="0.45">
      <c r="S3597" t="s">
        <v>691</v>
      </c>
      <c r="T3597" t="s">
        <v>789</v>
      </c>
      <c r="U3597">
        <v>8.5579730555118333E-2</v>
      </c>
      <c r="V3597" t="s">
        <v>157</v>
      </c>
    </row>
    <row r="3598" spans="19:22" x14ac:dyDescent="0.45">
      <c r="S3598" t="s">
        <v>691</v>
      </c>
      <c r="T3598" t="s">
        <v>790</v>
      </c>
      <c r="U3598">
        <v>2.0548252272870118E-2</v>
      </c>
      <c r="V3598" t="s">
        <v>157</v>
      </c>
    </row>
    <row r="3599" spans="19:22" x14ac:dyDescent="0.45">
      <c r="S3599" t="s">
        <v>692</v>
      </c>
      <c r="T3599" t="s">
        <v>779</v>
      </c>
      <c r="U3599">
        <v>0.14167474369929109</v>
      </c>
      <c r="V3599" t="s">
        <v>157</v>
      </c>
    </row>
    <row r="3600" spans="19:22" x14ac:dyDescent="0.45">
      <c r="S3600" t="s">
        <v>692</v>
      </c>
      <c r="T3600" t="s">
        <v>780</v>
      </c>
      <c r="U3600">
        <v>0.14126597621622383</v>
      </c>
      <c r="V3600" t="s">
        <v>157</v>
      </c>
    </row>
    <row r="3601" spans="19:22" x14ac:dyDescent="0.45">
      <c r="S3601" t="s">
        <v>692</v>
      </c>
      <c r="T3601" t="s">
        <v>781</v>
      </c>
      <c r="U3601">
        <v>3.0913336263546667E-2</v>
      </c>
      <c r="V3601" t="s">
        <v>157</v>
      </c>
    </row>
    <row r="3602" spans="19:22" x14ac:dyDescent="0.45">
      <c r="S3602" t="s">
        <v>692</v>
      </c>
      <c r="T3602" t="s">
        <v>782</v>
      </c>
      <c r="U3602">
        <v>8.8276277909722603E-2</v>
      </c>
      <c r="V3602" t="s">
        <v>157</v>
      </c>
    </row>
    <row r="3603" spans="19:22" x14ac:dyDescent="0.45">
      <c r="S3603" t="s">
        <v>692</v>
      </c>
      <c r="T3603" t="s">
        <v>783</v>
      </c>
      <c r="U3603">
        <v>0.10524397310820592</v>
      </c>
      <c r="V3603" t="s">
        <v>157</v>
      </c>
    </row>
    <row r="3604" spans="19:22" x14ac:dyDescent="0.45">
      <c r="S3604" t="s">
        <v>692</v>
      </c>
      <c r="T3604" t="s">
        <v>784</v>
      </c>
      <c r="U3604">
        <v>1.822417912683905E-2</v>
      </c>
      <c r="V3604" t="s">
        <v>157</v>
      </c>
    </row>
    <row r="3605" spans="19:22" x14ac:dyDescent="0.45">
      <c r="S3605" t="s">
        <v>692</v>
      </c>
      <c r="T3605" t="s">
        <v>785</v>
      </c>
      <c r="U3605">
        <v>0.11710083063470754</v>
      </c>
      <c r="V3605" t="s">
        <v>157</v>
      </c>
    </row>
    <row r="3606" spans="19:22" x14ac:dyDescent="0.45">
      <c r="S3606" t="s">
        <v>692</v>
      </c>
      <c r="T3606" t="s">
        <v>786</v>
      </c>
      <c r="U3606">
        <v>0.11965933306497031</v>
      </c>
      <c r="V3606" t="s">
        <v>157</v>
      </c>
    </row>
    <row r="3607" spans="19:22" x14ac:dyDescent="0.45">
      <c r="S3607" t="s">
        <v>692</v>
      </c>
      <c r="T3607" t="s">
        <v>787</v>
      </c>
      <c r="U3607">
        <v>2.4010075659227442E-2</v>
      </c>
      <c r="V3607" t="s">
        <v>157</v>
      </c>
    </row>
    <row r="3608" spans="19:22" x14ac:dyDescent="0.45">
      <c r="S3608" t="s">
        <v>692</v>
      </c>
      <c r="T3608" t="s">
        <v>788</v>
      </c>
      <c r="U3608">
        <v>8.3698522356371152E-2</v>
      </c>
      <c r="V3608" t="s">
        <v>157</v>
      </c>
    </row>
    <row r="3609" spans="19:22" x14ac:dyDescent="0.45">
      <c r="S3609" t="s">
        <v>692</v>
      </c>
      <c r="T3609" t="s">
        <v>789</v>
      </c>
      <c r="U3609">
        <v>0.10736095726278937</v>
      </c>
      <c r="V3609" t="s">
        <v>157</v>
      </c>
    </row>
    <row r="3610" spans="19:22" x14ac:dyDescent="0.45">
      <c r="S3610" t="s">
        <v>692</v>
      </c>
      <c r="T3610" t="s">
        <v>790</v>
      </c>
      <c r="U3610">
        <v>2.2571794698104958E-2</v>
      </c>
      <c r="V3610" t="s">
        <v>157</v>
      </c>
    </row>
    <row r="3611" spans="19:22" x14ac:dyDescent="0.45">
      <c r="S3611" t="s">
        <v>693</v>
      </c>
      <c r="T3611" t="s">
        <v>779</v>
      </c>
      <c r="U3611">
        <v>0.1323564253601178</v>
      </c>
      <c r="V3611" t="s">
        <v>157</v>
      </c>
    </row>
    <row r="3612" spans="19:22" x14ac:dyDescent="0.45">
      <c r="S3612" t="s">
        <v>693</v>
      </c>
      <c r="T3612" t="s">
        <v>780</v>
      </c>
      <c r="U3612">
        <v>0.14163021089028624</v>
      </c>
      <c r="V3612" t="s">
        <v>157</v>
      </c>
    </row>
    <row r="3613" spans="19:22" x14ac:dyDescent="0.45">
      <c r="S3613" t="s">
        <v>693</v>
      </c>
      <c r="T3613" t="s">
        <v>781</v>
      </c>
      <c r="U3613">
        <v>2.6017356235680068E-2</v>
      </c>
      <c r="V3613" t="s">
        <v>157</v>
      </c>
    </row>
    <row r="3614" spans="19:22" x14ac:dyDescent="0.45">
      <c r="S3614" t="s">
        <v>693</v>
      </c>
      <c r="T3614" t="s">
        <v>782</v>
      </c>
      <c r="U3614">
        <v>8.7395582087909929E-2</v>
      </c>
      <c r="V3614" t="s">
        <v>157</v>
      </c>
    </row>
    <row r="3615" spans="19:22" x14ac:dyDescent="0.45">
      <c r="S3615" t="s">
        <v>693</v>
      </c>
      <c r="T3615" t="s">
        <v>783</v>
      </c>
      <c r="U3615">
        <v>0.10562446186859108</v>
      </c>
      <c r="V3615" t="s">
        <v>157</v>
      </c>
    </row>
    <row r="3616" spans="19:22" x14ac:dyDescent="0.45">
      <c r="S3616" t="s">
        <v>693</v>
      </c>
      <c r="T3616" t="s">
        <v>784</v>
      </c>
      <c r="U3616">
        <v>1.7297395855531222E-2</v>
      </c>
      <c r="V3616" t="s">
        <v>157</v>
      </c>
    </row>
    <row r="3617" spans="19:22" x14ac:dyDescent="0.45">
      <c r="S3617" t="s">
        <v>693</v>
      </c>
      <c r="T3617" t="s">
        <v>785</v>
      </c>
      <c r="U3617">
        <v>0.11986614270422388</v>
      </c>
      <c r="V3617" t="s">
        <v>157</v>
      </c>
    </row>
    <row r="3618" spans="19:22" x14ac:dyDescent="0.45">
      <c r="S3618" t="s">
        <v>693</v>
      </c>
      <c r="T3618" t="s">
        <v>786</v>
      </c>
      <c r="U3618">
        <v>0.12610509092091149</v>
      </c>
      <c r="V3618" t="s">
        <v>157</v>
      </c>
    </row>
    <row r="3619" spans="19:22" x14ac:dyDescent="0.45">
      <c r="S3619" t="s">
        <v>693</v>
      </c>
      <c r="T3619" t="s">
        <v>787</v>
      </c>
      <c r="U3619">
        <v>2.4821999957312046E-2</v>
      </c>
      <c r="V3619" t="s">
        <v>157</v>
      </c>
    </row>
    <row r="3620" spans="19:22" x14ac:dyDescent="0.45">
      <c r="S3620" t="s">
        <v>693</v>
      </c>
      <c r="T3620" t="s">
        <v>788</v>
      </c>
      <c r="U3620">
        <v>8.4677992555731357E-2</v>
      </c>
      <c r="V3620" t="s">
        <v>157</v>
      </c>
    </row>
    <row r="3621" spans="19:22" x14ac:dyDescent="0.45">
      <c r="S3621" t="s">
        <v>693</v>
      </c>
      <c r="T3621" t="s">
        <v>789</v>
      </c>
      <c r="U3621">
        <v>0.11501204570088146</v>
      </c>
      <c r="V3621" t="s">
        <v>157</v>
      </c>
    </row>
    <row r="3622" spans="19:22" x14ac:dyDescent="0.45">
      <c r="S3622" t="s">
        <v>693</v>
      </c>
      <c r="T3622" t="s">
        <v>790</v>
      </c>
      <c r="U3622">
        <v>1.9195295862823473E-2</v>
      </c>
      <c r="V3622" t="s">
        <v>157</v>
      </c>
    </row>
    <row r="3623" spans="19:22" x14ac:dyDescent="0.45">
      <c r="S3623" t="s">
        <v>694</v>
      </c>
      <c r="T3623" t="s">
        <v>779</v>
      </c>
      <c r="U3623">
        <v>0.12936393685413827</v>
      </c>
      <c r="V3623" t="s">
        <v>157</v>
      </c>
    </row>
    <row r="3624" spans="19:22" x14ac:dyDescent="0.45">
      <c r="S3624" t="s">
        <v>694</v>
      </c>
      <c r="T3624" t="s">
        <v>780</v>
      </c>
      <c r="U3624">
        <v>0.14088265414253232</v>
      </c>
      <c r="V3624" t="s">
        <v>157</v>
      </c>
    </row>
    <row r="3625" spans="19:22" x14ac:dyDescent="0.45">
      <c r="S3625" t="s">
        <v>694</v>
      </c>
      <c r="T3625" t="s">
        <v>781</v>
      </c>
      <c r="U3625">
        <v>2.4480548251870841E-2</v>
      </c>
      <c r="V3625" t="s">
        <v>157</v>
      </c>
    </row>
    <row r="3626" spans="19:22" x14ac:dyDescent="0.45">
      <c r="S3626" t="s">
        <v>694</v>
      </c>
      <c r="T3626" t="s">
        <v>782</v>
      </c>
      <c r="U3626">
        <v>9.0902244636023005E-2</v>
      </c>
      <c r="V3626" t="s">
        <v>157</v>
      </c>
    </row>
    <row r="3627" spans="19:22" x14ac:dyDescent="0.45">
      <c r="S3627" t="s">
        <v>694</v>
      </c>
      <c r="T3627" t="s">
        <v>783</v>
      </c>
      <c r="U3627">
        <v>0.10656295662982312</v>
      </c>
      <c r="V3627" t="s">
        <v>157</v>
      </c>
    </row>
    <row r="3628" spans="19:22" x14ac:dyDescent="0.45">
      <c r="S3628" t="s">
        <v>694</v>
      </c>
      <c r="T3628" t="s">
        <v>784</v>
      </c>
      <c r="U3628">
        <v>1.7906870908232595E-2</v>
      </c>
      <c r="V3628" t="s">
        <v>157</v>
      </c>
    </row>
    <row r="3629" spans="19:22" x14ac:dyDescent="0.45">
      <c r="S3629" t="s">
        <v>694</v>
      </c>
      <c r="T3629" t="s">
        <v>785</v>
      </c>
      <c r="U3629">
        <v>0.11907375075200616</v>
      </c>
      <c r="V3629" t="s">
        <v>157</v>
      </c>
    </row>
    <row r="3630" spans="19:22" x14ac:dyDescent="0.45">
      <c r="S3630" t="s">
        <v>694</v>
      </c>
      <c r="T3630" t="s">
        <v>786</v>
      </c>
      <c r="U3630">
        <v>0.12373342751829758</v>
      </c>
      <c r="V3630" t="s">
        <v>157</v>
      </c>
    </row>
    <row r="3631" spans="19:22" x14ac:dyDescent="0.45">
      <c r="S3631" t="s">
        <v>694</v>
      </c>
      <c r="T3631" t="s">
        <v>787</v>
      </c>
      <c r="U3631">
        <v>2.3716162115899921E-2</v>
      </c>
      <c r="V3631" t="s">
        <v>157</v>
      </c>
    </row>
    <row r="3632" spans="19:22" x14ac:dyDescent="0.45">
      <c r="S3632" t="s">
        <v>694</v>
      </c>
      <c r="T3632" t="s">
        <v>788</v>
      </c>
      <c r="U3632">
        <v>9.1704384205393119E-2</v>
      </c>
      <c r="V3632" t="s">
        <v>157</v>
      </c>
    </row>
    <row r="3633" spans="19:22" x14ac:dyDescent="0.45">
      <c r="S3633" t="s">
        <v>694</v>
      </c>
      <c r="T3633" t="s">
        <v>789</v>
      </c>
      <c r="U3633">
        <v>0.11304234657944907</v>
      </c>
      <c r="V3633" t="s">
        <v>157</v>
      </c>
    </row>
    <row r="3634" spans="19:22" x14ac:dyDescent="0.45">
      <c r="S3634" t="s">
        <v>694</v>
      </c>
      <c r="T3634" t="s">
        <v>790</v>
      </c>
      <c r="U3634">
        <v>1.8630717406333985E-2</v>
      </c>
      <c r="V3634" t="s">
        <v>157</v>
      </c>
    </row>
    <row r="3635" spans="19:22" x14ac:dyDescent="0.45">
      <c r="S3635" t="s">
        <v>695</v>
      </c>
      <c r="T3635" t="s">
        <v>779</v>
      </c>
      <c r="U3635">
        <v>0.11593091880412495</v>
      </c>
      <c r="V3635" t="s">
        <v>157</v>
      </c>
    </row>
    <row r="3636" spans="19:22" x14ac:dyDescent="0.45">
      <c r="S3636" t="s">
        <v>695</v>
      </c>
      <c r="T3636" t="s">
        <v>780</v>
      </c>
      <c r="U3636">
        <v>0.11437684113487961</v>
      </c>
      <c r="V3636" t="s">
        <v>157</v>
      </c>
    </row>
    <row r="3637" spans="19:22" x14ac:dyDescent="0.45">
      <c r="S3637" t="s">
        <v>695</v>
      </c>
      <c r="T3637" t="s">
        <v>781</v>
      </c>
      <c r="U3637">
        <v>2.0472358378700265E-2</v>
      </c>
      <c r="V3637" t="s">
        <v>157</v>
      </c>
    </row>
    <row r="3638" spans="19:22" x14ac:dyDescent="0.45">
      <c r="S3638" t="s">
        <v>695</v>
      </c>
      <c r="T3638" t="s">
        <v>782</v>
      </c>
      <c r="U3638">
        <v>0.11665263197617372</v>
      </c>
      <c r="V3638" t="s">
        <v>157</v>
      </c>
    </row>
    <row r="3639" spans="19:22" x14ac:dyDescent="0.45">
      <c r="S3639" t="s">
        <v>695</v>
      </c>
      <c r="T3639" t="s">
        <v>783</v>
      </c>
      <c r="U3639">
        <v>0.11417713709302539</v>
      </c>
      <c r="V3639" t="s">
        <v>157</v>
      </c>
    </row>
    <row r="3640" spans="19:22" x14ac:dyDescent="0.45">
      <c r="S3640" t="s">
        <v>695</v>
      </c>
      <c r="T3640" t="s">
        <v>784</v>
      </c>
      <c r="U3640">
        <v>2.1080009717970988E-2</v>
      </c>
      <c r="V3640" t="s">
        <v>157</v>
      </c>
    </row>
    <row r="3641" spans="19:22" x14ac:dyDescent="0.45">
      <c r="S3641" t="s">
        <v>695</v>
      </c>
      <c r="T3641" t="s">
        <v>785</v>
      </c>
      <c r="U3641">
        <v>0.11411257130507096</v>
      </c>
      <c r="V3641" t="s">
        <v>157</v>
      </c>
    </row>
    <row r="3642" spans="19:22" x14ac:dyDescent="0.45">
      <c r="S3642" t="s">
        <v>695</v>
      </c>
      <c r="T3642" t="s">
        <v>786</v>
      </c>
      <c r="U3642">
        <v>0.11370413062910371</v>
      </c>
      <c r="V3642" t="s">
        <v>157</v>
      </c>
    </row>
    <row r="3643" spans="19:22" x14ac:dyDescent="0.45">
      <c r="S3643" t="s">
        <v>695</v>
      </c>
      <c r="T3643" t="s">
        <v>787</v>
      </c>
      <c r="U3643">
        <v>2.0856983846998134E-2</v>
      </c>
      <c r="V3643" t="s">
        <v>157</v>
      </c>
    </row>
    <row r="3644" spans="19:22" x14ac:dyDescent="0.45">
      <c r="S3644" t="s">
        <v>695</v>
      </c>
      <c r="T3644" t="s">
        <v>788</v>
      </c>
      <c r="U3644">
        <v>0.11429107998549182</v>
      </c>
      <c r="V3644" t="s">
        <v>157</v>
      </c>
    </row>
    <row r="3645" spans="19:22" x14ac:dyDescent="0.45">
      <c r="S3645" t="s">
        <v>695</v>
      </c>
      <c r="T3645" t="s">
        <v>789</v>
      </c>
      <c r="U3645">
        <v>0.11367609554441259</v>
      </c>
      <c r="V3645" t="s">
        <v>157</v>
      </c>
    </row>
    <row r="3646" spans="19:22" x14ac:dyDescent="0.45">
      <c r="S3646" t="s">
        <v>695</v>
      </c>
      <c r="T3646" t="s">
        <v>790</v>
      </c>
      <c r="U3646">
        <v>2.0669241584047905E-2</v>
      </c>
      <c r="V3646" t="s">
        <v>157</v>
      </c>
    </row>
    <row r="3647" spans="19:22" x14ac:dyDescent="0.45">
      <c r="S3647" t="s">
        <v>696</v>
      </c>
      <c r="T3647" t="s">
        <v>779</v>
      </c>
      <c r="U3647">
        <v>0.12665420890351786</v>
      </c>
      <c r="V3647" t="s">
        <v>157</v>
      </c>
    </row>
    <row r="3648" spans="19:22" x14ac:dyDescent="0.45">
      <c r="S3648" t="s">
        <v>696</v>
      </c>
      <c r="T3648" t="s">
        <v>780</v>
      </c>
      <c r="U3648">
        <v>0.13656262809552294</v>
      </c>
      <c r="V3648" t="s">
        <v>157</v>
      </c>
    </row>
    <row r="3649" spans="19:22" x14ac:dyDescent="0.45">
      <c r="S3649" t="s">
        <v>696</v>
      </c>
      <c r="T3649" t="s">
        <v>781</v>
      </c>
      <c r="U3649">
        <v>2.320964700649026E-2</v>
      </c>
      <c r="V3649" t="s">
        <v>157</v>
      </c>
    </row>
    <row r="3650" spans="19:22" x14ac:dyDescent="0.45">
      <c r="S3650" t="s">
        <v>696</v>
      </c>
      <c r="T3650" t="s">
        <v>782</v>
      </c>
      <c r="U3650">
        <v>9.7112983712143969E-2</v>
      </c>
      <c r="V3650" t="s">
        <v>157</v>
      </c>
    </row>
    <row r="3651" spans="19:22" x14ac:dyDescent="0.45">
      <c r="S3651" t="s">
        <v>696</v>
      </c>
      <c r="T3651" t="s">
        <v>783</v>
      </c>
      <c r="U3651">
        <v>0.10789223864250772</v>
      </c>
      <c r="V3651" t="s">
        <v>157</v>
      </c>
    </row>
    <row r="3652" spans="19:22" x14ac:dyDescent="0.45">
      <c r="S3652" t="s">
        <v>696</v>
      </c>
      <c r="T3652" t="s">
        <v>784</v>
      </c>
      <c r="U3652">
        <v>1.9162786972316537E-2</v>
      </c>
      <c r="V3652" t="s">
        <v>157</v>
      </c>
    </row>
    <row r="3653" spans="19:22" x14ac:dyDescent="0.45">
      <c r="S3653" t="s">
        <v>696</v>
      </c>
      <c r="T3653" t="s">
        <v>785</v>
      </c>
      <c r="U3653">
        <v>0.11894698099191096</v>
      </c>
      <c r="V3653" t="s">
        <v>157</v>
      </c>
    </row>
    <row r="3654" spans="19:22" x14ac:dyDescent="0.45">
      <c r="S3654" t="s">
        <v>696</v>
      </c>
      <c r="T3654" t="s">
        <v>786</v>
      </c>
      <c r="U3654">
        <v>0.12202203062373657</v>
      </c>
      <c r="V3654" t="s">
        <v>157</v>
      </c>
    </row>
    <row r="3655" spans="19:22" x14ac:dyDescent="0.45">
      <c r="S3655" t="s">
        <v>696</v>
      </c>
      <c r="T3655" t="s">
        <v>787</v>
      </c>
      <c r="U3655">
        <v>2.2643404734816183E-2</v>
      </c>
      <c r="V3655" t="s">
        <v>157</v>
      </c>
    </row>
    <row r="3656" spans="19:22" x14ac:dyDescent="0.45">
      <c r="S3656" t="s">
        <v>696</v>
      </c>
      <c r="T3656" t="s">
        <v>788</v>
      </c>
      <c r="U3656">
        <v>9.7310758529002728E-2</v>
      </c>
      <c r="V3656" t="s">
        <v>157</v>
      </c>
    </row>
    <row r="3657" spans="19:22" x14ac:dyDescent="0.45">
      <c r="S3657" t="s">
        <v>696</v>
      </c>
      <c r="T3657" t="s">
        <v>789</v>
      </c>
      <c r="U3657">
        <v>0.10998058907839588</v>
      </c>
      <c r="V3657" t="s">
        <v>157</v>
      </c>
    </row>
    <row r="3658" spans="19:22" x14ac:dyDescent="0.45">
      <c r="S3658" t="s">
        <v>696</v>
      </c>
      <c r="T3658" t="s">
        <v>790</v>
      </c>
      <c r="U3658">
        <v>1.8501742709638364E-2</v>
      </c>
      <c r="V3658" t="s">
        <v>157</v>
      </c>
    </row>
    <row r="3659" spans="19:22" x14ac:dyDescent="0.45">
      <c r="S3659" t="s">
        <v>697</v>
      </c>
      <c r="T3659" t="s">
        <v>779</v>
      </c>
      <c r="U3659">
        <v>0.12514667773843235</v>
      </c>
      <c r="V3659" t="s">
        <v>157</v>
      </c>
    </row>
    <row r="3660" spans="19:22" x14ac:dyDescent="0.45">
      <c r="S3660" t="s">
        <v>697</v>
      </c>
      <c r="T3660" t="s">
        <v>780</v>
      </c>
      <c r="U3660">
        <v>0.13185325540740581</v>
      </c>
      <c r="V3660" t="s">
        <v>157</v>
      </c>
    </row>
    <row r="3661" spans="19:22" x14ac:dyDescent="0.45">
      <c r="S3661" t="s">
        <v>697</v>
      </c>
      <c r="T3661" t="s">
        <v>781</v>
      </c>
      <c r="U3661">
        <v>2.2201125453467443E-2</v>
      </c>
      <c r="V3661" t="s">
        <v>157</v>
      </c>
    </row>
    <row r="3662" spans="19:22" x14ac:dyDescent="0.45">
      <c r="S3662" t="s">
        <v>697</v>
      </c>
      <c r="T3662" t="s">
        <v>782</v>
      </c>
      <c r="U3662">
        <v>0.10180159264293044</v>
      </c>
      <c r="V3662" t="s">
        <v>157</v>
      </c>
    </row>
    <row r="3663" spans="19:22" x14ac:dyDescent="0.45">
      <c r="S3663" t="s">
        <v>697</v>
      </c>
      <c r="T3663" t="s">
        <v>783</v>
      </c>
      <c r="U3663">
        <v>0.10926894804924454</v>
      </c>
      <c r="V3663" t="s">
        <v>157</v>
      </c>
    </row>
    <row r="3664" spans="19:22" x14ac:dyDescent="0.45">
      <c r="S3664" t="s">
        <v>697</v>
      </c>
      <c r="T3664" t="s">
        <v>784</v>
      </c>
      <c r="U3664">
        <v>2.0030093755458715E-2</v>
      </c>
      <c r="V3664" t="s">
        <v>157</v>
      </c>
    </row>
    <row r="3665" spans="19:22" x14ac:dyDescent="0.45">
      <c r="S3665" t="s">
        <v>697</v>
      </c>
      <c r="T3665" t="s">
        <v>785</v>
      </c>
      <c r="U3665">
        <v>0.119188905276276</v>
      </c>
      <c r="V3665" t="s">
        <v>157</v>
      </c>
    </row>
    <row r="3666" spans="19:22" x14ac:dyDescent="0.45">
      <c r="S3666" t="s">
        <v>697</v>
      </c>
      <c r="T3666" t="s">
        <v>786</v>
      </c>
      <c r="U3666">
        <v>0.12144315919083112</v>
      </c>
      <c r="V3666" t="s">
        <v>157</v>
      </c>
    </row>
    <row r="3667" spans="19:22" x14ac:dyDescent="0.45">
      <c r="S3667" t="s">
        <v>697</v>
      </c>
      <c r="T3667" t="s">
        <v>787</v>
      </c>
      <c r="U3667">
        <v>2.1931412588512871E-2</v>
      </c>
      <c r="V3667" t="s">
        <v>157</v>
      </c>
    </row>
    <row r="3668" spans="19:22" x14ac:dyDescent="0.45">
      <c r="S3668" t="s">
        <v>697</v>
      </c>
      <c r="T3668" t="s">
        <v>788</v>
      </c>
      <c r="U3668">
        <v>0.10090756696055328</v>
      </c>
      <c r="V3668" t="s">
        <v>157</v>
      </c>
    </row>
    <row r="3669" spans="19:22" x14ac:dyDescent="0.45">
      <c r="S3669" t="s">
        <v>697</v>
      </c>
      <c r="T3669" t="s">
        <v>789</v>
      </c>
      <c r="U3669">
        <v>0.10768255710570269</v>
      </c>
      <c r="V3669" t="s">
        <v>157</v>
      </c>
    </row>
    <row r="3670" spans="19:22" x14ac:dyDescent="0.45">
      <c r="S3670" t="s">
        <v>697</v>
      </c>
      <c r="T3670" t="s">
        <v>790</v>
      </c>
      <c r="U3670">
        <v>1.8544705831184696E-2</v>
      </c>
      <c r="V3670" t="s">
        <v>157</v>
      </c>
    </row>
    <row r="3671" spans="19:22" x14ac:dyDescent="0.45">
      <c r="S3671" t="s">
        <v>698</v>
      </c>
      <c r="T3671" t="s">
        <v>779</v>
      </c>
      <c r="U3671">
        <v>0.11485394460609132</v>
      </c>
      <c r="V3671" t="s">
        <v>157</v>
      </c>
    </row>
    <row r="3672" spans="19:22" x14ac:dyDescent="0.45">
      <c r="S3672" t="s">
        <v>698</v>
      </c>
      <c r="T3672" t="s">
        <v>780</v>
      </c>
      <c r="U3672">
        <v>0.11189247385847437</v>
      </c>
      <c r="V3672" t="s">
        <v>157</v>
      </c>
    </row>
    <row r="3673" spans="19:22" x14ac:dyDescent="0.45">
      <c r="S3673" t="s">
        <v>698</v>
      </c>
      <c r="T3673" t="s">
        <v>781</v>
      </c>
      <c r="U3673">
        <v>2.0849949433186715E-2</v>
      </c>
      <c r="V3673" t="s">
        <v>157</v>
      </c>
    </row>
    <row r="3674" spans="19:22" x14ac:dyDescent="0.45">
      <c r="S3674" t="s">
        <v>698</v>
      </c>
      <c r="T3674" t="s">
        <v>782</v>
      </c>
      <c r="U3674">
        <v>0.11831624440255967</v>
      </c>
      <c r="V3674" t="s">
        <v>157</v>
      </c>
    </row>
    <row r="3675" spans="19:22" x14ac:dyDescent="0.45">
      <c r="S3675" t="s">
        <v>698</v>
      </c>
      <c r="T3675" t="s">
        <v>783</v>
      </c>
      <c r="U3675">
        <v>0.1193816016758962</v>
      </c>
      <c r="V3675" t="s">
        <v>157</v>
      </c>
    </row>
    <row r="3676" spans="19:22" x14ac:dyDescent="0.45">
      <c r="S3676" t="s">
        <v>698</v>
      </c>
      <c r="T3676" t="s">
        <v>784</v>
      </c>
      <c r="U3676">
        <v>2.0836451039791822E-2</v>
      </c>
      <c r="V3676" t="s">
        <v>157</v>
      </c>
    </row>
    <row r="3677" spans="19:22" x14ac:dyDescent="0.45">
      <c r="S3677" t="s">
        <v>698</v>
      </c>
      <c r="T3677" t="s">
        <v>785</v>
      </c>
      <c r="U3677">
        <v>0.11442750330696057</v>
      </c>
      <c r="V3677" t="s">
        <v>157</v>
      </c>
    </row>
    <row r="3678" spans="19:22" x14ac:dyDescent="0.45">
      <c r="S3678" t="s">
        <v>698</v>
      </c>
      <c r="T3678" t="s">
        <v>786</v>
      </c>
      <c r="U3678">
        <v>0.11884881097171215</v>
      </c>
      <c r="V3678" t="s">
        <v>157</v>
      </c>
    </row>
    <row r="3679" spans="19:22" x14ac:dyDescent="0.45">
      <c r="S3679" t="s">
        <v>698</v>
      </c>
      <c r="T3679" t="s">
        <v>787</v>
      </c>
      <c r="U3679">
        <v>2.0323829177431724E-2</v>
      </c>
      <c r="V3679" t="s">
        <v>157</v>
      </c>
    </row>
    <row r="3680" spans="19:22" x14ac:dyDescent="0.45">
      <c r="S3680" t="s">
        <v>698</v>
      </c>
      <c r="T3680" t="s">
        <v>788</v>
      </c>
      <c r="U3680">
        <v>0.11204407120366705</v>
      </c>
      <c r="V3680" t="s">
        <v>157</v>
      </c>
    </row>
    <row r="3681" spans="19:22" x14ac:dyDescent="0.45">
      <c r="S3681" t="s">
        <v>698</v>
      </c>
      <c r="T3681" t="s">
        <v>789</v>
      </c>
      <c r="U3681">
        <v>0.10836594972488965</v>
      </c>
      <c r="V3681" t="s">
        <v>157</v>
      </c>
    </row>
    <row r="3682" spans="19:22" x14ac:dyDescent="0.45">
      <c r="S3682" t="s">
        <v>698</v>
      </c>
      <c r="T3682" t="s">
        <v>790</v>
      </c>
      <c r="U3682">
        <v>1.9859170599338744E-2</v>
      </c>
      <c r="V3682" t="s">
        <v>157</v>
      </c>
    </row>
    <row r="3683" spans="19:22" x14ac:dyDescent="0.45">
      <c r="S3683" t="s">
        <v>699</v>
      </c>
      <c r="T3683" t="s">
        <v>779</v>
      </c>
      <c r="U3683">
        <v>0.11484201755619512</v>
      </c>
      <c r="V3683" t="s">
        <v>157</v>
      </c>
    </row>
    <row r="3684" spans="19:22" x14ac:dyDescent="0.45">
      <c r="S3684" t="s">
        <v>699</v>
      </c>
      <c r="T3684" t="s">
        <v>780</v>
      </c>
      <c r="U3684">
        <v>0.11123566890256546</v>
      </c>
      <c r="V3684" t="s">
        <v>157</v>
      </c>
    </row>
    <row r="3685" spans="19:22" x14ac:dyDescent="0.45">
      <c r="S3685" t="s">
        <v>699</v>
      </c>
      <c r="T3685" t="s">
        <v>781</v>
      </c>
      <c r="U3685">
        <v>2.0601574873258519E-2</v>
      </c>
      <c r="V3685" t="s">
        <v>157</v>
      </c>
    </row>
    <row r="3686" spans="19:22" x14ac:dyDescent="0.45">
      <c r="S3686" t="s">
        <v>699</v>
      </c>
      <c r="T3686" t="s">
        <v>782</v>
      </c>
      <c r="U3686">
        <v>0.11908198024398618</v>
      </c>
      <c r="V3686" t="s">
        <v>157</v>
      </c>
    </row>
    <row r="3687" spans="19:22" x14ac:dyDescent="0.45">
      <c r="S3687" t="s">
        <v>699</v>
      </c>
      <c r="T3687" t="s">
        <v>783</v>
      </c>
      <c r="U3687">
        <v>0.11977772368954448</v>
      </c>
      <c r="V3687" t="s">
        <v>157</v>
      </c>
    </row>
    <row r="3688" spans="19:22" x14ac:dyDescent="0.45">
      <c r="S3688" t="s">
        <v>699</v>
      </c>
      <c r="T3688" t="s">
        <v>784</v>
      </c>
      <c r="U3688">
        <v>2.095545400381443E-2</v>
      </c>
      <c r="V3688" t="s">
        <v>157</v>
      </c>
    </row>
    <row r="3689" spans="19:22" x14ac:dyDescent="0.45">
      <c r="S3689" t="s">
        <v>699</v>
      </c>
      <c r="T3689" t="s">
        <v>785</v>
      </c>
      <c r="U3689">
        <v>0.11548213282370023</v>
      </c>
      <c r="V3689" t="s">
        <v>157</v>
      </c>
    </row>
    <row r="3690" spans="19:22" x14ac:dyDescent="0.45">
      <c r="S3690" t="s">
        <v>699</v>
      </c>
      <c r="T3690" t="s">
        <v>786</v>
      </c>
      <c r="U3690">
        <v>0.1193316132879374</v>
      </c>
      <c r="V3690" t="s">
        <v>157</v>
      </c>
    </row>
    <row r="3691" spans="19:22" x14ac:dyDescent="0.45">
      <c r="S3691" t="s">
        <v>699</v>
      </c>
      <c r="T3691" t="s">
        <v>787</v>
      </c>
      <c r="U3691">
        <v>2.0373552726018686E-2</v>
      </c>
      <c r="V3691" t="s">
        <v>157</v>
      </c>
    </row>
    <row r="3692" spans="19:22" x14ac:dyDescent="0.45">
      <c r="S3692" t="s">
        <v>699</v>
      </c>
      <c r="T3692" t="s">
        <v>788</v>
      </c>
      <c r="U3692">
        <v>0.11074040235224504</v>
      </c>
      <c r="V3692" t="s">
        <v>157</v>
      </c>
    </row>
    <row r="3693" spans="19:22" x14ac:dyDescent="0.45">
      <c r="S3693" t="s">
        <v>699</v>
      </c>
      <c r="T3693" t="s">
        <v>789</v>
      </c>
      <c r="U3693">
        <v>0.10793096616335472</v>
      </c>
      <c r="V3693" t="s">
        <v>157</v>
      </c>
    </row>
    <row r="3694" spans="19:22" x14ac:dyDescent="0.45">
      <c r="S3694" t="s">
        <v>699</v>
      </c>
      <c r="T3694" t="s">
        <v>790</v>
      </c>
      <c r="U3694">
        <v>1.964691337737973E-2</v>
      </c>
      <c r="V3694" t="s">
        <v>157</v>
      </c>
    </row>
    <row r="3695" spans="19:22" x14ac:dyDescent="0.45">
      <c r="S3695" t="s">
        <v>700</v>
      </c>
      <c r="T3695" t="s">
        <v>779</v>
      </c>
      <c r="U3695">
        <v>0.11520610430646239</v>
      </c>
      <c r="V3695" t="s">
        <v>157</v>
      </c>
    </row>
    <row r="3696" spans="19:22" x14ac:dyDescent="0.45">
      <c r="S3696" t="s">
        <v>700</v>
      </c>
      <c r="T3696" t="s">
        <v>780</v>
      </c>
      <c r="U3696">
        <v>0.10827988172784674</v>
      </c>
      <c r="V3696" t="s">
        <v>157</v>
      </c>
    </row>
    <row r="3697" spans="19:22" x14ac:dyDescent="0.45">
      <c r="S3697" t="s">
        <v>700</v>
      </c>
      <c r="T3697" t="s">
        <v>781</v>
      </c>
      <c r="U3697">
        <v>1.9412539411063637E-2</v>
      </c>
      <c r="V3697" t="s">
        <v>157</v>
      </c>
    </row>
    <row r="3698" spans="19:22" x14ac:dyDescent="0.45">
      <c r="S3698" t="s">
        <v>700</v>
      </c>
      <c r="T3698" t="s">
        <v>782</v>
      </c>
      <c r="U3698">
        <v>0.12218142607113122</v>
      </c>
      <c r="V3698" t="s">
        <v>157</v>
      </c>
    </row>
    <row r="3699" spans="19:22" x14ac:dyDescent="0.45">
      <c r="S3699" t="s">
        <v>700</v>
      </c>
      <c r="T3699" t="s">
        <v>783</v>
      </c>
      <c r="U3699">
        <v>0.12116968898779577</v>
      </c>
      <c r="V3699" t="s">
        <v>157</v>
      </c>
    </row>
    <row r="3700" spans="19:22" x14ac:dyDescent="0.45">
      <c r="S3700" t="s">
        <v>700</v>
      </c>
      <c r="T3700" t="s">
        <v>784</v>
      </c>
      <c r="U3700">
        <v>2.1746158411632979E-2</v>
      </c>
      <c r="V3700" t="s">
        <v>157</v>
      </c>
    </row>
    <row r="3701" spans="19:22" x14ac:dyDescent="0.45">
      <c r="S3701" t="s">
        <v>700</v>
      </c>
      <c r="T3701" t="s">
        <v>785</v>
      </c>
      <c r="U3701">
        <v>0.11976935678590246</v>
      </c>
      <c r="V3701" t="s">
        <v>157</v>
      </c>
    </row>
    <row r="3702" spans="19:22" x14ac:dyDescent="0.45">
      <c r="S3702" t="s">
        <v>700</v>
      </c>
      <c r="T3702" t="s">
        <v>786</v>
      </c>
      <c r="U3702">
        <v>0.11909222571274458</v>
      </c>
      <c r="V3702" t="s">
        <v>157</v>
      </c>
    </row>
    <row r="3703" spans="19:22" x14ac:dyDescent="0.45">
      <c r="S3703" t="s">
        <v>700</v>
      </c>
      <c r="T3703" t="s">
        <v>787</v>
      </c>
      <c r="U3703">
        <v>2.0856603822839832E-2</v>
      </c>
      <c r="V3703" t="s">
        <v>157</v>
      </c>
    </row>
    <row r="3704" spans="19:22" x14ac:dyDescent="0.45">
      <c r="S3704" t="s">
        <v>700</v>
      </c>
      <c r="T3704" t="s">
        <v>788</v>
      </c>
      <c r="U3704">
        <v>0.10681006196216337</v>
      </c>
      <c r="V3704" t="s">
        <v>157</v>
      </c>
    </row>
    <row r="3705" spans="19:22" x14ac:dyDescent="0.45">
      <c r="S3705" t="s">
        <v>700</v>
      </c>
      <c r="T3705" t="s">
        <v>789</v>
      </c>
      <c r="U3705">
        <v>0.10534425819353835</v>
      </c>
      <c r="V3705" t="s">
        <v>157</v>
      </c>
    </row>
    <row r="3706" spans="19:22" x14ac:dyDescent="0.45">
      <c r="S3706" t="s">
        <v>700</v>
      </c>
      <c r="T3706" t="s">
        <v>790</v>
      </c>
      <c r="U3706">
        <v>2.0131694606878723E-2</v>
      </c>
      <c r="V3706" t="s">
        <v>157</v>
      </c>
    </row>
    <row r="3707" spans="19:22" x14ac:dyDescent="0.45">
      <c r="S3707" t="s">
        <v>701</v>
      </c>
      <c r="T3707" t="s">
        <v>779</v>
      </c>
      <c r="U3707">
        <v>0.11495542232043604</v>
      </c>
      <c r="V3707" t="s">
        <v>157</v>
      </c>
    </row>
    <row r="3708" spans="19:22" x14ac:dyDescent="0.45">
      <c r="S3708" t="s">
        <v>701</v>
      </c>
      <c r="T3708" t="s">
        <v>780</v>
      </c>
      <c r="U3708">
        <v>0.10927296097269933</v>
      </c>
      <c r="V3708" t="s">
        <v>157</v>
      </c>
    </row>
    <row r="3709" spans="19:22" x14ac:dyDescent="0.45">
      <c r="S3709" t="s">
        <v>701</v>
      </c>
      <c r="T3709" t="s">
        <v>781</v>
      </c>
      <c r="U3709">
        <v>1.9246305623136534E-2</v>
      </c>
      <c r="V3709" t="s">
        <v>157</v>
      </c>
    </row>
    <row r="3710" spans="19:22" x14ac:dyDescent="0.45">
      <c r="S3710" t="s">
        <v>701</v>
      </c>
      <c r="T3710" t="s">
        <v>782</v>
      </c>
      <c r="U3710">
        <v>0.12269624883869458</v>
      </c>
      <c r="V3710" t="s">
        <v>157</v>
      </c>
    </row>
    <row r="3711" spans="19:22" x14ac:dyDescent="0.45">
      <c r="S3711" t="s">
        <v>701</v>
      </c>
      <c r="T3711" t="s">
        <v>783</v>
      </c>
      <c r="U3711">
        <v>0.11975918026196969</v>
      </c>
      <c r="V3711" t="s">
        <v>157</v>
      </c>
    </row>
    <row r="3712" spans="19:22" x14ac:dyDescent="0.45">
      <c r="S3712" t="s">
        <v>701</v>
      </c>
      <c r="T3712" t="s">
        <v>784</v>
      </c>
      <c r="U3712">
        <v>2.1839776641732613E-2</v>
      </c>
      <c r="V3712" t="s">
        <v>157</v>
      </c>
    </row>
    <row r="3713" spans="19:22" x14ac:dyDescent="0.45">
      <c r="S3713" t="s">
        <v>701</v>
      </c>
      <c r="T3713" t="s">
        <v>785</v>
      </c>
      <c r="U3713">
        <v>0.1211607138660431</v>
      </c>
      <c r="V3713" t="s">
        <v>157</v>
      </c>
    </row>
    <row r="3714" spans="19:22" x14ac:dyDescent="0.45">
      <c r="S3714" t="s">
        <v>701</v>
      </c>
      <c r="T3714" t="s">
        <v>786</v>
      </c>
      <c r="U3714">
        <v>0.1194904190569033</v>
      </c>
      <c r="V3714" t="s">
        <v>157</v>
      </c>
    </row>
    <row r="3715" spans="19:22" x14ac:dyDescent="0.45">
      <c r="S3715" t="s">
        <v>701</v>
      </c>
      <c r="T3715" t="s">
        <v>787</v>
      </c>
      <c r="U3715">
        <v>2.1203267196457137E-2</v>
      </c>
      <c r="V3715" t="s">
        <v>157</v>
      </c>
    </row>
    <row r="3716" spans="19:22" x14ac:dyDescent="0.45">
      <c r="S3716" t="s">
        <v>701</v>
      </c>
      <c r="T3716" t="s">
        <v>788</v>
      </c>
      <c r="U3716">
        <v>0.10582120564956178</v>
      </c>
      <c r="V3716" t="s">
        <v>157</v>
      </c>
    </row>
    <row r="3717" spans="19:22" x14ac:dyDescent="0.45">
      <c r="S3717" t="s">
        <v>701</v>
      </c>
      <c r="T3717" t="s">
        <v>789</v>
      </c>
      <c r="U3717">
        <v>0.10426567601490765</v>
      </c>
      <c r="V3717" t="s">
        <v>157</v>
      </c>
    </row>
    <row r="3718" spans="19:22" x14ac:dyDescent="0.45">
      <c r="S3718" t="s">
        <v>701</v>
      </c>
      <c r="T3718" t="s">
        <v>790</v>
      </c>
      <c r="U3718">
        <v>2.0288823557458216E-2</v>
      </c>
      <c r="V3718" t="s">
        <v>157</v>
      </c>
    </row>
    <row r="3719" spans="19:22" x14ac:dyDescent="0.45">
      <c r="S3719" t="s">
        <v>702</v>
      </c>
      <c r="T3719" t="s">
        <v>779</v>
      </c>
      <c r="U3719">
        <v>0.11692482714585652</v>
      </c>
      <c r="V3719" t="s">
        <v>157</v>
      </c>
    </row>
    <row r="3720" spans="19:22" x14ac:dyDescent="0.45">
      <c r="S3720" t="s">
        <v>702</v>
      </c>
      <c r="T3720" t="s">
        <v>780</v>
      </c>
      <c r="U3720">
        <v>0.11678938700991394</v>
      </c>
      <c r="V3720" t="s">
        <v>157</v>
      </c>
    </row>
    <row r="3721" spans="19:22" x14ac:dyDescent="0.45">
      <c r="S3721" t="s">
        <v>702</v>
      </c>
      <c r="T3721" t="s">
        <v>781</v>
      </c>
      <c r="U3721">
        <v>2.0824595067249208E-2</v>
      </c>
      <c r="V3721" t="s">
        <v>157</v>
      </c>
    </row>
    <row r="3722" spans="19:22" x14ac:dyDescent="0.45">
      <c r="S3722" t="s">
        <v>702</v>
      </c>
      <c r="T3722" t="s">
        <v>782</v>
      </c>
      <c r="U3722">
        <v>0.11373916633051205</v>
      </c>
      <c r="V3722" t="s">
        <v>157</v>
      </c>
    </row>
    <row r="3723" spans="19:22" x14ac:dyDescent="0.45">
      <c r="S3723" t="s">
        <v>702</v>
      </c>
      <c r="T3723" t="s">
        <v>783</v>
      </c>
      <c r="U3723">
        <v>0.11084854412803813</v>
      </c>
      <c r="V3723" t="s">
        <v>157</v>
      </c>
    </row>
    <row r="3724" spans="19:22" x14ac:dyDescent="0.45">
      <c r="S3724" t="s">
        <v>702</v>
      </c>
      <c r="T3724" t="s">
        <v>784</v>
      </c>
      <c r="U3724">
        <v>2.0658093630016385E-2</v>
      </c>
      <c r="V3724" t="s">
        <v>157</v>
      </c>
    </row>
    <row r="3725" spans="19:22" x14ac:dyDescent="0.45">
      <c r="S3725" t="s">
        <v>702</v>
      </c>
      <c r="T3725" t="s">
        <v>785</v>
      </c>
      <c r="U3725">
        <v>0.11390640026805371</v>
      </c>
      <c r="V3725" t="s">
        <v>157</v>
      </c>
    </row>
    <row r="3726" spans="19:22" x14ac:dyDescent="0.45">
      <c r="S3726" t="s">
        <v>702</v>
      </c>
      <c r="T3726" t="s">
        <v>786</v>
      </c>
      <c r="U3726">
        <v>0.11520806238720992</v>
      </c>
      <c r="V3726" t="s">
        <v>157</v>
      </c>
    </row>
    <row r="3727" spans="19:22" x14ac:dyDescent="0.45">
      <c r="S3727" t="s">
        <v>702</v>
      </c>
      <c r="T3727" t="s">
        <v>787</v>
      </c>
      <c r="U3727">
        <v>2.0716859584096484E-2</v>
      </c>
      <c r="V3727" t="s">
        <v>157</v>
      </c>
    </row>
    <row r="3728" spans="19:22" x14ac:dyDescent="0.45">
      <c r="S3728" t="s">
        <v>702</v>
      </c>
      <c r="T3728" t="s">
        <v>788</v>
      </c>
      <c r="U3728">
        <v>0.11176160994922382</v>
      </c>
      <c r="V3728" t="s">
        <v>157</v>
      </c>
    </row>
    <row r="3729" spans="19:22" x14ac:dyDescent="0.45">
      <c r="S3729" t="s">
        <v>702</v>
      </c>
      <c r="T3729" t="s">
        <v>789</v>
      </c>
      <c r="U3729">
        <v>0.11744675032986324</v>
      </c>
      <c r="V3729" t="s">
        <v>157</v>
      </c>
    </row>
    <row r="3730" spans="19:22" x14ac:dyDescent="0.45">
      <c r="S3730" t="s">
        <v>702</v>
      </c>
      <c r="T3730" t="s">
        <v>790</v>
      </c>
      <c r="U3730">
        <v>2.1175704169966589E-2</v>
      </c>
      <c r="V3730" t="s">
        <v>157</v>
      </c>
    </row>
    <row r="3731" spans="19:22" x14ac:dyDescent="0.45">
      <c r="S3731" t="s">
        <v>703</v>
      </c>
      <c r="T3731" t="s">
        <v>779</v>
      </c>
      <c r="U3731">
        <v>0.11893334136818423</v>
      </c>
      <c r="V3731" t="s">
        <v>157</v>
      </c>
    </row>
    <row r="3732" spans="19:22" x14ac:dyDescent="0.45">
      <c r="S3732" t="s">
        <v>703</v>
      </c>
      <c r="T3732" t="s">
        <v>780</v>
      </c>
      <c r="U3732">
        <v>0.11975400246711047</v>
      </c>
      <c r="V3732" t="s">
        <v>157</v>
      </c>
    </row>
    <row r="3733" spans="19:22" x14ac:dyDescent="0.45">
      <c r="S3733" t="s">
        <v>703</v>
      </c>
      <c r="T3733" t="s">
        <v>781</v>
      </c>
      <c r="U3733">
        <v>1.8799724853445072E-2</v>
      </c>
      <c r="V3733" t="s">
        <v>157</v>
      </c>
    </row>
    <row r="3734" spans="19:22" x14ac:dyDescent="0.45">
      <c r="S3734" t="s">
        <v>703</v>
      </c>
      <c r="T3734" t="s">
        <v>782</v>
      </c>
      <c r="U3734">
        <v>0.11276604846251795</v>
      </c>
      <c r="V3734" t="s">
        <v>157</v>
      </c>
    </row>
    <row r="3735" spans="19:22" x14ac:dyDescent="0.45">
      <c r="S3735" t="s">
        <v>703</v>
      </c>
      <c r="T3735" t="s">
        <v>783</v>
      </c>
      <c r="U3735">
        <v>0.11186133301774336</v>
      </c>
      <c r="V3735" t="s">
        <v>157</v>
      </c>
    </row>
    <row r="3736" spans="19:22" x14ac:dyDescent="0.45">
      <c r="S3736" t="s">
        <v>703</v>
      </c>
      <c r="T3736" t="s">
        <v>784</v>
      </c>
      <c r="U3736">
        <v>1.9398700411741576E-2</v>
      </c>
      <c r="V3736" t="s">
        <v>157</v>
      </c>
    </row>
    <row r="3737" spans="19:22" x14ac:dyDescent="0.45">
      <c r="S3737" t="s">
        <v>703</v>
      </c>
      <c r="T3737" t="s">
        <v>785</v>
      </c>
      <c r="U3737">
        <v>0.12433265461622911</v>
      </c>
      <c r="V3737" t="s">
        <v>157</v>
      </c>
    </row>
    <row r="3738" spans="19:22" x14ac:dyDescent="0.45">
      <c r="S3738" t="s">
        <v>703</v>
      </c>
      <c r="T3738" t="s">
        <v>786</v>
      </c>
      <c r="U3738">
        <v>0.12852535823360803</v>
      </c>
      <c r="V3738" t="s">
        <v>157</v>
      </c>
    </row>
    <row r="3739" spans="19:22" x14ac:dyDescent="0.45">
      <c r="S3739" t="s">
        <v>703</v>
      </c>
      <c r="T3739" t="s">
        <v>787</v>
      </c>
      <c r="U3739">
        <v>2.2240226434715665E-2</v>
      </c>
      <c r="V3739" t="s">
        <v>157</v>
      </c>
    </row>
    <row r="3740" spans="19:22" x14ac:dyDescent="0.45">
      <c r="S3740" t="s">
        <v>703</v>
      </c>
      <c r="T3740" t="s">
        <v>788</v>
      </c>
      <c r="U3740">
        <v>0.10404689001284315</v>
      </c>
      <c r="V3740" t="s">
        <v>157</v>
      </c>
    </row>
    <row r="3741" spans="19:22" x14ac:dyDescent="0.45">
      <c r="S3741" t="s">
        <v>703</v>
      </c>
      <c r="T3741" t="s">
        <v>789</v>
      </c>
      <c r="U3741">
        <v>0.10110722301866561</v>
      </c>
      <c r="V3741" t="s">
        <v>157</v>
      </c>
    </row>
    <row r="3742" spans="19:22" x14ac:dyDescent="0.45">
      <c r="S3742" t="s">
        <v>703</v>
      </c>
      <c r="T3742" t="s">
        <v>790</v>
      </c>
      <c r="U3742">
        <v>1.8234497103195732E-2</v>
      </c>
      <c r="V3742" t="s">
        <v>157</v>
      </c>
    </row>
    <row r="3743" spans="19:22" x14ac:dyDescent="0.45">
      <c r="S3743" t="s">
        <v>704</v>
      </c>
      <c r="T3743" t="s">
        <v>779</v>
      </c>
      <c r="U3743">
        <v>0.11967750994181198</v>
      </c>
      <c r="V3743" t="s">
        <v>157</v>
      </c>
    </row>
    <row r="3744" spans="19:22" x14ac:dyDescent="0.45">
      <c r="S3744" t="s">
        <v>704</v>
      </c>
      <c r="T3744" t="s">
        <v>780</v>
      </c>
      <c r="U3744">
        <v>0.12101257175870463</v>
      </c>
      <c r="V3744" t="s">
        <v>157</v>
      </c>
    </row>
    <row r="3745" spans="19:22" x14ac:dyDescent="0.45">
      <c r="S3745" t="s">
        <v>704</v>
      </c>
      <c r="T3745" t="s">
        <v>781</v>
      </c>
      <c r="U3745">
        <v>1.9411197229586077E-2</v>
      </c>
      <c r="V3745" t="s">
        <v>157</v>
      </c>
    </row>
    <row r="3746" spans="19:22" x14ac:dyDescent="0.45">
      <c r="S3746" t="s">
        <v>704</v>
      </c>
      <c r="T3746" t="s">
        <v>782</v>
      </c>
      <c r="U3746">
        <v>0.11009418151792097</v>
      </c>
      <c r="V3746" t="s">
        <v>157</v>
      </c>
    </row>
    <row r="3747" spans="19:22" x14ac:dyDescent="0.45">
      <c r="S3747" t="s">
        <v>704</v>
      </c>
      <c r="T3747" t="s">
        <v>783</v>
      </c>
      <c r="U3747">
        <v>0.11301102003335532</v>
      </c>
      <c r="V3747" t="s">
        <v>157</v>
      </c>
    </row>
    <row r="3748" spans="19:22" x14ac:dyDescent="0.45">
      <c r="S3748" t="s">
        <v>704</v>
      </c>
      <c r="T3748" t="s">
        <v>784</v>
      </c>
      <c r="U3748">
        <v>1.9562223989819036E-2</v>
      </c>
      <c r="V3748" t="s">
        <v>157</v>
      </c>
    </row>
    <row r="3749" spans="19:22" x14ac:dyDescent="0.45">
      <c r="S3749" t="s">
        <v>704</v>
      </c>
      <c r="T3749" t="s">
        <v>785</v>
      </c>
      <c r="U3749">
        <v>0.12533616572067249</v>
      </c>
      <c r="V3749" t="s">
        <v>157</v>
      </c>
    </row>
    <row r="3750" spans="19:22" x14ac:dyDescent="0.45">
      <c r="S3750" t="s">
        <v>704</v>
      </c>
      <c r="T3750" t="s">
        <v>786</v>
      </c>
      <c r="U3750">
        <v>0.12974314851007035</v>
      </c>
      <c r="V3750" t="s">
        <v>157</v>
      </c>
    </row>
    <row r="3751" spans="19:22" x14ac:dyDescent="0.45">
      <c r="S3751" t="s">
        <v>704</v>
      </c>
      <c r="T3751" t="s">
        <v>787</v>
      </c>
      <c r="U3751">
        <v>2.2272302996242502E-2</v>
      </c>
      <c r="V3751" t="s">
        <v>157</v>
      </c>
    </row>
    <row r="3752" spans="19:22" x14ac:dyDescent="0.45">
      <c r="S3752" t="s">
        <v>704</v>
      </c>
      <c r="T3752" t="s">
        <v>788</v>
      </c>
      <c r="U3752">
        <v>9.9500949871843727E-2</v>
      </c>
      <c r="V3752" t="s">
        <v>157</v>
      </c>
    </row>
    <row r="3753" spans="19:22" x14ac:dyDescent="0.45">
      <c r="S3753" t="s">
        <v>704</v>
      </c>
      <c r="T3753" t="s">
        <v>789</v>
      </c>
      <c r="U3753">
        <v>0.10249458622013592</v>
      </c>
      <c r="V3753" t="s">
        <v>157</v>
      </c>
    </row>
    <row r="3754" spans="19:22" x14ac:dyDescent="0.45">
      <c r="S3754" t="s">
        <v>704</v>
      </c>
      <c r="T3754" t="s">
        <v>790</v>
      </c>
      <c r="U3754">
        <v>1.7884142209837021E-2</v>
      </c>
      <c r="V3754" t="s">
        <v>157</v>
      </c>
    </row>
    <row r="3755" spans="19:22" x14ac:dyDescent="0.45">
      <c r="S3755" t="s">
        <v>705</v>
      </c>
      <c r="T3755" t="s">
        <v>779</v>
      </c>
      <c r="U3755">
        <v>0.11680015220370382</v>
      </c>
      <c r="V3755" t="s">
        <v>157</v>
      </c>
    </row>
    <row r="3756" spans="19:22" x14ac:dyDescent="0.45">
      <c r="S3756" t="s">
        <v>705</v>
      </c>
      <c r="T3756" t="s">
        <v>780</v>
      </c>
      <c r="U3756">
        <v>0.12714845443479167</v>
      </c>
      <c r="V3756" t="s">
        <v>157</v>
      </c>
    </row>
    <row r="3757" spans="19:22" x14ac:dyDescent="0.45">
      <c r="S3757" t="s">
        <v>705</v>
      </c>
      <c r="T3757" t="s">
        <v>781</v>
      </c>
      <c r="U3757">
        <v>1.9258969087352629E-2</v>
      </c>
      <c r="V3757" t="s">
        <v>157</v>
      </c>
    </row>
    <row r="3758" spans="19:22" x14ac:dyDescent="0.45">
      <c r="S3758" t="s">
        <v>705</v>
      </c>
      <c r="T3758" t="s">
        <v>782</v>
      </c>
      <c r="U3758">
        <v>0.1051690156582431</v>
      </c>
      <c r="V3758" t="s">
        <v>157</v>
      </c>
    </row>
    <row r="3759" spans="19:22" x14ac:dyDescent="0.45">
      <c r="S3759" t="s">
        <v>705</v>
      </c>
      <c r="T3759" t="s">
        <v>783</v>
      </c>
      <c r="U3759">
        <v>0.1094313608029666</v>
      </c>
      <c r="V3759" t="s">
        <v>157</v>
      </c>
    </row>
    <row r="3760" spans="19:22" x14ac:dyDescent="0.45">
      <c r="S3760" t="s">
        <v>705</v>
      </c>
      <c r="T3760" t="s">
        <v>784</v>
      </c>
      <c r="U3760">
        <v>1.998119097846681E-2</v>
      </c>
      <c r="V3760" t="s">
        <v>157</v>
      </c>
    </row>
    <row r="3761" spans="19:22" x14ac:dyDescent="0.45">
      <c r="S3761" t="s">
        <v>705</v>
      </c>
      <c r="T3761" t="s">
        <v>785</v>
      </c>
      <c r="U3761">
        <v>0.13082819114112276</v>
      </c>
      <c r="V3761" t="s">
        <v>157</v>
      </c>
    </row>
    <row r="3762" spans="19:22" x14ac:dyDescent="0.45">
      <c r="S3762" t="s">
        <v>705</v>
      </c>
      <c r="T3762" t="s">
        <v>786</v>
      </c>
      <c r="U3762">
        <v>0.13299408198370521</v>
      </c>
      <c r="V3762" t="s">
        <v>157</v>
      </c>
    </row>
    <row r="3763" spans="19:22" x14ac:dyDescent="0.45">
      <c r="S3763" t="s">
        <v>705</v>
      </c>
      <c r="T3763" t="s">
        <v>787</v>
      </c>
      <c r="U3763">
        <v>2.2443662190810697E-2</v>
      </c>
      <c r="V3763" t="s">
        <v>157</v>
      </c>
    </row>
    <row r="3764" spans="19:22" x14ac:dyDescent="0.45">
      <c r="S3764" t="s">
        <v>705</v>
      </c>
      <c r="T3764" t="s">
        <v>788</v>
      </c>
      <c r="U3764">
        <v>9.1225920123263471E-2</v>
      </c>
      <c r="V3764" t="s">
        <v>157</v>
      </c>
    </row>
    <row r="3765" spans="19:22" x14ac:dyDescent="0.45">
      <c r="S3765" t="s">
        <v>705</v>
      </c>
      <c r="T3765" t="s">
        <v>789</v>
      </c>
      <c r="U3765">
        <v>0.10688136902037737</v>
      </c>
      <c r="V3765" t="s">
        <v>157</v>
      </c>
    </row>
    <row r="3766" spans="19:22" x14ac:dyDescent="0.45">
      <c r="S3766" t="s">
        <v>705</v>
      </c>
      <c r="T3766" t="s">
        <v>790</v>
      </c>
      <c r="U3766">
        <v>1.7837632375195891E-2</v>
      </c>
      <c r="V3766" t="s">
        <v>157</v>
      </c>
    </row>
    <row r="3767" spans="19:22" x14ac:dyDescent="0.45">
      <c r="S3767" t="s">
        <v>706</v>
      </c>
      <c r="T3767" t="s">
        <v>779</v>
      </c>
      <c r="U3767">
        <v>0.11819212381384815</v>
      </c>
      <c r="V3767" t="s">
        <v>157</v>
      </c>
    </row>
    <row r="3768" spans="19:22" x14ac:dyDescent="0.45">
      <c r="S3768" t="s">
        <v>706</v>
      </c>
      <c r="T3768" t="s">
        <v>780</v>
      </c>
      <c r="U3768">
        <v>0.12942305159442208</v>
      </c>
      <c r="V3768" t="s">
        <v>157</v>
      </c>
    </row>
    <row r="3769" spans="19:22" x14ac:dyDescent="0.45">
      <c r="S3769" t="s">
        <v>706</v>
      </c>
      <c r="T3769" t="s">
        <v>781</v>
      </c>
      <c r="U3769">
        <v>2.0344240115961105E-2</v>
      </c>
      <c r="V3769" t="s">
        <v>157</v>
      </c>
    </row>
    <row r="3770" spans="19:22" x14ac:dyDescent="0.45">
      <c r="S3770" t="s">
        <v>706</v>
      </c>
      <c r="T3770" t="s">
        <v>782</v>
      </c>
      <c r="U3770">
        <v>0.10781695014572826</v>
      </c>
      <c r="V3770" t="s">
        <v>157</v>
      </c>
    </row>
    <row r="3771" spans="19:22" x14ac:dyDescent="0.45">
      <c r="S3771" t="s">
        <v>706</v>
      </c>
      <c r="T3771" t="s">
        <v>783</v>
      </c>
      <c r="U3771">
        <v>0.10811937526594462</v>
      </c>
      <c r="V3771" t="s">
        <v>157</v>
      </c>
    </row>
    <row r="3772" spans="19:22" x14ac:dyDescent="0.45">
      <c r="S3772" t="s">
        <v>706</v>
      </c>
      <c r="T3772" t="s">
        <v>784</v>
      </c>
      <c r="U3772">
        <v>2.0686815553185377E-2</v>
      </c>
      <c r="V3772" t="s">
        <v>157</v>
      </c>
    </row>
    <row r="3773" spans="19:22" x14ac:dyDescent="0.45">
      <c r="S3773" t="s">
        <v>706</v>
      </c>
      <c r="T3773" t="s">
        <v>785</v>
      </c>
      <c r="U3773">
        <v>0.12991076619778771</v>
      </c>
      <c r="V3773" t="s">
        <v>157</v>
      </c>
    </row>
    <row r="3774" spans="19:22" x14ac:dyDescent="0.45">
      <c r="S3774" t="s">
        <v>706</v>
      </c>
      <c r="T3774" t="s">
        <v>786</v>
      </c>
      <c r="U3774">
        <v>0.13160468028280251</v>
      </c>
      <c r="V3774" t="s">
        <v>157</v>
      </c>
    </row>
    <row r="3775" spans="19:22" x14ac:dyDescent="0.45">
      <c r="S3775" t="s">
        <v>706</v>
      </c>
      <c r="T3775" t="s">
        <v>787</v>
      </c>
      <c r="U3775">
        <v>2.3184337776668687E-2</v>
      </c>
      <c r="V3775" t="s">
        <v>157</v>
      </c>
    </row>
    <row r="3776" spans="19:22" x14ac:dyDescent="0.45">
      <c r="S3776" t="s">
        <v>706</v>
      </c>
      <c r="T3776" t="s">
        <v>788</v>
      </c>
      <c r="U3776">
        <v>9.0920469203267823E-2</v>
      </c>
      <c r="V3776" t="s">
        <v>157</v>
      </c>
    </row>
    <row r="3777" spans="19:22" x14ac:dyDescent="0.45">
      <c r="S3777" t="s">
        <v>706</v>
      </c>
      <c r="T3777" t="s">
        <v>789</v>
      </c>
      <c r="U3777">
        <v>0.10136751676078537</v>
      </c>
      <c r="V3777" t="s">
        <v>157</v>
      </c>
    </row>
    <row r="3778" spans="19:22" x14ac:dyDescent="0.45">
      <c r="S3778" t="s">
        <v>706</v>
      </c>
      <c r="T3778" t="s">
        <v>790</v>
      </c>
      <c r="U3778">
        <v>1.8429673289598322E-2</v>
      </c>
      <c r="V3778" t="s">
        <v>157</v>
      </c>
    </row>
    <row r="3779" spans="19:22" x14ac:dyDescent="0.45">
      <c r="S3779" t="s">
        <v>707</v>
      </c>
      <c r="T3779" t="s">
        <v>779</v>
      </c>
      <c r="U3779">
        <v>0.12120492839750903</v>
      </c>
      <c r="V3779" t="s">
        <v>157</v>
      </c>
    </row>
    <row r="3780" spans="19:22" x14ac:dyDescent="0.45">
      <c r="S3780" t="s">
        <v>707</v>
      </c>
      <c r="T3780" t="s">
        <v>780</v>
      </c>
      <c r="U3780">
        <v>0.12931484513475125</v>
      </c>
      <c r="V3780" t="s">
        <v>157</v>
      </c>
    </row>
    <row r="3781" spans="19:22" x14ac:dyDescent="0.45">
      <c r="S3781" t="s">
        <v>707</v>
      </c>
      <c r="T3781" t="s">
        <v>781</v>
      </c>
      <c r="U3781">
        <v>2.1578729822025661E-2</v>
      </c>
      <c r="V3781" t="s">
        <v>157</v>
      </c>
    </row>
    <row r="3782" spans="19:22" x14ac:dyDescent="0.45">
      <c r="S3782" t="s">
        <v>707</v>
      </c>
      <c r="T3782" t="s">
        <v>782</v>
      </c>
      <c r="U3782">
        <v>0.10649322811523634</v>
      </c>
      <c r="V3782" t="s">
        <v>157</v>
      </c>
    </row>
    <row r="3783" spans="19:22" x14ac:dyDescent="0.45">
      <c r="S3783" t="s">
        <v>707</v>
      </c>
      <c r="T3783" t="s">
        <v>783</v>
      </c>
      <c r="U3783">
        <v>0.10729897721378319</v>
      </c>
      <c r="V3783" t="s">
        <v>157</v>
      </c>
    </row>
    <row r="3784" spans="19:22" x14ac:dyDescent="0.45">
      <c r="S3784" t="s">
        <v>707</v>
      </c>
      <c r="T3784" t="s">
        <v>784</v>
      </c>
      <c r="U3784">
        <v>2.2047780258136838E-2</v>
      </c>
      <c r="V3784" t="s">
        <v>157</v>
      </c>
    </row>
    <row r="3785" spans="19:22" x14ac:dyDescent="0.45">
      <c r="S3785" t="s">
        <v>707</v>
      </c>
      <c r="T3785" t="s">
        <v>785</v>
      </c>
      <c r="U3785">
        <v>0.12959713276474244</v>
      </c>
      <c r="V3785" t="s">
        <v>157</v>
      </c>
    </row>
    <row r="3786" spans="19:22" x14ac:dyDescent="0.45">
      <c r="S3786" t="s">
        <v>707</v>
      </c>
      <c r="T3786" t="s">
        <v>786</v>
      </c>
      <c r="U3786">
        <v>0.13079899883883703</v>
      </c>
      <c r="V3786" t="s">
        <v>157</v>
      </c>
    </row>
    <row r="3787" spans="19:22" x14ac:dyDescent="0.45">
      <c r="S3787" t="s">
        <v>707</v>
      </c>
      <c r="T3787" t="s">
        <v>787</v>
      </c>
      <c r="U3787">
        <v>2.3919663765766534E-2</v>
      </c>
      <c r="V3787" t="s">
        <v>157</v>
      </c>
    </row>
    <row r="3788" spans="19:22" x14ac:dyDescent="0.45">
      <c r="S3788" t="s">
        <v>707</v>
      </c>
      <c r="T3788" t="s">
        <v>788</v>
      </c>
      <c r="U3788">
        <v>9.0898692850912413E-2</v>
      </c>
      <c r="V3788" t="s">
        <v>157</v>
      </c>
    </row>
    <row r="3789" spans="19:22" x14ac:dyDescent="0.45">
      <c r="S3789" t="s">
        <v>707</v>
      </c>
      <c r="T3789" t="s">
        <v>789</v>
      </c>
      <c r="U3789">
        <v>9.6844607419501738E-2</v>
      </c>
      <c r="V3789" t="s">
        <v>157</v>
      </c>
    </row>
    <row r="3790" spans="19:22" x14ac:dyDescent="0.45">
      <c r="S3790" t="s">
        <v>707</v>
      </c>
      <c r="T3790" t="s">
        <v>790</v>
      </c>
      <c r="U3790">
        <v>2.0002415418797517E-2</v>
      </c>
      <c r="V3790" t="s">
        <v>157</v>
      </c>
    </row>
    <row r="3791" spans="19:22" x14ac:dyDescent="0.45">
      <c r="S3791" t="s">
        <v>708</v>
      </c>
      <c r="T3791" t="s">
        <v>779</v>
      </c>
      <c r="U3791">
        <v>0.12513462207119225</v>
      </c>
      <c r="V3791" t="s">
        <v>157</v>
      </c>
    </row>
    <row r="3792" spans="19:22" x14ac:dyDescent="0.45">
      <c r="S3792" t="s">
        <v>708</v>
      </c>
      <c r="T3792" t="s">
        <v>780</v>
      </c>
      <c r="U3792">
        <v>0.12965668909815925</v>
      </c>
      <c r="V3792" t="s">
        <v>157</v>
      </c>
    </row>
    <row r="3793" spans="19:22" x14ac:dyDescent="0.45">
      <c r="S3793" t="s">
        <v>708</v>
      </c>
      <c r="T3793" t="s">
        <v>781</v>
      </c>
      <c r="U3793">
        <v>2.3416883356135152E-2</v>
      </c>
      <c r="V3793" t="s">
        <v>157</v>
      </c>
    </row>
    <row r="3794" spans="19:22" x14ac:dyDescent="0.45">
      <c r="S3794" t="s">
        <v>708</v>
      </c>
      <c r="T3794" t="s">
        <v>782</v>
      </c>
      <c r="U3794">
        <v>0.10001913857390873</v>
      </c>
      <c r="V3794" t="s">
        <v>157</v>
      </c>
    </row>
    <row r="3795" spans="19:22" x14ac:dyDescent="0.45">
      <c r="S3795" t="s">
        <v>708</v>
      </c>
      <c r="T3795" t="s">
        <v>783</v>
      </c>
      <c r="U3795">
        <v>0.10517127042553874</v>
      </c>
      <c r="V3795" t="s">
        <v>157</v>
      </c>
    </row>
    <row r="3796" spans="19:22" x14ac:dyDescent="0.45">
      <c r="S3796" t="s">
        <v>708</v>
      </c>
      <c r="T3796" t="s">
        <v>784</v>
      </c>
      <c r="U3796">
        <v>2.3429710009099755E-2</v>
      </c>
      <c r="V3796" t="s">
        <v>157</v>
      </c>
    </row>
    <row r="3797" spans="19:22" x14ac:dyDescent="0.45">
      <c r="S3797" t="s">
        <v>708</v>
      </c>
      <c r="T3797" t="s">
        <v>785</v>
      </c>
      <c r="U3797">
        <v>0.12757100046415032</v>
      </c>
      <c r="V3797" t="s">
        <v>157</v>
      </c>
    </row>
    <row r="3798" spans="19:22" x14ac:dyDescent="0.45">
      <c r="S3798" t="s">
        <v>708</v>
      </c>
      <c r="T3798" t="s">
        <v>786</v>
      </c>
      <c r="U3798">
        <v>0.13222856131345673</v>
      </c>
      <c r="V3798" t="s">
        <v>157</v>
      </c>
    </row>
    <row r="3799" spans="19:22" x14ac:dyDescent="0.45">
      <c r="S3799" t="s">
        <v>708</v>
      </c>
      <c r="T3799" t="s">
        <v>787</v>
      </c>
      <c r="U3799">
        <v>2.4855781857982921E-2</v>
      </c>
      <c r="V3799" t="s">
        <v>157</v>
      </c>
    </row>
    <row r="3800" spans="19:22" x14ac:dyDescent="0.45">
      <c r="S3800" t="s">
        <v>708</v>
      </c>
      <c r="T3800" t="s">
        <v>788</v>
      </c>
      <c r="U3800">
        <v>8.774604680281084E-2</v>
      </c>
      <c r="V3800" t="s">
        <v>157</v>
      </c>
    </row>
    <row r="3801" spans="19:22" x14ac:dyDescent="0.45">
      <c r="S3801" t="s">
        <v>708</v>
      </c>
      <c r="T3801" t="s">
        <v>789</v>
      </c>
      <c r="U3801">
        <v>9.7798418578901147E-2</v>
      </c>
      <c r="V3801" t="s">
        <v>157</v>
      </c>
    </row>
    <row r="3802" spans="19:22" x14ac:dyDescent="0.45">
      <c r="S3802" t="s">
        <v>708</v>
      </c>
      <c r="T3802" t="s">
        <v>790</v>
      </c>
      <c r="U3802">
        <v>2.2971877448664104E-2</v>
      </c>
      <c r="V3802" t="s">
        <v>157</v>
      </c>
    </row>
    <row r="3803" spans="19:22" x14ac:dyDescent="0.45">
      <c r="S3803" t="s">
        <v>709</v>
      </c>
      <c r="T3803" t="s">
        <v>779</v>
      </c>
      <c r="U3803">
        <v>0.13293398533245993</v>
      </c>
      <c r="V3803" t="s">
        <v>157</v>
      </c>
    </row>
    <row r="3804" spans="19:22" x14ac:dyDescent="0.45">
      <c r="S3804" t="s">
        <v>709</v>
      </c>
      <c r="T3804" t="s">
        <v>780</v>
      </c>
      <c r="U3804">
        <v>0.13908487104303724</v>
      </c>
      <c r="V3804" t="s">
        <v>157</v>
      </c>
    </row>
    <row r="3805" spans="19:22" x14ac:dyDescent="0.45">
      <c r="S3805" t="s">
        <v>709</v>
      </c>
      <c r="T3805" t="s">
        <v>781</v>
      </c>
      <c r="U3805">
        <v>2.5435843416192427E-2</v>
      </c>
      <c r="V3805" t="s">
        <v>157</v>
      </c>
    </row>
    <row r="3806" spans="19:22" x14ac:dyDescent="0.45">
      <c r="S3806" t="s">
        <v>709</v>
      </c>
      <c r="T3806" t="s">
        <v>782</v>
      </c>
      <c r="U3806">
        <v>9.3142420488915689E-2</v>
      </c>
      <c r="V3806" t="s">
        <v>157</v>
      </c>
    </row>
    <row r="3807" spans="19:22" x14ac:dyDescent="0.45">
      <c r="S3807" t="s">
        <v>709</v>
      </c>
      <c r="T3807" t="s">
        <v>783</v>
      </c>
      <c r="U3807">
        <v>0.10061620513087902</v>
      </c>
      <c r="V3807" t="s">
        <v>157</v>
      </c>
    </row>
    <row r="3808" spans="19:22" x14ac:dyDescent="0.45">
      <c r="S3808" t="s">
        <v>709</v>
      </c>
      <c r="T3808" t="s">
        <v>784</v>
      </c>
      <c r="U3808">
        <v>2.1995966965487675E-2</v>
      </c>
      <c r="V3808" t="s">
        <v>157</v>
      </c>
    </row>
    <row r="3809" spans="19:22" x14ac:dyDescent="0.45">
      <c r="S3809" t="s">
        <v>709</v>
      </c>
      <c r="T3809" t="s">
        <v>785</v>
      </c>
      <c r="U3809">
        <v>0.12214120992986363</v>
      </c>
      <c r="V3809" t="s">
        <v>157</v>
      </c>
    </row>
    <row r="3810" spans="19:22" x14ac:dyDescent="0.45">
      <c r="S3810" t="s">
        <v>709</v>
      </c>
      <c r="T3810" t="s">
        <v>786</v>
      </c>
      <c r="U3810">
        <v>0.13322926008406502</v>
      </c>
      <c r="V3810" t="s">
        <v>157</v>
      </c>
    </row>
    <row r="3811" spans="19:22" x14ac:dyDescent="0.45">
      <c r="S3811" t="s">
        <v>709</v>
      </c>
      <c r="T3811" t="s">
        <v>787</v>
      </c>
      <c r="U3811">
        <v>2.4788447100674769E-2</v>
      </c>
      <c r="V3811" t="s">
        <v>157</v>
      </c>
    </row>
    <row r="3812" spans="19:22" x14ac:dyDescent="0.45">
      <c r="S3812" t="s">
        <v>709</v>
      </c>
      <c r="T3812" t="s">
        <v>788</v>
      </c>
      <c r="U3812">
        <v>8.2248067694997581E-2</v>
      </c>
      <c r="V3812" t="s">
        <v>157</v>
      </c>
    </row>
    <row r="3813" spans="19:22" x14ac:dyDescent="0.45">
      <c r="S3813" t="s">
        <v>709</v>
      </c>
      <c r="T3813" t="s">
        <v>789</v>
      </c>
      <c r="U3813">
        <v>0.10051227817696455</v>
      </c>
      <c r="V3813" t="s">
        <v>157</v>
      </c>
    </row>
    <row r="3814" spans="19:22" x14ac:dyDescent="0.45">
      <c r="S3814" t="s">
        <v>709</v>
      </c>
      <c r="T3814" t="s">
        <v>790</v>
      </c>
      <c r="U3814">
        <v>2.387144463646251E-2</v>
      </c>
      <c r="V3814" t="s">
        <v>157</v>
      </c>
    </row>
    <row r="3815" spans="19:22" x14ac:dyDescent="0.45">
      <c r="S3815" t="s">
        <v>710</v>
      </c>
      <c r="T3815" t="s">
        <v>779</v>
      </c>
      <c r="U3815">
        <v>0.11691294017138364</v>
      </c>
      <c r="V3815" t="s">
        <v>157</v>
      </c>
    </row>
    <row r="3816" spans="19:22" x14ac:dyDescent="0.45">
      <c r="S3816" t="s">
        <v>710</v>
      </c>
      <c r="T3816" t="s">
        <v>780</v>
      </c>
      <c r="U3816">
        <v>0.1163283035960934</v>
      </c>
      <c r="V3816" t="s">
        <v>157</v>
      </c>
    </row>
    <row r="3817" spans="19:22" x14ac:dyDescent="0.45">
      <c r="S3817" t="s">
        <v>710</v>
      </c>
      <c r="T3817" t="s">
        <v>781</v>
      </c>
      <c r="U3817">
        <v>2.0714310165164427E-2</v>
      </c>
      <c r="V3817" t="s">
        <v>157</v>
      </c>
    </row>
    <row r="3818" spans="19:22" x14ac:dyDescent="0.45">
      <c r="S3818" t="s">
        <v>710</v>
      </c>
      <c r="T3818" t="s">
        <v>782</v>
      </c>
      <c r="U3818">
        <v>0.11347217345152548</v>
      </c>
      <c r="V3818" t="s">
        <v>157</v>
      </c>
    </row>
    <row r="3819" spans="19:22" x14ac:dyDescent="0.45">
      <c r="S3819" t="s">
        <v>710</v>
      </c>
      <c r="T3819" t="s">
        <v>783</v>
      </c>
      <c r="U3819">
        <v>0.10989352776426474</v>
      </c>
      <c r="V3819" t="s">
        <v>157</v>
      </c>
    </row>
    <row r="3820" spans="19:22" x14ac:dyDescent="0.45">
      <c r="S3820" t="s">
        <v>710</v>
      </c>
      <c r="T3820" t="s">
        <v>784</v>
      </c>
      <c r="U3820">
        <v>2.0492914726799281E-2</v>
      </c>
      <c r="V3820" t="s">
        <v>157</v>
      </c>
    </row>
    <row r="3821" spans="19:22" x14ac:dyDescent="0.45">
      <c r="S3821" t="s">
        <v>710</v>
      </c>
      <c r="T3821" t="s">
        <v>785</v>
      </c>
      <c r="U3821">
        <v>0.11491167155480016</v>
      </c>
      <c r="V3821" t="s">
        <v>157</v>
      </c>
    </row>
    <row r="3822" spans="19:22" x14ac:dyDescent="0.45">
      <c r="S3822" t="s">
        <v>710</v>
      </c>
      <c r="T3822" t="s">
        <v>786</v>
      </c>
      <c r="U3822">
        <v>0.11620674685612833</v>
      </c>
      <c r="V3822" t="s">
        <v>157</v>
      </c>
    </row>
    <row r="3823" spans="19:22" x14ac:dyDescent="0.45">
      <c r="S3823" t="s">
        <v>710</v>
      </c>
      <c r="T3823" t="s">
        <v>787</v>
      </c>
      <c r="U3823">
        <v>2.077924551409651E-2</v>
      </c>
      <c r="V3823" t="s">
        <v>157</v>
      </c>
    </row>
    <row r="3824" spans="19:22" x14ac:dyDescent="0.45">
      <c r="S3824" t="s">
        <v>710</v>
      </c>
      <c r="T3824" t="s">
        <v>788</v>
      </c>
      <c r="U3824">
        <v>0.11154611798408039</v>
      </c>
      <c r="V3824" t="s">
        <v>157</v>
      </c>
    </row>
    <row r="3825" spans="19:22" x14ac:dyDescent="0.45">
      <c r="S3825" t="s">
        <v>710</v>
      </c>
      <c r="T3825" t="s">
        <v>789</v>
      </c>
      <c r="U3825">
        <v>0.11752030744802891</v>
      </c>
      <c r="V3825" t="s">
        <v>157</v>
      </c>
    </row>
    <row r="3826" spans="19:22" x14ac:dyDescent="0.45">
      <c r="S3826" t="s">
        <v>710</v>
      </c>
      <c r="T3826" t="s">
        <v>790</v>
      </c>
      <c r="U3826">
        <v>2.1221740767634813E-2</v>
      </c>
      <c r="V3826" t="s">
        <v>157</v>
      </c>
    </row>
    <row r="3827" spans="19:22" x14ac:dyDescent="0.45">
      <c r="S3827" t="s">
        <v>711</v>
      </c>
      <c r="T3827" t="s">
        <v>779</v>
      </c>
      <c r="U3827">
        <v>0.17692581735812166</v>
      </c>
      <c r="V3827" t="s">
        <v>157</v>
      </c>
    </row>
    <row r="3828" spans="19:22" x14ac:dyDescent="0.45">
      <c r="S3828" t="s">
        <v>711</v>
      </c>
      <c r="T3828" t="s">
        <v>780</v>
      </c>
      <c r="U3828">
        <v>0.14158907822924491</v>
      </c>
      <c r="V3828" t="s">
        <v>157</v>
      </c>
    </row>
    <row r="3829" spans="19:22" x14ac:dyDescent="0.45">
      <c r="S3829" t="s">
        <v>711</v>
      </c>
      <c r="T3829" t="s">
        <v>781</v>
      </c>
      <c r="U3829">
        <v>3.2518332400423684E-2</v>
      </c>
      <c r="V3829" t="s">
        <v>157</v>
      </c>
    </row>
    <row r="3830" spans="19:22" x14ac:dyDescent="0.45">
      <c r="S3830" t="s">
        <v>711</v>
      </c>
      <c r="T3830" t="s">
        <v>782</v>
      </c>
      <c r="U3830">
        <v>9.1127901094145258E-2</v>
      </c>
      <c r="V3830" t="s">
        <v>157</v>
      </c>
    </row>
    <row r="3831" spans="19:22" x14ac:dyDescent="0.45">
      <c r="S3831" t="s">
        <v>711</v>
      </c>
      <c r="T3831" t="s">
        <v>783</v>
      </c>
      <c r="U3831">
        <v>0.10610041555647785</v>
      </c>
      <c r="V3831" t="s">
        <v>157</v>
      </c>
    </row>
    <row r="3832" spans="19:22" x14ac:dyDescent="0.45">
      <c r="S3832" t="s">
        <v>711</v>
      </c>
      <c r="T3832" t="s">
        <v>784</v>
      </c>
      <c r="U3832">
        <v>1.5736917495761619E-2</v>
      </c>
      <c r="V3832" t="s">
        <v>157</v>
      </c>
    </row>
    <row r="3833" spans="19:22" x14ac:dyDescent="0.45">
      <c r="S3833" t="s">
        <v>711</v>
      </c>
      <c r="T3833" t="s">
        <v>785</v>
      </c>
      <c r="U3833">
        <v>0.10450169612306628</v>
      </c>
      <c r="V3833" t="s">
        <v>157</v>
      </c>
    </row>
    <row r="3834" spans="19:22" x14ac:dyDescent="0.45">
      <c r="S3834" t="s">
        <v>711</v>
      </c>
      <c r="T3834" t="s">
        <v>786</v>
      </c>
      <c r="U3834">
        <v>0.10869117405146118</v>
      </c>
      <c r="V3834" t="s">
        <v>157</v>
      </c>
    </row>
    <row r="3835" spans="19:22" x14ac:dyDescent="0.45">
      <c r="S3835" t="s">
        <v>711</v>
      </c>
      <c r="T3835" t="s">
        <v>787</v>
      </c>
      <c r="U3835">
        <v>2.1417433426875961E-2</v>
      </c>
      <c r="V3835" t="s">
        <v>157</v>
      </c>
    </row>
    <row r="3836" spans="19:22" x14ac:dyDescent="0.45">
      <c r="S3836" t="s">
        <v>711</v>
      </c>
      <c r="T3836" t="s">
        <v>788</v>
      </c>
      <c r="U3836">
        <v>9.0613385247733741E-2</v>
      </c>
      <c r="V3836" t="s">
        <v>157</v>
      </c>
    </row>
    <row r="3837" spans="19:22" x14ac:dyDescent="0.45">
      <c r="S3837" t="s">
        <v>711</v>
      </c>
      <c r="T3837" t="s">
        <v>789</v>
      </c>
      <c r="U3837">
        <v>8.838383431552764E-2</v>
      </c>
      <c r="V3837" t="s">
        <v>157</v>
      </c>
    </row>
    <row r="3838" spans="19:22" x14ac:dyDescent="0.45">
      <c r="S3838" t="s">
        <v>711</v>
      </c>
      <c r="T3838" t="s">
        <v>790</v>
      </c>
      <c r="U3838">
        <v>2.239401470116021E-2</v>
      </c>
      <c r="V3838" t="s">
        <v>157</v>
      </c>
    </row>
    <row r="3839" spans="19:22" x14ac:dyDescent="0.45">
      <c r="S3839" t="s">
        <v>712</v>
      </c>
      <c r="T3839" t="s">
        <v>779</v>
      </c>
      <c r="U3839">
        <v>0.14061046748283942</v>
      </c>
      <c r="V3839" t="s">
        <v>157</v>
      </c>
    </row>
    <row r="3840" spans="19:22" x14ac:dyDescent="0.45">
      <c r="S3840" t="s">
        <v>712</v>
      </c>
      <c r="T3840" t="s">
        <v>780</v>
      </c>
      <c r="U3840">
        <v>0.14700993153065953</v>
      </c>
      <c r="V3840" t="s">
        <v>157</v>
      </c>
    </row>
    <row r="3841" spans="19:22" x14ac:dyDescent="0.45">
      <c r="S3841" t="s">
        <v>712</v>
      </c>
      <c r="T3841" t="s">
        <v>781</v>
      </c>
      <c r="U3841">
        <v>3.0903554576179586E-2</v>
      </c>
      <c r="V3841" t="s">
        <v>157</v>
      </c>
    </row>
    <row r="3842" spans="19:22" x14ac:dyDescent="0.45">
      <c r="S3842" t="s">
        <v>712</v>
      </c>
      <c r="T3842" t="s">
        <v>782</v>
      </c>
      <c r="U3842">
        <v>8.8740209703354916E-2</v>
      </c>
      <c r="V3842" t="s">
        <v>157</v>
      </c>
    </row>
    <row r="3843" spans="19:22" x14ac:dyDescent="0.45">
      <c r="S3843" t="s">
        <v>712</v>
      </c>
      <c r="T3843" t="s">
        <v>783</v>
      </c>
      <c r="U3843">
        <v>0.10516420816415743</v>
      </c>
      <c r="V3843" t="s">
        <v>157</v>
      </c>
    </row>
    <row r="3844" spans="19:22" x14ac:dyDescent="0.45">
      <c r="S3844" t="s">
        <v>712</v>
      </c>
      <c r="T3844" t="s">
        <v>784</v>
      </c>
      <c r="U3844">
        <v>1.8432826543750992E-2</v>
      </c>
      <c r="V3844" t="s">
        <v>157</v>
      </c>
    </row>
    <row r="3845" spans="19:22" x14ac:dyDescent="0.45">
      <c r="S3845" t="s">
        <v>712</v>
      </c>
      <c r="T3845" t="s">
        <v>785</v>
      </c>
      <c r="U3845">
        <v>0.11444748053965866</v>
      </c>
      <c r="V3845" t="s">
        <v>157</v>
      </c>
    </row>
    <row r="3846" spans="19:22" x14ac:dyDescent="0.45">
      <c r="S3846" t="s">
        <v>712</v>
      </c>
      <c r="T3846" t="s">
        <v>786</v>
      </c>
      <c r="U3846">
        <v>0.12142632270713025</v>
      </c>
      <c r="V3846" t="s">
        <v>157</v>
      </c>
    </row>
    <row r="3847" spans="19:22" x14ac:dyDescent="0.45">
      <c r="S3847" t="s">
        <v>712</v>
      </c>
      <c r="T3847" t="s">
        <v>787</v>
      </c>
      <c r="U3847">
        <v>2.3939788522219271E-2</v>
      </c>
      <c r="V3847" t="s">
        <v>157</v>
      </c>
    </row>
    <row r="3848" spans="19:22" x14ac:dyDescent="0.45">
      <c r="S3848" t="s">
        <v>712</v>
      </c>
      <c r="T3848" t="s">
        <v>788</v>
      </c>
      <c r="U3848">
        <v>8.1501961976374548E-2</v>
      </c>
      <c r="V3848" t="s">
        <v>157</v>
      </c>
    </row>
    <row r="3849" spans="19:22" x14ac:dyDescent="0.45">
      <c r="S3849" t="s">
        <v>712</v>
      </c>
      <c r="T3849" t="s">
        <v>789</v>
      </c>
      <c r="U3849">
        <v>0.10548570269312049</v>
      </c>
      <c r="V3849" t="s">
        <v>157</v>
      </c>
    </row>
    <row r="3850" spans="19:22" x14ac:dyDescent="0.45">
      <c r="S3850" t="s">
        <v>712</v>
      </c>
      <c r="T3850" t="s">
        <v>790</v>
      </c>
      <c r="U3850">
        <v>2.2337545560554953E-2</v>
      </c>
      <c r="V3850" t="s">
        <v>157</v>
      </c>
    </row>
    <row r="3851" spans="19:22" x14ac:dyDescent="0.45">
      <c r="S3851" t="s">
        <v>713</v>
      </c>
      <c r="T3851" t="s">
        <v>779</v>
      </c>
      <c r="U3851">
        <v>0.13115159704909859</v>
      </c>
      <c r="V3851" t="s">
        <v>157</v>
      </c>
    </row>
    <row r="3852" spans="19:22" x14ac:dyDescent="0.45">
      <c r="S3852" t="s">
        <v>713</v>
      </c>
      <c r="T3852" t="s">
        <v>780</v>
      </c>
      <c r="U3852">
        <v>0.14092389630282634</v>
      </c>
      <c r="V3852" t="s">
        <v>157</v>
      </c>
    </row>
    <row r="3853" spans="19:22" x14ac:dyDescent="0.45">
      <c r="S3853" t="s">
        <v>713</v>
      </c>
      <c r="T3853" t="s">
        <v>781</v>
      </c>
      <c r="U3853">
        <v>2.6199667590609689E-2</v>
      </c>
      <c r="V3853" t="s">
        <v>157</v>
      </c>
    </row>
    <row r="3854" spans="19:22" x14ac:dyDescent="0.45">
      <c r="S3854" t="s">
        <v>713</v>
      </c>
      <c r="T3854" t="s">
        <v>782</v>
      </c>
      <c r="U3854">
        <v>9.0041056731421404E-2</v>
      </c>
      <c r="V3854" t="s">
        <v>157</v>
      </c>
    </row>
    <row r="3855" spans="19:22" x14ac:dyDescent="0.45">
      <c r="S3855" t="s">
        <v>713</v>
      </c>
      <c r="T3855" t="s">
        <v>783</v>
      </c>
      <c r="U3855">
        <v>0.10989649873973113</v>
      </c>
      <c r="V3855" t="s">
        <v>157</v>
      </c>
    </row>
    <row r="3856" spans="19:22" x14ac:dyDescent="0.45">
      <c r="S3856" t="s">
        <v>713</v>
      </c>
      <c r="T3856" t="s">
        <v>784</v>
      </c>
      <c r="U3856">
        <v>1.9067833961904312E-2</v>
      </c>
      <c r="V3856" t="s">
        <v>157</v>
      </c>
    </row>
    <row r="3857" spans="19:22" x14ac:dyDescent="0.45">
      <c r="S3857" t="s">
        <v>713</v>
      </c>
      <c r="T3857" t="s">
        <v>785</v>
      </c>
      <c r="U3857">
        <v>0.11691462308724355</v>
      </c>
      <c r="V3857" t="s">
        <v>157</v>
      </c>
    </row>
    <row r="3858" spans="19:22" x14ac:dyDescent="0.45">
      <c r="S3858" t="s">
        <v>713</v>
      </c>
      <c r="T3858" t="s">
        <v>786</v>
      </c>
      <c r="U3858">
        <v>0.12390593429122079</v>
      </c>
      <c r="V3858" t="s">
        <v>157</v>
      </c>
    </row>
    <row r="3859" spans="19:22" x14ac:dyDescent="0.45">
      <c r="S3859" t="s">
        <v>713</v>
      </c>
      <c r="T3859" t="s">
        <v>787</v>
      </c>
      <c r="U3859">
        <v>2.3773712517883801E-2</v>
      </c>
      <c r="V3859" t="s">
        <v>157</v>
      </c>
    </row>
    <row r="3860" spans="19:22" x14ac:dyDescent="0.45">
      <c r="S3860" t="s">
        <v>713</v>
      </c>
      <c r="T3860" t="s">
        <v>788</v>
      </c>
      <c r="U3860">
        <v>8.7513071945636706E-2</v>
      </c>
      <c r="V3860" t="s">
        <v>157</v>
      </c>
    </row>
    <row r="3861" spans="19:22" x14ac:dyDescent="0.45">
      <c r="S3861" t="s">
        <v>713</v>
      </c>
      <c r="T3861" t="s">
        <v>789</v>
      </c>
      <c r="U3861">
        <v>0.11151064620049675</v>
      </c>
      <c r="V3861" t="s">
        <v>157</v>
      </c>
    </row>
    <row r="3862" spans="19:22" x14ac:dyDescent="0.45">
      <c r="S3862" t="s">
        <v>713</v>
      </c>
      <c r="T3862" t="s">
        <v>790</v>
      </c>
      <c r="U3862">
        <v>1.9101461581926896E-2</v>
      </c>
      <c r="V3862" t="s">
        <v>157</v>
      </c>
    </row>
    <row r="3863" spans="19:22" x14ac:dyDescent="0.45">
      <c r="S3863" t="s">
        <v>714</v>
      </c>
      <c r="T3863" t="s">
        <v>779</v>
      </c>
      <c r="U3863">
        <v>0.1287817975419763</v>
      </c>
      <c r="V3863" t="s">
        <v>157</v>
      </c>
    </row>
    <row r="3864" spans="19:22" x14ac:dyDescent="0.45">
      <c r="S3864" t="s">
        <v>714</v>
      </c>
      <c r="T3864" t="s">
        <v>780</v>
      </c>
      <c r="U3864">
        <v>0.13630290787813784</v>
      </c>
      <c r="V3864" t="s">
        <v>157</v>
      </c>
    </row>
    <row r="3865" spans="19:22" x14ac:dyDescent="0.45">
      <c r="S3865" t="s">
        <v>714</v>
      </c>
      <c r="T3865" t="s">
        <v>781</v>
      </c>
      <c r="U3865">
        <v>2.4100750366783236E-2</v>
      </c>
      <c r="V3865" t="s">
        <v>157</v>
      </c>
    </row>
    <row r="3866" spans="19:22" x14ac:dyDescent="0.45">
      <c r="S3866" t="s">
        <v>714</v>
      </c>
      <c r="T3866" t="s">
        <v>782</v>
      </c>
      <c r="U3866">
        <v>9.7811721202310423E-2</v>
      </c>
      <c r="V3866" t="s">
        <v>157</v>
      </c>
    </row>
    <row r="3867" spans="19:22" x14ac:dyDescent="0.45">
      <c r="S3867" t="s">
        <v>714</v>
      </c>
      <c r="T3867" t="s">
        <v>783</v>
      </c>
      <c r="U3867">
        <v>0.11221060076446907</v>
      </c>
      <c r="V3867" t="s">
        <v>157</v>
      </c>
    </row>
    <row r="3868" spans="19:22" x14ac:dyDescent="0.45">
      <c r="S3868" t="s">
        <v>714</v>
      </c>
      <c r="T3868" t="s">
        <v>784</v>
      </c>
      <c r="U3868">
        <v>1.9767705123191669E-2</v>
      </c>
      <c r="V3868" t="s">
        <v>157</v>
      </c>
    </row>
    <row r="3869" spans="19:22" x14ac:dyDescent="0.45">
      <c r="S3869" t="s">
        <v>714</v>
      </c>
      <c r="T3869" t="s">
        <v>785</v>
      </c>
      <c r="U3869">
        <v>0.1159948829103509</v>
      </c>
      <c r="V3869" t="s">
        <v>157</v>
      </c>
    </row>
    <row r="3870" spans="19:22" x14ac:dyDescent="0.45">
      <c r="S3870" t="s">
        <v>714</v>
      </c>
      <c r="T3870" t="s">
        <v>786</v>
      </c>
      <c r="U3870">
        <v>0.12164191950447641</v>
      </c>
      <c r="V3870" t="s">
        <v>157</v>
      </c>
    </row>
    <row r="3871" spans="19:22" x14ac:dyDescent="0.45">
      <c r="S3871" t="s">
        <v>714</v>
      </c>
      <c r="T3871" t="s">
        <v>787</v>
      </c>
      <c r="U3871">
        <v>2.2549123895149382E-2</v>
      </c>
      <c r="V3871" t="s">
        <v>157</v>
      </c>
    </row>
    <row r="3872" spans="19:22" x14ac:dyDescent="0.45">
      <c r="S3872" t="s">
        <v>714</v>
      </c>
      <c r="T3872" t="s">
        <v>788</v>
      </c>
      <c r="U3872">
        <v>9.2899166425983823E-2</v>
      </c>
      <c r="V3872" t="s">
        <v>157</v>
      </c>
    </row>
    <row r="3873" spans="19:22" x14ac:dyDescent="0.45">
      <c r="S3873" t="s">
        <v>714</v>
      </c>
      <c r="T3873" t="s">
        <v>789</v>
      </c>
      <c r="U3873">
        <v>0.11005734232721018</v>
      </c>
      <c r="V3873" t="s">
        <v>157</v>
      </c>
    </row>
    <row r="3874" spans="19:22" x14ac:dyDescent="0.45">
      <c r="S3874" t="s">
        <v>714</v>
      </c>
      <c r="T3874" t="s">
        <v>790</v>
      </c>
      <c r="U3874">
        <v>1.7882082059960811E-2</v>
      </c>
      <c r="V3874" t="s">
        <v>157</v>
      </c>
    </row>
    <row r="3875" spans="19:22" x14ac:dyDescent="0.45">
      <c r="S3875" t="s">
        <v>715</v>
      </c>
      <c r="T3875" t="s">
        <v>779</v>
      </c>
      <c r="U3875">
        <v>0.128741464391329</v>
      </c>
      <c r="V3875" t="s">
        <v>157</v>
      </c>
    </row>
    <row r="3876" spans="19:22" x14ac:dyDescent="0.45">
      <c r="S3876" t="s">
        <v>715</v>
      </c>
      <c r="T3876" t="s">
        <v>780</v>
      </c>
      <c r="U3876">
        <v>0.13240872695217493</v>
      </c>
      <c r="V3876" t="s">
        <v>157</v>
      </c>
    </row>
    <row r="3877" spans="19:22" x14ac:dyDescent="0.45">
      <c r="S3877" t="s">
        <v>715</v>
      </c>
      <c r="T3877" t="s">
        <v>781</v>
      </c>
      <c r="U3877">
        <v>2.3119322882234773E-2</v>
      </c>
      <c r="V3877" t="s">
        <v>157</v>
      </c>
    </row>
    <row r="3878" spans="19:22" x14ac:dyDescent="0.45">
      <c r="S3878" t="s">
        <v>715</v>
      </c>
      <c r="T3878" t="s">
        <v>782</v>
      </c>
      <c r="U3878">
        <v>0.10268413083291444</v>
      </c>
      <c r="V3878" t="s">
        <v>157</v>
      </c>
    </row>
    <row r="3879" spans="19:22" x14ac:dyDescent="0.45">
      <c r="S3879" t="s">
        <v>715</v>
      </c>
      <c r="T3879" t="s">
        <v>783</v>
      </c>
      <c r="U3879">
        <v>0.11229427672083289</v>
      </c>
      <c r="V3879" t="s">
        <v>157</v>
      </c>
    </row>
    <row r="3880" spans="19:22" x14ac:dyDescent="0.45">
      <c r="S3880" t="s">
        <v>715</v>
      </c>
      <c r="T3880" t="s">
        <v>784</v>
      </c>
      <c r="U3880">
        <v>2.0442313943359276E-2</v>
      </c>
      <c r="V3880" t="s">
        <v>157</v>
      </c>
    </row>
    <row r="3881" spans="19:22" x14ac:dyDescent="0.45">
      <c r="S3881" t="s">
        <v>715</v>
      </c>
      <c r="T3881" t="s">
        <v>785</v>
      </c>
      <c r="U3881">
        <v>0.11526758719390584</v>
      </c>
      <c r="V3881" t="s">
        <v>157</v>
      </c>
    </row>
    <row r="3882" spans="19:22" x14ac:dyDescent="0.45">
      <c r="S3882" t="s">
        <v>715</v>
      </c>
      <c r="T3882" t="s">
        <v>786</v>
      </c>
      <c r="U3882">
        <v>0.11946115629222942</v>
      </c>
      <c r="V3882" t="s">
        <v>157</v>
      </c>
    </row>
    <row r="3883" spans="19:22" x14ac:dyDescent="0.45">
      <c r="S3883" t="s">
        <v>715</v>
      </c>
      <c r="T3883" t="s">
        <v>787</v>
      </c>
      <c r="U3883">
        <v>2.1651006271618641E-2</v>
      </c>
      <c r="V3883" t="s">
        <v>157</v>
      </c>
    </row>
    <row r="3884" spans="19:22" x14ac:dyDescent="0.45">
      <c r="S3884" t="s">
        <v>715</v>
      </c>
      <c r="T3884" t="s">
        <v>788</v>
      </c>
      <c r="U3884">
        <v>9.7410435051761085E-2</v>
      </c>
      <c r="V3884" t="s">
        <v>157</v>
      </c>
    </row>
    <row r="3885" spans="19:22" x14ac:dyDescent="0.45">
      <c r="S3885" t="s">
        <v>715</v>
      </c>
      <c r="T3885" t="s">
        <v>789</v>
      </c>
      <c r="U3885">
        <v>0.1086893354705747</v>
      </c>
      <c r="V3885" t="s">
        <v>157</v>
      </c>
    </row>
    <row r="3886" spans="19:22" x14ac:dyDescent="0.45">
      <c r="S3886" t="s">
        <v>715</v>
      </c>
      <c r="T3886" t="s">
        <v>790</v>
      </c>
      <c r="U3886">
        <v>1.7830243997065051E-2</v>
      </c>
      <c r="V3886" t="s">
        <v>157</v>
      </c>
    </row>
    <row r="3887" spans="19:22" x14ac:dyDescent="0.45">
      <c r="S3887" t="s">
        <v>716</v>
      </c>
      <c r="T3887" t="s">
        <v>779</v>
      </c>
      <c r="U3887">
        <v>0.11616249437953194</v>
      </c>
      <c r="V3887" t="s">
        <v>157</v>
      </c>
    </row>
    <row r="3888" spans="19:22" x14ac:dyDescent="0.45">
      <c r="S3888" t="s">
        <v>716</v>
      </c>
      <c r="T3888" t="s">
        <v>780</v>
      </c>
      <c r="U3888">
        <v>0.11518049421223872</v>
      </c>
      <c r="V3888" t="s">
        <v>157</v>
      </c>
    </row>
    <row r="3889" spans="19:22" x14ac:dyDescent="0.45">
      <c r="S3889" t="s">
        <v>716</v>
      </c>
      <c r="T3889" t="s">
        <v>781</v>
      </c>
      <c r="U3889">
        <v>2.0427515561576147E-2</v>
      </c>
      <c r="V3889" t="s">
        <v>157</v>
      </c>
    </row>
    <row r="3890" spans="19:22" x14ac:dyDescent="0.45">
      <c r="S3890" t="s">
        <v>716</v>
      </c>
      <c r="T3890" t="s">
        <v>782</v>
      </c>
      <c r="U3890">
        <v>0.11308235447605031</v>
      </c>
      <c r="V3890" t="s">
        <v>157</v>
      </c>
    </row>
    <row r="3891" spans="19:22" x14ac:dyDescent="0.45">
      <c r="S3891" t="s">
        <v>716</v>
      </c>
      <c r="T3891" t="s">
        <v>783</v>
      </c>
      <c r="U3891">
        <v>0.10875529359402775</v>
      </c>
      <c r="V3891" t="s">
        <v>157</v>
      </c>
    </row>
    <row r="3892" spans="19:22" x14ac:dyDescent="0.45">
      <c r="S3892" t="s">
        <v>716</v>
      </c>
      <c r="T3892" t="s">
        <v>784</v>
      </c>
      <c r="U3892">
        <v>2.0328474418088559E-2</v>
      </c>
      <c r="V3892" t="s">
        <v>157</v>
      </c>
    </row>
    <row r="3893" spans="19:22" x14ac:dyDescent="0.45">
      <c r="S3893" t="s">
        <v>716</v>
      </c>
      <c r="T3893" t="s">
        <v>785</v>
      </c>
      <c r="U3893">
        <v>0.11656055595247426</v>
      </c>
      <c r="V3893" t="s">
        <v>157</v>
      </c>
    </row>
    <row r="3894" spans="19:22" x14ac:dyDescent="0.45">
      <c r="S3894" t="s">
        <v>716</v>
      </c>
      <c r="T3894" t="s">
        <v>786</v>
      </c>
      <c r="U3894">
        <v>0.11790212662410503</v>
      </c>
      <c r="V3894" t="s">
        <v>157</v>
      </c>
    </row>
    <row r="3895" spans="19:22" x14ac:dyDescent="0.45">
      <c r="S3895" t="s">
        <v>716</v>
      </c>
      <c r="T3895" t="s">
        <v>787</v>
      </c>
      <c r="U3895">
        <v>2.1076767357714781E-2</v>
      </c>
      <c r="V3895" t="s">
        <v>157</v>
      </c>
    </row>
    <row r="3896" spans="19:22" x14ac:dyDescent="0.45">
      <c r="S3896" t="s">
        <v>716</v>
      </c>
      <c r="T3896" t="s">
        <v>788</v>
      </c>
      <c r="U3896">
        <v>0.11184059026841149</v>
      </c>
      <c r="V3896" t="s">
        <v>157</v>
      </c>
    </row>
    <row r="3897" spans="19:22" x14ac:dyDescent="0.45">
      <c r="S3897" t="s">
        <v>716</v>
      </c>
      <c r="T3897" t="s">
        <v>789</v>
      </c>
      <c r="U3897">
        <v>0.11746642030294588</v>
      </c>
      <c r="V3897" t="s">
        <v>157</v>
      </c>
    </row>
    <row r="3898" spans="19:22" x14ac:dyDescent="0.45">
      <c r="S3898" t="s">
        <v>716</v>
      </c>
      <c r="T3898" t="s">
        <v>790</v>
      </c>
      <c r="U3898">
        <v>2.1216912852835081E-2</v>
      </c>
      <c r="V3898" t="s">
        <v>157</v>
      </c>
    </row>
    <row r="3899" spans="19:22" x14ac:dyDescent="0.45">
      <c r="S3899" t="s">
        <v>717</v>
      </c>
      <c r="T3899" t="s">
        <v>779</v>
      </c>
      <c r="U3899">
        <v>0.11431274511065108</v>
      </c>
      <c r="V3899" t="s">
        <v>157</v>
      </c>
    </row>
    <row r="3900" spans="19:22" x14ac:dyDescent="0.45">
      <c r="S3900" t="s">
        <v>717</v>
      </c>
      <c r="T3900" t="s">
        <v>780</v>
      </c>
      <c r="U3900">
        <v>0.11217945780402845</v>
      </c>
      <c r="V3900" t="s">
        <v>157</v>
      </c>
    </row>
    <row r="3901" spans="19:22" x14ac:dyDescent="0.45">
      <c r="S3901" t="s">
        <v>717</v>
      </c>
      <c r="T3901" t="s">
        <v>781</v>
      </c>
      <c r="U3901">
        <v>2.1020471914898139E-2</v>
      </c>
      <c r="V3901" t="s">
        <v>157</v>
      </c>
    </row>
    <row r="3902" spans="19:22" x14ac:dyDescent="0.45">
      <c r="S3902" t="s">
        <v>717</v>
      </c>
      <c r="T3902" t="s">
        <v>782</v>
      </c>
      <c r="U3902">
        <v>0.12048606003969205</v>
      </c>
      <c r="V3902" t="s">
        <v>157</v>
      </c>
    </row>
    <row r="3903" spans="19:22" x14ac:dyDescent="0.45">
      <c r="S3903" t="s">
        <v>717</v>
      </c>
      <c r="T3903" t="s">
        <v>783</v>
      </c>
      <c r="U3903">
        <v>0.11995036164704241</v>
      </c>
      <c r="V3903" t="s">
        <v>157</v>
      </c>
    </row>
    <row r="3904" spans="19:22" x14ac:dyDescent="0.45">
      <c r="S3904" t="s">
        <v>717</v>
      </c>
      <c r="T3904" t="s">
        <v>784</v>
      </c>
      <c r="U3904">
        <v>2.0949761138182591E-2</v>
      </c>
      <c r="V3904" t="s">
        <v>157</v>
      </c>
    </row>
    <row r="3905" spans="19:22" x14ac:dyDescent="0.45">
      <c r="S3905" t="s">
        <v>717</v>
      </c>
      <c r="T3905" t="s">
        <v>785</v>
      </c>
      <c r="U3905">
        <v>0.11456302343985728</v>
      </c>
      <c r="V3905" t="s">
        <v>157</v>
      </c>
    </row>
    <row r="3906" spans="19:22" x14ac:dyDescent="0.45">
      <c r="S3906" t="s">
        <v>717</v>
      </c>
      <c r="T3906" t="s">
        <v>786</v>
      </c>
      <c r="U3906">
        <v>0.11839702297039173</v>
      </c>
      <c r="V3906" t="s">
        <v>157</v>
      </c>
    </row>
    <row r="3907" spans="19:22" x14ac:dyDescent="0.45">
      <c r="S3907" t="s">
        <v>717</v>
      </c>
      <c r="T3907" t="s">
        <v>787</v>
      </c>
      <c r="U3907">
        <v>2.0359000259412494E-2</v>
      </c>
      <c r="V3907" t="s">
        <v>157</v>
      </c>
    </row>
    <row r="3908" spans="19:22" x14ac:dyDescent="0.45">
      <c r="S3908" t="s">
        <v>717</v>
      </c>
      <c r="T3908" t="s">
        <v>788</v>
      </c>
      <c r="U3908">
        <v>0.11109312959017285</v>
      </c>
      <c r="V3908" t="s">
        <v>157</v>
      </c>
    </row>
    <row r="3909" spans="19:22" x14ac:dyDescent="0.45">
      <c r="S3909" t="s">
        <v>717</v>
      </c>
      <c r="T3909" t="s">
        <v>789</v>
      </c>
      <c r="U3909">
        <v>0.1069103276509514</v>
      </c>
      <c r="V3909" t="s">
        <v>157</v>
      </c>
    </row>
    <row r="3910" spans="19:22" x14ac:dyDescent="0.45">
      <c r="S3910" t="s">
        <v>717</v>
      </c>
      <c r="T3910" t="s">
        <v>790</v>
      </c>
      <c r="U3910">
        <v>1.9778638434719508E-2</v>
      </c>
      <c r="V3910" t="s">
        <v>157</v>
      </c>
    </row>
    <row r="3911" spans="19:22" x14ac:dyDescent="0.45">
      <c r="S3911" t="s">
        <v>718</v>
      </c>
      <c r="T3911" t="s">
        <v>779</v>
      </c>
      <c r="U3911">
        <v>0.1143035639087339</v>
      </c>
      <c r="V3911" t="s">
        <v>157</v>
      </c>
    </row>
    <row r="3912" spans="19:22" x14ac:dyDescent="0.45">
      <c r="S3912" t="s">
        <v>718</v>
      </c>
      <c r="T3912" t="s">
        <v>780</v>
      </c>
      <c r="U3912">
        <v>0.11119302538348669</v>
      </c>
      <c r="V3912" t="s">
        <v>157</v>
      </c>
    </row>
    <row r="3913" spans="19:22" x14ac:dyDescent="0.45">
      <c r="S3913" t="s">
        <v>718</v>
      </c>
      <c r="T3913" t="s">
        <v>781</v>
      </c>
      <c r="U3913">
        <v>2.0783946033446042E-2</v>
      </c>
      <c r="V3913" t="s">
        <v>157</v>
      </c>
    </row>
    <row r="3914" spans="19:22" x14ac:dyDescent="0.45">
      <c r="S3914" t="s">
        <v>718</v>
      </c>
      <c r="T3914" t="s">
        <v>782</v>
      </c>
      <c r="U3914">
        <v>0.12144735575719026</v>
      </c>
      <c r="V3914" t="s">
        <v>157</v>
      </c>
    </row>
    <row r="3915" spans="19:22" x14ac:dyDescent="0.45">
      <c r="S3915" t="s">
        <v>718</v>
      </c>
      <c r="T3915" t="s">
        <v>783</v>
      </c>
      <c r="U3915">
        <v>0.12006196209677537</v>
      </c>
      <c r="V3915" t="s">
        <v>157</v>
      </c>
    </row>
    <row r="3916" spans="19:22" x14ac:dyDescent="0.45">
      <c r="S3916" t="s">
        <v>718</v>
      </c>
      <c r="T3916" t="s">
        <v>784</v>
      </c>
      <c r="U3916">
        <v>2.1005560630912343E-2</v>
      </c>
      <c r="V3916" t="s">
        <v>157</v>
      </c>
    </row>
    <row r="3917" spans="19:22" x14ac:dyDescent="0.45">
      <c r="S3917" t="s">
        <v>718</v>
      </c>
      <c r="T3917" t="s">
        <v>785</v>
      </c>
      <c r="U3917">
        <v>0.11589861429638801</v>
      </c>
      <c r="V3917" t="s">
        <v>157</v>
      </c>
    </row>
    <row r="3918" spans="19:22" x14ac:dyDescent="0.45">
      <c r="S3918" t="s">
        <v>718</v>
      </c>
      <c r="T3918" t="s">
        <v>786</v>
      </c>
      <c r="U3918">
        <v>0.11849978227400763</v>
      </c>
      <c r="V3918" t="s">
        <v>157</v>
      </c>
    </row>
    <row r="3919" spans="19:22" x14ac:dyDescent="0.45">
      <c r="S3919" t="s">
        <v>718</v>
      </c>
      <c r="T3919" t="s">
        <v>787</v>
      </c>
      <c r="U3919">
        <v>2.0478836915026766E-2</v>
      </c>
      <c r="V3919" t="s">
        <v>157</v>
      </c>
    </row>
    <row r="3920" spans="19:22" x14ac:dyDescent="0.45">
      <c r="S3920" t="s">
        <v>718</v>
      </c>
      <c r="T3920" t="s">
        <v>788</v>
      </c>
      <c r="U3920">
        <v>0.10964736933663602</v>
      </c>
      <c r="V3920" t="s">
        <v>157</v>
      </c>
    </row>
    <row r="3921" spans="19:22" x14ac:dyDescent="0.45">
      <c r="S3921" t="s">
        <v>718</v>
      </c>
      <c r="T3921" t="s">
        <v>789</v>
      </c>
      <c r="U3921">
        <v>0.10700996272043775</v>
      </c>
      <c r="V3921" t="s">
        <v>157</v>
      </c>
    </row>
    <row r="3922" spans="19:22" x14ac:dyDescent="0.45">
      <c r="S3922" t="s">
        <v>718</v>
      </c>
      <c r="T3922" t="s">
        <v>790</v>
      </c>
      <c r="U3922">
        <v>1.9670020646959181E-2</v>
      </c>
      <c r="V3922" t="s">
        <v>157</v>
      </c>
    </row>
    <row r="3923" spans="19:22" x14ac:dyDescent="0.45">
      <c r="S3923" t="s">
        <v>719</v>
      </c>
      <c r="T3923" t="s">
        <v>779</v>
      </c>
      <c r="U3923">
        <v>0.11442664327277004</v>
      </c>
      <c r="V3923" t="s">
        <v>157</v>
      </c>
    </row>
    <row r="3924" spans="19:22" x14ac:dyDescent="0.45">
      <c r="S3924" t="s">
        <v>719</v>
      </c>
      <c r="T3924" t="s">
        <v>780</v>
      </c>
      <c r="U3924">
        <v>0.10960190188655369</v>
      </c>
      <c r="V3924" t="s">
        <v>157</v>
      </c>
    </row>
    <row r="3925" spans="19:22" x14ac:dyDescent="0.45">
      <c r="S3925" t="s">
        <v>719</v>
      </c>
      <c r="T3925" t="s">
        <v>781</v>
      </c>
      <c r="U3925">
        <v>2.0487857440265361E-2</v>
      </c>
      <c r="V3925" t="s">
        <v>157</v>
      </c>
    </row>
    <row r="3926" spans="19:22" x14ac:dyDescent="0.45">
      <c r="S3926" t="s">
        <v>719</v>
      </c>
      <c r="T3926" t="s">
        <v>782</v>
      </c>
      <c r="U3926">
        <v>0.12216090304751304</v>
      </c>
      <c r="V3926" t="s">
        <v>157</v>
      </c>
    </row>
    <row r="3927" spans="19:22" x14ac:dyDescent="0.45">
      <c r="S3927" t="s">
        <v>719</v>
      </c>
      <c r="T3927" t="s">
        <v>783</v>
      </c>
      <c r="U3927">
        <v>0.12036429168101599</v>
      </c>
      <c r="V3927" t="s">
        <v>157</v>
      </c>
    </row>
    <row r="3928" spans="19:22" x14ac:dyDescent="0.45">
      <c r="S3928" t="s">
        <v>719</v>
      </c>
      <c r="T3928" t="s">
        <v>784</v>
      </c>
      <c r="U3928">
        <v>2.1263352454130798E-2</v>
      </c>
      <c r="V3928" t="s">
        <v>157</v>
      </c>
    </row>
    <row r="3929" spans="19:22" x14ac:dyDescent="0.45">
      <c r="S3929" t="s">
        <v>719</v>
      </c>
      <c r="T3929" t="s">
        <v>785</v>
      </c>
      <c r="U3929">
        <v>0.11722453847982323</v>
      </c>
      <c r="V3929" t="s">
        <v>157</v>
      </c>
    </row>
    <row r="3930" spans="19:22" x14ac:dyDescent="0.45">
      <c r="S3930" t="s">
        <v>719</v>
      </c>
      <c r="T3930" t="s">
        <v>786</v>
      </c>
      <c r="U3930">
        <v>0.11808315263300134</v>
      </c>
      <c r="V3930" t="s">
        <v>157</v>
      </c>
    </row>
    <row r="3931" spans="19:22" x14ac:dyDescent="0.45">
      <c r="S3931" t="s">
        <v>719</v>
      </c>
      <c r="T3931" t="s">
        <v>787</v>
      </c>
      <c r="U3931">
        <v>2.0606482890607087E-2</v>
      </c>
      <c r="V3931" t="s">
        <v>157</v>
      </c>
    </row>
    <row r="3932" spans="19:22" x14ac:dyDescent="0.45">
      <c r="S3932" t="s">
        <v>719</v>
      </c>
      <c r="T3932" t="s">
        <v>788</v>
      </c>
      <c r="U3932">
        <v>0.10879307073589943</v>
      </c>
      <c r="V3932" t="s">
        <v>157</v>
      </c>
    </row>
    <row r="3933" spans="19:22" x14ac:dyDescent="0.45">
      <c r="S3933" t="s">
        <v>719</v>
      </c>
      <c r="T3933" t="s">
        <v>789</v>
      </c>
      <c r="U3933">
        <v>0.10719639876986919</v>
      </c>
      <c r="V3933" t="s">
        <v>157</v>
      </c>
    </row>
    <row r="3934" spans="19:22" x14ac:dyDescent="0.45">
      <c r="S3934" t="s">
        <v>719</v>
      </c>
      <c r="T3934" t="s">
        <v>790</v>
      </c>
      <c r="U3934">
        <v>1.9791406708550775E-2</v>
      </c>
      <c r="V3934" t="s">
        <v>157</v>
      </c>
    </row>
    <row r="3935" spans="19:22" x14ac:dyDescent="0.45">
      <c r="S3935" t="s">
        <v>720</v>
      </c>
      <c r="T3935" t="s">
        <v>779</v>
      </c>
      <c r="U3935">
        <v>0.11444481007504848</v>
      </c>
      <c r="V3935" t="s">
        <v>157</v>
      </c>
    </row>
    <row r="3936" spans="19:22" x14ac:dyDescent="0.45">
      <c r="S3936" t="s">
        <v>720</v>
      </c>
      <c r="T3936" t="s">
        <v>780</v>
      </c>
      <c r="U3936">
        <v>0.10848218937902326</v>
      </c>
      <c r="V3936" t="s">
        <v>157</v>
      </c>
    </row>
    <row r="3937" spans="19:22" x14ac:dyDescent="0.45">
      <c r="S3937" t="s">
        <v>720</v>
      </c>
      <c r="T3937" t="s">
        <v>781</v>
      </c>
      <c r="U3937">
        <v>2.0146369780795922E-2</v>
      </c>
      <c r="V3937" t="s">
        <v>157</v>
      </c>
    </row>
    <row r="3938" spans="19:22" x14ac:dyDescent="0.45">
      <c r="S3938" t="s">
        <v>720</v>
      </c>
      <c r="T3938" t="s">
        <v>782</v>
      </c>
      <c r="U3938">
        <v>0.12234725114385114</v>
      </c>
      <c r="V3938" t="s">
        <v>157</v>
      </c>
    </row>
    <row r="3939" spans="19:22" x14ac:dyDescent="0.45">
      <c r="S3939" t="s">
        <v>720</v>
      </c>
      <c r="T3939" t="s">
        <v>783</v>
      </c>
      <c r="U3939">
        <v>0.1208384010366436</v>
      </c>
      <c r="V3939" t="s">
        <v>157</v>
      </c>
    </row>
    <row r="3940" spans="19:22" x14ac:dyDescent="0.45">
      <c r="S3940" t="s">
        <v>720</v>
      </c>
      <c r="T3940" t="s">
        <v>784</v>
      </c>
      <c r="U3940">
        <v>2.166099393836067E-2</v>
      </c>
      <c r="V3940" t="s">
        <v>157</v>
      </c>
    </row>
    <row r="3941" spans="19:22" x14ac:dyDescent="0.45">
      <c r="S3941" t="s">
        <v>720</v>
      </c>
      <c r="T3941" t="s">
        <v>785</v>
      </c>
      <c r="U3941">
        <v>0.11842625122936695</v>
      </c>
      <c r="V3941" t="s">
        <v>157</v>
      </c>
    </row>
    <row r="3942" spans="19:22" x14ac:dyDescent="0.45">
      <c r="S3942" t="s">
        <v>720</v>
      </c>
      <c r="T3942" t="s">
        <v>786</v>
      </c>
      <c r="U3942">
        <v>0.11776347617422024</v>
      </c>
      <c r="V3942" t="s">
        <v>157</v>
      </c>
    </row>
    <row r="3943" spans="19:22" x14ac:dyDescent="0.45">
      <c r="S3943" t="s">
        <v>720</v>
      </c>
      <c r="T3943" t="s">
        <v>787</v>
      </c>
      <c r="U3943">
        <v>2.0735415290973724E-2</v>
      </c>
      <c r="V3943" t="s">
        <v>157</v>
      </c>
    </row>
    <row r="3944" spans="19:22" x14ac:dyDescent="0.45">
      <c r="S3944" t="s">
        <v>720</v>
      </c>
      <c r="T3944" t="s">
        <v>788</v>
      </c>
      <c r="U3944">
        <v>0.10798231217642762</v>
      </c>
      <c r="V3944" t="s">
        <v>157</v>
      </c>
    </row>
    <row r="3945" spans="19:22" x14ac:dyDescent="0.45">
      <c r="S3945" t="s">
        <v>720</v>
      </c>
      <c r="T3945" t="s">
        <v>789</v>
      </c>
      <c r="U3945">
        <v>0.10708540125059006</v>
      </c>
      <c r="V3945" t="s">
        <v>157</v>
      </c>
    </row>
    <row r="3946" spans="19:22" x14ac:dyDescent="0.45">
      <c r="S3946" t="s">
        <v>720</v>
      </c>
      <c r="T3946" t="s">
        <v>790</v>
      </c>
      <c r="U3946">
        <v>2.0087128524698405E-2</v>
      </c>
      <c r="V3946" t="s">
        <v>157</v>
      </c>
    </row>
    <row r="3947" spans="19:22" x14ac:dyDescent="0.45">
      <c r="S3947" t="s">
        <v>721</v>
      </c>
      <c r="T3947" t="s">
        <v>779</v>
      </c>
      <c r="U3947">
        <v>0.11443589828375432</v>
      </c>
      <c r="V3947" t="s">
        <v>157</v>
      </c>
    </row>
    <row r="3948" spans="19:22" x14ac:dyDescent="0.45">
      <c r="S3948" t="s">
        <v>721</v>
      </c>
      <c r="T3948" t="s">
        <v>780</v>
      </c>
      <c r="U3948">
        <v>0.10895207727648061</v>
      </c>
      <c r="V3948" t="s">
        <v>157</v>
      </c>
    </row>
    <row r="3949" spans="19:22" x14ac:dyDescent="0.45">
      <c r="S3949" t="s">
        <v>721</v>
      </c>
      <c r="T3949" t="s">
        <v>781</v>
      </c>
      <c r="U3949">
        <v>1.9814407213617696E-2</v>
      </c>
      <c r="V3949" t="s">
        <v>157</v>
      </c>
    </row>
    <row r="3950" spans="19:22" x14ac:dyDescent="0.45">
      <c r="S3950" t="s">
        <v>721</v>
      </c>
      <c r="T3950" t="s">
        <v>782</v>
      </c>
      <c r="U3950">
        <v>0.12214362253033503</v>
      </c>
      <c r="V3950" t="s">
        <v>157</v>
      </c>
    </row>
    <row r="3951" spans="19:22" x14ac:dyDescent="0.45">
      <c r="S3951" t="s">
        <v>721</v>
      </c>
      <c r="T3951" t="s">
        <v>783</v>
      </c>
      <c r="U3951">
        <v>0.12089998341906341</v>
      </c>
      <c r="V3951" t="s">
        <v>157</v>
      </c>
    </row>
    <row r="3952" spans="19:22" x14ac:dyDescent="0.45">
      <c r="S3952" t="s">
        <v>721</v>
      </c>
      <c r="T3952" t="s">
        <v>784</v>
      </c>
      <c r="U3952">
        <v>2.1950594957939634E-2</v>
      </c>
      <c r="V3952" t="s">
        <v>157</v>
      </c>
    </row>
    <row r="3953" spans="19:22" x14ac:dyDescent="0.45">
      <c r="S3953" t="s">
        <v>721</v>
      </c>
      <c r="T3953" t="s">
        <v>785</v>
      </c>
      <c r="U3953">
        <v>0.11946686852861992</v>
      </c>
      <c r="V3953" t="s">
        <v>157</v>
      </c>
    </row>
    <row r="3954" spans="19:22" x14ac:dyDescent="0.45">
      <c r="S3954" t="s">
        <v>721</v>
      </c>
      <c r="T3954" t="s">
        <v>786</v>
      </c>
      <c r="U3954">
        <v>0.11796840178930779</v>
      </c>
      <c r="V3954" t="s">
        <v>157</v>
      </c>
    </row>
    <row r="3955" spans="19:22" x14ac:dyDescent="0.45">
      <c r="S3955" t="s">
        <v>721</v>
      </c>
      <c r="T3955" t="s">
        <v>787</v>
      </c>
      <c r="U3955">
        <v>2.086083474600654E-2</v>
      </c>
      <c r="V3955" t="s">
        <v>157</v>
      </c>
    </row>
    <row r="3956" spans="19:22" x14ac:dyDescent="0.45">
      <c r="S3956" t="s">
        <v>721</v>
      </c>
      <c r="T3956" t="s">
        <v>788</v>
      </c>
      <c r="U3956">
        <v>0.10679410269714516</v>
      </c>
      <c r="V3956" t="s">
        <v>157</v>
      </c>
    </row>
    <row r="3957" spans="19:22" x14ac:dyDescent="0.45">
      <c r="S3957" t="s">
        <v>721</v>
      </c>
      <c r="T3957" t="s">
        <v>789</v>
      </c>
      <c r="U3957">
        <v>0.10635786540344033</v>
      </c>
      <c r="V3957" t="s">
        <v>157</v>
      </c>
    </row>
    <row r="3958" spans="19:22" x14ac:dyDescent="0.45">
      <c r="S3958" t="s">
        <v>721</v>
      </c>
      <c r="T3958" t="s">
        <v>790</v>
      </c>
      <c r="U3958">
        <v>2.0355343154289642E-2</v>
      </c>
      <c r="V3958" t="s">
        <v>157</v>
      </c>
    </row>
    <row r="3959" spans="19:22" x14ac:dyDescent="0.45">
      <c r="S3959" t="s">
        <v>722</v>
      </c>
      <c r="T3959" t="s">
        <v>779</v>
      </c>
      <c r="U3959">
        <v>0.11456239793154223</v>
      </c>
      <c r="V3959" t="s">
        <v>157</v>
      </c>
    </row>
    <row r="3960" spans="19:22" x14ac:dyDescent="0.45">
      <c r="S3960" t="s">
        <v>722</v>
      </c>
      <c r="T3960" t="s">
        <v>780</v>
      </c>
      <c r="U3960">
        <v>0.11033585502146427</v>
      </c>
      <c r="V3960" t="s">
        <v>157</v>
      </c>
    </row>
    <row r="3961" spans="19:22" x14ac:dyDescent="0.45">
      <c r="S3961" t="s">
        <v>722</v>
      </c>
      <c r="T3961" t="s">
        <v>781</v>
      </c>
      <c r="U3961">
        <v>1.9358984996379416E-2</v>
      </c>
      <c r="V3961" t="s">
        <v>157</v>
      </c>
    </row>
    <row r="3962" spans="19:22" x14ac:dyDescent="0.45">
      <c r="S3962" t="s">
        <v>722</v>
      </c>
      <c r="T3962" t="s">
        <v>782</v>
      </c>
      <c r="U3962">
        <v>0.12179485886928818</v>
      </c>
      <c r="V3962" t="s">
        <v>157</v>
      </c>
    </row>
    <row r="3963" spans="19:22" x14ac:dyDescent="0.45">
      <c r="S3963" t="s">
        <v>722</v>
      </c>
      <c r="T3963" t="s">
        <v>783</v>
      </c>
      <c r="U3963">
        <v>0.11951091894886265</v>
      </c>
      <c r="V3963" t="s">
        <v>157</v>
      </c>
    </row>
    <row r="3964" spans="19:22" x14ac:dyDescent="0.45">
      <c r="S3964" t="s">
        <v>722</v>
      </c>
      <c r="T3964" t="s">
        <v>784</v>
      </c>
      <c r="U3964">
        <v>2.2124031570706523E-2</v>
      </c>
      <c r="V3964" t="s">
        <v>157</v>
      </c>
    </row>
    <row r="3965" spans="19:22" x14ac:dyDescent="0.45">
      <c r="S3965" t="s">
        <v>722</v>
      </c>
      <c r="T3965" t="s">
        <v>785</v>
      </c>
      <c r="U3965">
        <v>0.12044621940685755</v>
      </c>
      <c r="V3965" t="s">
        <v>157</v>
      </c>
    </row>
    <row r="3966" spans="19:22" x14ac:dyDescent="0.45">
      <c r="S3966" t="s">
        <v>722</v>
      </c>
      <c r="T3966" t="s">
        <v>786</v>
      </c>
      <c r="U3966">
        <v>0.11870039114711224</v>
      </c>
      <c r="V3966" t="s">
        <v>157</v>
      </c>
    </row>
    <row r="3967" spans="19:22" x14ac:dyDescent="0.45">
      <c r="S3967" t="s">
        <v>722</v>
      </c>
      <c r="T3967" t="s">
        <v>787</v>
      </c>
      <c r="U3967">
        <v>2.1163757680571525E-2</v>
      </c>
      <c r="V3967" t="s">
        <v>157</v>
      </c>
    </row>
    <row r="3968" spans="19:22" x14ac:dyDescent="0.45">
      <c r="S3968" t="s">
        <v>722</v>
      </c>
      <c r="T3968" t="s">
        <v>788</v>
      </c>
      <c r="U3968">
        <v>0.10578207274167807</v>
      </c>
      <c r="V3968" t="s">
        <v>157</v>
      </c>
    </row>
    <row r="3969" spans="19:22" x14ac:dyDescent="0.45">
      <c r="S3969" t="s">
        <v>722</v>
      </c>
      <c r="T3969" t="s">
        <v>789</v>
      </c>
      <c r="U3969">
        <v>0.10575846195910792</v>
      </c>
      <c r="V3969" t="s">
        <v>157</v>
      </c>
    </row>
    <row r="3970" spans="19:22" x14ac:dyDescent="0.45">
      <c r="S3970" t="s">
        <v>722</v>
      </c>
      <c r="T3970" t="s">
        <v>790</v>
      </c>
      <c r="U3970">
        <v>2.0462049726429409E-2</v>
      </c>
      <c r="V3970" t="s">
        <v>157</v>
      </c>
    </row>
    <row r="3971" spans="19:22" x14ac:dyDescent="0.45">
      <c r="S3971" t="s">
        <v>723</v>
      </c>
      <c r="T3971" t="s">
        <v>779</v>
      </c>
      <c r="U3971">
        <v>0.11903603392897033</v>
      </c>
      <c r="V3971" t="s">
        <v>157</v>
      </c>
    </row>
    <row r="3972" spans="19:22" x14ac:dyDescent="0.45">
      <c r="S3972" t="s">
        <v>723</v>
      </c>
      <c r="T3972" t="s">
        <v>780</v>
      </c>
      <c r="U3972">
        <v>0.12429694716291062</v>
      </c>
      <c r="V3972" t="s">
        <v>157</v>
      </c>
    </row>
    <row r="3973" spans="19:22" x14ac:dyDescent="0.45">
      <c r="S3973" t="s">
        <v>723</v>
      </c>
      <c r="T3973" t="s">
        <v>781</v>
      </c>
      <c r="U3973">
        <v>1.9279815264278032E-2</v>
      </c>
      <c r="V3973" t="s">
        <v>157</v>
      </c>
    </row>
    <row r="3974" spans="19:22" x14ac:dyDescent="0.45">
      <c r="S3974" t="s">
        <v>723</v>
      </c>
      <c r="T3974" t="s">
        <v>782</v>
      </c>
      <c r="U3974">
        <v>0.10548087929151924</v>
      </c>
      <c r="V3974" t="s">
        <v>157</v>
      </c>
    </row>
    <row r="3975" spans="19:22" x14ac:dyDescent="0.45">
      <c r="S3975" t="s">
        <v>723</v>
      </c>
      <c r="T3975" t="s">
        <v>783</v>
      </c>
      <c r="U3975">
        <v>0.11064913158912636</v>
      </c>
      <c r="V3975" t="s">
        <v>157</v>
      </c>
    </row>
    <row r="3976" spans="19:22" x14ac:dyDescent="0.45">
      <c r="S3976" t="s">
        <v>723</v>
      </c>
      <c r="T3976" t="s">
        <v>784</v>
      </c>
      <c r="U3976">
        <v>2.0501799808577987E-2</v>
      </c>
      <c r="V3976" t="s">
        <v>157</v>
      </c>
    </row>
    <row r="3977" spans="19:22" x14ac:dyDescent="0.45">
      <c r="S3977" t="s">
        <v>723</v>
      </c>
      <c r="T3977" t="s">
        <v>785</v>
      </c>
      <c r="U3977">
        <v>0.13085098997943886</v>
      </c>
      <c r="V3977" t="s">
        <v>157</v>
      </c>
    </row>
    <row r="3978" spans="19:22" x14ac:dyDescent="0.45">
      <c r="S3978" t="s">
        <v>723</v>
      </c>
      <c r="T3978" t="s">
        <v>786</v>
      </c>
      <c r="U3978">
        <v>0.13087581352191474</v>
      </c>
      <c r="V3978" t="s">
        <v>157</v>
      </c>
    </row>
    <row r="3979" spans="19:22" x14ac:dyDescent="0.45">
      <c r="S3979" t="s">
        <v>723</v>
      </c>
      <c r="T3979" t="s">
        <v>787</v>
      </c>
      <c r="U3979">
        <v>2.275301352850502E-2</v>
      </c>
      <c r="V3979" t="s">
        <v>157</v>
      </c>
    </row>
    <row r="3980" spans="19:22" x14ac:dyDescent="0.45">
      <c r="S3980" t="s">
        <v>723</v>
      </c>
      <c r="T3980" t="s">
        <v>788</v>
      </c>
      <c r="U3980">
        <v>9.2099481981657114E-2</v>
      </c>
      <c r="V3980" t="s">
        <v>157</v>
      </c>
    </row>
    <row r="3981" spans="19:22" x14ac:dyDescent="0.45">
      <c r="S3981" t="s">
        <v>723</v>
      </c>
      <c r="T3981" t="s">
        <v>789</v>
      </c>
      <c r="U3981">
        <v>0.10477075674743604</v>
      </c>
      <c r="V3981" t="s">
        <v>157</v>
      </c>
    </row>
    <row r="3982" spans="19:22" x14ac:dyDescent="0.45">
      <c r="S3982" t="s">
        <v>723</v>
      </c>
      <c r="T3982" t="s">
        <v>790</v>
      </c>
      <c r="U3982">
        <v>1.9405337195665597E-2</v>
      </c>
      <c r="V3982" t="s">
        <v>157</v>
      </c>
    </row>
    <row r="3983" spans="19:22" x14ac:dyDescent="0.45">
      <c r="S3983" t="s">
        <v>724</v>
      </c>
      <c r="T3983" t="s">
        <v>779</v>
      </c>
      <c r="U3983">
        <v>0.11697371317878119</v>
      </c>
      <c r="V3983" t="s">
        <v>157</v>
      </c>
    </row>
    <row r="3984" spans="19:22" x14ac:dyDescent="0.45">
      <c r="S3984" t="s">
        <v>724</v>
      </c>
      <c r="T3984" t="s">
        <v>780</v>
      </c>
      <c r="U3984">
        <v>0.12554260219182561</v>
      </c>
      <c r="V3984" t="s">
        <v>157</v>
      </c>
    </row>
    <row r="3985" spans="19:22" x14ac:dyDescent="0.45">
      <c r="S3985" t="s">
        <v>724</v>
      </c>
      <c r="T3985" t="s">
        <v>781</v>
      </c>
      <c r="U3985">
        <v>2.0422330711304334E-2</v>
      </c>
      <c r="V3985" t="s">
        <v>157</v>
      </c>
    </row>
    <row r="3986" spans="19:22" x14ac:dyDescent="0.45">
      <c r="S3986" t="s">
        <v>724</v>
      </c>
      <c r="T3986" t="s">
        <v>782</v>
      </c>
      <c r="U3986">
        <v>0.10087730048905745</v>
      </c>
      <c r="V3986" t="s">
        <v>157</v>
      </c>
    </row>
    <row r="3987" spans="19:22" x14ac:dyDescent="0.45">
      <c r="S3987" t="s">
        <v>724</v>
      </c>
      <c r="T3987" t="s">
        <v>783</v>
      </c>
      <c r="U3987">
        <v>0.11150755408298547</v>
      </c>
      <c r="V3987" t="s">
        <v>157</v>
      </c>
    </row>
    <row r="3988" spans="19:22" x14ac:dyDescent="0.45">
      <c r="S3988" t="s">
        <v>724</v>
      </c>
      <c r="T3988" t="s">
        <v>784</v>
      </c>
      <c r="U3988">
        <v>2.1502297937197743E-2</v>
      </c>
      <c r="V3988" t="s">
        <v>157</v>
      </c>
    </row>
    <row r="3989" spans="19:22" x14ac:dyDescent="0.45">
      <c r="S3989" t="s">
        <v>724</v>
      </c>
      <c r="T3989" t="s">
        <v>785</v>
      </c>
      <c r="U3989">
        <v>0.1253566763712417</v>
      </c>
      <c r="V3989" t="s">
        <v>157</v>
      </c>
    </row>
    <row r="3990" spans="19:22" x14ac:dyDescent="0.45">
      <c r="S3990" t="s">
        <v>724</v>
      </c>
      <c r="T3990" t="s">
        <v>786</v>
      </c>
      <c r="U3990">
        <v>0.12973463451468611</v>
      </c>
      <c r="V3990" t="s">
        <v>157</v>
      </c>
    </row>
    <row r="3991" spans="19:22" x14ac:dyDescent="0.45">
      <c r="S3991" t="s">
        <v>724</v>
      </c>
      <c r="T3991" t="s">
        <v>787</v>
      </c>
      <c r="U3991">
        <v>2.2774232876705502E-2</v>
      </c>
      <c r="V3991" t="s">
        <v>157</v>
      </c>
    </row>
    <row r="3992" spans="19:22" x14ac:dyDescent="0.45">
      <c r="S3992" t="s">
        <v>724</v>
      </c>
      <c r="T3992" t="s">
        <v>788</v>
      </c>
      <c r="U3992">
        <v>9.2100225067101402E-2</v>
      </c>
      <c r="V3992" t="s">
        <v>157</v>
      </c>
    </row>
    <row r="3993" spans="19:22" x14ac:dyDescent="0.45">
      <c r="S3993" t="s">
        <v>724</v>
      </c>
      <c r="T3993" t="s">
        <v>789</v>
      </c>
      <c r="U3993">
        <v>0.11148786541566941</v>
      </c>
      <c r="V3993" t="s">
        <v>157</v>
      </c>
    </row>
    <row r="3994" spans="19:22" x14ac:dyDescent="0.45">
      <c r="S3994" t="s">
        <v>724</v>
      </c>
      <c r="T3994" t="s">
        <v>790</v>
      </c>
      <c r="U3994">
        <v>2.1720567163444084E-2</v>
      </c>
      <c r="V3994" t="s">
        <v>157</v>
      </c>
    </row>
    <row r="3995" spans="19:22" x14ac:dyDescent="0.45">
      <c r="S3995" t="s">
        <v>725</v>
      </c>
      <c r="T3995" t="s">
        <v>779</v>
      </c>
      <c r="U3995">
        <v>0.11806272481301343</v>
      </c>
      <c r="V3995" t="s">
        <v>157</v>
      </c>
    </row>
    <row r="3996" spans="19:22" x14ac:dyDescent="0.45">
      <c r="S3996" t="s">
        <v>725</v>
      </c>
      <c r="T3996" t="s">
        <v>780</v>
      </c>
      <c r="U3996">
        <v>0.12844497888113071</v>
      </c>
      <c r="V3996" t="s">
        <v>157</v>
      </c>
    </row>
    <row r="3997" spans="19:22" x14ac:dyDescent="0.45">
      <c r="S3997" t="s">
        <v>725</v>
      </c>
      <c r="T3997" t="s">
        <v>781</v>
      </c>
      <c r="U3997">
        <v>2.2247173047118665E-2</v>
      </c>
      <c r="V3997" t="s">
        <v>157</v>
      </c>
    </row>
    <row r="3998" spans="19:22" x14ac:dyDescent="0.45">
      <c r="S3998" t="s">
        <v>725</v>
      </c>
      <c r="T3998" t="s">
        <v>782</v>
      </c>
      <c r="U3998">
        <v>9.7666744843846506E-2</v>
      </c>
      <c r="V3998" t="s">
        <v>157</v>
      </c>
    </row>
    <row r="3999" spans="19:22" x14ac:dyDescent="0.45">
      <c r="S3999" t="s">
        <v>725</v>
      </c>
      <c r="T3999" t="s">
        <v>783</v>
      </c>
      <c r="U3999">
        <v>0.10962437433352334</v>
      </c>
      <c r="V3999" t="s">
        <v>157</v>
      </c>
    </row>
    <row r="4000" spans="19:22" x14ac:dyDescent="0.45">
      <c r="S4000" t="s">
        <v>725</v>
      </c>
      <c r="T4000" t="s">
        <v>784</v>
      </c>
      <c r="U4000">
        <v>2.2177045558202345E-2</v>
      </c>
      <c r="V4000" t="s">
        <v>157</v>
      </c>
    </row>
    <row r="4001" spans="19:22" x14ac:dyDescent="0.45">
      <c r="S4001" t="s">
        <v>725</v>
      </c>
      <c r="T4001" t="s">
        <v>785</v>
      </c>
      <c r="U4001">
        <v>0.12039467903181549</v>
      </c>
      <c r="V4001" t="s">
        <v>157</v>
      </c>
    </row>
    <row r="4002" spans="19:22" x14ac:dyDescent="0.45">
      <c r="S4002" t="s">
        <v>725</v>
      </c>
      <c r="T4002" t="s">
        <v>786</v>
      </c>
      <c r="U4002">
        <v>0.13041887635758023</v>
      </c>
      <c r="V4002" t="s">
        <v>157</v>
      </c>
    </row>
    <row r="4003" spans="19:22" x14ac:dyDescent="0.45">
      <c r="S4003" t="s">
        <v>725</v>
      </c>
      <c r="T4003" t="s">
        <v>787</v>
      </c>
      <c r="U4003">
        <v>2.3131191408054953E-2</v>
      </c>
      <c r="V4003" t="s">
        <v>157</v>
      </c>
    </row>
    <row r="4004" spans="19:22" x14ac:dyDescent="0.45">
      <c r="S4004" t="s">
        <v>725</v>
      </c>
      <c r="T4004" t="s">
        <v>788</v>
      </c>
      <c r="U4004">
        <v>9.1170614634738523E-2</v>
      </c>
      <c r="V4004" t="s">
        <v>157</v>
      </c>
    </row>
    <row r="4005" spans="19:22" x14ac:dyDescent="0.45">
      <c r="S4005" t="s">
        <v>725</v>
      </c>
      <c r="T4005" t="s">
        <v>789</v>
      </c>
      <c r="U4005">
        <v>0.11285643692988567</v>
      </c>
      <c r="V4005" t="s">
        <v>157</v>
      </c>
    </row>
    <row r="4006" spans="19:22" x14ac:dyDescent="0.45">
      <c r="S4006" t="s">
        <v>725</v>
      </c>
      <c r="T4006" t="s">
        <v>790</v>
      </c>
      <c r="U4006">
        <v>2.3805160161090144E-2</v>
      </c>
      <c r="V4006" t="s">
        <v>157</v>
      </c>
    </row>
    <row r="4007" spans="19:22" x14ac:dyDescent="0.45">
      <c r="S4007" t="s">
        <v>726</v>
      </c>
      <c r="T4007" t="s">
        <v>779</v>
      </c>
      <c r="U4007">
        <v>0.13264427628400299</v>
      </c>
      <c r="V4007" t="s">
        <v>157</v>
      </c>
    </row>
    <row r="4008" spans="19:22" x14ac:dyDescent="0.45">
      <c r="S4008" t="s">
        <v>726</v>
      </c>
      <c r="T4008" t="s">
        <v>780</v>
      </c>
      <c r="U4008">
        <v>0.1328043732429757</v>
      </c>
      <c r="V4008" t="s">
        <v>157</v>
      </c>
    </row>
    <row r="4009" spans="19:22" x14ac:dyDescent="0.45">
      <c r="S4009" t="s">
        <v>726</v>
      </c>
      <c r="T4009" t="s">
        <v>781</v>
      </c>
      <c r="U4009">
        <v>2.427076700674256E-2</v>
      </c>
      <c r="V4009" t="s">
        <v>157</v>
      </c>
    </row>
    <row r="4010" spans="19:22" x14ac:dyDescent="0.45">
      <c r="S4010" t="s">
        <v>726</v>
      </c>
      <c r="T4010" t="s">
        <v>782</v>
      </c>
      <c r="U4010">
        <v>9.9140326968938375E-2</v>
      </c>
      <c r="V4010" t="s">
        <v>157</v>
      </c>
    </row>
    <row r="4011" spans="19:22" x14ac:dyDescent="0.45">
      <c r="S4011" t="s">
        <v>726</v>
      </c>
      <c r="T4011" t="s">
        <v>783</v>
      </c>
      <c r="U4011">
        <v>0.10311077570840751</v>
      </c>
      <c r="V4011" t="s">
        <v>157</v>
      </c>
    </row>
    <row r="4012" spans="19:22" x14ac:dyDescent="0.45">
      <c r="S4012" t="s">
        <v>726</v>
      </c>
      <c r="T4012" t="s">
        <v>784</v>
      </c>
      <c r="U4012">
        <v>2.1200075111333535E-2</v>
      </c>
      <c r="V4012" t="s">
        <v>157</v>
      </c>
    </row>
    <row r="4013" spans="19:22" x14ac:dyDescent="0.45">
      <c r="S4013" t="s">
        <v>726</v>
      </c>
      <c r="T4013" t="s">
        <v>785</v>
      </c>
      <c r="U4013">
        <v>0.11873727204155091</v>
      </c>
      <c r="V4013" t="s">
        <v>157</v>
      </c>
    </row>
    <row r="4014" spans="19:22" x14ac:dyDescent="0.45">
      <c r="S4014" t="s">
        <v>726</v>
      </c>
      <c r="T4014" t="s">
        <v>786</v>
      </c>
      <c r="U4014">
        <v>0.12601548504798216</v>
      </c>
      <c r="V4014" t="s">
        <v>157</v>
      </c>
    </row>
    <row r="4015" spans="19:22" x14ac:dyDescent="0.45">
      <c r="S4015" t="s">
        <v>726</v>
      </c>
      <c r="T4015" t="s">
        <v>787</v>
      </c>
      <c r="U4015">
        <v>2.3325059570798778E-2</v>
      </c>
      <c r="V4015" t="s">
        <v>157</v>
      </c>
    </row>
    <row r="4016" spans="19:22" x14ac:dyDescent="0.45">
      <c r="S4016" t="s">
        <v>726</v>
      </c>
      <c r="T4016" t="s">
        <v>788</v>
      </c>
      <c r="U4016">
        <v>9.3966869502004502E-2</v>
      </c>
      <c r="V4016" t="s">
        <v>157</v>
      </c>
    </row>
    <row r="4017" spans="19:22" x14ac:dyDescent="0.45">
      <c r="S4017" t="s">
        <v>726</v>
      </c>
      <c r="T4017" t="s">
        <v>789</v>
      </c>
      <c r="U4017">
        <v>0.10031290634279236</v>
      </c>
      <c r="V4017" t="s">
        <v>157</v>
      </c>
    </row>
    <row r="4018" spans="19:22" x14ac:dyDescent="0.45">
      <c r="S4018" t="s">
        <v>726</v>
      </c>
      <c r="T4018" t="s">
        <v>790</v>
      </c>
      <c r="U4018">
        <v>2.4471813172470561E-2</v>
      </c>
      <c r="V4018" t="s">
        <v>157</v>
      </c>
    </row>
    <row r="4019" spans="19:22" x14ac:dyDescent="0.45">
      <c r="S4019" t="s">
        <v>727</v>
      </c>
      <c r="T4019" t="s">
        <v>779</v>
      </c>
      <c r="U4019">
        <v>0.15851561322514485</v>
      </c>
      <c r="V4019" t="s">
        <v>157</v>
      </c>
    </row>
    <row r="4020" spans="19:22" x14ac:dyDescent="0.45">
      <c r="S4020" t="s">
        <v>727</v>
      </c>
      <c r="T4020" t="s">
        <v>780</v>
      </c>
      <c r="U4020">
        <v>0.14678227708493227</v>
      </c>
      <c r="V4020" t="s">
        <v>157</v>
      </c>
    </row>
    <row r="4021" spans="19:22" x14ac:dyDescent="0.45">
      <c r="S4021" t="s">
        <v>727</v>
      </c>
      <c r="T4021" t="s">
        <v>781</v>
      </c>
      <c r="U4021">
        <v>2.7504846431536101E-2</v>
      </c>
      <c r="V4021" t="s">
        <v>157</v>
      </c>
    </row>
    <row r="4022" spans="19:22" x14ac:dyDescent="0.45">
      <c r="S4022" t="s">
        <v>727</v>
      </c>
      <c r="T4022" t="s">
        <v>782</v>
      </c>
      <c r="U4022">
        <v>9.9609294007615867E-2</v>
      </c>
      <c r="V4022" t="s">
        <v>157</v>
      </c>
    </row>
    <row r="4023" spans="19:22" x14ac:dyDescent="0.45">
      <c r="S4023" t="s">
        <v>727</v>
      </c>
      <c r="T4023" t="s">
        <v>783</v>
      </c>
      <c r="U4023">
        <v>9.4226955066215493E-2</v>
      </c>
      <c r="V4023" t="s">
        <v>157</v>
      </c>
    </row>
    <row r="4024" spans="19:22" x14ac:dyDescent="0.45">
      <c r="S4024" t="s">
        <v>727</v>
      </c>
      <c r="T4024" t="s">
        <v>784</v>
      </c>
      <c r="U4024">
        <v>1.7446996247552346E-2</v>
      </c>
      <c r="V4024" t="s">
        <v>157</v>
      </c>
    </row>
    <row r="4025" spans="19:22" x14ac:dyDescent="0.45">
      <c r="S4025" t="s">
        <v>727</v>
      </c>
      <c r="T4025" t="s">
        <v>785</v>
      </c>
      <c r="U4025">
        <v>0.11736147322062637</v>
      </c>
      <c r="V4025" t="s">
        <v>157</v>
      </c>
    </row>
    <row r="4026" spans="19:22" x14ac:dyDescent="0.45">
      <c r="S4026" t="s">
        <v>727</v>
      </c>
      <c r="T4026" t="s">
        <v>786</v>
      </c>
      <c r="U4026">
        <v>0.11475797869787811</v>
      </c>
      <c r="V4026" t="s">
        <v>157</v>
      </c>
    </row>
    <row r="4027" spans="19:22" x14ac:dyDescent="0.45">
      <c r="S4027" t="s">
        <v>727</v>
      </c>
      <c r="T4027" t="s">
        <v>787</v>
      </c>
      <c r="U4027">
        <v>2.2205558914242893E-2</v>
      </c>
      <c r="V4027" t="s">
        <v>157</v>
      </c>
    </row>
    <row r="4028" spans="19:22" x14ac:dyDescent="0.45">
      <c r="S4028" t="s">
        <v>727</v>
      </c>
      <c r="T4028" t="s">
        <v>788</v>
      </c>
      <c r="U4028">
        <v>9.5975686989682132E-2</v>
      </c>
      <c r="V4028" t="s">
        <v>157</v>
      </c>
    </row>
    <row r="4029" spans="19:22" x14ac:dyDescent="0.45">
      <c r="S4029" t="s">
        <v>727</v>
      </c>
      <c r="T4029" t="s">
        <v>789</v>
      </c>
      <c r="U4029">
        <v>8.4372909080341271E-2</v>
      </c>
      <c r="V4029" t="s">
        <v>157</v>
      </c>
    </row>
    <row r="4030" spans="19:22" x14ac:dyDescent="0.45">
      <c r="S4030" t="s">
        <v>727</v>
      </c>
      <c r="T4030" t="s">
        <v>790</v>
      </c>
      <c r="U4030">
        <v>2.1240411034232295E-2</v>
      </c>
      <c r="V4030" t="s">
        <v>157</v>
      </c>
    </row>
    <row r="4031" spans="19:22" x14ac:dyDescent="0.45">
      <c r="S4031" t="s">
        <v>728</v>
      </c>
      <c r="T4031" t="s">
        <v>779</v>
      </c>
      <c r="U4031">
        <v>0.18400459835580357</v>
      </c>
      <c r="V4031" t="s">
        <v>157</v>
      </c>
    </row>
    <row r="4032" spans="19:22" x14ac:dyDescent="0.45">
      <c r="S4032" t="s">
        <v>728</v>
      </c>
      <c r="T4032" t="s">
        <v>780</v>
      </c>
      <c r="U4032">
        <v>0.14473373703627671</v>
      </c>
      <c r="V4032" t="s">
        <v>157</v>
      </c>
    </row>
    <row r="4033" spans="19:22" x14ac:dyDescent="0.45">
      <c r="S4033" t="s">
        <v>728</v>
      </c>
      <c r="T4033" t="s">
        <v>781</v>
      </c>
      <c r="U4033">
        <v>3.1747436700276209E-2</v>
      </c>
      <c r="V4033" t="s">
        <v>157</v>
      </c>
    </row>
    <row r="4034" spans="19:22" x14ac:dyDescent="0.45">
      <c r="S4034" t="s">
        <v>728</v>
      </c>
      <c r="T4034" t="s">
        <v>782</v>
      </c>
      <c r="U4034">
        <v>0.10303351012202076</v>
      </c>
      <c r="V4034" t="s">
        <v>157</v>
      </c>
    </row>
    <row r="4035" spans="19:22" x14ac:dyDescent="0.45">
      <c r="S4035" t="s">
        <v>728</v>
      </c>
      <c r="T4035" t="s">
        <v>783</v>
      </c>
      <c r="U4035">
        <v>8.9610640904114358E-2</v>
      </c>
      <c r="V4035" t="s">
        <v>157</v>
      </c>
    </row>
    <row r="4036" spans="19:22" x14ac:dyDescent="0.45">
      <c r="S4036" t="s">
        <v>728</v>
      </c>
      <c r="T4036" t="s">
        <v>784</v>
      </c>
      <c r="U4036">
        <v>1.5791480543054646E-2</v>
      </c>
      <c r="V4036" t="s">
        <v>157</v>
      </c>
    </row>
    <row r="4037" spans="19:22" x14ac:dyDescent="0.45">
      <c r="S4037" t="s">
        <v>728</v>
      </c>
      <c r="T4037" t="s">
        <v>785</v>
      </c>
      <c r="U4037">
        <v>0.11266162599680998</v>
      </c>
      <c r="V4037" t="s">
        <v>157</v>
      </c>
    </row>
    <row r="4038" spans="19:22" x14ac:dyDescent="0.45">
      <c r="S4038" t="s">
        <v>728</v>
      </c>
      <c r="T4038" t="s">
        <v>786</v>
      </c>
      <c r="U4038">
        <v>0.10296746487062666</v>
      </c>
      <c r="V4038" t="s">
        <v>157</v>
      </c>
    </row>
    <row r="4039" spans="19:22" x14ac:dyDescent="0.45">
      <c r="S4039" t="s">
        <v>728</v>
      </c>
      <c r="T4039" t="s">
        <v>787</v>
      </c>
      <c r="U4039">
        <v>1.9686547028682378E-2</v>
      </c>
      <c r="V4039" t="s">
        <v>157</v>
      </c>
    </row>
    <row r="4040" spans="19:22" x14ac:dyDescent="0.45">
      <c r="S4040" t="s">
        <v>728</v>
      </c>
      <c r="T4040" t="s">
        <v>788</v>
      </c>
      <c r="U4040">
        <v>0.1041599132687988</v>
      </c>
      <c r="V4040" t="s">
        <v>157</v>
      </c>
    </row>
    <row r="4041" spans="19:22" x14ac:dyDescent="0.45">
      <c r="S4041" t="s">
        <v>728</v>
      </c>
      <c r="T4041" t="s">
        <v>789</v>
      </c>
      <c r="U4041">
        <v>7.0860632222205483E-2</v>
      </c>
      <c r="V4041" t="s">
        <v>157</v>
      </c>
    </row>
    <row r="4042" spans="19:22" x14ac:dyDescent="0.45">
      <c r="S4042" t="s">
        <v>728</v>
      </c>
      <c r="T4042" t="s">
        <v>790</v>
      </c>
      <c r="U4042">
        <v>2.0742412951330481E-2</v>
      </c>
      <c r="V4042" t="s">
        <v>157</v>
      </c>
    </row>
    <row r="4043" spans="19:22" x14ac:dyDescent="0.45">
      <c r="S4043" t="s">
        <v>729</v>
      </c>
      <c r="T4043" t="s">
        <v>779</v>
      </c>
      <c r="U4043">
        <v>0.14399758239686644</v>
      </c>
      <c r="V4043" t="s">
        <v>157</v>
      </c>
    </row>
    <row r="4044" spans="19:22" x14ac:dyDescent="0.45">
      <c r="S4044" t="s">
        <v>729</v>
      </c>
      <c r="T4044" t="s">
        <v>780</v>
      </c>
      <c r="U4044">
        <v>0.13935713894264282</v>
      </c>
      <c r="V4044" t="s">
        <v>157</v>
      </c>
    </row>
    <row r="4045" spans="19:22" x14ac:dyDescent="0.45">
      <c r="S4045" t="s">
        <v>729</v>
      </c>
      <c r="T4045" t="s">
        <v>781</v>
      </c>
      <c r="U4045">
        <v>2.7518318648887295E-2</v>
      </c>
      <c r="V4045" t="s">
        <v>157</v>
      </c>
    </row>
    <row r="4046" spans="19:22" x14ac:dyDescent="0.45">
      <c r="S4046" t="s">
        <v>729</v>
      </c>
      <c r="T4046" t="s">
        <v>782</v>
      </c>
      <c r="U4046">
        <v>9.7624242858011079E-2</v>
      </c>
      <c r="V4046" t="s">
        <v>157</v>
      </c>
    </row>
    <row r="4047" spans="19:22" x14ac:dyDescent="0.45">
      <c r="S4047" t="s">
        <v>729</v>
      </c>
      <c r="T4047" t="s">
        <v>783</v>
      </c>
      <c r="U4047">
        <v>0.10310299394138908</v>
      </c>
      <c r="V4047" t="s">
        <v>157</v>
      </c>
    </row>
    <row r="4048" spans="19:22" x14ac:dyDescent="0.45">
      <c r="S4048" t="s">
        <v>729</v>
      </c>
      <c r="T4048" t="s">
        <v>784</v>
      </c>
      <c r="U4048">
        <v>1.9332666082403336E-2</v>
      </c>
      <c r="V4048" t="s">
        <v>157</v>
      </c>
    </row>
    <row r="4049" spans="19:22" x14ac:dyDescent="0.45">
      <c r="S4049" t="s">
        <v>729</v>
      </c>
      <c r="T4049" t="s">
        <v>785</v>
      </c>
      <c r="U4049">
        <v>0.1155255951986109</v>
      </c>
      <c r="V4049" t="s">
        <v>157</v>
      </c>
    </row>
    <row r="4050" spans="19:22" x14ac:dyDescent="0.45">
      <c r="S4050" t="s">
        <v>729</v>
      </c>
      <c r="T4050" t="s">
        <v>786</v>
      </c>
      <c r="U4050">
        <v>0.1139983900535145</v>
      </c>
      <c r="V4050" t="s">
        <v>157</v>
      </c>
    </row>
    <row r="4051" spans="19:22" x14ac:dyDescent="0.45">
      <c r="S4051" t="s">
        <v>729</v>
      </c>
      <c r="T4051" t="s">
        <v>787</v>
      </c>
      <c r="U4051">
        <v>2.2445762534611717E-2</v>
      </c>
      <c r="V4051" t="s">
        <v>157</v>
      </c>
    </row>
    <row r="4052" spans="19:22" x14ac:dyDescent="0.45">
      <c r="S4052" t="s">
        <v>729</v>
      </c>
      <c r="T4052" t="s">
        <v>788</v>
      </c>
      <c r="U4052">
        <v>9.5532311064243133E-2</v>
      </c>
      <c r="V4052" t="s">
        <v>157</v>
      </c>
    </row>
    <row r="4053" spans="19:22" x14ac:dyDescent="0.45">
      <c r="S4053" t="s">
        <v>729</v>
      </c>
      <c r="T4053" t="s">
        <v>789</v>
      </c>
      <c r="U4053">
        <v>9.9694336056101604E-2</v>
      </c>
      <c r="V4053" t="s">
        <v>157</v>
      </c>
    </row>
    <row r="4054" spans="19:22" x14ac:dyDescent="0.45">
      <c r="S4054" t="s">
        <v>729</v>
      </c>
      <c r="T4054" t="s">
        <v>790</v>
      </c>
      <c r="U4054">
        <v>2.1870662222718131E-2</v>
      </c>
      <c r="V4054" t="s">
        <v>157</v>
      </c>
    </row>
    <row r="4055" spans="19:22" x14ac:dyDescent="0.45">
      <c r="S4055" t="s">
        <v>730</v>
      </c>
      <c r="T4055" t="s">
        <v>779</v>
      </c>
      <c r="U4055">
        <v>0.13116972166586396</v>
      </c>
      <c r="V4055" t="s">
        <v>157</v>
      </c>
    </row>
    <row r="4056" spans="19:22" x14ac:dyDescent="0.45">
      <c r="S4056" t="s">
        <v>730</v>
      </c>
      <c r="T4056" t="s">
        <v>780</v>
      </c>
      <c r="U4056">
        <v>0.13138629589223536</v>
      </c>
      <c r="V4056" t="s">
        <v>157</v>
      </c>
    </row>
    <row r="4057" spans="19:22" x14ac:dyDescent="0.45">
      <c r="S4057" t="s">
        <v>730</v>
      </c>
      <c r="T4057" t="s">
        <v>781</v>
      </c>
      <c r="U4057">
        <v>2.379076913644149E-2</v>
      </c>
      <c r="V4057" t="s">
        <v>157</v>
      </c>
    </row>
    <row r="4058" spans="19:22" x14ac:dyDescent="0.45">
      <c r="S4058" t="s">
        <v>730</v>
      </c>
      <c r="T4058" t="s">
        <v>782</v>
      </c>
      <c r="U4058">
        <v>0.10437571607463246</v>
      </c>
      <c r="V4058" t="s">
        <v>157</v>
      </c>
    </row>
    <row r="4059" spans="19:22" x14ac:dyDescent="0.45">
      <c r="S4059" t="s">
        <v>730</v>
      </c>
      <c r="T4059" t="s">
        <v>783</v>
      </c>
      <c r="U4059">
        <v>0.11283420917559589</v>
      </c>
      <c r="V4059" t="s">
        <v>157</v>
      </c>
    </row>
    <row r="4060" spans="19:22" x14ac:dyDescent="0.45">
      <c r="S4060" t="s">
        <v>730</v>
      </c>
      <c r="T4060" t="s">
        <v>784</v>
      </c>
      <c r="U4060">
        <v>2.0677134632220272E-2</v>
      </c>
      <c r="V4060" t="s">
        <v>157</v>
      </c>
    </row>
    <row r="4061" spans="19:22" x14ac:dyDescent="0.45">
      <c r="S4061" t="s">
        <v>730</v>
      </c>
      <c r="T4061" t="s">
        <v>785</v>
      </c>
      <c r="U4061">
        <v>0.11148689990252496</v>
      </c>
      <c r="V4061" t="s">
        <v>157</v>
      </c>
    </row>
    <row r="4062" spans="19:22" x14ac:dyDescent="0.45">
      <c r="S4062" t="s">
        <v>730</v>
      </c>
      <c r="T4062" t="s">
        <v>786</v>
      </c>
      <c r="U4062">
        <v>0.1164843278937934</v>
      </c>
      <c r="V4062" t="s">
        <v>157</v>
      </c>
    </row>
    <row r="4063" spans="19:22" x14ac:dyDescent="0.45">
      <c r="S4063" t="s">
        <v>730</v>
      </c>
      <c r="T4063" t="s">
        <v>787</v>
      </c>
      <c r="U4063">
        <v>2.1195845542440177E-2</v>
      </c>
      <c r="V4063" t="s">
        <v>157</v>
      </c>
    </row>
    <row r="4064" spans="19:22" x14ac:dyDescent="0.45">
      <c r="S4064" t="s">
        <v>730</v>
      </c>
      <c r="T4064" t="s">
        <v>788</v>
      </c>
      <c r="U4064">
        <v>9.8474666282158466E-2</v>
      </c>
      <c r="V4064" t="s">
        <v>157</v>
      </c>
    </row>
    <row r="4065" spans="19:22" x14ac:dyDescent="0.45">
      <c r="S4065" t="s">
        <v>730</v>
      </c>
      <c r="T4065" t="s">
        <v>789</v>
      </c>
      <c r="U4065">
        <v>0.10973779065023309</v>
      </c>
      <c r="V4065" t="s">
        <v>157</v>
      </c>
    </row>
    <row r="4066" spans="19:22" x14ac:dyDescent="0.45">
      <c r="S4066" t="s">
        <v>730</v>
      </c>
      <c r="T4066" t="s">
        <v>790</v>
      </c>
      <c r="U4066">
        <v>1.8386623151860473E-2</v>
      </c>
      <c r="V4066" t="s">
        <v>157</v>
      </c>
    </row>
    <row r="4067" spans="19:22" x14ac:dyDescent="0.45">
      <c r="S4067" t="s">
        <v>731</v>
      </c>
      <c r="T4067" t="s">
        <v>779</v>
      </c>
      <c r="U4067">
        <v>0.13164137808775439</v>
      </c>
      <c r="V4067" t="s">
        <v>157</v>
      </c>
    </row>
    <row r="4068" spans="19:22" x14ac:dyDescent="0.45">
      <c r="S4068" t="s">
        <v>731</v>
      </c>
      <c r="T4068" t="s">
        <v>780</v>
      </c>
      <c r="U4068">
        <v>0.13059324539559555</v>
      </c>
      <c r="V4068" t="s">
        <v>157</v>
      </c>
    </row>
    <row r="4069" spans="19:22" x14ac:dyDescent="0.45">
      <c r="S4069" t="s">
        <v>731</v>
      </c>
      <c r="T4069" t="s">
        <v>781</v>
      </c>
      <c r="U4069">
        <v>2.3458755533832479E-2</v>
      </c>
      <c r="V4069" t="s">
        <v>157</v>
      </c>
    </row>
    <row r="4070" spans="19:22" x14ac:dyDescent="0.45">
      <c r="S4070" t="s">
        <v>731</v>
      </c>
      <c r="T4070" t="s">
        <v>782</v>
      </c>
      <c r="U4070">
        <v>0.10579676486939807</v>
      </c>
      <c r="V4070" t="s">
        <v>157</v>
      </c>
    </row>
    <row r="4071" spans="19:22" x14ac:dyDescent="0.45">
      <c r="S4071" t="s">
        <v>731</v>
      </c>
      <c r="T4071" t="s">
        <v>783</v>
      </c>
      <c r="U4071">
        <v>0.11269835296780327</v>
      </c>
      <c r="V4071" t="s">
        <v>157</v>
      </c>
    </row>
    <row r="4072" spans="19:22" x14ac:dyDescent="0.45">
      <c r="S4072" t="s">
        <v>731</v>
      </c>
      <c r="T4072" t="s">
        <v>784</v>
      </c>
      <c r="U4072">
        <v>2.0798937890431232E-2</v>
      </c>
      <c r="V4072" t="s">
        <v>157</v>
      </c>
    </row>
    <row r="4073" spans="19:22" x14ac:dyDescent="0.45">
      <c r="S4073" t="s">
        <v>731</v>
      </c>
      <c r="T4073" t="s">
        <v>785</v>
      </c>
      <c r="U4073">
        <v>0.11163845326679984</v>
      </c>
      <c r="V4073" t="s">
        <v>157</v>
      </c>
    </row>
    <row r="4074" spans="19:22" x14ac:dyDescent="0.45">
      <c r="S4074" t="s">
        <v>731</v>
      </c>
      <c r="T4074" t="s">
        <v>786</v>
      </c>
      <c r="U4074">
        <v>0.11643315554540862</v>
      </c>
      <c r="V4074" t="s">
        <v>157</v>
      </c>
    </row>
    <row r="4075" spans="19:22" x14ac:dyDescent="0.45">
      <c r="S4075" t="s">
        <v>731</v>
      </c>
      <c r="T4075" t="s">
        <v>787</v>
      </c>
      <c r="U4075">
        <v>2.0727751123439365E-2</v>
      </c>
      <c r="V4075" t="s">
        <v>157</v>
      </c>
    </row>
    <row r="4076" spans="19:22" x14ac:dyDescent="0.45">
      <c r="S4076" t="s">
        <v>731</v>
      </c>
      <c r="T4076" t="s">
        <v>788</v>
      </c>
      <c r="U4076">
        <v>0.10006630098730801</v>
      </c>
      <c r="V4076" t="s">
        <v>157</v>
      </c>
    </row>
    <row r="4077" spans="19:22" x14ac:dyDescent="0.45">
      <c r="S4077" t="s">
        <v>731</v>
      </c>
      <c r="T4077" t="s">
        <v>789</v>
      </c>
      <c r="U4077">
        <v>0.10794030376735968</v>
      </c>
      <c r="V4077" t="s">
        <v>157</v>
      </c>
    </row>
    <row r="4078" spans="19:22" x14ac:dyDescent="0.45">
      <c r="S4078" t="s">
        <v>731</v>
      </c>
      <c r="T4078" t="s">
        <v>790</v>
      </c>
      <c r="U4078">
        <v>1.8206600564869519E-2</v>
      </c>
      <c r="V4078" t="s">
        <v>157</v>
      </c>
    </row>
    <row r="4079" spans="19:22" x14ac:dyDescent="0.45">
      <c r="S4079" t="s">
        <v>732</v>
      </c>
      <c r="T4079" t="s">
        <v>779</v>
      </c>
      <c r="U4079">
        <v>0.11293493004080302</v>
      </c>
      <c r="V4079" t="s">
        <v>157</v>
      </c>
    </row>
    <row r="4080" spans="19:22" x14ac:dyDescent="0.45">
      <c r="S4080" t="s">
        <v>732</v>
      </c>
      <c r="T4080" t="s">
        <v>780</v>
      </c>
      <c r="U4080">
        <v>0.1130422997911231</v>
      </c>
      <c r="V4080" t="s">
        <v>157</v>
      </c>
    </row>
    <row r="4081" spans="19:22" x14ac:dyDescent="0.45">
      <c r="S4081" t="s">
        <v>732</v>
      </c>
      <c r="T4081" t="s">
        <v>781</v>
      </c>
      <c r="U4081">
        <v>2.1208658967996275E-2</v>
      </c>
      <c r="V4081" t="s">
        <v>157</v>
      </c>
    </row>
    <row r="4082" spans="19:22" x14ac:dyDescent="0.45">
      <c r="S4082" t="s">
        <v>732</v>
      </c>
      <c r="T4082" t="s">
        <v>782</v>
      </c>
      <c r="U4082">
        <v>0.12292221856873536</v>
      </c>
      <c r="V4082" t="s">
        <v>157</v>
      </c>
    </row>
    <row r="4083" spans="19:22" x14ac:dyDescent="0.45">
      <c r="S4083" t="s">
        <v>732</v>
      </c>
      <c r="T4083" t="s">
        <v>783</v>
      </c>
      <c r="U4083">
        <v>0.11974288822458076</v>
      </c>
      <c r="V4083" t="s">
        <v>157</v>
      </c>
    </row>
    <row r="4084" spans="19:22" x14ac:dyDescent="0.45">
      <c r="S4084" t="s">
        <v>732</v>
      </c>
      <c r="T4084" t="s">
        <v>784</v>
      </c>
      <c r="U4084">
        <v>2.1232464916446731E-2</v>
      </c>
      <c r="V4084" t="s">
        <v>157</v>
      </c>
    </row>
    <row r="4085" spans="19:22" x14ac:dyDescent="0.45">
      <c r="S4085" t="s">
        <v>732</v>
      </c>
      <c r="T4085" t="s">
        <v>785</v>
      </c>
      <c r="U4085">
        <v>0.116162675776529</v>
      </c>
      <c r="V4085" t="s">
        <v>157</v>
      </c>
    </row>
    <row r="4086" spans="19:22" x14ac:dyDescent="0.45">
      <c r="S4086" t="s">
        <v>732</v>
      </c>
      <c r="T4086" t="s">
        <v>786</v>
      </c>
      <c r="U4086">
        <v>0.11686525077858029</v>
      </c>
      <c r="V4086" t="s">
        <v>157</v>
      </c>
    </row>
    <row r="4087" spans="19:22" x14ac:dyDescent="0.45">
      <c r="S4087" t="s">
        <v>732</v>
      </c>
      <c r="T4087" t="s">
        <v>787</v>
      </c>
      <c r="U4087">
        <v>2.0434168842420403E-2</v>
      </c>
      <c r="V4087" t="s">
        <v>157</v>
      </c>
    </row>
    <row r="4088" spans="19:22" x14ac:dyDescent="0.45">
      <c r="S4088" t="s">
        <v>732</v>
      </c>
      <c r="T4088" t="s">
        <v>788</v>
      </c>
      <c r="U4088">
        <v>0.10945494779231538</v>
      </c>
      <c r="V4088" t="s">
        <v>157</v>
      </c>
    </row>
    <row r="4089" spans="19:22" x14ac:dyDescent="0.45">
      <c r="S4089" t="s">
        <v>732</v>
      </c>
      <c r="T4089" t="s">
        <v>789</v>
      </c>
      <c r="U4089">
        <v>0.10590211633623942</v>
      </c>
      <c r="V4089" t="s">
        <v>157</v>
      </c>
    </row>
    <row r="4090" spans="19:22" x14ac:dyDescent="0.45">
      <c r="S4090" t="s">
        <v>732</v>
      </c>
      <c r="T4090" t="s">
        <v>790</v>
      </c>
      <c r="U4090">
        <v>2.009737996423034E-2</v>
      </c>
      <c r="V4090" t="s">
        <v>157</v>
      </c>
    </row>
    <row r="4091" spans="19:22" x14ac:dyDescent="0.45">
      <c r="S4091" t="s">
        <v>733</v>
      </c>
      <c r="T4091" t="s">
        <v>779</v>
      </c>
      <c r="U4091">
        <v>0.11278741747734349</v>
      </c>
      <c r="V4091" t="s">
        <v>157</v>
      </c>
    </row>
    <row r="4092" spans="19:22" x14ac:dyDescent="0.45">
      <c r="S4092" t="s">
        <v>733</v>
      </c>
      <c r="T4092" t="s">
        <v>780</v>
      </c>
      <c r="U4092">
        <v>0.11207180509055667</v>
      </c>
      <c r="V4092" t="s">
        <v>157</v>
      </c>
    </row>
    <row r="4093" spans="19:22" x14ac:dyDescent="0.45">
      <c r="S4093" t="s">
        <v>733</v>
      </c>
      <c r="T4093" t="s">
        <v>781</v>
      </c>
      <c r="U4093">
        <v>2.0950708584530929E-2</v>
      </c>
      <c r="V4093" t="s">
        <v>157</v>
      </c>
    </row>
    <row r="4094" spans="19:22" x14ac:dyDescent="0.45">
      <c r="S4094" t="s">
        <v>733</v>
      </c>
      <c r="T4094" t="s">
        <v>782</v>
      </c>
      <c r="U4094">
        <v>0.12320253605218713</v>
      </c>
      <c r="V4094" t="s">
        <v>157</v>
      </c>
    </row>
    <row r="4095" spans="19:22" x14ac:dyDescent="0.45">
      <c r="S4095" t="s">
        <v>733</v>
      </c>
      <c r="T4095" t="s">
        <v>783</v>
      </c>
      <c r="U4095">
        <v>0.11969856756815893</v>
      </c>
      <c r="V4095" t="s">
        <v>157</v>
      </c>
    </row>
    <row r="4096" spans="19:22" x14ac:dyDescent="0.45">
      <c r="S4096" t="s">
        <v>733</v>
      </c>
      <c r="T4096" t="s">
        <v>784</v>
      </c>
      <c r="U4096">
        <v>2.1285585990172134E-2</v>
      </c>
      <c r="V4096" t="s">
        <v>157</v>
      </c>
    </row>
    <row r="4097" spans="19:22" x14ac:dyDescent="0.45">
      <c r="S4097" t="s">
        <v>733</v>
      </c>
      <c r="T4097" t="s">
        <v>785</v>
      </c>
      <c r="U4097">
        <v>0.11780567696166577</v>
      </c>
      <c r="V4097" t="s">
        <v>157</v>
      </c>
    </row>
    <row r="4098" spans="19:22" x14ac:dyDescent="0.45">
      <c r="S4098" t="s">
        <v>733</v>
      </c>
      <c r="T4098" t="s">
        <v>786</v>
      </c>
      <c r="U4098">
        <v>0.11668247992894477</v>
      </c>
      <c r="V4098" t="s">
        <v>157</v>
      </c>
    </row>
    <row r="4099" spans="19:22" x14ac:dyDescent="0.45">
      <c r="S4099" t="s">
        <v>733</v>
      </c>
      <c r="T4099" t="s">
        <v>787</v>
      </c>
      <c r="U4099">
        <v>2.0676556021736375E-2</v>
      </c>
      <c r="V4099" t="s">
        <v>157</v>
      </c>
    </row>
    <row r="4100" spans="19:22" x14ac:dyDescent="0.45">
      <c r="S4100" t="s">
        <v>733</v>
      </c>
      <c r="T4100" t="s">
        <v>788</v>
      </c>
      <c r="U4100">
        <v>0.10853771018573945</v>
      </c>
      <c r="V4100" t="s">
        <v>157</v>
      </c>
    </row>
    <row r="4101" spans="19:22" x14ac:dyDescent="0.45">
      <c r="S4101" t="s">
        <v>733</v>
      </c>
      <c r="T4101" t="s">
        <v>789</v>
      </c>
      <c r="U4101">
        <v>0.10635219722350955</v>
      </c>
      <c r="V4101" t="s">
        <v>157</v>
      </c>
    </row>
    <row r="4102" spans="19:22" x14ac:dyDescent="0.45">
      <c r="S4102" t="s">
        <v>733</v>
      </c>
      <c r="T4102" t="s">
        <v>790</v>
      </c>
      <c r="U4102">
        <v>1.9948758915454827E-2</v>
      </c>
      <c r="V4102" t="s">
        <v>157</v>
      </c>
    </row>
    <row r="4103" spans="19:22" x14ac:dyDescent="0.45">
      <c r="S4103" t="s">
        <v>734</v>
      </c>
      <c r="T4103" t="s">
        <v>779</v>
      </c>
      <c r="U4103">
        <v>0.11275685852174849</v>
      </c>
      <c r="V4103" t="s">
        <v>157</v>
      </c>
    </row>
    <row r="4104" spans="19:22" x14ac:dyDescent="0.45">
      <c r="S4104" t="s">
        <v>734</v>
      </c>
      <c r="T4104" t="s">
        <v>780</v>
      </c>
      <c r="U4104">
        <v>0.11063081175074822</v>
      </c>
      <c r="V4104" t="s">
        <v>157</v>
      </c>
    </row>
    <row r="4105" spans="19:22" x14ac:dyDescent="0.45">
      <c r="S4105" t="s">
        <v>734</v>
      </c>
      <c r="T4105" t="s">
        <v>781</v>
      </c>
      <c r="U4105">
        <v>2.0741969656799485E-2</v>
      </c>
      <c r="V4105" t="s">
        <v>157</v>
      </c>
    </row>
    <row r="4106" spans="19:22" x14ac:dyDescent="0.45">
      <c r="S4106" t="s">
        <v>734</v>
      </c>
      <c r="T4106" t="s">
        <v>782</v>
      </c>
      <c r="U4106">
        <v>0.12269106806864115</v>
      </c>
      <c r="V4106" t="s">
        <v>157</v>
      </c>
    </row>
    <row r="4107" spans="19:22" x14ac:dyDescent="0.45">
      <c r="S4107" t="s">
        <v>734</v>
      </c>
      <c r="T4107" t="s">
        <v>783</v>
      </c>
      <c r="U4107">
        <v>0.12019544620589333</v>
      </c>
      <c r="V4107" t="s">
        <v>157</v>
      </c>
    </row>
    <row r="4108" spans="19:22" x14ac:dyDescent="0.45">
      <c r="S4108" t="s">
        <v>734</v>
      </c>
      <c r="T4108" t="s">
        <v>784</v>
      </c>
      <c r="U4108">
        <v>2.1606252084433217E-2</v>
      </c>
      <c r="V4108" t="s">
        <v>157</v>
      </c>
    </row>
    <row r="4109" spans="19:22" x14ac:dyDescent="0.45">
      <c r="S4109" t="s">
        <v>734</v>
      </c>
      <c r="T4109" t="s">
        <v>785</v>
      </c>
      <c r="U4109">
        <v>0.11882962302057633</v>
      </c>
      <c r="V4109" t="s">
        <v>157</v>
      </c>
    </row>
    <row r="4110" spans="19:22" x14ac:dyDescent="0.45">
      <c r="S4110" t="s">
        <v>734</v>
      </c>
      <c r="T4110" t="s">
        <v>786</v>
      </c>
      <c r="U4110">
        <v>0.11622048872890851</v>
      </c>
      <c r="V4110" t="s">
        <v>157</v>
      </c>
    </row>
    <row r="4111" spans="19:22" x14ac:dyDescent="0.45">
      <c r="S4111" t="s">
        <v>734</v>
      </c>
      <c r="T4111" t="s">
        <v>787</v>
      </c>
      <c r="U4111">
        <v>2.0856901913756793E-2</v>
      </c>
      <c r="V4111" t="s">
        <v>157</v>
      </c>
    </row>
    <row r="4112" spans="19:22" x14ac:dyDescent="0.45">
      <c r="S4112" t="s">
        <v>734</v>
      </c>
      <c r="T4112" t="s">
        <v>788</v>
      </c>
      <c r="U4112">
        <v>0.10810726664272509</v>
      </c>
      <c r="V4112" t="s">
        <v>157</v>
      </c>
    </row>
    <row r="4113" spans="19:22" x14ac:dyDescent="0.45">
      <c r="S4113" t="s">
        <v>734</v>
      </c>
      <c r="T4113" t="s">
        <v>789</v>
      </c>
      <c r="U4113">
        <v>0.1074287292773671</v>
      </c>
      <c r="V4113" t="s">
        <v>157</v>
      </c>
    </row>
    <row r="4114" spans="19:22" x14ac:dyDescent="0.45">
      <c r="S4114" t="s">
        <v>734</v>
      </c>
      <c r="T4114" t="s">
        <v>790</v>
      </c>
      <c r="U4114">
        <v>1.9934584128402291E-2</v>
      </c>
      <c r="V4114" t="s">
        <v>157</v>
      </c>
    </row>
    <row r="4115" spans="19:22" x14ac:dyDescent="0.45">
      <c r="S4115" t="s">
        <v>735</v>
      </c>
      <c r="T4115" t="s">
        <v>779</v>
      </c>
      <c r="U4115">
        <v>0.11305410580595492</v>
      </c>
      <c r="V4115" t="s">
        <v>157</v>
      </c>
    </row>
    <row r="4116" spans="19:22" x14ac:dyDescent="0.45">
      <c r="S4116" t="s">
        <v>735</v>
      </c>
      <c r="T4116" t="s">
        <v>780</v>
      </c>
      <c r="U4116">
        <v>0.1095641995538383</v>
      </c>
      <c r="V4116" t="s">
        <v>157</v>
      </c>
    </row>
    <row r="4117" spans="19:22" x14ac:dyDescent="0.45">
      <c r="S4117" t="s">
        <v>735</v>
      </c>
      <c r="T4117" t="s">
        <v>781</v>
      </c>
      <c r="U4117">
        <v>2.0528732845484468E-2</v>
      </c>
      <c r="V4117" t="s">
        <v>157</v>
      </c>
    </row>
    <row r="4118" spans="19:22" x14ac:dyDescent="0.45">
      <c r="S4118" t="s">
        <v>735</v>
      </c>
      <c r="T4118" t="s">
        <v>782</v>
      </c>
      <c r="U4118">
        <v>0.12186722136100568</v>
      </c>
      <c r="V4118" t="s">
        <v>157</v>
      </c>
    </row>
    <row r="4119" spans="19:22" x14ac:dyDescent="0.45">
      <c r="S4119" t="s">
        <v>735</v>
      </c>
      <c r="T4119" t="s">
        <v>783</v>
      </c>
      <c r="U4119">
        <v>0.12081124526572887</v>
      </c>
      <c r="V4119" t="s">
        <v>157</v>
      </c>
    </row>
    <row r="4120" spans="19:22" x14ac:dyDescent="0.45">
      <c r="S4120" t="s">
        <v>735</v>
      </c>
      <c r="T4120" t="s">
        <v>784</v>
      </c>
      <c r="U4120">
        <v>2.2065779147717068E-2</v>
      </c>
      <c r="V4120" t="s">
        <v>157</v>
      </c>
    </row>
    <row r="4121" spans="19:22" x14ac:dyDescent="0.45">
      <c r="S4121" t="s">
        <v>735</v>
      </c>
      <c r="T4121" t="s">
        <v>785</v>
      </c>
      <c r="U4121">
        <v>0.11956505473004835</v>
      </c>
      <c r="V4121" t="s">
        <v>157</v>
      </c>
    </row>
    <row r="4122" spans="19:22" x14ac:dyDescent="0.45">
      <c r="S4122" t="s">
        <v>735</v>
      </c>
      <c r="T4122" t="s">
        <v>786</v>
      </c>
      <c r="U4122">
        <v>0.11597263568782502</v>
      </c>
      <c r="V4122" t="s">
        <v>157</v>
      </c>
    </row>
    <row r="4123" spans="19:22" x14ac:dyDescent="0.45">
      <c r="S4123" t="s">
        <v>735</v>
      </c>
      <c r="T4123" t="s">
        <v>787</v>
      </c>
      <c r="U4123">
        <v>2.0828292805635199E-2</v>
      </c>
      <c r="V4123" t="s">
        <v>157</v>
      </c>
    </row>
    <row r="4124" spans="19:22" x14ac:dyDescent="0.45">
      <c r="S4124" t="s">
        <v>735</v>
      </c>
      <c r="T4124" t="s">
        <v>788</v>
      </c>
      <c r="U4124">
        <v>0.10761715576315994</v>
      </c>
      <c r="V4124" t="s">
        <v>157</v>
      </c>
    </row>
    <row r="4125" spans="19:22" x14ac:dyDescent="0.45">
      <c r="S4125" t="s">
        <v>735</v>
      </c>
      <c r="T4125" t="s">
        <v>789</v>
      </c>
      <c r="U4125">
        <v>0.10810815075271414</v>
      </c>
      <c r="V4125" t="s">
        <v>157</v>
      </c>
    </row>
    <row r="4126" spans="19:22" x14ac:dyDescent="0.45">
      <c r="S4126" t="s">
        <v>735</v>
      </c>
      <c r="T4126" t="s">
        <v>790</v>
      </c>
      <c r="U4126">
        <v>2.0017426280887981E-2</v>
      </c>
      <c r="V4126" t="s">
        <v>157</v>
      </c>
    </row>
    <row r="4127" spans="19:22" x14ac:dyDescent="0.45">
      <c r="S4127" t="s">
        <v>736</v>
      </c>
      <c r="T4127" t="s">
        <v>779</v>
      </c>
      <c r="U4127">
        <v>0.11387243447412995</v>
      </c>
      <c r="V4127" t="s">
        <v>157</v>
      </c>
    </row>
    <row r="4128" spans="19:22" x14ac:dyDescent="0.45">
      <c r="S4128" t="s">
        <v>736</v>
      </c>
      <c r="T4128" t="s">
        <v>780</v>
      </c>
      <c r="U4128">
        <v>0.10945410063686419</v>
      </c>
      <c r="V4128" t="s">
        <v>157</v>
      </c>
    </row>
    <row r="4129" spans="19:22" x14ac:dyDescent="0.45">
      <c r="S4129" t="s">
        <v>736</v>
      </c>
      <c r="T4129" t="s">
        <v>781</v>
      </c>
      <c r="U4129">
        <v>2.0256088555576493E-2</v>
      </c>
      <c r="V4129" t="s">
        <v>157</v>
      </c>
    </row>
    <row r="4130" spans="19:22" x14ac:dyDescent="0.45">
      <c r="S4130" t="s">
        <v>736</v>
      </c>
      <c r="T4130" t="s">
        <v>782</v>
      </c>
      <c r="U4130">
        <v>0.1211648234144989</v>
      </c>
      <c r="V4130" t="s">
        <v>157</v>
      </c>
    </row>
    <row r="4131" spans="19:22" x14ac:dyDescent="0.45">
      <c r="S4131" t="s">
        <v>736</v>
      </c>
      <c r="T4131" t="s">
        <v>783</v>
      </c>
      <c r="U4131">
        <v>0.12086693142089973</v>
      </c>
      <c r="V4131" t="s">
        <v>157</v>
      </c>
    </row>
    <row r="4132" spans="19:22" x14ac:dyDescent="0.45">
      <c r="S4132" t="s">
        <v>736</v>
      </c>
      <c r="T4132" t="s">
        <v>784</v>
      </c>
      <c r="U4132">
        <v>2.2271153059703633E-2</v>
      </c>
      <c r="V4132" t="s">
        <v>157</v>
      </c>
    </row>
    <row r="4133" spans="19:22" x14ac:dyDescent="0.45">
      <c r="S4133" t="s">
        <v>736</v>
      </c>
      <c r="T4133" t="s">
        <v>785</v>
      </c>
      <c r="U4133">
        <v>0.12031046400645129</v>
      </c>
      <c r="V4133" t="s">
        <v>157</v>
      </c>
    </row>
    <row r="4134" spans="19:22" x14ac:dyDescent="0.45">
      <c r="S4134" t="s">
        <v>736</v>
      </c>
      <c r="T4134" t="s">
        <v>786</v>
      </c>
      <c r="U4134">
        <v>0.11649586914745005</v>
      </c>
      <c r="V4134" t="s">
        <v>157</v>
      </c>
    </row>
    <row r="4135" spans="19:22" x14ac:dyDescent="0.45">
      <c r="S4135" t="s">
        <v>736</v>
      </c>
      <c r="T4135" t="s">
        <v>787</v>
      </c>
      <c r="U4135">
        <v>2.0746760683792456E-2</v>
      </c>
      <c r="V4135" t="s">
        <v>157</v>
      </c>
    </row>
    <row r="4136" spans="19:22" x14ac:dyDescent="0.45">
      <c r="S4136" t="s">
        <v>736</v>
      </c>
      <c r="T4136" t="s">
        <v>788</v>
      </c>
      <c r="U4136">
        <v>0.10658144318202106</v>
      </c>
      <c r="V4136" t="s">
        <v>157</v>
      </c>
    </row>
    <row r="4137" spans="19:22" x14ac:dyDescent="0.45">
      <c r="S4137" t="s">
        <v>736</v>
      </c>
      <c r="T4137" t="s">
        <v>789</v>
      </c>
      <c r="U4137">
        <v>0.10790874016576393</v>
      </c>
      <c r="V4137" t="s">
        <v>157</v>
      </c>
    </row>
    <row r="4138" spans="19:22" x14ac:dyDescent="0.45">
      <c r="S4138" t="s">
        <v>736</v>
      </c>
      <c r="T4138" t="s">
        <v>790</v>
      </c>
      <c r="U4138">
        <v>2.00711912528483E-2</v>
      </c>
      <c r="V4138" t="s">
        <v>157</v>
      </c>
    </row>
    <row r="4139" spans="19:22" x14ac:dyDescent="0.45">
      <c r="S4139" t="s">
        <v>737</v>
      </c>
      <c r="T4139" t="s">
        <v>779</v>
      </c>
      <c r="U4139">
        <v>0.11492681940311587</v>
      </c>
      <c r="V4139" t="s">
        <v>157</v>
      </c>
    </row>
    <row r="4140" spans="19:22" x14ac:dyDescent="0.45">
      <c r="S4140" t="s">
        <v>737</v>
      </c>
      <c r="T4140" t="s">
        <v>780</v>
      </c>
      <c r="U4140">
        <v>0.11020750674598188</v>
      </c>
      <c r="V4140" t="s">
        <v>157</v>
      </c>
    </row>
    <row r="4141" spans="19:22" x14ac:dyDescent="0.45">
      <c r="S4141" t="s">
        <v>737</v>
      </c>
      <c r="T4141" t="s">
        <v>781</v>
      </c>
      <c r="U4141">
        <v>2.005209691790704E-2</v>
      </c>
      <c r="V4141" t="s">
        <v>157</v>
      </c>
    </row>
    <row r="4142" spans="19:22" x14ac:dyDescent="0.45">
      <c r="S4142" t="s">
        <v>737</v>
      </c>
      <c r="T4142" t="s">
        <v>782</v>
      </c>
      <c r="U4142">
        <v>0.12022864464598408</v>
      </c>
      <c r="V4142" t="s">
        <v>157</v>
      </c>
    </row>
    <row r="4143" spans="19:22" x14ac:dyDescent="0.45">
      <c r="S4143" t="s">
        <v>737</v>
      </c>
      <c r="T4143" t="s">
        <v>783</v>
      </c>
      <c r="U4143">
        <v>0.12023049354372421</v>
      </c>
      <c r="V4143" t="s">
        <v>157</v>
      </c>
    </row>
    <row r="4144" spans="19:22" x14ac:dyDescent="0.45">
      <c r="S4144" t="s">
        <v>737</v>
      </c>
      <c r="T4144" t="s">
        <v>784</v>
      </c>
      <c r="U4144">
        <v>2.2038246501469533E-2</v>
      </c>
      <c r="V4144" t="s">
        <v>157</v>
      </c>
    </row>
    <row r="4145" spans="19:22" x14ac:dyDescent="0.45">
      <c r="S4145" t="s">
        <v>737</v>
      </c>
      <c r="T4145" t="s">
        <v>785</v>
      </c>
      <c r="U4145">
        <v>0.12061313281153288</v>
      </c>
      <c r="V4145" t="s">
        <v>157</v>
      </c>
    </row>
    <row r="4146" spans="19:22" x14ac:dyDescent="0.45">
      <c r="S4146" t="s">
        <v>737</v>
      </c>
      <c r="T4146" t="s">
        <v>786</v>
      </c>
      <c r="U4146">
        <v>0.11753858207363045</v>
      </c>
      <c r="V4146" t="s">
        <v>157</v>
      </c>
    </row>
    <row r="4147" spans="19:22" x14ac:dyDescent="0.45">
      <c r="S4147" t="s">
        <v>737</v>
      </c>
      <c r="T4147" t="s">
        <v>787</v>
      </c>
      <c r="U4147">
        <v>2.0939083899081098E-2</v>
      </c>
      <c r="V4147" t="s">
        <v>157</v>
      </c>
    </row>
    <row r="4148" spans="19:22" x14ac:dyDescent="0.45">
      <c r="S4148" t="s">
        <v>737</v>
      </c>
      <c r="T4148" t="s">
        <v>788</v>
      </c>
      <c r="U4148">
        <v>0.10590802224788225</v>
      </c>
      <c r="V4148" t="s">
        <v>157</v>
      </c>
    </row>
    <row r="4149" spans="19:22" x14ac:dyDescent="0.45">
      <c r="S4149" t="s">
        <v>737</v>
      </c>
      <c r="T4149" t="s">
        <v>789</v>
      </c>
      <c r="U4149">
        <v>0.10727565266876431</v>
      </c>
      <c r="V4149" t="s">
        <v>157</v>
      </c>
    </row>
    <row r="4150" spans="19:22" x14ac:dyDescent="0.45">
      <c r="S4150" t="s">
        <v>737</v>
      </c>
      <c r="T4150" t="s">
        <v>790</v>
      </c>
      <c r="U4150">
        <v>2.0041718540926293E-2</v>
      </c>
      <c r="V4150" t="s">
        <v>157</v>
      </c>
    </row>
    <row r="4151" spans="19:22" x14ac:dyDescent="0.45">
      <c r="S4151" t="s">
        <v>738</v>
      </c>
      <c r="T4151" t="s">
        <v>779</v>
      </c>
      <c r="U4151">
        <v>0.11784211906675955</v>
      </c>
      <c r="V4151" t="s">
        <v>157</v>
      </c>
    </row>
    <row r="4152" spans="19:22" x14ac:dyDescent="0.45">
      <c r="S4152" t="s">
        <v>738</v>
      </c>
      <c r="T4152" t="s">
        <v>780</v>
      </c>
      <c r="U4152">
        <v>0.11987811899346509</v>
      </c>
      <c r="V4152" t="s">
        <v>157</v>
      </c>
    </row>
    <row r="4153" spans="19:22" x14ac:dyDescent="0.45">
      <c r="S4153" t="s">
        <v>738</v>
      </c>
      <c r="T4153" t="s">
        <v>781</v>
      </c>
      <c r="U4153">
        <v>1.9116862160831274E-2</v>
      </c>
      <c r="V4153" t="s">
        <v>157</v>
      </c>
    </row>
    <row r="4154" spans="19:22" x14ac:dyDescent="0.45">
      <c r="S4154" t="s">
        <v>738</v>
      </c>
      <c r="T4154" t="s">
        <v>782</v>
      </c>
      <c r="U4154">
        <v>0.10674575717298999</v>
      </c>
      <c r="V4154" t="s">
        <v>157</v>
      </c>
    </row>
    <row r="4155" spans="19:22" x14ac:dyDescent="0.45">
      <c r="S4155" t="s">
        <v>738</v>
      </c>
      <c r="T4155" t="s">
        <v>783</v>
      </c>
      <c r="U4155">
        <v>0.11317858642110946</v>
      </c>
      <c r="V4155" t="s">
        <v>157</v>
      </c>
    </row>
    <row r="4156" spans="19:22" x14ac:dyDescent="0.45">
      <c r="S4156" t="s">
        <v>738</v>
      </c>
      <c r="T4156" t="s">
        <v>784</v>
      </c>
      <c r="U4156">
        <v>2.0268747868817438E-2</v>
      </c>
      <c r="V4156" t="s">
        <v>157</v>
      </c>
    </row>
    <row r="4157" spans="19:22" x14ac:dyDescent="0.45">
      <c r="S4157" t="s">
        <v>738</v>
      </c>
      <c r="T4157" t="s">
        <v>785</v>
      </c>
      <c r="U4157">
        <v>0.12571000655048201</v>
      </c>
      <c r="V4157" t="s">
        <v>157</v>
      </c>
    </row>
    <row r="4158" spans="19:22" x14ac:dyDescent="0.45">
      <c r="S4158" t="s">
        <v>738</v>
      </c>
      <c r="T4158" t="s">
        <v>786</v>
      </c>
      <c r="U4158">
        <v>0.1251225599695783</v>
      </c>
      <c r="V4158" t="s">
        <v>157</v>
      </c>
    </row>
    <row r="4159" spans="19:22" x14ac:dyDescent="0.45">
      <c r="S4159" t="s">
        <v>738</v>
      </c>
      <c r="T4159" t="s">
        <v>787</v>
      </c>
      <c r="U4159">
        <v>2.2441596848096386E-2</v>
      </c>
      <c r="V4159" t="s">
        <v>157</v>
      </c>
    </row>
    <row r="4160" spans="19:22" x14ac:dyDescent="0.45">
      <c r="S4160" t="s">
        <v>738</v>
      </c>
      <c r="T4160" t="s">
        <v>788</v>
      </c>
      <c r="U4160">
        <v>9.8722253476972832E-2</v>
      </c>
      <c r="V4160" t="s">
        <v>157</v>
      </c>
    </row>
    <row r="4161" spans="19:22" x14ac:dyDescent="0.45">
      <c r="S4161" t="s">
        <v>738</v>
      </c>
      <c r="T4161" t="s">
        <v>789</v>
      </c>
      <c r="U4161">
        <v>0.11144722811580945</v>
      </c>
      <c r="V4161" t="s">
        <v>157</v>
      </c>
    </row>
    <row r="4162" spans="19:22" x14ac:dyDescent="0.45">
      <c r="S4162" t="s">
        <v>738</v>
      </c>
      <c r="T4162" t="s">
        <v>790</v>
      </c>
      <c r="U4162">
        <v>1.9526163355088201E-2</v>
      </c>
      <c r="V4162" t="s">
        <v>157</v>
      </c>
    </row>
    <row r="4163" spans="19:22" x14ac:dyDescent="0.45">
      <c r="S4163" t="s">
        <v>739</v>
      </c>
      <c r="T4163" t="s">
        <v>779</v>
      </c>
      <c r="U4163">
        <v>0.11578772413681897</v>
      </c>
      <c r="V4163" t="s">
        <v>157</v>
      </c>
    </row>
    <row r="4164" spans="19:22" x14ac:dyDescent="0.45">
      <c r="S4164" t="s">
        <v>739</v>
      </c>
      <c r="T4164" t="s">
        <v>780</v>
      </c>
      <c r="U4164">
        <v>0.12249815177654146</v>
      </c>
      <c r="V4164" t="s">
        <v>157</v>
      </c>
    </row>
    <row r="4165" spans="19:22" x14ac:dyDescent="0.45">
      <c r="S4165" t="s">
        <v>739</v>
      </c>
      <c r="T4165" t="s">
        <v>781</v>
      </c>
      <c r="U4165">
        <v>2.0293265511406963E-2</v>
      </c>
      <c r="V4165" t="s">
        <v>157</v>
      </c>
    </row>
    <row r="4166" spans="19:22" x14ac:dyDescent="0.45">
      <c r="S4166" t="s">
        <v>739</v>
      </c>
      <c r="T4166" t="s">
        <v>782</v>
      </c>
      <c r="U4166">
        <v>0.10550024434694902</v>
      </c>
      <c r="V4166" t="s">
        <v>157</v>
      </c>
    </row>
    <row r="4167" spans="19:22" x14ac:dyDescent="0.45">
      <c r="S4167" t="s">
        <v>739</v>
      </c>
      <c r="T4167" t="s">
        <v>783</v>
      </c>
      <c r="U4167">
        <v>0.11361797138641598</v>
      </c>
      <c r="V4167" t="s">
        <v>157</v>
      </c>
    </row>
    <row r="4168" spans="19:22" x14ac:dyDescent="0.45">
      <c r="S4168" t="s">
        <v>739</v>
      </c>
      <c r="T4168" t="s">
        <v>784</v>
      </c>
      <c r="U4168">
        <v>2.0975089659911777E-2</v>
      </c>
      <c r="V4168" t="s">
        <v>157</v>
      </c>
    </row>
    <row r="4169" spans="19:22" x14ac:dyDescent="0.45">
      <c r="S4169" t="s">
        <v>739</v>
      </c>
      <c r="T4169" t="s">
        <v>785</v>
      </c>
      <c r="U4169">
        <v>0.12024054072520815</v>
      </c>
      <c r="V4169" t="s">
        <v>157</v>
      </c>
    </row>
    <row r="4170" spans="19:22" x14ac:dyDescent="0.45">
      <c r="S4170" t="s">
        <v>739</v>
      </c>
      <c r="T4170" t="s">
        <v>786</v>
      </c>
      <c r="U4170">
        <v>0.12271137523247348</v>
      </c>
      <c r="V4170" t="s">
        <v>157</v>
      </c>
    </row>
    <row r="4171" spans="19:22" x14ac:dyDescent="0.45">
      <c r="S4171" t="s">
        <v>739</v>
      </c>
      <c r="T4171" t="s">
        <v>787</v>
      </c>
      <c r="U4171">
        <v>2.1841873169640959E-2</v>
      </c>
      <c r="V4171" t="s">
        <v>157</v>
      </c>
    </row>
    <row r="4172" spans="19:22" x14ac:dyDescent="0.45">
      <c r="S4172" t="s">
        <v>739</v>
      </c>
      <c r="T4172" t="s">
        <v>788</v>
      </c>
      <c r="U4172">
        <v>0.10147432993950849</v>
      </c>
      <c r="V4172" t="s">
        <v>157</v>
      </c>
    </row>
    <row r="4173" spans="19:22" x14ac:dyDescent="0.45">
      <c r="S4173" t="s">
        <v>739</v>
      </c>
      <c r="T4173" t="s">
        <v>789</v>
      </c>
      <c r="U4173">
        <v>0.11370452682684169</v>
      </c>
      <c r="V4173" t="s">
        <v>157</v>
      </c>
    </row>
    <row r="4174" spans="19:22" x14ac:dyDescent="0.45">
      <c r="S4174" t="s">
        <v>739</v>
      </c>
      <c r="T4174" t="s">
        <v>790</v>
      </c>
      <c r="U4174">
        <v>2.1354907288283126E-2</v>
      </c>
      <c r="V4174" t="s">
        <v>157</v>
      </c>
    </row>
    <row r="4175" spans="19:22" x14ac:dyDescent="0.45">
      <c r="S4175" t="s">
        <v>740</v>
      </c>
      <c r="T4175" t="s">
        <v>779</v>
      </c>
      <c r="U4175">
        <v>0.11565431422264459</v>
      </c>
      <c r="V4175" t="s">
        <v>157</v>
      </c>
    </row>
    <row r="4176" spans="19:22" x14ac:dyDescent="0.45">
      <c r="S4176" t="s">
        <v>740</v>
      </c>
      <c r="T4176" t="s">
        <v>780</v>
      </c>
      <c r="U4176">
        <v>0.12132175453755169</v>
      </c>
      <c r="V4176" t="s">
        <v>157</v>
      </c>
    </row>
    <row r="4177" spans="19:22" x14ac:dyDescent="0.45">
      <c r="S4177" t="s">
        <v>740</v>
      </c>
      <c r="T4177" t="s">
        <v>781</v>
      </c>
      <c r="U4177">
        <v>2.1793342085563189E-2</v>
      </c>
      <c r="V4177" t="s">
        <v>157</v>
      </c>
    </row>
    <row r="4178" spans="19:22" x14ac:dyDescent="0.45">
      <c r="S4178" t="s">
        <v>740</v>
      </c>
      <c r="T4178" t="s">
        <v>782</v>
      </c>
      <c r="U4178">
        <v>0.10600508386104834</v>
      </c>
      <c r="V4178" t="s">
        <v>157</v>
      </c>
    </row>
    <row r="4179" spans="19:22" x14ac:dyDescent="0.45">
      <c r="S4179" t="s">
        <v>740</v>
      </c>
      <c r="T4179" t="s">
        <v>783</v>
      </c>
      <c r="U4179">
        <v>0.11378888279873202</v>
      </c>
      <c r="V4179" t="s">
        <v>157</v>
      </c>
    </row>
    <row r="4180" spans="19:22" x14ac:dyDescent="0.45">
      <c r="S4180" t="s">
        <v>740</v>
      </c>
      <c r="T4180" t="s">
        <v>784</v>
      </c>
      <c r="U4180">
        <v>2.2430688371179897E-2</v>
      </c>
      <c r="V4180" t="s">
        <v>157</v>
      </c>
    </row>
    <row r="4181" spans="19:22" x14ac:dyDescent="0.45">
      <c r="S4181" t="s">
        <v>740</v>
      </c>
      <c r="T4181" t="s">
        <v>785</v>
      </c>
      <c r="U4181">
        <v>0.11510964087458339</v>
      </c>
      <c r="V4181" t="s">
        <v>157</v>
      </c>
    </row>
    <row r="4182" spans="19:22" x14ac:dyDescent="0.45">
      <c r="S4182" t="s">
        <v>740</v>
      </c>
      <c r="T4182" t="s">
        <v>786</v>
      </c>
      <c r="U4182">
        <v>0.12124817920848177</v>
      </c>
      <c r="V4182" t="s">
        <v>157</v>
      </c>
    </row>
    <row r="4183" spans="19:22" x14ac:dyDescent="0.45">
      <c r="S4183" t="s">
        <v>740</v>
      </c>
      <c r="T4183" t="s">
        <v>787</v>
      </c>
      <c r="U4183">
        <v>2.1690297557072281E-2</v>
      </c>
      <c r="V4183" t="s">
        <v>157</v>
      </c>
    </row>
    <row r="4184" spans="19:22" x14ac:dyDescent="0.45">
      <c r="S4184" t="s">
        <v>740</v>
      </c>
      <c r="T4184" t="s">
        <v>788</v>
      </c>
      <c r="U4184">
        <v>0.10451778206212529</v>
      </c>
      <c r="V4184" t="s">
        <v>157</v>
      </c>
    </row>
    <row r="4185" spans="19:22" x14ac:dyDescent="0.45">
      <c r="S4185" t="s">
        <v>740</v>
      </c>
      <c r="T4185" t="s">
        <v>789</v>
      </c>
      <c r="U4185">
        <v>0.11271940216210316</v>
      </c>
      <c r="V4185" t="s">
        <v>157</v>
      </c>
    </row>
    <row r="4186" spans="19:22" x14ac:dyDescent="0.45">
      <c r="S4186" t="s">
        <v>740</v>
      </c>
      <c r="T4186" t="s">
        <v>790</v>
      </c>
      <c r="U4186">
        <v>2.3720632258914409E-2</v>
      </c>
      <c r="V4186" t="s">
        <v>157</v>
      </c>
    </row>
    <row r="4187" spans="19:22" x14ac:dyDescent="0.45">
      <c r="S4187" t="s">
        <v>741</v>
      </c>
      <c r="T4187" t="s">
        <v>779</v>
      </c>
      <c r="U4187">
        <v>0.11875857775941931</v>
      </c>
      <c r="V4187" t="s">
        <v>157</v>
      </c>
    </row>
    <row r="4188" spans="19:22" x14ac:dyDescent="0.45">
      <c r="S4188" t="s">
        <v>741</v>
      </c>
      <c r="T4188" t="s">
        <v>780</v>
      </c>
      <c r="U4188">
        <v>0.12145048840129227</v>
      </c>
      <c r="V4188" t="s">
        <v>157</v>
      </c>
    </row>
    <row r="4189" spans="19:22" x14ac:dyDescent="0.45">
      <c r="S4189" t="s">
        <v>741</v>
      </c>
      <c r="T4189" t="s">
        <v>781</v>
      </c>
      <c r="U4189">
        <v>2.3069921350475298E-2</v>
      </c>
      <c r="V4189" t="s">
        <v>157</v>
      </c>
    </row>
    <row r="4190" spans="19:22" x14ac:dyDescent="0.45">
      <c r="S4190" t="s">
        <v>741</v>
      </c>
      <c r="T4190" t="s">
        <v>782</v>
      </c>
      <c r="U4190">
        <v>0.10724956507838619</v>
      </c>
      <c r="V4190" t="s">
        <v>157</v>
      </c>
    </row>
    <row r="4191" spans="19:22" x14ac:dyDescent="0.45">
      <c r="S4191" t="s">
        <v>741</v>
      </c>
      <c r="T4191" t="s">
        <v>783</v>
      </c>
      <c r="U4191">
        <v>0.11311489150109311</v>
      </c>
      <c r="V4191" t="s">
        <v>157</v>
      </c>
    </row>
    <row r="4192" spans="19:22" x14ac:dyDescent="0.45">
      <c r="S4192" t="s">
        <v>741</v>
      </c>
      <c r="T4192" t="s">
        <v>784</v>
      </c>
      <c r="U4192">
        <v>2.3200606170021194E-2</v>
      </c>
      <c r="V4192" t="s">
        <v>157</v>
      </c>
    </row>
    <row r="4193" spans="19:22" x14ac:dyDescent="0.45">
      <c r="S4193" t="s">
        <v>741</v>
      </c>
      <c r="T4193" t="s">
        <v>785</v>
      </c>
      <c r="U4193">
        <v>0.11261264399353997</v>
      </c>
      <c r="V4193" t="s">
        <v>157</v>
      </c>
    </row>
    <row r="4194" spans="19:22" x14ac:dyDescent="0.45">
      <c r="S4194" t="s">
        <v>741</v>
      </c>
      <c r="T4194" t="s">
        <v>786</v>
      </c>
      <c r="U4194">
        <v>0.11652316329896478</v>
      </c>
      <c r="V4194" t="s">
        <v>157</v>
      </c>
    </row>
    <row r="4195" spans="19:22" x14ac:dyDescent="0.45">
      <c r="S4195" t="s">
        <v>741</v>
      </c>
      <c r="T4195" t="s">
        <v>787</v>
      </c>
      <c r="U4195">
        <v>2.2147875741908702E-2</v>
      </c>
      <c r="V4195" t="s">
        <v>157</v>
      </c>
    </row>
    <row r="4196" spans="19:22" x14ac:dyDescent="0.45">
      <c r="S4196" t="s">
        <v>741</v>
      </c>
      <c r="T4196" t="s">
        <v>788</v>
      </c>
      <c r="U4196">
        <v>0.10771282611292207</v>
      </c>
      <c r="V4196" t="s">
        <v>157</v>
      </c>
    </row>
    <row r="4197" spans="19:22" x14ac:dyDescent="0.45">
      <c r="S4197" t="s">
        <v>741</v>
      </c>
      <c r="T4197" t="s">
        <v>789</v>
      </c>
      <c r="U4197">
        <v>0.10918293173770691</v>
      </c>
      <c r="V4197" t="s">
        <v>157</v>
      </c>
    </row>
    <row r="4198" spans="19:22" x14ac:dyDescent="0.45">
      <c r="S4198" t="s">
        <v>741</v>
      </c>
      <c r="T4198" t="s">
        <v>790</v>
      </c>
      <c r="U4198">
        <v>2.4976508854270146E-2</v>
      </c>
      <c r="V4198" t="s">
        <v>157</v>
      </c>
    </row>
    <row r="4199" spans="19:22" x14ac:dyDescent="0.45">
      <c r="S4199" t="s">
        <v>742</v>
      </c>
      <c r="T4199" t="s">
        <v>779</v>
      </c>
      <c r="U4199">
        <v>0.12432638778761379</v>
      </c>
      <c r="V4199" t="s">
        <v>157</v>
      </c>
    </row>
    <row r="4200" spans="19:22" x14ac:dyDescent="0.45">
      <c r="S4200" t="s">
        <v>742</v>
      </c>
      <c r="T4200" t="s">
        <v>780</v>
      </c>
      <c r="U4200">
        <v>0.12498197559851161</v>
      </c>
      <c r="V4200" t="s">
        <v>157</v>
      </c>
    </row>
    <row r="4201" spans="19:22" x14ac:dyDescent="0.45">
      <c r="S4201" t="s">
        <v>742</v>
      </c>
      <c r="T4201" t="s">
        <v>781</v>
      </c>
      <c r="U4201">
        <v>2.3617115281056571E-2</v>
      </c>
      <c r="V4201" t="s">
        <v>157</v>
      </c>
    </row>
    <row r="4202" spans="19:22" x14ac:dyDescent="0.45">
      <c r="S4202" t="s">
        <v>742</v>
      </c>
      <c r="T4202" t="s">
        <v>782</v>
      </c>
      <c r="U4202">
        <v>0.10846164278438458</v>
      </c>
      <c r="V4202" t="s">
        <v>157</v>
      </c>
    </row>
    <row r="4203" spans="19:22" x14ac:dyDescent="0.45">
      <c r="S4203" t="s">
        <v>742</v>
      </c>
      <c r="T4203" t="s">
        <v>783</v>
      </c>
      <c r="U4203">
        <v>0.11260686187928541</v>
      </c>
      <c r="V4203" t="s">
        <v>157</v>
      </c>
    </row>
    <row r="4204" spans="19:22" x14ac:dyDescent="0.45">
      <c r="S4204" t="s">
        <v>742</v>
      </c>
      <c r="T4204" t="s">
        <v>784</v>
      </c>
      <c r="U4204">
        <v>2.1932944999994777E-2</v>
      </c>
      <c r="V4204" t="s">
        <v>157</v>
      </c>
    </row>
    <row r="4205" spans="19:22" x14ac:dyDescent="0.45">
      <c r="S4205" t="s">
        <v>742</v>
      </c>
      <c r="T4205" t="s">
        <v>785</v>
      </c>
      <c r="U4205">
        <v>0.10886783169893918</v>
      </c>
      <c r="V4205" t="s">
        <v>157</v>
      </c>
    </row>
    <row r="4206" spans="19:22" x14ac:dyDescent="0.45">
      <c r="S4206" t="s">
        <v>742</v>
      </c>
      <c r="T4206" t="s">
        <v>786</v>
      </c>
      <c r="U4206">
        <v>0.10940950982409074</v>
      </c>
      <c r="V4206" t="s">
        <v>157</v>
      </c>
    </row>
    <row r="4207" spans="19:22" x14ac:dyDescent="0.45">
      <c r="S4207" t="s">
        <v>742</v>
      </c>
      <c r="T4207" t="s">
        <v>787</v>
      </c>
      <c r="U4207">
        <v>2.1235474046665426E-2</v>
      </c>
      <c r="V4207" t="s">
        <v>157</v>
      </c>
    </row>
    <row r="4208" spans="19:22" x14ac:dyDescent="0.45">
      <c r="S4208" t="s">
        <v>742</v>
      </c>
      <c r="T4208" t="s">
        <v>788</v>
      </c>
      <c r="U4208">
        <v>0.11155836298070343</v>
      </c>
      <c r="V4208" t="s">
        <v>157</v>
      </c>
    </row>
    <row r="4209" spans="19:22" x14ac:dyDescent="0.45">
      <c r="S4209" t="s">
        <v>742</v>
      </c>
      <c r="T4209" t="s">
        <v>789</v>
      </c>
      <c r="U4209">
        <v>0.10921027599617318</v>
      </c>
      <c r="V4209" t="s">
        <v>157</v>
      </c>
    </row>
    <row r="4210" spans="19:22" x14ac:dyDescent="0.45">
      <c r="S4210" t="s">
        <v>742</v>
      </c>
      <c r="T4210" t="s">
        <v>790</v>
      </c>
      <c r="U4210">
        <v>2.3791617122581286E-2</v>
      </c>
      <c r="V4210" t="s">
        <v>157</v>
      </c>
    </row>
    <row r="4211" spans="19:22" x14ac:dyDescent="0.45">
      <c r="S4211" t="s">
        <v>743</v>
      </c>
      <c r="T4211" t="s">
        <v>779</v>
      </c>
      <c r="U4211">
        <v>0.13005712320386767</v>
      </c>
      <c r="V4211" t="s">
        <v>157</v>
      </c>
    </row>
    <row r="4212" spans="19:22" x14ac:dyDescent="0.45">
      <c r="S4212" t="s">
        <v>743</v>
      </c>
      <c r="T4212" t="s">
        <v>780</v>
      </c>
      <c r="U4212">
        <v>0.12805424843981558</v>
      </c>
      <c r="V4212" t="s">
        <v>157</v>
      </c>
    </row>
    <row r="4213" spans="19:22" x14ac:dyDescent="0.45">
      <c r="S4213" t="s">
        <v>743</v>
      </c>
      <c r="T4213" t="s">
        <v>781</v>
      </c>
      <c r="U4213">
        <v>2.4313271983711457E-2</v>
      </c>
      <c r="V4213" t="s">
        <v>157</v>
      </c>
    </row>
    <row r="4214" spans="19:22" x14ac:dyDescent="0.45">
      <c r="S4214" t="s">
        <v>743</v>
      </c>
      <c r="T4214" t="s">
        <v>782</v>
      </c>
      <c r="U4214">
        <v>0.10332952121286755</v>
      </c>
      <c r="V4214" t="s">
        <v>157</v>
      </c>
    </row>
    <row r="4215" spans="19:22" x14ac:dyDescent="0.45">
      <c r="S4215" t="s">
        <v>743</v>
      </c>
      <c r="T4215" t="s">
        <v>783</v>
      </c>
      <c r="U4215">
        <v>0.10979086804135887</v>
      </c>
      <c r="V4215" t="s">
        <v>157</v>
      </c>
    </row>
    <row r="4216" spans="19:22" x14ac:dyDescent="0.45">
      <c r="S4216" t="s">
        <v>743</v>
      </c>
      <c r="T4216" t="s">
        <v>784</v>
      </c>
      <c r="U4216">
        <v>2.0459298901943892E-2</v>
      </c>
      <c r="V4216" t="s">
        <v>157</v>
      </c>
    </row>
    <row r="4217" spans="19:22" x14ac:dyDescent="0.45">
      <c r="S4217" t="s">
        <v>743</v>
      </c>
      <c r="T4217" t="s">
        <v>785</v>
      </c>
      <c r="U4217">
        <v>0.1071354823587861</v>
      </c>
      <c r="V4217" t="s">
        <v>157</v>
      </c>
    </row>
    <row r="4218" spans="19:22" x14ac:dyDescent="0.45">
      <c r="S4218" t="s">
        <v>743</v>
      </c>
      <c r="T4218" t="s">
        <v>786</v>
      </c>
      <c r="U4218">
        <v>0.11013027263860325</v>
      </c>
      <c r="V4218" t="s">
        <v>157</v>
      </c>
    </row>
    <row r="4219" spans="19:22" x14ac:dyDescent="0.45">
      <c r="S4219" t="s">
        <v>743</v>
      </c>
      <c r="T4219" t="s">
        <v>787</v>
      </c>
      <c r="U4219">
        <v>2.0652684997556382E-2</v>
      </c>
      <c r="V4219" t="s">
        <v>157</v>
      </c>
    </row>
    <row r="4220" spans="19:22" x14ac:dyDescent="0.45">
      <c r="S4220" t="s">
        <v>743</v>
      </c>
      <c r="T4220" t="s">
        <v>788</v>
      </c>
      <c r="U4220">
        <v>0.10896362292613811</v>
      </c>
      <c r="V4220" t="s">
        <v>157</v>
      </c>
    </row>
    <row r="4221" spans="19:22" x14ac:dyDescent="0.45">
      <c r="S4221" t="s">
        <v>743</v>
      </c>
      <c r="T4221" t="s">
        <v>789</v>
      </c>
      <c r="U4221">
        <v>0.11448398075977699</v>
      </c>
      <c r="V4221" t="s">
        <v>157</v>
      </c>
    </row>
    <row r="4222" spans="19:22" x14ac:dyDescent="0.45">
      <c r="S4222" t="s">
        <v>743</v>
      </c>
      <c r="T4222" t="s">
        <v>790</v>
      </c>
      <c r="U4222">
        <v>2.2629624535574155E-2</v>
      </c>
      <c r="V4222" t="s">
        <v>157</v>
      </c>
    </row>
    <row r="4223" spans="19:22" x14ac:dyDescent="0.45">
      <c r="S4223" t="s">
        <v>744</v>
      </c>
      <c r="T4223" t="s">
        <v>779</v>
      </c>
      <c r="U4223">
        <v>0.13307867486155264</v>
      </c>
      <c r="V4223" t="s">
        <v>157</v>
      </c>
    </row>
    <row r="4224" spans="19:22" x14ac:dyDescent="0.45">
      <c r="S4224" t="s">
        <v>744</v>
      </c>
      <c r="T4224" t="s">
        <v>780</v>
      </c>
      <c r="U4224">
        <v>0.13171520037335935</v>
      </c>
      <c r="V4224" t="s">
        <v>157</v>
      </c>
    </row>
    <row r="4225" spans="19:22" x14ac:dyDescent="0.45">
      <c r="S4225" t="s">
        <v>744</v>
      </c>
      <c r="T4225" t="s">
        <v>781</v>
      </c>
      <c r="U4225">
        <v>2.3845682156740284E-2</v>
      </c>
      <c r="V4225" t="s">
        <v>157</v>
      </c>
    </row>
    <row r="4226" spans="19:22" x14ac:dyDescent="0.45">
      <c r="S4226" t="s">
        <v>744</v>
      </c>
      <c r="T4226" t="s">
        <v>782</v>
      </c>
      <c r="U4226">
        <v>0.10858312260410459</v>
      </c>
      <c r="V4226" t="s">
        <v>157</v>
      </c>
    </row>
    <row r="4227" spans="19:22" x14ac:dyDescent="0.45">
      <c r="S4227" t="s">
        <v>744</v>
      </c>
      <c r="T4227" t="s">
        <v>783</v>
      </c>
      <c r="U4227">
        <v>0.11235201917436946</v>
      </c>
      <c r="V4227" t="s">
        <v>157</v>
      </c>
    </row>
    <row r="4228" spans="19:22" x14ac:dyDescent="0.45">
      <c r="S4228" t="s">
        <v>744</v>
      </c>
      <c r="T4228" t="s">
        <v>784</v>
      </c>
      <c r="U4228">
        <v>2.0671012491422419E-2</v>
      </c>
      <c r="V4228" t="s">
        <v>157</v>
      </c>
    </row>
    <row r="4229" spans="19:22" x14ac:dyDescent="0.45">
      <c r="S4229" t="s">
        <v>744</v>
      </c>
      <c r="T4229" t="s">
        <v>785</v>
      </c>
      <c r="U4229">
        <v>0.11387252104075292</v>
      </c>
      <c r="V4229" t="s">
        <v>157</v>
      </c>
    </row>
    <row r="4230" spans="19:22" x14ac:dyDescent="0.45">
      <c r="S4230" t="s">
        <v>744</v>
      </c>
      <c r="T4230" t="s">
        <v>786</v>
      </c>
      <c r="U4230">
        <v>0.11411416984881929</v>
      </c>
      <c r="V4230" t="s">
        <v>157</v>
      </c>
    </row>
    <row r="4231" spans="19:22" x14ac:dyDescent="0.45">
      <c r="S4231" t="s">
        <v>744</v>
      </c>
      <c r="T4231" t="s">
        <v>787</v>
      </c>
      <c r="U4231">
        <v>2.02929587002499E-2</v>
      </c>
      <c r="V4231" t="s">
        <v>157</v>
      </c>
    </row>
    <row r="4232" spans="19:22" x14ac:dyDescent="0.45">
      <c r="S4232" t="s">
        <v>744</v>
      </c>
      <c r="T4232" t="s">
        <v>788</v>
      </c>
      <c r="U4232">
        <v>9.9614464751049195E-2</v>
      </c>
      <c r="V4232" t="s">
        <v>157</v>
      </c>
    </row>
    <row r="4233" spans="19:22" x14ac:dyDescent="0.45">
      <c r="S4233" t="s">
        <v>744</v>
      </c>
      <c r="T4233" t="s">
        <v>789</v>
      </c>
      <c r="U4233">
        <v>0.10364145148001309</v>
      </c>
      <c r="V4233" t="s">
        <v>157</v>
      </c>
    </row>
    <row r="4234" spans="19:22" x14ac:dyDescent="0.45">
      <c r="S4234" t="s">
        <v>744</v>
      </c>
      <c r="T4234" t="s">
        <v>790</v>
      </c>
      <c r="U4234">
        <v>1.8218722517566777E-2</v>
      </c>
      <c r="V4234" t="s">
        <v>157</v>
      </c>
    </row>
    <row r="4235" spans="19:22" x14ac:dyDescent="0.45">
      <c r="S4235" t="s">
        <v>745</v>
      </c>
      <c r="T4235" t="s">
        <v>779</v>
      </c>
      <c r="U4235">
        <v>0.1122177853085483</v>
      </c>
      <c r="V4235" t="s">
        <v>157</v>
      </c>
    </row>
    <row r="4236" spans="19:22" x14ac:dyDescent="0.45">
      <c r="S4236" t="s">
        <v>745</v>
      </c>
      <c r="T4236" t="s">
        <v>780</v>
      </c>
      <c r="U4236">
        <v>0.1126044557103523</v>
      </c>
      <c r="V4236" t="s">
        <v>157</v>
      </c>
    </row>
    <row r="4237" spans="19:22" x14ac:dyDescent="0.45">
      <c r="S4237" t="s">
        <v>745</v>
      </c>
      <c r="T4237" t="s">
        <v>781</v>
      </c>
      <c r="U4237">
        <v>2.0903828884255259E-2</v>
      </c>
      <c r="V4237" t="s">
        <v>157</v>
      </c>
    </row>
    <row r="4238" spans="19:22" x14ac:dyDescent="0.45">
      <c r="S4238" t="s">
        <v>745</v>
      </c>
      <c r="T4238" t="s">
        <v>782</v>
      </c>
      <c r="U4238">
        <v>0.12375384144966269</v>
      </c>
      <c r="V4238" t="s">
        <v>157</v>
      </c>
    </row>
    <row r="4239" spans="19:22" x14ac:dyDescent="0.45">
      <c r="S4239" t="s">
        <v>745</v>
      </c>
      <c r="T4239" t="s">
        <v>783</v>
      </c>
      <c r="U4239">
        <v>0.11939028853066019</v>
      </c>
      <c r="V4239" t="s">
        <v>157</v>
      </c>
    </row>
    <row r="4240" spans="19:22" x14ac:dyDescent="0.45">
      <c r="S4240" t="s">
        <v>745</v>
      </c>
      <c r="T4240" t="s">
        <v>784</v>
      </c>
      <c r="U4240">
        <v>2.1646631039304635E-2</v>
      </c>
      <c r="V4240" t="s">
        <v>157</v>
      </c>
    </row>
    <row r="4241" spans="19:22" x14ac:dyDescent="0.45">
      <c r="S4241" t="s">
        <v>745</v>
      </c>
      <c r="T4241" t="s">
        <v>785</v>
      </c>
      <c r="U4241">
        <v>0.11926548312691197</v>
      </c>
      <c r="V4241" t="s">
        <v>157</v>
      </c>
    </row>
    <row r="4242" spans="19:22" x14ac:dyDescent="0.45">
      <c r="S4242" t="s">
        <v>745</v>
      </c>
      <c r="T4242" t="s">
        <v>786</v>
      </c>
      <c r="U4242">
        <v>0.11517339891649943</v>
      </c>
      <c r="V4242" t="s">
        <v>157</v>
      </c>
    </row>
    <row r="4243" spans="19:22" x14ac:dyDescent="0.45">
      <c r="S4243" t="s">
        <v>745</v>
      </c>
      <c r="T4243" t="s">
        <v>787</v>
      </c>
      <c r="U4243">
        <v>2.071907151760544E-2</v>
      </c>
      <c r="V4243" t="s">
        <v>157</v>
      </c>
    </row>
    <row r="4244" spans="19:22" x14ac:dyDescent="0.45">
      <c r="S4244" t="s">
        <v>745</v>
      </c>
      <c r="T4244" t="s">
        <v>788</v>
      </c>
      <c r="U4244">
        <v>0.10773036993877358</v>
      </c>
      <c r="V4244" t="s">
        <v>157</v>
      </c>
    </row>
    <row r="4245" spans="19:22" x14ac:dyDescent="0.45">
      <c r="S4245" t="s">
        <v>745</v>
      </c>
      <c r="T4245" t="s">
        <v>789</v>
      </c>
      <c r="U4245">
        <v>0.10664209880280924</v>
      </c>
      <c r="V4245" t="s">
        <v>157</v>
      </c>
    </row>
    <row r="4246" spans="19:22" x14ac:dyDescent="0.45">
      <c r="S4246" t="s">
        <v>745</v>
      </c>
      <c r="T4246" t="s">
        <v>790</v>
      </c>
      <c r="U4246">
        <v>1.9952746774616899E-2</v>
      </c>
      <c r="V4246" t="s">
        <v>157</v>
      </c>
    </row>
    <row r="4247" spans="19:22" x14ac:dyDescent="0.45">
      <c r="S4247" t="s">
        <v>746</v>
      </c>
      <c r="T4247" t="s">
        <v>779</v>
      </c>
      <c r="U4247">
        <v>0.11198902541279819</v>
      </c>
      <c r="V4247" t="s">
        <v>157</v>
      </c>
    </row>
    <row r="4248" spans="19:22" x14ac:dyDescent="0.45">
      <c r="S4248" t="s">
        <v>746</v>
      </c>
      <c r="T4248" t="s">
        <v>780</v>
      </c>
      <c r="U4248">
        <v>0.11150328269488817</v>
      </c>
      <c r="V4248" t="s">
        <v>157</v>
      </c>
    </row>
    <row r="4249" spans="19:22" x14ac:dyDescent="0.45">
      <c r="S4249" t="s">
        <v>746</v>
      </c>
      <c r="T4249" t="s">
        <v>781</v>
      </c>
      <c r="U4249">
        <v>2.0731859303748101E-2</v>
      </c>
      <c r="V4249" t="s">
        <v>157</v>
      </c>
    </row>
    <row r="4250" spans="19:22" x14ac:dyDescent="0.45">
      <c r="S4250" t="s">
        <v>746</v>
      </c>
      <c r="T4250" t="s">
        <v>782</v>
      </c>
      <c r="U4250">
        <v>0.12245478425231057</v>
      </c>
      <c r="V4250" t="s">
        <v>157</v>
      </c>
    </row>
    <row r="4251" spans="19:22" x14ac:dyDescent="0.45">
      <c r="S4251" t="s">
        <v>746</v>
      </c>
      <c r="T4251" t="s">
        <v>783</v>
      </c>
      <c r="U4251">
        <v>0.12034988563025412</v>
      </c>
      <c r="V4251" t="s">
        <v>157</v>
      </c>
    </row>
    <row r="4252" spans="19:22" x14ac:dyDescent="0.45">
      <c r="S4252" t="s">
        <v>746</v>
      </c>
      <c r="T4252" t="s">
        <v>784</v>
      </c>
      <c r="U4252">
        <v>2.1929246238669983E-2</v>
      </c>
      <c r="V4252" t="s">
        <v>157</v>
      </c>
    </row>
    <row r="4253" spans="19:22" x14ac:dyDescent="0.45">
      <c r="S4253" t="s">
        <v>746</v>
      </c>
      <c r="T4253" t="s">
        <v>785</v>
      </c>
      <c r="U4253">
        <v>0.11995945221912109</v>
      </c>
      <c r="V4253" t="s">
        <v>157</v>
      </c>
    </row>
    <row r="4254" spans="19:22" x14ac:dyDescent="0.45">
      <c r="S4254" t="s">
        <v>746</v>
      </c>
      <c r="T4254" t="s">
        <v>786</v>
      </c>
      <c r="U4254">
        <v>0.11480155485630794</v>
      </c>
      <c r="V4254" t="s">
        <v>157</v>
      </c>
    </row>
    <row r="4255" spans="19:22" x14ac:dyDescent="0.45">
      <c r="S4255" t="s">
        <v>746</v>
      </c>
      <c r="T4255" t="s">
        <v>787</v>
      </c>
      <c r="U4255">
        <v>2.0912876919241576E-2</v>
      </c>
      <c r="V4255" t="s">
        <v>157</v>
      </c>
    </row>
    <row r="4256" spans="19:22" x14ac:dyDescent="0.45">
      <c r="S4256" t="s">
        <v>746</v>
      </c>
      <c r="T4256" t="s">
        <v>788</v>
      </c>
      <c r="U4256">
        <v>0.10738615046701766</v>
      </c>
      <c r="V4256" t="s">
        <v>157</v>
      </c>
    </row>
    <row r="4257" spans="19:22" x14ac:dyDescent="0.45">
      <c r="S4257" t="s">
        <v>746</v>
      </c>
      <c r="T4257" t="s">
        <v>789</v>
      </c>
      <c r="U4257">
        <v>0.10815256074166688</v>
      </c>
      <c r="V4257" t="s">
        <v>157</v>
      </c>
    </row>
    <row r="4258" spans="19:22" x14ac:dyDescent="0.45">
      <c r="S4258" t="s">
        <v>746</v>
      </c>
      <c r="T4258" t="s">
        <v>790</v>
      </c>
      <c r="U4258">
        <v>1.9829321263975699E-2</v>
      </c>
      <c r="V4258" t="s">
        <v>157</v>
      </c>
    </row>
    <row r="4259" spans="19:22" x14ac:dyDescent="0.45">
      <c r="S4259" t="s">
        <v>747</v>
      </c>
      <c r="T4259" t="s">
        <v>779</v>
      </c>
      <c r="U4259">
        <v>0.11246100897675014</v>
      </c>
      <c r="V4259" t="s">
        <v>157</v>
      </c>
    </row>
    <row r="4260" spans="19:22" x14ac:dyDescent="0.45">
      <c r="S4260" t="s">
        <v>747</v>
      </c>
      <c r="T4260" t="s">
        <v>780</v>
      </c>
      <c r="U4260">
        <v>0.11071480872718266</v>
      </c>
      <c r="V4260" t="s">
        <v>157</v>
      </c>
    </row>
    <row r="4261" spans="19:22" x14ac:dyDescent="0.45">
      <c r="S4261" t="s">
        <v>747</v>
      </c>
      <c r="T4261" t="s">
        <v>781</v>
      </c>
      <c r="U4261">
        <v>2.0639455373061322E-2</v>
      </c>
      <c r="V4261" t="s">
        <v>157</v>
      </c>
    </row>
    <row r="4262" spans="19:22" x14ac:dyDescent="0.45">
      <c r="S4262" t="s">
        <v>747</v>
      </c>
      <c r="T4262" t="s">
        <v>782</v>
      </c>
      <c r="U4262">
        <v>0.12110397596118444</v>
      </c>
      <c r="V4262" t="s">
        <v>157</v>
      </c>
    </row>
    <row r="4263" spans="19:22" x14ac:dyDescent="0.45">
      <c r="S4263" t="s">
        <v>747</v>
      </c>
      <c r="T4263" t="s">
        <v>783</v>
      </c>
      <c r="U4263">
        <v>0.12081412433250702</v>
      </c>
      <c r="V4263" t="s">
        <v>157</v>
      </c>
    </row>
    <row r="4264" spans="19:22" x14ac:dyDescent="0.45">
      <c r="S4264" t="s">
        <v>747</v>
      </c>
      <c r="T4264" t="s">
        <v>784</v>
      </c>
      <c r="U4264">
        <v>2.2251078766546108E-2</v>
      </c>
      <c r="V4264" t="s">
        <v>157</v>
      </c>
    </row>
    <row r="4265" spans="19:22" x14ac:dyDescent="0.45">
      <c r="S4265" t="s">
        <v>747</v>
      </c>
      <c r="T4265" t="s">
        <v>785</v>
      </c>
      <c r="U4265">
        <v>0.12037775360057597</v>
      </c>
      <c r="V4265" t="s">
        <v>157</v>
      </c>
    </row>
    <row r="4266" spans="19:22" x14ac:dyDescent="0.45">
      <c r="S4266" t="s">
        <v>747</v>
      </c>
      <c r="T4266" t="s">
        <v>786</v>
      </c>
      <c r="U4266">
        <v>0.11493073972265216</v>
      </c>
      <c r="V4266" t="s">
        <v>157</v>
      </c>
    </row>
    <row r="4267" spans="19:22" x14ac:dyDescent="0.45">
      <c r="S4267" t="s">
        <v>747</v>
      </c>
      <c r="T4267" t="s">
        <v>787</v>
      </c>
      <c r="U4267">
        <v>2.0942167740014117E-2</v>
      </c>
      <c r="V4267" t="s">
        <v>157</v>
      </c>
    </row>
    <row r="4268" spans="19:22" x14ac:dyDescent="0.45">
      <c r="S4268" t="s">
        <v>747</v>
      </c>
      <c r="T4268" t="s">
        <v>788</v>
      </c>
      <c r="U4268">
        <v>0.1070595172183707</v>
      </c>
      <c r="V4268" t="s">
        <v>157</v>
      </c>
    </row>
    <row r="4269" spans="19:22" x14ac:dyDescent="0.45">
      <c r="S4269" t="s">
        <v>747</v>
      </c>
      <c r="T4269" t="s">
        <v>789</v>
      </c>
      <c r="U4269">
        <v>0.10885435077715157</v>
      </c>
      <c r="V4269" t="s">
        <v>157</v>
      </c>
    </row>
    <row r="4270" spans="19:22" x14ac:dyDescent="0.45">
      <c r="S4270" t="s">
        <v>747</v>
      </c>
      <c r="T4270" t="s">
        <v>790</v>
      </c>
      <c r="U4270">
        <v>1.9851018804003848E-2</v>
      </c>
      <c r="V4270" t="s">
        <v>157</v>
      </c>
    </row>
    <row r="4271" spans="19:22" x14ac:dyDescent="0.45">
      <c r="S4271" t="s">
        <v>748</v>
      </c>
      <c r="T4271" t="s">
        <v>779</v>
      </c>
      <c r="U4271">
        <v>0.11360108525751728</v>
      </c>
      <c r="V4271" t="s">
        <v>157</v>
      </c>
    </row>
    <row r="4272" spans="19:22" x14ac:dyDescent="0.45">
      <c r="S4272" t="s">
        <v>748</v>
      </c>
      <c r="T4272" t="s">
        <v>780</v>
      </c>
      <c r="U4272">
        <v>0.11032525538621595</v>
      </c>
      <c r="V4272" t="s">
        <v>157</v>
      </c>
    </row>
    <row r="4273" spans="19:22" x14ac:dyDescent="0.45">
      <c r="S4273" t="s">
        <v>748</v>
      </c>
      <c r="T4273" t="s">
        <v>781</v>
      </c>
      <c r="U4273">
        <v>2.0597850720710263E-2</v>
      </c>
      <c r="V4273" t="s">
        <v>157</v>
      </c>
    </row>
    <row r="4274" spans="19:22" x14ac:dyDescent="0.45">
      <c r="S4274" t="s">
        <v>748</v>
      </c>
      <c r="T4274" t="s">
        <v>782</v>
      </c>
      <c r="U4274">
        <v>0.12030037309344023</v>
      </c>
      <c r="V4274" t="s">
        <v>157</v>
      </c>
    </row>
    <row r="4275" spans="19:22" x14ac:dyDescent="0.45">
      <c r="S4275" t="s">
        <v>748</v>
      </c>
      <c r="T4275" t="s">
        <v>783</v>
      </c>
      <c r="U4275">
        <v>0.12073260787087753</v>
      </c>
      <c r="V4275" t="s">
        <v>157</v>
      </c>
    </row>
    <row r="4276" spans="19:22" x14ac:dyDescent="0.45">
      <c r="S4276" t="s">
        <v>748</v>
      </c>
      <c r="T4276" t="s">
        <v>784</v>
      </c>
      <c r="U4276">
        <v>2.2239734358989786E-2</v>
      </c>
      <c r="V4276" t="s">
        <v>157</v>
      </c>
    </row>
    <row r="4277" spans="19:22" x14ac:dyDescent="0.45">
      <c r="S4277" t="s">
        <v>748</v>
      </c>
      <c r="T4277" t="s">
        <v>785</v>
      </c>
      <c r="U4277">
        <v>0.12064525959360262</v>
      </c>
      <c r="V4277" t="s">
        <v>157</v>
      </c>
    </row>
    <row r="4278" spans="19:22" x14ac:dyDescent="0.45">
      <c r="S4278" t="s">
        <v>748</v>
      </c>
      <c r="T4278" t="s">
        <v>786</v>
      </c>
      <c r="U4278">
        <v>0.11561386806807999</v>
      </c>
      <c r="V4278" t="s">
        <v>157</v>
      </c>
    </row>
    <row r="4279" spans="19:22" x14ac:dyDescent="0.45">
      <c r="S4279" t="s">
        <v>748</v>
      </c>
      <c r="T4279" t="s">
        <v>787</v>
      </c>
      <c r="U4279">
        <v>2.0909580233095845E-2</v>
      </c>
      <c r="V4279" t="s">
        <v>157</v>
      </c>
    </row>
    <row r="4280" spans="19:22" x14ac:dyDescent="0.45">
      <c r="S4280" t="s">
        <v>748</v>
      </c>
      <c r="T4280" t="s">
        <v>788</v>
      </c>
      <c r="U4280">
        <v>0.10660816806831415</v>
      </c>
      <c r="V4280" t="s">
        <v>157</v>
      </c>
    </row>
    <row r="4281" spans="19:22" x14ac:dyDescent="0.45">
      <c r="S4281" t="s">
        <v>748</v>
      </c>
      <c r="T4281" t="s">
        <v>789</v>
      </c>
      <c r="U4281">
        <v>0.10845794419955754</v>
      </c>
      <c r="V4281" t="s">
        <v>157</v>
      </c>
    </row>
    <row r="4282" spans="19:22" x14ac:dyDescent="0.45">
      <c r="S4282" t="s">
        <v>748</v>
      </c>
      <c r="T4282" t="s">
        <v>790</v>
      </c>
      <c r="U4282">
        <v>1.9968273149598779E-2</v>
      </c>
      <c r="V4282" t="s">
        <v>157</v>
      </c>
    </row>
    <row r="4283" spans="19:22" x14ac:dyDescent="0.45">
      <c r="S4283" t="s">
        <v>749</v>
      </c>
      <c r="T4283" t="s">
        <v>779</v>
      </c>
      <c r="U4283">
        <v>0.11496693949072379</v>
      </c>
      <c r="V4283" t="s">
        <v>157</v>
      </c>
    </row>
    <row r="4284" spans="19:22" x14ac:dyDescent="0.45">
      <c r="S4284" t="s">
        <v>749</v>
      </c>
      <c r="T4284" t="s">
        <v>780</v>
      </c>
      <c r="U4284">
        <v>0.11067706696931386</v>
      </c>
      <c r="V4284" t="s">
        <v>157</v>
      </c>
    </row>
    <row r="4285" spans="19:22" x14ac:dyDescent="0.45">
      <c r="S4285" t="s">
        <v>749</v>
      </c>
      <c r="T4285" t="s">
        <v>781</v>
      </c>
      <c r="U4285">
        <v>2.0548304353124019E-2</v>
      </c>
      <c r="V4285" t="s">
        <v>157</v>
      </c>
    </row>
    <row r="4286" spans="19:22" x14ac:dyDescent="0.45">
      <c r="S4286" t="s">
        <v>749</v>
      </c>
      <c r="T4286" t="s">
        <v>782</v>
      </c>
      <c r="U4286">
        <v>0.11911734926588347</v>
      </c>
      <c r="V4286" t="s">
        <v>157</v>
      </c>
    </row>
    <row r="4287" spans="19:22" x14ac:dyDescent="0.45">
      <c r="S4287" t="s">
        <v>749</v>
      </c>
      <c r="T4287" t="s">
        <v>783</v>
      </c>
      <c r="U4287">
        <v>0.12004933292156049</v>
      </c>
      <c r="V4287" t="s">
        <v>157</v>
      </c>
    </row>
    <row r="4288" spans="19:22" x14ac:dyDescent="0.45">
      <c r="S4288" t="s">
        <v>749</v>
      </c>
      <c r="T4288" t="s">
        <v>784</v>
      </c>
      <c r="U4288">
        <v>2.1899979103212466E-2</v>
      </c>
      <c r="V4288" t="s">
        <v>157</v>
      </c>
    </row>
    <row r="4289" spans="19:22" x14ac:dyDescent="0.45">
      <c r="S4289" t="s">
        <v>749</v>
      </c>
      <c r="T4289" t="s">
        <v>785</v>
      </c>
      <c r="U4289">
        <v>0.12069436597890096</v>
      </c>
      <c r="V4289" t="s">
        <v>157</v>
      </c>
    </row>
    <row r="4290" spans="19:22" x14ac:dyDescent="0.45">
      <c r="S4290" t="s">
        <v>749</v>
      </c>
      <c r="T4290" t="s">
        <v>786</v>
      </c>
      <c r="U4290">
        <v>0.11673341099372153</v>
      </c>
      <c r="V4290" t="s">
        <v>157</v>
      </c>
    </row>
    <row r="4291" spans="19:22" x14ac:dyDescent="0.45">
      <c r="S4291" t="s">
        <v>749</v>
      </c>
      <c r="T4291" t="s">
        <v>787</v>
      </c>
      <c r="U4291">
        <v>2.0973012888057585E-2</v>
      </c>
      <c r="V4291" t="s">
        <v>157</v>
      </c>
    </row>
    <row r="4292" spans="19:22" x14ac:dyDescent="0.45">
      <c r="S4292" t="s">
        <v>749</v>
      </c>
      <c r="T4292" t="s">
        <v>788</v>
      </c>
      <c r="U4292">
        <v>0.10606858430740818</v>
      </c>
      <c r="V4292" t="s">
        <v>157</v>
      </c>
    </row>
    <row r="4293" spans="19:22" x14ac:dyDescent="0.45">
      <c r="S4293" t="s">
        <v>749</v>
      </c>
      <c r="T4293" t="s">
        <v>789</v>
      </c>
      <c r="U4293">
        <v>0.10811104517488636</v>
      </c>
      <c r="V4293" t="s">
        <v>157</v>
      </c>
    </row>
    <row r="4294" spans="19:22" x14ac:dyDescent="0.45">
      <c r="S4294" t="s">
        <v>749</v>
      </c>
      <c r="T4294" t="s">
        <v>790</v>
      </c>
      <c r="U4294">
        <v>2.0160608553207393E-2</v>
      </c>
      <c r="V4294" t="s">
        <v>157</v>
      </c>
    </row>
    <row r="4295" spans="19:22" x14ac:dyDescent="0.45">
      <c r="S4295" t="s">
        <v>750</v>
      </c>
      <c r="T4295" t="s">
        <v>779</v>
      </c>
      <c r="U4295">
        <v>0.11993392708372699</v>
      </c>
      <c r="V4295" t="s">
        <v>157</v>
      </c>
    </row>
    <row r="4296" spans="19:22" x14ac:dyDescent="0.45">
      <c r="S4296" t="s">
        <v>750</v>
      </c>
      <c r="T4296" t="s">
        <v>780</v>
      </c>
      <c r="U4296">
        <v>0.12248335477673376</v>
      </c>
      <c r="V4296" t="s">
        <v>157</v>
      </c>
    </row>
    <row r="4297" spans="19:22" x14ac:dyDescent="0.45">
      <c r="S4297" t="s">
        <v>750</v>
      </c>
      <c r="T4297" t="s">
        <v>781</v>
      </c>
      <c r="U4297">
        <v>2.2255837808297554E-2</v>
      </c>
      <c r="V4297" t="s">
        <v>157</v>
      </c>
    </row>
    <row r="4298" spans="19:22" x14ac:dyDescent="0.45">
      <c r="S4298" t="s">
        <v>750</v>
      </c>
      <c r="T4298" t="s">
        <v>782</v>
      </c>
      <c r="U4298">
        <v>0.10641935955679373</v>
      </c>
      <c r="V4298" t="s">
        <v>157</v>
      </c>
    </row>
    <row r="4299" spans="19:22" x14ac:dyDescent="0.45">
      <c r="S4299" t="s">
        <v>750</v>
      </c>
      <c r="T4299" t="s">
        <v>783</v>
      </c>
      <c r="U4299">
        <v>0.11247767272562799</v>
      </c>
      <c r="V4299" t="s">
        <v>157</v>
      </c>
    </row>
    <row r="4300" spans="19:22" x14ac:dyDescent="0.45">
      <c r="S4300" t="s">
        <v>750</v>
      </c>
      <c r="T4300" t="s">
        <v>784</v>
      </c>
      <c r="U4300">
        <v>2.11969353003768E-2</v>
      </c>
      <c r="V4300" t="s">
        <v>157</v>
      </c>
    </row>
    <row r="4301" spans="19:22" x14ac:dyDescent="0.45">
      <c r="S4301" t="s">
        <v>750</v>
      </c>
      <c r="T4301" t="s">
        <v>785</v>
      </c>
      <c r="U4301">
        <v>0.11210613239387844</v>
      </c>
      <c r="V4301" t="s">
        <v>157</v>
      </c>
    </row>
    <row r="4302" spans="19:22" x14ac:dyDescent="0.45">
      <c r="S4302" t="s">
        <v>750</v>
      </c>
      <c r="T4302" t="s">
        <v>786</v>
      </c>
      <c r="U4302">
        <v>0.11849692963392562</v>
      </c>
      <c r="V4302" t="s">
        <v>157</v>
      </c>
    </row>
    <row r="4303" spans="19:22" x14ac:dyDescent="0.45">
      <c r="S4303" t="s">
        <v>750</v>
      </c>
      <c r="T4303" t="s">
        <v>787</v>
      </c>
      <c r="U4303">
        <v>2.1660751863248555E-2</v>
      </c>
      <c r="V4303" t="s">
        <v>157</v>
      </c>
    </row>
    <row r="4304" spans="19:22" x14ac:dyDescent="0.45">
      <c r="S4304" t="s">
        <v>750</v>
      </c>
      <c r="T4304" t="s">
        <v>788</v>
      </c>
      <c r="U4304">
        <v>0.10852114349048361</v>
      </c>
      <c r="V4304" t="s">
        <v>157</v>
      </c>
    </row>
    <row r="4305" spans="19:22" x14ac:dyDescent="0.45">
      <c r="S4305" t="s">
        <v>750</v>
      </c>
      <c r="T4305" t="s">
        <v>789</v>
      </c>
      <c r="U4305">
        <v>0.11297255065879536</v>
      </c>
      <c r="V4305" t="s">
        <v>157</v>
      </c>
    </row>
    <row r="4306" spans="19:22" x14ac:dyDescent="0.45">
      <c r="S4306" t="s">
        <v>750</v>
      </c>
      <c r="T4306" t="s">
        <v>790</v>
      </c>
      <c r="U4306">
        <v>2.1475404708111673E-2</v>
      </c>
      <c r="V4306" t="s">
        <v>157</v>
      </c>
    </row>
    <row r="4307" spans="19:22" x14ac:dyDescent="0.45">
      <c r="S4307" t="s">
        <v>751</v>
      </c>
      <c r="T4307" t="s">
        <v>779</v>
      </c>
      <c r="U4307">
        <v>0.12525252119983271</v>
      </c>
      <c r="V4307" t="s">
        <v>157</v>
      </c>
    </row>
    <row r="4308" spans="19:22" x14ac:dyDescent="0.45">
      <c r="S4308" t="s">
        <v>751</v>
      </c>
      <c r="T4308" t="s">
        <v>780</v>
      </c>
      <c r="U4308">
        <v>0.12707957199369641</v>
      </c>
      <c r="V4308" t="s">
        <v>157</v>
      </c>
    </row>
    <row r="4309" spans="19:22" x14ac:dyDescent="0.45">
      <c r="S4309" t="s">
        <v>751</v>
      </c>
      <c r="T4309" t="s">
        <v>781</v>
      </c>
      <c r="U4309">
        <v>2.3376503421367965E-2</v>
      </c>
      <c r="V4309" t="s">
        <v>157</v>
      </c>
    </row>
    <row r="4310" spans="19:22" x14ac:dyDescent="0.45">
      <c r="S4310" t="s">
        <v>751</v>
      </c>
      <c r="T4310" t="s">
        <v>782</v>
      </c>
      <c r="U4310">
        <v>0.10597773610936095</v>
      </c>
      <c r="V4310" t="s">
        <v>157</v>
      </c>
    </row>
    <row r="4311" spans="19:22" x14ac:dyDescent="0.45">
      <c r="S4311" t="s">
        <v>751</v>
      </c>
      <c r="T4311" t="s">
        <v>783</v>
      </c>
      <c r="U4311">
        <v>0.11107432958283153</v>
      </c>
      <c r="V4311" t="s">
        <v>157</v>
      </c>
    </row>
    <row r="4312" spans="19:22" x14ac:dyDescent="0.45">
      <c r="S4312" t="s">
        <v>751</v>
      </c>
      <c r="T4312" t="s">
        <v>784</v>
      </c>
      <c r="U4312">
        <v>2.0466477647498513E-2</v>
      </c>
      <c r="V4312" t="s">
        <v>157</v>
      </c>
    </row>
    <row r="4313" spans="19:22" x14ac:dyDescent="0.45">
      <c r="S4313" t="s">
        <v>751</v>
      </c>
      <c r="T4313" t="s">
        <v>785</v>
      </c>
      <c r="U4313">
        <v>0.11365628408749374</v>
      </c>
      <c r="V4313" t="s">
        <v>157</v>
      </c>
    </row>
    <row r="4314" spans="19:22" x14ac:dyDescent="0.45">
      <c r="S4314" t="s">
        <v>751</v>
      </c>
      <c r="T4314" t="s">
        <v>786</v>
      </c>
      <c r="U4314">
        <v>0.11739312125902206</v>
      </c>
      <c r="V4314" t="s">
        <v>157</v>
      </c>
    </row>
    <row r="4315" spans="19:22" x14ac:dyDescent="0.45">
      <c r="S4315" t="s">
        <v>751</v>
      </c>
      <c r="T4315" t="s">
        <v>787</v>
      </c>
      <c r="U4315">
        <v>2.1939277370234642E-2</v>
      </c>
      <c r="V4315" t="s">
        <v>157</v>
      </c>
    </row>
    <row r="4316" spans="19:22" x14ac:dyDescent="0.45">
      <c r="S4316" t="s">
        <v>751</v>
      </c>
      <c r="T4316" t="s">
        <v>788</v>
      </c>
      <c r="U4316">
        <v>0.10370579828778513</v>
      </c>
      <c r="V4316" t="s">
        <v>157</v>
      </c>
    </row>
    <row r="4317" spans="19:22" x14ac:dyDescent="0.45">
      <c r="S4317" t="s">
        <v>751</v>
      </c>
      <c r="T4317" t="s">
        <v>789</v>
      </c>
      <c r="U4317">
        <v>0.10986867454930013</v>
      </c>
      <c r="V4317" t="s">
        <v>157</v>
      </c>
    </row>
    <row r="4318" spans="19:22" x14ac:dyDescent="0.45">
      <c r="S4318" t="s">
        <v>751</v>
      </c>
      <c r="T4318" t="s">
        <v>790</v>
      </c>
      <c r="U4318">
        <v>2.0209704491576282E-2</v>
      </c>
      <c r="V4318" t="s">
        <v>157</v>
      </c>
    </row>
    <row r="4319" spans="19:22" x14ac:dyDescent="0.45">
      <c r="S4319" t="s">
        <v>752</v>
      </c>
      <c r="T4319" t="s">
        <v>779</v>
      </c>
      <c r="U4319">
        <v>0.11395795066887039</v>
      </c>
      <c r="V4319" t="s">
        <v>157</v>
      </c>
    </row>
    <row r="4320" spans="19:22" x14ac:dyDescent="0.45">
      <c r="S4320" t="s">
        <v>752</v>
      </c>
      <c r="T4320" t="s">
        <v>780</v>
      </c>
      <c r="U4320">
        <v>0.11159857042082873</v>
      </c>
      <c r="V4320" t="s">
        <v>157</v>
      </c>
    </row>
    <row r="4321" spans="19:22" x14ac:dyDescent="0.45">
      <c r="S4321" t="s">
        <v>752</v>
      </c>
      <c r="T4321" t="s">
        <v>781</v>
      </c>
      <c r="U4321">
        <v>2.0277704897179102E-2</v>
      </c>
      <c r="V4321" t="s">
        <v>157</v>
      </c>
    </row>
    <row r="4322" spans="19:22" x14ac:dyDescent="0.45">
      <c r="S4322" t="s">
        <v>752</v>
      </c>
      <c r="T4322" t="s">
        <v>782</v>
      </c>
      <c r="U4322">
        <v>0.12035802035612517</v>
      </c>
      <c r="V4322" t="s">
        <v>157</v>
      </c>
    </row>
    <row r="4323" spans="19:22" x14ac:dyDescent="0.45">
      <c r="S4323" t="s">
        <v>752</v>
      </c>
      <c r="T4323" t="s">
        <v>783</v>
      </c>
      <c r="U4323">
        <v>0.11641380712516443</v>
      </c>
      <c r="V4323" t="s">
        <v>157</v>
      </c>
    </row>
    <row r="4324" spans="19:22" x14ac:dyDescent="0.45">
      <c r="S4324" t="s">
        <v>752</v>
      </c>
      <c r="T4324" t="s">
        <v>784</v>
      </c>
      <c r="U4324">
        <v>2.1531887094913781E-2</v>
      </c>
      <c r="V4324" t="s">
        <v>157</v>
      </c>
    </row>
    <row r="4325" spans="19:22" x14ac:dyDescent="0.45">
      <c r="S4325" t="s">
        <v>752</v>
      </c>
      <c r="T4325" t="s">
        <v>785</v>
      </c>
      <c r="U4325">
        <v>0.11498594714019167</v>
      </c>
      <c r="V4325" t="s">
        <v>157</v>
      </c>
    </row>
    <row r="4326" spans="19:22" x14ac:dyDescent="0.45">
      <c r="S4326" t="s">
        <v>752</v>
      </c>
      <c r="T4326" t="s">
        <v>786</v>
      </c>
      <c r="U4326">
        <v>0.11531283829830653</v>
      </c>
      <c r="V4326" t="s">
        <v>157</v>
      </c>
    </row>
    <row r="4327" spans="19:22" x14ac:dyDescent="0.45">
      <c r="S4327" t="s">
        <v>752</v>
      </c>
      <c r="T4327" t="s">
        <v>787</v>
      </c>
      <c r="U4327">
        <v>2.1557354728397191E-2</v>
      </c>
      <c r="V4327" t="s">
        <v>157</v>
      </c>
    </row>
    <row r="4328" spans="19:22" x14ac:dyDescent="0.45">
      <c r="S4328" t="s">
        <v>752</v>
      </c>
      <c r="T4328" t="s">
        <v>788</v>
      </c>
      <c r="U4328">
        <v>0.11299697834333101</v>
      </c>
      <c r="V4328" t="s">
        <v>157</v>
      </c>
    </row>
    <row r="4329" spans="19:22" x14ac:dyDescent="0.45">
      <c r="S4329" t="s">
        <v>752</v>
      </c>
      <c r="T4329" t="s">
        <v>789</v>
      </c>
      <c r="U4329">
        <v>0.11075692716292806</v>
      </c>
      <c r="V4329" t="s">
        <v>157</v>
      </c>
    </row>
    <row r="4330" spans="19:22" x14ac:dyDescent="0.45">
      <c r="S4330" t="s">
        <v>752</v>
      </c>
      <c r="T4330" t="s">
        <v>790</v>
      </c>
      <c r="U4330">
        <v>2.0252013763764017E-2</v>
      </c>
      <c r="V4330" t="s">
        <v>157</v>
      </c>
    </row>
    <row r="4331" spans="19:22" x14ac:dyDescent="0.45">
      <c r="S4331" t="s">
        <v>753</v>
      </c>
      <c r="T4331" t="s">
        <v>779</v>
      </c>
      <c r="U4331">
        <v>0.10358439157254179</v>
      </c>
      <c r="V4331" t="s">
        <v>157</v>
      </c>
    </row>
    <row r="4332" spans="19:22" x14ac:dyDescent="0.45">
      <c r="S4332" t="s">
        <v>753</v>
      </c>
      <c r="T4332" t="s">
        <v>780</v>
      </c>
      <c r="U4332">
        <v>9.7457901303574429E-2</v>
      </c>
      <c r="V4332" t="s">
        <v>157</v>
      </c>
    </row>
    <row r="4333" spans="19:22" x14ac:dyDescent="0.45">
      <c r="S4333" t="s">
        <v>753</v>
      </c>
      <c r="T4333" t="s">
        <v>781</v>
      </c>
      <c r="U4333">
        <v>1.8168292972539742E-2</v>
      </c>
      <c r="V4333" t="s">
        <v>157</v>
      </c>
    </row>
    <row r="4334" spans="19:22" x14ac:dyDescent="0.45">
      <c r="S4334" t="s">
        <v>753</v>
      </c>
      <c r="T4334" t="s">
        <v>782</v>
      </c>
      <c r="U4334">
        <v>0.11513301892891208</v>
      </c>
      <c r="V4334" t="s">
        <v>157</v>
      </c>
    </row>
    <row r="4335" spans="19:22" x14ac:dyDescent="0.45">
      <c r="S4335" t="s">
        <v>753</v>
      </c>
      <c r="T4335" t="s">
        <v>783</v>
      </c>
      <c r="U4335">
        <v>0.11184544592265125</v>
      </c>
      <c r="V4335" t="s">
        <v>157</v>
      </c>
    </row>
    <row r="4336" spans="19:22" x14ac:dyDescent="0.45">
      <c r="S4336" t="s">
        <v>753</v>
      </c>
      <c r="T4336" t="s">
        <v>784</v>
      </c>
      <c r="U4336">
        <v>2.0263722088748617E-2</v>
      </c>
      <c r="V4336" t="s">
        <v>157</v>
      </c>
    </row>
    <row r="4337" spans="19:22" x14ac:dyDescent="0.45">
      <c r="S4337" t="s">
        <v>753</v>
      </c>
      <c r="T4337" t="s">
        <v>785</v>
      </c>
      <c r="U4337">
        <v>0.13363309255755512</v>
      </c>
      <c r="V4337" t="s">
        <v>157</v>
      </c>
    </row>
    <row r="4338" spans="19:22" x14ac:dyDescent="0.45">
      <c r="S4338" t="s">
        <v>753</v>
      </c>
      <c r="T4338" t="s">
        <v>786</v>
      </c>
      <c r="U4338">
        <v>0.13281630765660565</v>
      </c>
      <c r="V4338" t="s">
        <v>157</v>
      </c>
    </row>
    <row r="4339" spans="19:22" x14ac:dyDescent="0.45">
      <c r="S4339" t="s">
        <v>753</v>
      </c>
      <c r="T4339" t="s">
        <v>787</v>
      </c>
      <c r="U4339">
        <v>2.4044812099742796E-2</v>
      </c>
      <c r="V4339" t="s">
        <v>157</v>
      </c>
    </row>
    <row r="4340" spans="19:22" x14ac:dyDescent="0.45">
      <c r="S4340" t="s">
        <v>753</v>
      </c>
      <c r="T4340" t="s">
        <v>788</v>
      </c>
      <c r="U4340">
        <v>0.11237853354462488</v>
      </c>
      <c r="V4340" t="s">
        <v>157</v>
      </c>
    </row>
    <row r="4341" spans="19:22" x14ac:dyDescent="0.45">
      <c r="S4341" t="s">
        <v>753</v>
      </c>
      <c r="T4341" t="s">
        <v>789</v>
      </c>
      <c r="U4341">
        <v>0.10971855750387087</v>
      </c>
      <c r="V4341" t="s">
        <v>157</v>
      </c>
    </row>
    <row r="4342" spans="19:22" x14ac:dyDescent="0.45">
      <c r="S4342" t="s">
        <v>753</v>
      </c>
      <c r="T4342" t="s">
        <v>790</v>
      </c>
      <c r="U4342">
        <v>2.0955923848632825E-2</v>
      </c>
      <c r="V4342" t="s">
        <v>157</v>
      </c>
    </row>
    <row r="4343" spans="19:22" x14ac:dyDescent="0.45">
      <c r="S4343" t="s">
        <v>754</v>
      </c>
      <c r="T4343" t="s">
        <v>779</v>
      </c>
      <c r="U4343">
        <v>9.9966374781191497E-2</v>
      </c>
      <c r="V4343" t="s">
        <v>157</v>
      </c>
    </row>
    <row r="4344" spans="19:22" x14ac:dyDescent="0.45">
      <c r="S4344" t="s">
        <v>754</v>
      </c>
      <c r="T4344" t="s">
        <v>780</v>
      </c>
      <c r="U4344">
        <v>9.3866601976971858E-2</v>
      </c>
      <c r="V4344" t="s">
        <v>157</v>
      </c>
    </row>
    <row r="4345" spans="19:22" x14ac:dyDescent="0.45">
      <c r="S4345" t="s">
        <v>754</v>
      </c>
      <c r="T4345" t="s">
        <v>781</v>
      </c>
      <c r="U4345">
        <v>1.8051592561229013E-2</v>
      </c>
      <c r="V4345" t="s">
        <v>157</v>
      </c>
    </row>
    <row r="4346" spans="19:22" x14ac:dyDescent="0.45">
      <c r="S4346" t="s">
        <v>754</v>
      </c>
      <c r="T4346" t="s">
        <v>782</v>
      </c>
      <c r="U4346">
        <v>0.11466946409911066</v>
      </c>
      <c r="V4346" t="s">
        <v>157</v>
      </c>
    </row>
    <row r="4347" spans="19:22" x14ac:dyDescent="0.45">
      <c r="S4347" t="s">
        <v>754</v>
      </c>
      <c r="T4347" t="s">
        <v>783</v>
      </c>
      <c r="U4347">
        <v>0.11172004603954384</v>
      </c>
      <c r="V4347" t="s">
        <v>157</v>
      </c>
    </row>
    <row r="4348" spans="19:22" x14ac:dyDescent="0.45">
      <c r="S4348" t="s">
        <v>754</v>
      </c>
      <c r="T4348" t="s">
        <v>784</v>
      </c>
      <c r="U4348">
        <v>2.0711534649467251E-2</v>
      </c>
      <c r="V4348" t="s">
        <v>157</v>
      </c>
    </row>
    <row r="4349" spans="19:22" x14ac:dyDescent="0.45">
      <c r="S4349" t="s">
        <v>754</v>
      </c>
      <c r="T4349" t="s">
        <v>785</v>
      </c>
      <c r="U4349">
        <v>0.13577801126755465</v>
      </c>
      <c r="V4349" t="s">
        <v>157</v>
      </c>
    </row>
    <row r="4350" spans="19:22" x14ac:dyDescent="0.45">
      <c r="S4350" t="s">
        <v>754</v>
      </c>
      <c r="T4350" t="s">
        <v>786</v>
      </c>
      <c r="U4350">
        <v>0.13424768498474735</v>
      </c>
      <c r="V4350" t="s">
        <v>157</v>
      </c>
    </row>
    <row r="4351" spans="19:22" x14ac:dyDescent="0.45">
      <c r="S4351" t="s">
        <v>754</v>
      </c>
      <c r="T4351" t="s">
        <v>787</v>
      </c>
      <c r="U4351">
        <v>2.4080273388030361E-2</v>
      </c>
      <c r="V4351" t="s">
        <v>157</v>
      </c>
    </row>
    <row r="4352" spans="19:22" x14ac:dyDescent="0.45">
      <c r="S4352" t="s">
        <v>754</v>
      </c>
      <c r="T4352" t="s">
        <v>788</v>
      </c>
      <c r="U4352">
        <v>0.1137011434759692</v>
      </c>
      <c r="V4352" t="s">
        <v>157</v>
      </c>
    </row>
    <row r="4353" spans="19:22" x14ac:dyDescent="0.45">
      <c r="S4353" t="s">
        <v>754</v>
      </c>
      <c r="T4353" t="s">
        <v>789</v>
      </c>
      <c r="U4353">
        <v>0.11194308119893562</v>
      </c>
      <c r="V4353" t="s">
        <v>157</v>
      </c>
    </row>
    <row r="4354" spans="19:22" x14ac:dyDescent="0.45">
      <c r="S4354" t="s">
        <v>754</v>
      </c>
      <c r="T4354" t="s">
        <v>790</v>
      </c>
      <c r="U4354">
        <v>2.1264191577248678E-2</v>
      </c>
      <c r="V4354" t="s">
        <v>157</v>
      </c>
    </row>
    <row r="4355" spans="19:22" x14ac:dyDescent="0.45">
      <c r="S4355" t="s">
        <v>755</v>
      </c>
      <c r="T4355" t="s">
        <v>779</v>
      </c>
      <c r="U4355">
        <v>9.7029654809190818E-2</v>
      </c>
      <c r="V4355" t="s">
        <v>157</v>
      </c>
    </row>
    <row r="4356" spans="19:22" x14ac:dyDescent="0.45">
      <c r="S4356" t="s">
        <v>755</v>
      </c>
      <c r="T4356" t="s">
        <v>780</v>
      </c>
      <c r="U4356">
        <v>9.0762828108839524E-2</v>
      </c>
      <c r="V4356" t="s">
        <v>157</v>
      </c>
    </row>
    <row r="4357" spans="19:22" x14ac:dyDescent="0.45">
      <c r="S4357" t="s">
        <v>755</v>
      </c>
      <c r="T4357" t="s">
        <v>781</v>
      </c>
      <c r="U4357">
        <v>1.7786640355665569E-2</v>
      </c>
      <c r="V4357" t="s">
        <v>157</v>
      </c>
    </row>
    <row r="4358" spans="19:22" x14ac:dyDescent="0.45">
      <c r="S4358" t="s">
        <v>755</v>
      </c>
      <c r="T4358" t="s">
        <v>782</v>
      </c>
      <c r="U4358">
        <v>0.11400340570456691</v>
      </c>
      <c r="V4358" t="s">
        <v>157</v>
      </c>
    </row>
    <row r="4359" spans="19:22" x14ac:dyDescent="0.45">
      <c r="S4359" t="s">
        <v>755</v>
      </c>
      <c r="T4359" t="s">
        <v>783</v>
      </c>
      <c r="U4359">
        <v>0.11061167546259416</v>
      </c>
      <c r="V4359" t="s">
        <v>157</v>
      </c>
    </row>
    <row r="4360" spans="19:22" x14ac:dyDescent="0.45">
      <c r="S4360" t="s">
        <v>755</v>
      </c>
      <c r="T4360" t="s">
        <v>784</v>
      </c>
      <c r="U4360">
        <v>2.1071152893155309E-2</v>
      </c>
      <c r="V4360" t="s">
        <v>157</v>
      </c>
    </row>
    <row r="4361" spans="19:22" x14ac:dyDescent="0.45">
      <c r="S4361" t="s">
        <v>755</v>
      </c>
      <c r="T4361" t="s">
        <v>785</v>
      </c>
      <c r="U4361">
        <v>0.13795683501252898</v>
      </c>
      <c r="V4361" t="s">
        <v>157</v>
      </c>
    </row>
    <row r="4362" spans="19:22" x14ac:dyDescent="0.45">
      <c r="S4362" t="s">
        <v>755</v>
      </c>
      <c r="T4362" t="s">
        <v>786</v>
      </c>
      <c r="U4362">
        <v>0.13583753169957991</v>
      </c>
      <c r="V4362" t="s">
        <v>157</v>
      </c>
    </row>
    <row r="4363" spans="19:22" x14ac:dyDescent="0.45">
      <c r="S4363" t="s">
        <v>755</v>
      </c>
      <c r="T4363" t="s">
        <v>787</v>
      </c>
      <c r="U4363">
        <v>2.4418152597571324E-2</v>
      </c>
      <c r="V4363" t="s">
        <v>157</v>
      </c>
    </row>
    <row r="4364" spans="19:22" x14ac:dyDescent="0.45">
      <c r="S4364" t="s">
        <v>755</v>
      </c>
      <c r="T4364" t="s">
        <v>788</v>
      </c>
      <c r="U4364">
        <v>0.11483279774812438</v>
      </c>
      <c r="V4364" t="s">
        <v>157</v>
      </c>
    </row>
    <row r="4365" spans="19:22" x14ac:dyDescent="0.45">
      <c r="S4365" t="s">
        <v>755</v>
      </c>
      <c r="T4365" t="s">
        <v>789</v>
      </c>
      <c r="U4365">
        <v>0.11416247192181345</v>
      </c>
      <c r="V4365" t="s">
        <v>157</v>
      </c>
    </row>
    <row r="4366" spans="19:22" x14ac:dyDescent="0.45">
      <c r="S4366" t="s">
        <v>755</v>
      </c>
      <c r="T4366" t="s">
        <v>790</v>
      </c>
      <c r="U4366">
        <v>2.1526853686369678E-2</v>
      </c>
      <c r="V4366" t="s">
        <v>157</v>
      </c>
    </row>
    <row r="4367" spans="19:22" x14ac:dyDescent="0.45">
      <c r="S4367" t="s">
        <v>756</v>
      </c>
      <c r="T4367" t="s">
        <v>779</v>
      </c>
      <c r="U4367">
        <v>9.46958230438808E-2</v>
      </c>
      <c r="V4367" t="s">
        <v>157</v>
      </c>
    </row>
    <row r="4368" spans="19:22" x14ac:dyDescent="0.45">
      <c r="S4368" t="s">
        <v>756</v>
      </c>
      <c r="T4368" t="s">
        <v>780</v>
      </c>
      <c r="U4368">
        <v>8.8155376571323121E-2</v>
      </c>
      <c r="V4368" t="s">
        <v>157</v>
      </c>
    </row>
    <row r="4369" spans="19:22" x14ac:dyDescent="0.45">
      <c r="S4369" t="s">
        <v>756</v>
      </c>
      <c r="T4369" t="s">
        <v>781</v>
      </c>
      <c r="U4369">
        <v>1.7323785103867131E-2</v>
      </c>
      <c r="V4369" t="s">
        <v>157</v>
      </c>
    </row>
    <row r="4370" spans="19:22" x14ac:dyDescent="0.45">
      <c r="S4370" t="s">
        <v>756</v>
      </c>
      <c r="T4370" t="s">
        <v>782</v>
      </c>
      <c r="U4370">
        <v>0.11246066255141494</v>
      </c>
      <c r="V4370" t="s">
        <v>157</v>
      </c>
    </row>
    <row r="4371" spans="19:22" x14ac:dyDescent="0.45">
      <c r="S4371" t="s">
        <v>756</v>
      </c>
      <c r="T4371" t="s">
        <v>783</v>
      </c>
      <c r="U4371">
        <v>0.10839124140041564</v>
      </c>
      <c r="V4371" t="s">
        <v>157</v>
      </c>
    </row>
    <row r="4372" spans="19:22" x14ac:dyDescent="0.45">
      <c r="S4372" t="s">
        <v>756</v>
      </c>
      <c r="T4372" t="s">
        <v>784</v>
      </c>
      <c r="U4372">
        <v>2.108018686193671E-2</v>
      </c>
      <c r="V4372" t="s">
        <v>157</v>
      </c>
    </row>
    <row r="4373" spans="19:22" x14ac:dyDescent="0.45">
      <c r="S4373" t="s">
        <v>756</v>
      </c>
      <c r="T4373" t="s">
        <v>785</v>
      </c>
      <c r="U4373">
        <v>0.14031052387523324</v>
      </c>
      <c r="V4373" t="s">
        <v>157</v>
      </c>
    </row>
    <row r="4374" spans="19:22" x14ac:dyDescent="0.45">
      <c r="S4374" t="s">
        <v>756</v>
      </c>
      <c r="T4374" t="s">
        <v>786</v>
      </c>
      <c r="U4374">
        <v>0.13723880579144235</v>
      </c>
      <c r="V4374" t="s">
        <v>157</v>
      </c>
    </row>
    <row r="4375" spans="19:22" x14ac:dyDescent="0.45">
      <c r="S4375" t="s">
        <v>756</v>
      </c>
      <c r="T4375" t="s">
        <v>787</v>
      </c>
      <c r="U4375">
        <v>2.5157608752520565E-2</v>
      </c>
      <c r="V4375" t="s">
        <v>157</v>
      </c>
    </row>
    <row r="4376" spans="19:22" x14ac:dyDescent="0.45">
      <c r="S4376" t="s">
        <v>756</v>
      </c>
      <c r="T4376" t="s">
        <v>788</v>
      </c>
      <c r="U4376">
        <v>0.11635653645340775</v>
      </c>
      <c r="V4376" t="s">
        <v>157</v>
      </c>
    </row>
    <row r="4377" spans="19:22" x14ac:dyDescent="0.45">
      <c r="S4377" t="s">
        <v>756</v>
      </c>
      <c r="T4377" t="s">
        <v>789</v>
      </c>
      <c r="U4377">
        <v>0.11672138656752717</v>
      </c>
      <c r="V4377" t="s">
        <v>157</v>
      </c>
    </row>
    <row r="4378" spans="19:22" x14ac:dyDescent="0.45">
      <c r="S4378" t="s">
        <v>756</v>
      </c>
      <c r="T4378" t="s">
        <v>790</v>
      </c>
      <c r="U4378">
        <v>2.2108063027030611E-2</v>
      </c>
      <c r="V4378" t="s">
        <v>157</v>
      </c>
    </row>
    <row r="4379" spans="19:22" x14ac:dyDescent="0.45">
      <c r="S4379" t="s">
        <v>757</v>
      </c>
      <c r="T4379" t="s">
        <v>779</v>
      </c>
      <c r="U4379">
        <v>0.11484748992124942</v>
      </c>
      <c r="V4379" t="s">
        <v>157</v>
      </c>
    </row>
    <row r="4380" spans="19:22" x14ac:dyDescent="0.45">
      <c r="S4380" t="s">
        <v>757</v>
      </c>
      <c r="T4380" t="s">
        <v>780</v>
      </c>
      <c r="U4380">
        <v>0.11215906646967196</v>
      </c>
      <c r="V4380" t="s">
        <v>157</v>
      </c>
    </row>
    <row r="4381" spans="19:22" x14ac:dyDescent="0.45">
      <c r="S4381" t="s">
        <v>757</v>
      </c>
      <c r="T4381" t="s">
        <v>781</v>
      </c>
      <c r="U4381">
        <v>2.0464873295312023E-2</v>
      </c>
      <c r="V4381" t="s">
        <v>157</v>
      </c>
    </row>
    <row r="4382" spans="19:22" x14ac:dyDescent="0.45">
      <c r="S4382" t="s">
        <v>757</v>
      </c>
      <c r="T4382" t="s">
        <v>782</v>
      </c>
      <c r="U4382">
        <v>0.11889723974817439</v>
      </c>
      <c r="V4382" t="s">
        <v>157</v>
      </c>
    </row>
    <row r="4383" spans="19:22" x14ac:dyDescent="0.45">
      <c r="S4383" t="s">
        <v>757</v>
      </c>
      <c r="T4383" t="s">
        <v>783</v>
      </c>
      <c r="U4383">
        <v>0.11574874792414519</v>
      </c>
      <c r="V4383" t="s">
        <v>157</v>
      </c>
    </row>
    <row r="4384" spans="19:22" x14ac:dyDescent="0.45">
      <c r="S4384" t="s">
        <v>757</v>
      </c>
      <c r="T4384" t="s">
        <v>784</v>
      </c>
      <c r="U4384">
        <v>2.1342102349799354E-2</v>
      </c>
      <c r="V4384" t="s">
        <v>157</v>
      </c>
    </row>
    <row r="4385" spans="19:22" x14ac:dyDescent="0.45">
      <c r="S4385" t="s">
        <v>757</v>
      </c>
      <c r="T4385" t="s">
        <v>785</v>
      </c>
      <c r="U4385">
        <v>0.11454945020387831</v>
      </c>
      <c r="V4385" t="s">
        <v>157</v>
      </c>
    </row>
    <row r="4386" spans="19:22" x14ac:dyDescent="0.45">
      <c r="S4386" t="s">
        <v>757</v>
      </c>
      <c r="T4386" t="s">
        <v>786</v>
      </c>
      <c r="U4386">
        <v>0.11483111767163111</v>
      </c>
      <c r="V4386" t="s">
        <v>157</v>
      </c>
    </row>
    <row r="4387" spans="19:22" x14ac:dyDescent="0.45">
      <c r="S4387" t="s">
        <v>757</v>
      </c>
      <c r="T4387" t="s">
        <v>787</v>
      </c>
      <c r="U4387">
        <v>2.1450652015660925E-2</v>
      </c>
      <c r="V4387" t="s">
        <v>157</v>
      </c>
    </row>
    <row r="4388" spans="19:22" x14ac:dyDescent="0.45">
      <c r="S4388" t="s">
        <v>757</v>
      </c>
      <c r="T4388" t="s">
        <v>788</v>
      </c>
      <c r="U4388">
        <v>0.113527906906476</v>
      </c>
      <c r="V4388" t="s">
        <v>157</v>
      </c>
    </row>
    <row r="4389" spans="19:22" x14ac:dyDescent="0.45">
      <c r="S4389" t="s">
        <v>757</v>
      </c>
      <c r="T4389" t="s">
        <v>789</v>
      </c>
      <c r="U4389">
        <v>0.1116955312227817</v>
      </c>
      <c r="V4389" t="s">
        <v>157</v>
      </c>
    </row>
    <row r="4390" spans="19:22" x14ac:dyDescent="0.45">
      <c r="S4390" t="s">
        <v>757</v>
      </c>
      <c r="T4390" t="s">
        <v>790</v>
      </c>
      <c r="U4390">
        <v>2.0485822271219641E-2</v>
      </c>
      <c r="V4390" t="s">
        <v>157</v>
      </c>
    </row>
    <row r="4391" spans="19:22" x14ac:dyDescent="0.45">
      <c r="S4391" t="s">
        <v>758</v>
      </c>
      <c r="T4391" t="s">
        <v>779</v>
      </c>
      <c r="U4391">
        <v>0.11617867767020673</v>
      </c>
      <c r="V4391" t="s">
        <v>157</v>
      </c>
    </row>
    <row r="4392" spans="19:22" x14ac:dyDescent="0.45">
      <c r="S4392" t="s">
        <v>758</v>
      </c>
      <c r="T4392" t="s">
        <v>780</v>
      </c>
      <c r="U4392">
        <v>0.11328169979045086</v>
      </c>
      <c r="V4392" t="s">
        <v>157</v>
      </c>
    </row>
    <row r="4393" spans="19:22" x14ac:dyDescent="0.45">
      <c r="S4393" t="s">
        <v>758</v>
      </c>
      <c r="T4393" t="s">
        <v>781</v>
      </c>
      <c r="U4393">
        <v>2.0395293101604525E-2</v>
      </c>
      <c r="V4393" t="s">
        <v>157</v>
      </c>
    </row>
    <row r="4394" spans="19:22" x14ac:dyDescent="0.45">
      <c r="S4394" t="s">
        <v>758</v>
      </c>
      <c r="T4394" t="s">
        <v>782</v>
      </c>
      <c r="U4394">
        <v>0.11663985959071388</v>
      </c>
      <c r="V4394" t="s">
        <v>157</v>
      </c>
    </row>
    <row r="4395" spans="19:22" x14ac:dyDescent="0.45">
      <c r="S4395" t="s">
        <v>758</v>
      </c>
      <c r="T4395" t="s">
        <v>783</v>
      </c>
      <c r="U4395">
        <v>0.11428482612568576</v>
      </c>
      <c r="V4395" t="s">
        <v>157</v>
      </c>
    </row>
    <row r="4396" spans="19:22" x14ac:dyDescent="0.45">
      <c r="S4396" t="s">
        <v>758</v>
      </c>
      <c r="T4396" t="s">
        <v>784</v>
      </c>
      <c r="U4396">
        <v>2.1268799871704564E-2</v>
      </c>
      <c r="V4396" t="s">
        <v>157</v>
      </c>
    </row>
    <row r="4397" spans="19:22" x14ac:dyDescent="0.45">
      <c r="S4397" t="s">
        <v>758</v>
      </c>
      <c r="T4397" t="s">
        <v>785</v>
      </c>
      <c r="U4397">
        <v>0.11454448486371678</v>
      </c>
      <c r="V4397" t="s">
        <v>157</v>
      </c>
    </row>
    <row r="4398" spans="19:22" x14ac:dyDescent="0.45">
      <c r="S4398" t="s">
        <v>758</v>
      </c>
      <c r="T4398" t="s">
        <v>786</v>
      </c>
      <c r="U4398">
        <v>0.11470127438263028</v>
      </c>
      <c r="V4398" t="s">
        <v>157</v>
      </c>
    </row>
    <row r="4399" spans="19:22" x14ac:dyDescent="0.45">
      <c r="S4399" t="s">
        <v>758</v>
      </c>
      <c r="T4399" t="s">
        <v>787</v>
      </c>
      <c r="U4399">
        <v>2.1394591559624275E-2</v>
      </c>
      <c r="V4399" t="s">
        <v>157</v>
      </c>
    </row>
    <row r="4400" spans="19:22" x14ac:dyDescent="0.45">
      <c r="S4400" t="s">
        <v>758</v>
      </c>
      <c r="T4400" t="s">
        <v>788</v>
      </c>
      <c r="U4400">
        <v>0.11436578351079822</v>
      </c>
      <c r="V4400" t="s">
        <v>157</v>
      </c>
    </row>
    <row r="4401" spans="19:22" x14ac:dyDescent="0.45">
      <c r="S4401" t="s">
        <v>758</v>
      </c>
      <c r="T4401" t="s">
        <v>789</v>
      </c>
      <c r="U4401">
        <v>0.11242939204584444</v>
      </c>
      <c r="V4401" t="s">
        <v>157</v>
      </c>
    </row>
    <row r="4402" spans="19:22" x14ac:dyDescent="0.45">
      <c r="S4402" t="s">
        <v>758</v>
      </c>
      <c r="T4402" t="s">
        <v>790</v>
      </c>
      <c r="U4402">
        <v>2.0515317487019711E-2</v>
      </c>
      <c r="V4402" t="s">
        <v>157</v>
      </c>
    </row>
    <row r="4403" spans="19:22" x14ac:dyDescent="0.45">
      <c r="S4403" t="s">
        <v>759</v>
      </c>
      <c r="T4403" t="s">
        <v>779</v>
      </c>
      <c r="U4403">
        <v>0.11651526369276954</v>
      </c>
      <c r="V4403" t="s">
        <v>157</v>
      </c>
    </row>
    <row r="4404" spans="19:22" x14ac:dyDescent="0.45">
      <c r="S4404" t="s">
        <v>759</v>
      </c>
      <c r="T4404" t="s">
        <v>780</v>
      </c>
      <c r="U4404">
        <v>0.11449683208754369</v>
      </c>
      <c r="V4404" t="s">
        <v>157</v>
      </c>
    </row>
    <row r="4405" spans="19:22" x14ac:dyDescent="0.45">
      <c r="S4405" t="s">
        <v>759</v>
      </c>
      <c r="T4405" t="s">
        <v>781</v>
      </c>
      <c r="U4405">
        <v>2.0239793654458833E-2</v>
      </c>
      <c r="V4405" t="s">
        <v>157</v>
      </c>
    </row>
    <row r="4406" spans="19:22" x14ac:dyDescent="0.45">
      <c r="S4406" t="s">
        <v>759</v>
      </c>
      <c r="T4406" t="s">
        <v>782</v>
      </c>
      <c r="U4406">
        <v>0.11498889398648718</v>
      </c>
      <c r="V4406" t="s">
        <v>157</v>
      </c>
    </row>
    <row r="4407" spans="19:22" x14ac:dyDescent="0.45">
      <c r="S4407" t="s">
        <v>759</v>
      </c>
      <c r="T4407" t="s">
        <v>783</v>
      </c>
      <c r="U4407">
        <v>0.11319104741564473</v>
      </c>
      <c r="V4407" t="s">
        <v>157</v>
      </c>
    </row>
    <row r="4408" spans="19:22" x14ac:dyDescent="0.45">
      <c r="S4408" t="s">
        <v>759</v>
      </c>
      <c r="T4408" t="s">
        <v>784</v>
      </c>
      <c r="U4408">
        <v>2.1086843714465953E-2</v>
      </c>
      <c r="V4408" t="s">
        <v>157</v>
      </c>
    </row>
    <row r="4409" spans="19:22" x14ac:dyDescent="0.45">
      <c r="S4409" t="s">
        <v>759</v>
      </c>
      <c r="T4409" t="s">
        <v>785</v>
      </c>
      <c r="U4409">
        <v>0.11444218064180936</v>
      </c>
      <c r="V4409" t="s">
        <v>157</v>
      </c>
    </row>
    <row r="4410" spans="19:22" x14ac:dyDescent="0.45">
      <c r="S4410" t="s">
        <v>759</v>
      </c>
      <c r="T4410" t="s">
        <v>786</v>
      </c>
      <c r="U4410">
        <v>0.11384510350837981</v>
      </c>
      <c r="V4410" t="s">
        <v>157</v>
      </c>
    </row>
    <row r="4411" spans="19:22" x14ac:dyDescent="0.45">
      <c r="S4411" t="s">
        <v>759</v>
      </c>
      <c r="T4411" t="s">
        <v>787</v>
      </c>
      <c r="U4411">
        <v>2.107182488874396E-2</v>
      </c>
      <c r="V4411" t="s">
        <v>157</v>
      </c>
    </row>
    <row r="4412" spans="19:22" x14ac:dyDescent="0.45">
      <c r="S4412" t="s">
        <v>759</v>
      </c>
      <c r="T4412" t="s">
        <v>788</v>
      </c>
      <c r="U4412">
        <v>0.11591815753255817</v>
      </c>
      <c r="V4412" t="s">
        <v>157</v>
      </c>
    </row>
    <row r="4413" spans="19:22" x14ac:dyDescent="0.45">
      <c r="S4413" t="s">
        <v>759</v>
      </c>
      <c r="T4413" t="s">
        <v>789</v>
      </c>
      <c r="U4413">
        <v>0.113366322722132</v>
      </c>
      <c r="V4413" t="s">
        <v>157</v>
      </c>
    </row>
    <row r="4414" spans="19:22" x14ac:dyDescent="0.45">
      <c r="S4414" t="s">
        <v>759</v>
      </c>
      <c r="T4414" t="s">
        <v>790</v>
      </c>
      <c r="U4414">
        <v>2.0837736155006691E-2</v>
      </c>
      <c r="V4414" t="s">
        <v>157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Veda</vt:lpstr>
      <vt:lpstr>fuel_prices</vt:lpstr>
      <vt:lpstr>iea_data</vt:lpstr>
      <vt:lpstr>ar6_r10</vt:lpstr>
      <vt:lpstr>ev_charging_uc</vt:lpstr>
      <vt:lpstr>ts12_clu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2025-09-09T03:30:01Z</dcterms:modified>
</cp:coreProperties>
</file>