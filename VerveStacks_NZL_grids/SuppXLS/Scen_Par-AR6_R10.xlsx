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ZL_grids\SuppXLS\"/>
    </mc:Choice>
  </mc:AlternateContent>
  <xr:revisionPtr revIDLastSave="0" documentId="8_{8BE510D5-3A55-40A5-875C-7A6483BDFF75}" xr6:coauthVersionLast="47" xr6:coauthVersionMax="47" xr10:uidLastSave="{00000000-0000-0000-0000-000000000000}"/>
  <bookViews>
    <workbookView xWindow="-98" yWindow="-98" windowWidth="28996" windowHeight="17475" firstSheet="8" activeTab="8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48" sheetId="8" r:id="rId7"/>
    <sheet name="ts_annual" sheetId="9" r:id="rId8"/>
    <sheet name="ts_12t" sheetId="10" r:id="rId9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0" l="1"/>
  <c r="AG9" i="10"/>
  <c r="AC9" i="10"/>
  <c r="A10" i="6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D5" i="1"/>
  <c r="H21" i="6" l="1"/>
  <c r="AJ25" i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K48" i="1" s="1"/>
  <c r="J37" i="1"/>
  <c r="J45" i="1" s="1"/>
  <c r="J40" i="1"/>
  <c r="J48" i="1" s="1"/>
  <c r="I47" i="1"/>
  <c r="L40" i="1"/>
  <c r="L48" i="1" s="1"/>
  <c r="M40" i="1"/>
  <c r="M48" i="1" s="1"/>
  <c r="N40" i="1"/>
  <c r="N48" i="1" s="1"/>
  <c r="M44" i="1"/>
  <c r="N44" i="1"/>
  <c r="O48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sharedStrings.xml><?xml version="1.0" encoding="utf-8"?>
<sst xmlns="http://schemas.openxmlformats.org/spreadsheetml/2006/main" count="17373" uniqueCount="317">
  <si>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</si>
  <si>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</si>
  <si>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</si>
  <si>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</si>
  <si>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</si>
  <si>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</si>
  <si>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</si>
  <si>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</si>
  <si>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</si>
  <si>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</si>
  <si>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</si>
  <si>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</si>
  <si>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</si>
  <si>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</si>
  <si>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</si>
  <si>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</si>
  <si>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</si>
  <si>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</si>
  <si>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</si>
  <si>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</si>
  <si>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</si>
  <si>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</si>
  <si>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</si>
  <si>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</si>
  <si>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</si>
  <si>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</si>
  <si>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</si>
  <si>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</si>
  <si>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</si>
  <si>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</si>
  <si>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</si>
  <si>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</si>
  <si>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</si>
  <si>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</si>
  <si>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</si>
  <si>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</si>
  <si>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</si>
  <si>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</si>
  <si>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</si>
  <si>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</si>
  <si>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</si>
  <si>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</si>
  <si>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</si>
  <si>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</si>
  <si>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</si>
  <si>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</si>
  <si>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</si>
  <si>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</si>
  <si>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</si>
  <si>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</si>
  <si>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</si>
  <si>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</si>
  <si>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</si>
  <si>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</si>
  <si>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</si>
  <si>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</si>
  <si>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</si>
  <si>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</si>
  <si>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</si>
  <si>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</si>
  <si>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</si>
  <si>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</si>
  <si>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</si>
  <si>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</si>
  <si>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</si>
  <si>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</si>
  <si>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</si>
  <si>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</si>
  <si>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</si>
  <si>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</si>
  <si>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</si>
  <si>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</si>
  <si>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</si>
  <si>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</si>
  <si>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R10PAC_OECD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</si>
  <si>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</si>
  <si>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</si>
  <si>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</si>
  <si>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</si>
  <si>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</si>
  <si>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</si>
  <si>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</si>
  <si>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</si>
  <si>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</si>
  <si>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</si>
  <si>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~TFM_INS-TS: attribute=flo_cost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</si>
  <si>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</si>
  <si>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</si>
  <si>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</si>
  <si>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</si>
  <si>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</si>
  <si>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</si>
  <si>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</si>
  <si>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</si>
  <si>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</si>
  <si>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</si>
  <si>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</si>
  <si>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</si>
  <si>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</si>
  <si>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</si>
  <si>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</si>
  <si>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</si>
  <si>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</si>
  <si>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</si>
  <si>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</si>
  <si>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</si>
  <si>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</si>
  <si>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</si>
  <si>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</si>
  <si>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</si>
  <si>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</si>
  <si>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</si>
  <si>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</si>
  <si>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</si>
  <si>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</si>
  <si>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</si>
  <si>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</si>
  <si>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</si>
  <si>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</si>
  <si>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</si>
  <si>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</si>
  <si>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</si>
  <si>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</si>
  <si>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</si>
  <si>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</si>
  <si>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</si>
  <si>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</si>
  <si>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</si>
  <si>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</si>
  <si>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</si>
  <si>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</si>
  <si>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</si>
  <si>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</si>
  <si>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</si>
  <si>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</si>
  <si>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</si>
  <si>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</si>
  <si>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</si>
  <si>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</si>
  <si>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</si>
  <si>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</si>
  <si>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</si>
  <si>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</si>
  <si>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NZL</t>
  </si>
  <si>
    <t>Domestic gas fields, phasing out coal</t>
  </si>
  <si>
    <t>1,2,3,4,5,6,7,8,9,10,11,12,13,14,15,21,22,23,24,25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</si>
  <si>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</si>
  <si>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</si>
  <si>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</si>
  <si>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</si>
  <si>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</si>
  <si>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</si>
  <si>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</si>
  <si>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</si>
  <si>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</si>
  <si>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</si>
  <si>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</si>
  <si>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</si>
  <si>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</si>
  <si>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</si>
  <si>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com_fr</t>
  </si>
  <si>
    <t>elc_spv_001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</si>
  <si>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</si>
  <si>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</si>
  <si>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</si>
  <si>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</si>
  <si>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</si>
  <si>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</si>
  <si>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</si>
  <si>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</si>
  <si>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</si>
  <si>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</si>
  <si>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S04aH01</t>
  </si>
  <si>
    <t>S04aH02</t>
  </si>
  <si>
    <t>S04aH03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</si>
  <si>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</si>
  <si>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</si>
  <si>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</si>
  <si>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</si>
  <si>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</si>
  <si>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</si>
  <si>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</si>
  <si>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</si>
  <si>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</si>
  <si>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</si>
  <si>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</si>
  <si>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</si>
  <si>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</si>
  <si>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</si>
  <si>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</si>
  <si>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</si>
  <si>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</si>
  <si>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</si>
  <si>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</si>
  <si>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</si>
  <si>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</si>
  <si>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</si>
  <si>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</si>
  <si>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</si>
  <si>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</si>
  <si>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</si>
  <si>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</si>
  <si>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</si>
  <si>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</si>
  <si>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</si>
  <si>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</si>
  <si>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</si>
  <si>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</si>
  <si>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</si>
  <si>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</si>
  <si>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</si>
  <si>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</si>
  <si>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</si>
  <si>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</si>
  <si>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</si>
  <si>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</si>
  <si>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</si>
  <si>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</si>
  <si>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</si>
  <si>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</si>
  <si>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</si>
  <si>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</si>
  <si>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</si>
  <si>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</si>
  <si>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elc_wof_020</t>
  </si>
  <si>
    <t>elc_wof_021</t>
  </si>
  <si>
    <t>elc_wof_022</t>
  </si>
  <si>
    <t>elc_wof_023</t>
  </si>
  <si>
    <t>elc_wof_024</t>
  </si>
  <si>
    <t>elc_wof_025</t>
  </si>
  <si>
    <t>elc_wof_026</t>
  </si>
  <si>
    <t>elc_wof_027</t>
  </si>
  <si>
    <t>elc_wof_028</t>
  </si>
  <si>
    <t>elc_wof_029</t>
  </si>
  <si>
    <t>elc_wof_030</t>
  </si>
  <si>
    <t>elc_wof_031</t>
  </si>
  <si>
    <t>elc_wof_032</t>
  </si>
  <si>
    <t>elc_wof_033</t>
  </si>
  <si>
    <t>g_yrfr</t>
  </si>
  <si>
    <t>day_night</t>
  </si>
  <si>
    <t>D</t>
  </si>
  <si>
    <t>S02aH02,S03aH02,S01aH02,S04aH02</t>
  </si>
  <si>
    <t>N</t>
  </si>
  <si>
    <t>S03aH01,S03aH03,S01aH01,S04aH01,S04aH03,S01aH03,S02aH01,S02aH03</t>
  </si>
  <si>
    <t>com_pkflx</t>
  </si>
  <si>
    <t>ncap_afs</t>
  </si>
  <si>
    <t>pset_ci</t>
  </si>
  <si>
    <t>hydro</t>
  </si>
  <si>
    <t>S01,S02,S03,S04,S05,S06,S07,S08</t>
  </si>
  <si>
    <t>H04</t>
  </si>
  <si>
    <t>S05</t>
  </si>
  <si>
    <t>H05</t>
  </si>
  <si>
    <t>S06</t>
  </si>
  <si>
    <t>H06</t>
  </si>
  <si>
    <t>S07</t>
  </si>
  <si>
    <t>S08</t>
  </si>
  <si>
    <t>S01aH04</t>
  </si>
  <si>
    <t>S01aH05</t>
  </si>
  <si>
    <t>S01aH06</t>
  </si>
  <si>
    <t>S02aH04</t>
  </si>
  <si>
    <t>S02aH05</t>
  </si>
  <si>
    <t>S02aH06</t>
  </si>
  <si>
    <t>S03aH04</t>
  </si>
  <si>
    <t>S03aH05</t>
  </si>
  <si>
    <t>S03aH06</t>
  </si>
  <si>
    <t>S04aH04</t>
  </si>
  <si>
    <t>S04aH05</t>
  </si>
  <si>
    <t>S04aH06</t>
  </si>
  <si>
    <t>S05aH01</t>
  </si>
  <si>
    <t>S05aH02</t>
  </si>
  <si>
    <t>S05aH03</t>
  </si>
  <si>
    <t>S05aH04</t>
  </si>
  <si>
    <t>S05aH05</t>
  </si>
  <si>
    <t>S05aH06</t>
  </si>
  <si>
    <t>S06aH01</t>
  </si>
  <si>
    <t>S06aH02</t>
  </si>
  <si>
    <t>S06aH03</t>
  </si>
  <si>
    <t>S06aH04</t>
  </si>
  <si>
    <t>S06aH05</t>
  </si>
  <si>
    <t>S06aH06</t>
  </si>
  <si>
    <t>S07aH01</t>
  </si>
  <si>
    <t>S07aH02</t>
  </si>
  <si>
    <t>S07aH03</t>
  </si>
  <si>
    <t>S07aH04</t>
  </si>
  <si>
    <t>S07aH05</t>
  </si>
  <si>
    <t>S07aH06</t>
  </si>
  <si>
    <t>S08aH01</t>
  </si>
  <si>
    <t>S08aH02</t>
  </si>
  <si>
    <t>S08aH03</t>
  </si>
  <si>
    <t>S08aH04</t>
  </si>
  <si>
    <t>S08aH05</t>
  </si>
  <si>
    <t>S08aH06</t>
  </si>
  <si>
    <t>S02aH04,S04aH03,S07aH04,S08aH03,S01aH02,S04aH04,S03aH04,S01aH04,S07aH02,S08aH02,S03aH03,S05aH04,S06aH02,S06aH03,S01aH03,S05aH02,S05aH03,S02aH02,S03aH02,S02aH03,S07aH03,S06aH04,S08aH04,S04aH02</t>
  </si>
  <si>
    <t>S02aH06,S03aH05,S05aH05,S02aH01,S05aH06,S01aH05,S03aH06,S06aH05,S05aH01,S07aH06,S08aH01,S08aH05,S04aH05,S06aH01,S06aH06,S01aH06,S07aH01,S08aH06,S03aH01,S01aH01,S04aH01,S04aH06,S02aH05,S07aH05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</si>
  <si>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</si>
  <si>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</si>
  <si>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</si>
  <si>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</si>
  <si>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</si>
  <si>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</si>
  <si>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</si>
  <si>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</si>
  <si>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</si>
  <si>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</si>
  <si>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</si>
  <si>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</si>
  <si>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</si>
  <si>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</si>
  <si>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</si>
  <si>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</si>
  <si>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</si>
  <si>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</si>
  <si>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</si>
  <si>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</si>
  <si>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</si>
  <si>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SaD,WaD,RaP,WaP,FaD,FaP,SaP,RaD</t>
  </si>
  <si>
    <t>FaP,SaP,FaN,WaP,RaN,RaP,SaN,WaN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</si>
</sst>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44.72</c:v>
                </c:pt>
                <c:pt idx="1">
                  <c:v>44.272799999999997</c:v>
                </c:pt>
                <c:pt idx="2">
                  <c:v>44.72</c:v>
                </c:pt>
                <c:pt idx="3">
                  <c:v>45.167200000000001</c:v>
                </c:pt>
                <c:pt idx="4">
                  <c:v>50.533599999999993</c:v>
                </c:pt>
                <c:pt idx="5">
                  <c:v>53.663999999999994</c:v>
                </c:pt>
                <c:pt idx="6">
                  <c:v>59.477600000000002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56.33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8"/>
  <sheetViews>
    <sheetView topLeftCell="X1" workbookViewId="0">
      <selection activeCell="AI17" sqref="AI17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8" x14ac:dyDescent="0.45">
      <c r="G1" s="18" t="s">
        <v>145</v>
      </c>
    </row>
    <row r="2" spans="1:38" x14ac:dyDescent="0.45">
      <c r="D2" s="1" t="str">
        <f>"~Inputcell: "&amp;_xlfn.TEXTJOIN(",",TRUE,G1:EE1)</f>
        <v>~Inputcell: 1,2,3,4,5,6,7,8,9,10,11,12,13,14,15,21,22,23,24,25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8" x14ac:dyDescent="0.45">
      <c r="D3" s="9">
        <v>3</v>
      </c>
    </row>
    <row r="5" spans="1:38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8" x14ac:dyDescent="0.45">
      <c r="B7" s="16" t="s">
        <v>120</v>
      </c>
    </row>
    <row r="8" spans="1:38" ht="14.65" thickBot="1" x14ac:dyDescent="0.5">
      <c r="A8" s="4" t="s">
        <v>125</v>
      </c>
      <c r="B8" s="4" t="s">
        <v>121</v>
      </c>
      <c r="C8" s="4" t="s">
        <v>122</v>
      </c>
      <c r="D8" s="4" t="s">
        <v>123</v>
      </c>
      <c r="E8" s="4" t="s">
        <v>124</v>
      </c>
    </row>
    <row r="9" spans="1:38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108</v>
      </c>
      <c r="AI9" t="s">
        <v>141</v>
      </c>
      <c r="AJ9" s="10">
        <v>1</v>
      </c>
      <c r="AK9" t="s">
        <v>0</v>
      </c>
      <c r="AL9" t="s">
        <v>111</v>
      </c>
    </row>
    <row r="10" spans="1:38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133</v>
      </c>
      <c r="AI10" t="s">
        <v>140</v>
      </c>
      <c r="AJ10" s="10">
        <v>1</v>
      </c>
      <c r="AK10" t="s">
        <v>2</v>
      </c>
      <c r="AL10" t="s">
        <v>113</v>
      </c>
    </row>
    <row r="11" spans="1:38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126</v>
      </c>
      <c r="AI11" t="s">
        <v>139</v>
      </c>
      <c r="AJ11" s="10">
        <v>1</v>
      </c>
      <c r="AK11" t="s">
        <v>5</v>
      </c>
      <c r="AL11" t="s">
        <v>115</v>
      </c>
    </row>
    <row r="12" spans="1:38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44.72</v>
      </c>
      <c r="T12" s="2" t="s">
        <v>57</v>
      </c>
      <c r="AG12">
        <v>4</v>
      </c>
      <c r="AH12" t="s">
        <v>127</v>
      </c>
      <c r="AI12" t="s">
        <v>138</v>
      </c>
      <c r="AJ12" s="10">
        <v>1</v>
      </c>
      <c r="AK12" t="s">
        <v>7</v>
      </c>
      <c r="AL12" t="s">
        <v>117</v>
      </c>
    </row>
    <row r="13" spans="1:38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128</v>
      </c>
      <c r="AI13" t="s">
        <v>137</v>
      </c>
      <c r="AJ13" s="10">
        <v>1</v>
      </c>
      <c r="AK13" t="s">
        <v>9</v>
      </c>
      <c r="AL13" t="s">
        <v>118</v>
      </c>
    </row>
    <row r="14" spans="1:38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44.72</v>
      </c>
      <c r="U14" s="8">
        <f t="shared" ref="U14:Z14" si="3">$S$12*J15</f>
        <v>44.272799999999997</v>
      </c>
      <c r="V14" s="8">
        <f t="shared" si="3"/>
        <v>44.72</v>
      </c>
      <c r="W14" s="8">
        <f t="shared" si="3"/>
        <v>45.167200000000001</v>
      </c>
      <c r="X14" s="8">
        <f t="shared" si="3"/>
        <v>50.533599999999993</v>
      </c>
      <c r="Y14" s="8">
        <f t="shared" si="3"/>
        <v>53.663999999999994</v>
      </c>
      <c r="Z14" s="8">
        <f t="shared" si="3"/>
        <v>59.477600000000002</v>
      </c>
      <c r="AG14">
        <v>6</v>
      </c>
      <c r="AH14" t="s">
        <v>129</v>
      </c>
      <c r="AI14" t="s">
        <v>136</v>
      </c>
      <c r="AJ14" s="10">
        <f>AJ9+1</f>
        <v>2</v>
      </c>
    </row>
    <row r="15" spans="1:38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0.99</v>
      </c>
      <c r="K15" s="11">
        <f>SUMIFS(ar6_r10!$F$2:$F$999,ar6_r10!$A$2:$A$999,Veda!$E$5,ar6_r10!$C$2:$C$999,Veda!K$17,ar6_r10!$M$2:$M$999,Veda!$G15)</f>
        <v>1</v>
      </c>
      <c r="L15" s="11">
        <f>SUMIFS(ar6_r10!$F$2:$F$999,ar6_r10!$A$2:$A$999,Veda!$E$5,ar6_r10!$C$2:$C$999,Veda!L$17,ar6_r10!$M$2:$M$999,Veda!$G15)</f>
        <v>1.01</v>
      </c>
      <c r="M15" s="11">
        <f>SUMIFS(ar6_r10!$F$2:$F$999,ar6_r10!$A$2:$A$999,Veda!$E$5,ar6_r10!$C$2:$C$999,Veda!M$17,ar6_r10!$M$2:$M$999,Veda!$G15)</f>
        <v>1.1299999999999999</v>
      </c>
      <c r="N15" s="11">
        <f>SUMIFS(ar6_r10!$F$2:$F$999,ar6_r10!$A$2:$A$999,Veda!$E$5,ar6_r10!$C$2:$C$999,Veda!N$17,ar6_r10!$M$2:$M$999,Veda!$G15)</f>
        <v>1.2</v>
      </c>
      <c r="O15" s="11">
        <f>SUMIFS(ar6_r10!$F$2:$F$999,ar6_r10!$A$2:$A$999,Veda!$E$5,ar6_r10!$C$2:$C$999,Veda!O$17,ar6_r10!$M$2:$M$999,Veda!$G15)</f>
        <v>1.33</v>
      </c>
      <c r="AG15">
        <v>7</v>
      </c>
      <c r="AH15" t="s">
        <v>130</v>
      </c>
      <c r="AI15" t="s">
        <v>142</v>
      </c>
      <c r="AJ15" s="10">
        <f t="shared" ref="AJ15:AJ78" si="5">AJ10+1</f>
        <v>2</v>
      </c>
    </row>
    <row r="16" spans="1:38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131</v>
      </c>
      <c r="AI16" t="s">
        <v>135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132</v>
      </c>
      <c r="AI17" t="s">
        <v>134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0.45167200000000002</v>
      </c>
      <c r="X18" s="6">
        <f t="shared" si="7"/>
        <v>0.5053359999999999</v>
      </c>
      <c r="Y18" s="6">
        <f t="shared" si="7"/>
        <v>1.07328</v>
      </c>
      <c r="Z18" s="6">
        <f t="shared" si="7"/>
        <v>1.7843279999999999</v>
      </c>
      <c r="AA18" t="s">
        <v>17</v>
      </c>
      <c r="AC18" s="2"/>
      <c r="AG18">
        <v>10</v>
      </c>
      <c r="AH18" t="s">
        <v>103</v>
      </c>
      <c r="AI18" t="s">
        <v>110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0.34</v>
      </c>
      <c r="J19" s="11">
        <f>SUMIFS(ar6_r10!$F$2:$F$999,ar6_r10!$A$2:$A$999,Veda!$E$5,ar6_r10!$C$2:$C$999,Veda!J$17,ar6_r10!$M$2:$M$999,Veda!$G19)</f>
        <v>0.3</v>
      </c>
      <c r="K19" s="11">
        <f>SUMIFS(ar6_r10!$F$2:$F$999,ar6_r10!$A$2:$A$999,Veda!$E$5,ar6_r10!$C$2:$C$999,Veda!K$17,ar6_r10!$M$2:$M$999,Veda!$G19)</f>
        <v>0.28999999999999998</v>
      </c>
      <c r="L19" s="11">
        <f>SUMIFS(ar6_r10!$F$2:$F$999,ar6_r10!$A$2:$A$999,Veda!$E$5,ar6_r10!$C$2:$C$999,Veda!L$17,ar6_r10!$M$2:$M$999,Veda!$G19)</f>
        <v>0.27</v>
      </c>
      <c r="M19" s="11">
        <f>SUMIFS(ar6_r10!$F$2:$F$999,ar6_r10!$A$2:$A$999,Veda!$E$5,ar6_r10!$C$2:$C$999,Veda!M$17,ar6_r10!$M$2:$M$999,Veda!$G19)</f>
        <v>0.28000000000000003</v>
      </c>
      <c r="N19" s="11">
        <f>SUMIFS(ar6_r10!$F$2:$F$999,ar6_r10!$A$2:$A$999,Veda!$E$5,ar6_r10!$C$2:$C$999,Veda!N$17,ar6_r10!$M$2:$M$999,Veda!$G19)</f>
        <v>0.28999999999999998</v>
      </c>
      <c r="O19" s="11">
        <f>SUMIFS(ar6_r10!$F$2:$F$999,ar6_r10!$A$2:$A$999,Veda!$E$5,ar6_r10!$C$2:$C$999,Veda!O$17,ar6_r10!$M$2:$M$999,Veda!$G19)</f>
        <v>0.28999999999999998</v>
      </c>
      <c r="S19" s="10" t="s">
        <v>19</v>
      </c>
      <c r="T19" s="6">
        <f t="shared" si="7"/>
        <v>15.204800000000001</v>
      </c>
      <c r="U19" s="6">
        <f t="shared" si="7"/>
        <v>13.281839999999999</v>
      </c>
      <c r="V19" s="6">
        <f t="shared" si="7"/>
        <v>12.968799999999998</v>
      </c>
      <c r="W19" s="6">
        <f t="shared" si="7"/>
        <v>12.195144000000001</v>
      </c>
      <c r="X19" s="6">
        <f t="shared" si="7"/>
        <v>14.149407999999999</v>
      </c>
      <c r="Y19" s="6">
        <f t="shared" si="7"/>
        <v>15.562559999999998</v>
      </c>
      <c r="Z19" s="6">
        <f t="shared" si="7"/>
        <v>17.248504000000001</v>
      </c>
      <c r="AA19" t="s">
        <v>17</v>
      </c>
      <c r="AG19">
        <v>11</v>
      </c>
      <c r="AH19" t="s">
        <v>104</v>
      </c>
      <c r="AI19" t="s">
        <v>112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0.64</v>
      </c>
      <c r="J20" s="11">
        <f>SUMIFS(ar6_r10!$F$2:$F$999,ar6_r10!$A$2:$A$999,Veda!$E$5,ar6_r10!$C$2:$C$999,Veda!J$17,ar6_r10!$M$2:$M$999,Veda!$G20)</f>
        <v>0.67</v>
      </c>
      <c r="K20" s="11">
        <f>SUMIFS(ar6_r10!$F$2:$F$999,ar6_r10!$A$2:$A$999,Veda!$E$5,ar6_r10!$C$2:$C$999,Veda!K$17,ar6_r10!$M$2:$M$999,Veda!$G20)</f>
        <v>0.67</v>
      </c>
      <c r="L20" s="11">
        <f>SUMIFS(ar6_r10!$F$2:$F$999,ar6_r10!$A$2:$A$999,Veda!$E$5,ar6_r10!$C$2:$C$999,Veda!L$17,ar6_r10!$M$2:$M$999,Veda!$G20)</f>
        <v>0.65</v>
      </c>
      <c r="M20" s="11">
        <f>SUMIFS(ar6_r10!$F$2:$F$999,ar6_r10!$A$2:$A$999,Veda!$E$5,ar6_r10!$C$2:$C$999,Veda!M$17,ar6_r10!$M$2:$M$999,Veda!$G20)</f>
        <v>0.62</v>
      </c>
      <c r="N20" s="11">
        <f>SUMIFS(ar6_r10!$F$2:$F$999,ar6_r10!$A$2:$A$999,Veda!$E$5,ar6_r10!$C$2:$C$999,Veda!N$17,ar6_r10!$M$2:$M$999,Veda!$G20)</f>
        <v>0.59</v>
      </c>
      <c r="O20" s="11">
        <f>SUMIFS(ar6_r10!$F$2:$F$999,ar6_r10!$A$2:$A$999,Veda!$E$5,ar6_r10!$C$2:$C$999,Veda!O$17,ar6_r10!$M$2:$M$999,Veda!$G20)</f>
        <v>0.57999999999999996</v>
      </c>
      <c r="S20" s="10" t="s">
        <v>22</v>
      </c>
      <c r="T20" s="6">
        <f t="shared" si="7"/>
        <v>28.620799999999999</v>
      </c>
      <c r="U20" s="6">
        <f t="shared" si="7"/>
        <v>29.662776000000001</v>
      </c>
      <c r="V20" s="6">
        <f t="shared" si="7"/>
        <v>29.962400000000002</v>
      </c>
      <c r="W20" s="6">
        <f t="shared" si="7"/>
        <v>29.358680000000003</v>
      </c>
      <c r="X20" s="6">
        <f t="shared" si="7"/>
        <v>31.330831999999994</v>
      </c>
      <c r="Y20" s="6">
        <f t="shared" si="7"/>
        <v>31.661759999999994</v>
      </c>
      <c r="Z20" s="6">
        <f t="shared" si="7"/>
        <v>34.497008000000001</v>
      </c>
      <c r="AA20" t="s">
        <v>17</v>
      </c>
      <c r="AG20">
        <v>12</v>
      </c>
      <c r="AH20" t="s">
        <v>107</v>
      </c>
      <c r="AI20" t="s">
        <v>119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0.02</v>
      </c>
      <c r="J21" s="11">
        <f>SUMIFS(ar6_r10!$F$2:$F$999,ar6_r10!$A$2:$A$999,Veda!$E$5,ar6_r10!$C$2:$C$999,Veda!J$17,ar6_r10!$M$2:$M$999,Veda!$G21)</f>
        <v>0.03</v>
      </c>
      <c r="K21" s="11">
        <f>SUMIFS(ar6_r10!$F$2:$F$999,ar6_r10!$A$2:$A$999,Veda!$E$5,ar6_r10!$C$2:$C$999,Veda!K$17,ar6_r10!$M$2:$M$999,Veda!$G21)</f>
        <v>0.03</v>
      </c>
      <c r="L21" s="11">
        <f>SUMIFS(ar6_r10!$F$2:$F$999,ar6_r10!$A$2:$A$999,Veda!$E$5,ar6_r10!$C$2:$C$999,Veda!L$17,ar6_r10!$M$2:$M$999,Veda!$G21)</f>
        <v>0.05</v>
      </c>
      <c r="M21" s="11">
        <f>SUMIFS(ar6_r10!$F$2:$F$999,ar6_r10!$A$2:$A$999,Veda!$E$5,ar6_r10!$C$2:$C$999,Veda!M$17,ar6_r10!$M$2:$M$999,Veda!$G21)</f>
        <v>0.08</v>
      </c>
      <c r="N21" s="11">
        <f>SUMIFS(ar6_r10!$F$2:$F$999,ar6_r10!$A$2:$A$999,Veda!$E$5,ar6_r10!$C$2:$C$999,Veda!N$17,ar6_r10!$M$2:$M$999,Veda!$G21)</f>
        <v>0.11</v>
      </c>
      <c r="O21" s="11">
        <f>SUMIFS(ar6_r10!$F$2:$F$999,ar6_r10!$A$2:$A$999,Veda!$E$5,ar6_r10!$C$2:$C$999,Veda!O$17,ar6_r10!$M$2:$M$999,Veda!$G21)</f>
        <v>0.12</v>
      </c>
      <c r="S21" s="10" t="s">
        <v>24</v>
      </c>
      <c r="T21" s="6">
        <f>I21*T$14</f>
        <v>0.89439999999999997</v>
      </c>
      <c r="U21" s="6">
        <f t="shared" ref="U21:Z21" si="8">T21</f>
        <v>0.89439999999999997</v>
      </c>
      <c r="V21" s="6">
        <f t="shared" si="8"/>
        <v>0.89439999999999997</v>
      </c>
      <c r="W21" s="6">
        <f t="shared" si="8"/>
        <v>0.89439999999999997</v>
      </c>
      <c r="X21" s="6">
        <f t="shared" si="8"/>
        <v>0.89439999999999997</v>
      </c>
      <c r="Y21" s="6">
        <f t="shared" si="8"/>
        <v>0.89439999999999997</v>
      </c>
      <c r="Z21" s="6">
        <f t="shared" si="8"/>
        <v>0.89439999999999997</v>
      </c>
      <c r="AA21" t="s">
        <v>17</v>
      </c>
      <c r="AC21" s="2" t="s">
        <v>20</v>
      </c>
      <c r="AG21">
        <v>13</v>
      </c>
      <c r="AH21" t="s">
        <v>105</v>
      </c>
      <c r="AI21" t="s">
        <v>114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0</v>
      </c>
      <c r="U22" s="6">
        <f t="shared" si="9"/>
        <v>0.43378400000000283</v>
      </c>
      <c r="V22" s="6">
        <f t="shared" si="9"/>
        <v>0.89439999999999742</v>
      </c>
      <c r="W22" s="6">
        <f t="shared" si="9"/>
        <v>2.7189759999999978</v>
      </c>
      <c r="X22" s="6">
        <f t="shared" si="9"/>
        <v>4.1589600000000004</v>
      </c>
      <c r="Y22" s="6">
        <f t="shared" si="9"/>
        <v>5.5452800000000053</v>
      </c>
      <c r="Z22" s="6">
        <f t="shared" si="9"/>
        <v>6.837688</v>
      </c>
      <c r="AA22" t="s">
        <v>17</v>
      </c>
      <c r="AG22">
        <v>14</v>
      </c>
      <c r="AH22" t="s">
        <v>106</v>
      </c>
      <c r="AI22" t="s">
        <v>116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56.33</v>
      </c>
      <c r="L24" s="8">
        <f>SUMIFS(ar6_r10!$F$2:$F$999,ar6_r10!$A$2:$A$999,Veda!$E$5,ar6_r10!$C$2:$C$999,Veda!L$17,ar6_r10!$M$2:$M$999,Veda!$G24)</f>
        <v>104.42</v>
      </c>
      <c r="M24" s="8">
        <f>SUMIFS(ar6_r10!$F$2:$F$999,ar6_r10!$A$2:$A$999,Veda!$E$5,ar6_r10!$C$2:$C$999,Veda!M$17,ar6_r10!$M$2:$M$999,Veda!$G24)</f>
        <v>134.85</v>
      </c>
      <c r="N24" s="8">
        <f>SUMIFS(ar6_r10!$F$2:$F$999,ar6_r10!$A$2:$A$999,Veda!$E$5,ar6_r10!$C$2:$C$999,Veda!N$17,ar6_r10!$M$2:$M$999,Veda!$G24)</f>
        <v>178.1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5.6329999999999998E-2</v>
      </c>
      <c r="W24" s="11">
        <f>L24/1000</f>
        <v>0.10442</v>
      </c>
      <c r="X24" s="11">
        <f>M24/1000</f>
        <v>0.13485</v>
      </c>
      <c r="Y24" s="11">
        <f>N24/1000</f>
        <v>0.17809999999999998</v>
      </c>
      <c r="Z24" s="11">
        <f>O24/1000</f>
        <v>0.20945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0</v>
      </c>
      <c r="S28" t="s">
        <v>32</v>
      </c>
      <c r="T28" s="3">
        <f>Q28</f>
        <v>0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0</v>
      </c>
      <c r="S29" t="s">
        <v>35</v>
      </c>
      <c r="T29" s="3">
        <f>-1*Q29</f>
        <v>0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75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1.03</v>
      </c>
      <c r="K37" s="11">
        <f>SUMIFS(ar6_r10!$F$2:$F$999,ar6_r10!$A$2:$A$999,Veda!$G$36,ar6_r10!$C$2:$C$999,Veda!K$17,ar6_r10!$M$2:$M$999,Veda!$G37)</f>
        <v>1.1299999999999999</v>
      </c>
      <c r="L37" s="11">
        <f>SUMIFS(ar6_r10!$F$2:$F$999,ar6_r10!$A$2:$A$999,Veda!$G$36,ar6_r10!$C$2:$C$999,Veda!L$17,ar6_r10!$M$2:$M$999,Veda!$G37)</f>
        <v>1.1599999999999999</v>
      </c>
      <c r="M37" s="11">
        <f>SUMIFS(ar6_r10!$F$2:$F$999,ar6_r10!$A$2:$A$999,Veda!$G$36,ar6_r10!$C$2:$C$999,Veda!M$17,ar6_r10!$M$2:$M$999,Veda!$G37)</f>
        <v>1.19</v>
      </c>
      <c r="N37" s="11">
        <f>SUMIFS(ar6_r10!$F$2:$F$999,ar6_r10!$A$2:$A$999,Veda!$G$36,ar6_r10!$C$2:$C$999,Veda!N$17,ar6_r10!$M$2:$M$999,Veda!$G37)</f>
        <v>1.27</v>
      </c>
      <c r="O37" s="11">
        <f>SUMIFS(ar6_r10!$F$2:$F$999,ar6_r10!$A$2:$A$999,Veda!$G$36,ar6_r10!$C$2:$C$999,Veda!O$17,ar6_r10!$M$2:$M$999,Veda!$G37)</f>
        <v>1.31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76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1.03</v>
      </c>
      <c r="K38" s="11">
        <f>SUMIFS(ar6_r10!$F$2:$F$999,ar6_r10!$A$2:$A$999,Veda!$G$36,ar6_r10!$C$2:$C$999,Veda!K$17,ar6_r10!$M$2:$M$999,Veda!$G38)</f>
        <v>1.0900000000000001</v>
      </c>
      <c r="L38" s="11">
        <f>SUMIFS(ar6_r10!$F$2:$F$999,ar6_r10!$A$2:$A$999,Veda!$G$36,ar6_r10!$C$2:$C$999,Veda!L$17,ar6_r10!$M$2:$M$999,Veda!$G38)</f>
        <v>1.18</v>
      </c>
      <c r="M38" s="11">
        <f>SUMIFS(ar6_r10!$F$2:$F$999,ar6_r10!$A$2:$A$999,Veda!$G$36,ar6_r10!$C$2:$C$999,Veda!M$17,ar6_r10!$M$2:$M$999,Veda!$G38)</f>
        <v>1.27</v>
      </c>
      <c r="N38" s="11">
        <f>SUMIFS(ar6_r10!$F$2:$F$999,ar6_r10!$A$2:$A$999,Veda!$G$36,ar6_r10!$C$2:$C$999,Veda!N$17,ar6_r10!$M$2:$M$999,Veda!$G38)</f>
        <v>1.35</v>
      </c>
      <c r="O38" s="11">
        <f>SUMIFS(ar6_r10!$F$2:$F$999,ar6_r10!$A$2:$A$999,Veda!$G$36,ar6_r10!$C$2:$C$999,Veda!O$17,ar6_r10!$M$2:$M$999,Veda!$G38)</f>
        <v>1.41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OS.f96p50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77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1.04</v>
      </c>
      <c r="K39" s="11">
        <f>SUMIFS(ar6_r10!$F$2:$F$999,ar6_r10!$A$2:$A$999,Veda!$G$36,ar6_r10!$C$2:$C$999,Veda!K$17,ar6_r10!$M$2:$M$999,Veda!$G39)</f>
        <v>1.05</v>
      </c>
      <c r="L39" s="11">
        <f>SUMIFS(ar6_r10!$F$2:$F$999,ar6_r10!$A$2:$A$999,Veda!$G$36,ar6_r10!$C$2:$C$999,Veda!L$17,ar6_r10!$M$2:$M$999,Veda!$G39)</f>
        <v>1.04</v>
      </c>
      <c r="M39" s="11">
        <f>SUMIFS(ar6_r10!$F$2:$F$999,ar6_r10!$A$2:$A$999,Veda!$G$36,ar6_r10!$C$2:$C$999,Veda!M$17,ar6_r10!$M$2:$M$999,Veda!$G39)</f>
        <v>1.04</v>
      </c>
      <c r="N39" s="11">
        <f>SUMIFS(ar6_r10!$F$2:$F$999,ar6_r10!$A$2:$A$999,Veda!$G$36,ar6_r10!$C$2:$C$999,Veda!N$17,ar6_r10!$M$2:$M$999,Veda!$G39)</f>
        <v>1.17</v>
      </c>
      <c r="O39" s="11">
        <f>SUMIFS(ar6_r10!$F$2:$F$999,ar6_r10!$A$2:$A$999,Veda!$G$36,ar6_r10!$C$2:$C$999,Veda!O$17,ar6_r10!$M$2:$M$999,Veda!$G39)</f>
        <v>1.25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OS.f96p50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78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1.01</v>
      </c>
      <c r="K40" s="11">
        <f>SUMIFS(ar6_r10!$F$2:$F$999,ar6_r10!$A$2:$A$999,Veda!$G$36,ar6_r10!$C$2:$C$999,Veda!K$17,ar6_r10!$M$2:$M$999,Veda!$G40)</f>
        <v>0.99</v>
      </c>
      <c r="L40" s="11">
        <f>SUMIFS(ar6_r10!$F$2:$F$999,ar6_r10!$A$2:$A$999,Veda!$G$36,ar6_r10!$C$2:$C$999,Veda!L$17,ar6_r10!$M$2:$M$999,Veda!$G40)</f>
        <v>0.97</v>
      </c>
      <c r="M40" s="11">
        <f>SUMIFS(ar6_r10!$F$2:$F$999,ar6_r10!$A$2:$A$999,Veda!$G$36,ar6_r10!$C$2:$C$999,Veda!M$17,ar6_r10!$M$2:$M$999,Veda!$G40)</f>
        <v>0.92</v>
      </c>
      <c r="N40" s="11">
        <f>SUMIFS(ar6_r10!$F$2:$F$999,ar6_r10!$A$2:$A$999,Veda!$G$36,ar6_r10!$C$2:$C$999,Veda!N$17,ar6_r10!$M$2:$M$999,Veda!$G40)</f>
        <v>0.95</v>
      </c>
      <c r="O40" s="11">
        <f>SUMIFS(ar6_r10!$F$2:$F$999,ar6_r10!$A$2:$A$999,Veda!$G$36,ar6_r10!$C$2:$C$999,Veda!O$17,ar6_r10!$M$2:$M$999,Veda!$G40)</f>
        <v>1.02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(67%).f96p50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(50%).f96p50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deg.f96p50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85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109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83</v>
      </c>
      <c r="S44" t="s">
        <v>84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79</v>
      </c>
      <c r="H45" t="str">
        <f>G45</f>
        <v>Gas</v>
      </c>
      <c r="I45">
        <f t="shared" ref="I45:O48" si="12">AVERAGE($R45:$S45)*I37</f>
        <v>17.149999999999999</v>
      </c>
      <c r="J45">
        <f t="shared" si="12"/>
        <v>17.6645</v>
      </c>
      <c r="K45">
        <f t="shared" si="12"/>
        <v>19.379499999999997</v>
      </c>
      <c r="L45">
        <f t="shared" si="12"/>
        <v>19.893999999999998</v>
      </c>
      <c r="M45">
        <f t="shared" si="12"/>
        <v>20.408499999999997</v>
      </c>
      <c r="N45">
        <f t="shared" si="12"/>
        <v>21.7805</v>
      </c>
      <c r="O45">
        <f t="shared" si="12"/>
        <v>22.4665</v>
      </c>
      <c r="R45">
        <f>HLOOKUP($G45&amp;"_"&amp;R$44,fuel_prices!$B$10:$I$11,2,FALSE)</f>
        <v>13.7</v>
      </c>
      <c r="S45">
        <f>HLOOKUP($G45&amp;"_"&amp;S$44,fuel_prices!$B$10:$I$11,2,FALSE)</f>
        <v>20.6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80</v>
      </c>
      <c r="H46" t="str">
        <f t="shared" ref="H46:H48" si="13">G46</f>
        <v>Coal</v>
      </c>
      <c r="I46">
        <f t="shared" si="12"/>
        <v>14.45</v>
      </c>
      <c r="J46">
        <f t="shared" si="12"/>
        <v>14.8835</v>
      </c>
      <c r="K46">
        <f t="shared" si="12"/>
        <v>15.750500000000001</v>
      </c>
      <c r="L46">
        <f t="shared" si="12"/>
        <v>17.050999999999998</v>
      </c>
      <c r="M46">
        <f t="shared" si="12"/>
        <v>18.351499999999998</v>
      </c>
      <c r="N46">
        <f t="shared" si="12"/>
        <v>19.5075</v>
      </c>
      <c r="O46">
        <f t="shared" si="12"/>
        <v>20.374499999999998</v>
      </c>
      <c r="R46">
        <f>HLOOKUP($G46&amp;"_"&amp;R$44,fuel_prices!$B$10:$I$11,2,FALSE)</f>
        <v>12.2</v>
      </c>
      <c r="S46">
        <f>HLOOKUP($G46&amp;"_"&amp;S$44,fuel_prices!$B$10:$I$11,2,FALSE)</f>
        <v>16.7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81</v>
      </c>
      <c r="H47" t="str">
        <f t="shared" si="13"/>
        <v>Oil</v>
      </c>
      <c r="I47">
        <f t="shared" si="12"/>
        <v>53</v>
      </c>
      <c r="J47">
        <f t="shared" si="12"/>
        <v>55.120000000000005</v>
      </c>
      <c r="K47">
        <f t="shared" si="12"/>
        <v>55.650000000000006</v>
      </c>
      <c r="L47">
        <f t="shared" si="12"/>
        <v>55.120000000000005</v>
      </c>
      <c r="M47">
        <f t="shared" si="12"/>
        <v>55.120000000000005</v>
      </c>
      <c r="N47">
        <f t="shared" si="12"/>
        <v>62.01</v>
      </c>
      <c r="O47">
        <f t="shared" si="12"/>
        <v>66.25</v>
      </c>
      <c r="R47">
        <f>HLOOKUP($G47&amp;"_"&amp;R$44,fuel_prices!$B$10:$I$11,2,FALSE)</f>
        <v>48</v>
      </c>
      <c r="S47">
        <f>HLOOKUP($G47&amp;"_"&amp;S$44,fuel_prices!$B$10:$I$11,2,FALSE)</f>
        <v>58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82</v>
      </c>
      <c r="H48" t="str">
        <f t="shared" si="13"/>
        <v>Bioenergy</v>
      </c>
      <c r="I48">
        <f t="shared" si="12"/>
        <v>24</v>
      </c>
      <c r="J48">
        <f t="shared" si="12"/>
        <v>24.240000000000002</v>
      </c>
      <c r="K48">
        <f t="shared" si="12"/>
        <v>23.759999999999998</v>
      </c>
      <c r="L48">
        <f t="shared" si="12"/>
        <v>23.28</v>
      </c>
      <c r="M48">
        <f t="shared" si="12"/>
        <v>22.080000000000002</v>
      </c>
      <c r="N48">
        <f t="shared" si="12"/>
        <v>22.799999999999997</v>
      </c>
      <c r="O48">
        <f t="shared" si="12"/>
        <v>24.48</v>
      </c>
      <c r="R48">
        <f>HLOOKUP($G48&amp;"_"&amp;R$44,fuel_prices!$B$10:$I$11,2,FALSE)</f>
        <v>20</v>
      </c>
      <c r="S48">
        <f>HLOOKUP($G48&amp;"_"&amp;S$44,fuel_prices!$B$10:$I$11,2,FALSE)</f>
        <v>28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143</v>
      </c>
      <c r="B11">
        <v>13.7</v>
      </c>
      <c r="C11">
        <v>20.6</v>
      </c>
      <c r="D11">
        <v>12.2</v>
      </c>
      <c r="E11">
        <v>16.7</v>
      </c>
      <c r="F11">
        <v>48</v>
      </c>
      <c r="G11">
        <v>58</v>
      </c>
      <c r="H11">
        <v>20</v>
      </c>
      <c r="I11">
        <v>28</v>
      </c>
      <c r="J11" t="s">
        <v>144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143</v>
      </c>
      <c r="B11">
        <v>2000</v>
      </c>
      <c r="C11">
        <v>18.46</v>
      </c>
      <c r="D11">
        <v>19.34</v>
      </c>
      <c r="E11">
        <v>7.0000000000000007E-2</v>
      </c>
      <c r="F11">
        <v>0</v>
      </c>
      <c r="G11">
        <v>0</v>
      </c>
      <c r="H11">
        <v>0</v>
      </c>
      <c r="I11">
        <v>39.39</v>
      </c>
    </row>
    <row r="12" spans="1:9" x14ac:dyDescent="0.45">
      <c r="A12" t="s">
        <v>143</v>
      </c>
      <c r="B12">
        <v>2001</v>
      </c>
      <c r="C12">
        <v>18.78</v>
      </c>
      <c r="D12">
        <v>19.91</v>
      </c>
      <c r="E12">
        <v>0.06</v>
      </c>
      <c r="F12">
        <v>0.01</v>
      </c>
      <c r="G12">
        <v>0</v>
      </c>
      <c r="H12">
        <v>0</v>
      </c>
      <c r="I12">
        <v>39.71</v>
      </c>
    </row>
    <row r="13" spans="1:9" x14ac:dyDescent="0.45">
      <c r="A13" t="s">
        <v>143</v>
      </c>
      <c r="B13">
        <v>2002</v>
      </c>
      <c r="C13">
        <v>19.18</v>
      </c>
      <c r="D13">
        <v>20.04</v>
      </c>
      <c r="E13">
        <v>0.06</v>
      </c>
      <c r="F13">
        <v>0.01</v>
      </c>
      <c r="G13">
        <v>0</v>
      </c>
      <c r="H13">
        <v>0</v>
      </c>
      <c r="I13">
        <v>40.729999999999997</v>
      </c>
    </row>
    <row r="14" spans="1:9" x14ac:dyDescent="0.45">
      <c r="A14" t="s">
        <v>143</v>
      </c>
      <c r="B14">
        <v>2003</v>
      </c>
      <c r="C14">
        <v>18.73</v>
      </c>
      <c r="D14">
        <v>20.75</v>
      </c>
      <c r="E14">
        <v>0.06</v>
      </c>
      <c r="F14">
        <v>0.01</v>
      </c>
      <c r="G14">
        <v>0</v>
      </c>
      <c r="H14">
        <v>0</v>
      </c>
      <c r="I14">
        <v>40.86</v>
      </c>
    </row>
    <row r="15" spans="1:9" x14ac:dyDescent="0.45">
      <c r="A15" t="s">
        <v>143</v>
      </c>
      <c r="B15">
        <v>2004</v>
      </c>
      <c r="C15">
        <v>19.54</v>
      </c>
      <c r="D15">
        <v>21.4</v>
      </c>
      <c r="E15">
        <v>7.0000000000000007E-2</v>
      </c>
      <c r="F15">
        <v>0.01</v>
      </c>
      <c r="G15">
        <v>0</v>
      </c>
      <c r="H15">
        <v>0</v>
      </c>
      <c r="I15">
        <v>42.77</v>
      </c>
    </row>
    <row r="16" spans="1:9" x14ac:dyDescent="0.45">
      <c r="A16" t="s">
        <v>143</v>
      </c>
      <c r="B16">
        <v>2005</v>
      </c>
      <c r="C16">
        <v>20.059999999999999</v>
      </c>
      <c r="D16">
        <v>21.71</v>
      </c>
      <c r="E16">
        <v>0.06</v>
      </c>
      <c r="F16">
        <v>0.01</v>
      </c>
      <c r="G16">
        <v>0</v>
      </c>
      <c r="H16">
        <v>0</v>
      </c>
      <c r="I16">
        <v>42.98</v>
      </c>
    </row>
    <row r="17" spans="1:9" x14ac:dyDescent="0.45">
      <c r="A17" t="s">
        <v>143</v>
      </c>
      <c r="B17">
        <v>2006</v>
      </c>
      <c r="C17">
        <v>19.57</v>
      </c>
      <c r="D17">
        <v>22.99</v>
      </c>
      <c r="E17">
        <v>0.06</v>
      </c>
      <c r="F17">
        <v>0.01</v>
      </c>
      <c r="G17">
        <v>0</v>
      </c>
      <c r="H17">
        <v>0</v>
      </c>
      <c r="I17">
        <v>43.54</v>
      </c>
    </row>
    <row r="18" spans="1:9" x14ac:dyDescent="0.45">
      <c r="A18" t="s">
        <v>143</v>
      </c>
      <c r="B18">
        <v>2007</v>
      </c>
      <c r="C18">
        <v>19.55</v>
      </c>
      <c r="D18">
        <v>23.37</v>
      </c>
      <c r="E18">
        <v>0.06</v>
      </c>
      <c r="F18">
        <v>0.01</v>
      </c>
      <c r="G18">
        <v>0</v>
      </c>
      <c r="H18">
        <v>0</v>
      </c>
      <c r="I18">
        <v>43.9</v>
      </c>
    </row>
    <row r="19" spans="1:9" x14ac:dyDescent="0.45">
      <c r="A19" t="s">
        <v>143</v>
      </c>
      <c r="B19">
        <v>2008</v>
      </c>
      <c r="C19">
        <v>19.36</v>
      </c>
      <c r="D19">
        <v>23.35</v>
      </c>
      <c r="E19">
        <v>0.06</v>
      </c>
      <c r="F19">
        <v>0</v>
      </c>
      <c r="G19">
        <v>0</v>
      </c>
      <c r="H19">
        <v>0</v>
      </c>
      <c r="I19">
        <v>43.93</v>
      </c>
    </row>
    <row r="20" spans="1:9" x14ac:dyDescent="0.45">
      <c r="A20" t="s">
        <v>143</v>
      </c>
      <c r="B20">
        <v>2009</v>
      </c>
      <c r="C20">
        <v>18.72</v>
      </c>
      <c r="D20">
        <v>23.72</v>
      </c>
      <c r="E20">
        <v>0.05</v>
      </c>
      <c r="F20">
        <v>0.01</v>
      </c>
      <c r="G20">
        <v>0</v>
      </c>
      <c r="H20">
        <v>0</v>
      </c>
      <c r="I20">
        <v>43.55</v>
      </c>
    </row>
    <row r="21" spans="1:9" x14ac:dyDescent="0.45">
      <c r="A21" t="s">
        <v>143</v>
      </c>
      <c r="B21">
        <v>2010</v>
      </c>
      <c r="C21">
        <v>20.09</v>
      </c>
      <c r="D21">
        <v>23.61</v>
      </c>
      <c r="E21">
        <v>0.06</v>
      </c>
      <c r="F21">
        <v>0.01</v>
      </c>
      <c r="G21">
        <v>0</v>
      </c>
      <c r="H21">
        <v>0</v>
      </c>
      <c r="I21">
        <v>45</v>
      </c>
    </row>
    <row r="22" spans="1:9" x14ac:dyDescent="0.45">
      <c r="A22" t="s">
        <v>143</v>
      </c>
      <c r="B22">
        <v>2011</v>
      </c>
      <c r="C22">
        <v>19.64</v>
      </c>
      <c r="D22">
        <v>23.49</v>
      </c>
      <c r="E22">
        <v>0.06</v>
      </c>
      <c r="F22">
        <v>0.01</v>
      </c>
      <c r="G22">
        <v>0</v>
      </c>
      <c r="H22">
        <v>0</v>
      </c>
      <c r="I22">
        <v>44.63</v>
      </c>
    </row>
    <row r="23" spans="1:9" x14ac:dyDescent="0.45">
      <c r="A23" t="s">
        <v>143</v>
      </c>
      <c r="B23">
        <v>2012</v>
      </c>
      <c r="C23">
        <v>18.95</v>
      </c>
      <c r="D23">
        <v>24.13</v>
      </c>
      <c r="E23">
        <v>0.06</v>
      </c>
      <c r="F23">
        <v>0.01</v>
      </c>
      <c r="G23">
        <v>0</v>
      </c>
      <c r="H23">
        <v>0</v>
      </c>
      <c r="I23">
        <v>44.63</v>
      </c>
    </row>
    <row r="24" spans="1:9" x14ac:dyDescent="0.45">
      <c r="A24" t="s">
        <v>143</v>
      </c>
      <c r="B24">
        <v>2013</v>
      </c>
      <c r="C24">
        <v>18.690000000000001</v>
      </c>
      <c r="D24">
        <v>23.98</v>
      </c>
      <c r="E24">
        <v>0.06</v>
      </c>
      <c r="F24">
        <v>0.01</v>
      </c>
      <c r="G24">
        <v>0</v>
      </c>
      <c r="H24">
        <v>0</v>
      </c>
      <c r="I24">
        <v>43.77</v>
      </c>
    </row>
    <row r="25" spans="1:9" x14ac:dyDescent="0.45">
      <c r="A25" t="s">
        <v>143</v>
      </c>
      <c r="B25">
        <v>2014</v>
      </c>
      <c r="C25">
        <v>18.62</v>
      </c>
      <c r="D25">
        <v>24.37</v>
      </c>
      <c r="E25">
        <v>0.06</v>
      </c>
      <c r="F25">
        <v>0.01</v>
      </c>
      <c r="G25">
        <v>0</v>
      </c>
      <c r="H25">
        <v>0</v>
      </c>
      <c r="I25">
        <v>43.99</v>
      </c>
    </row>
    <row r="26" spans="1:9" x14ac:dyDescent="0.45">
      <c r="A26" t="s">
        <v>143</v>
      </c>
      <c r="B26">
        <v>2015</v>
      </c>
      <c r="C26">
        <v>18.84</v>
      </c>
      <c r="D26">
        <v>24.7</v>
      </c>
      <c r="E26">
        <v>0.08</v>
      </c>
      <c r="F26">
        <v>0.01</v>
      </c>
      <c r="G26">
        <v>0</v>
      </c>
      <c r="H26">
        <v>0</v>
      </c>
      <c r="I26">
        <v>44.69</v>
      </c>
    </row>
    <row r="27" spans="1:9" x14ac:dyDescent="0.45">
      <c r="A27" t="s">
        <v>143</v>
      </c>
      <c r="B27">
        <v>2016</v>
      </c>
      <c r="C27">
        <v>18.739999999999998</v>
      </c>
      <c r="D27">
        <v>24.33</v>
      </c>
      <c r="E27">
        <v>0.08</v>
      </c>
      <c r="F27">
        <v>0.01</v>
      </c>
      <c r="G27">
        <v>0</v>
      </c>
      <c r="H27">
        <v>0</v>
      </c>
      <c r="I27">
        <v>44.16</v>
      </c>
    </row>
    <row r="28" spans="1:9" x14ac:dyDescent="0.45">
      <c r="A28" t="s">
        <v>143</v>
      </c>
      <c r="B28">
        <v>2017</v>
      </c>
      <c r="C28">
        <v>18.87</v>
      </c>
      <c r="D28">
        <v>24.38</v>
      </c>
      <c r="E28">
        <v>0.08</v>
      </c>
      <c r="F28">
        <v>0.01</v>
      </c>
      <c r="G28">
        <v>0</v>
      </c>
      <c r="H28">
        <v>0</v>
      </c>
      <c r="I28">
        <v>44.64</v>
      </c>
    </row>
    <row r="29" spans="1:9" x14ac:dyDescent="0.45">
      <c r="A29" t="s">
        <v>143</v>
      </c>
      <c r="B29">
        <v>2018</v>
      </c>
      <c r="C29">
        <v>18.78</v>
      </c>
      <c r="D29">
        <v>24.45</v>
      </c>
      <c r="E29">
        <v>7.0000000000000007E-2</v>
      </c>
      <c r="F29">
        <v>0.02</v>
      </c>
      <c r="G29">
        <v>0</v>
      </c>
      <c r="H29">
        <v>0</v>
      </c>
      <c r="I29">
        <v>44.69</v>
      </c>
    </row>
    <row r="30" spans="1:9" x14ac:dyDescent="0.45">
      <c r="A30" t="s">
        <v>143</v>
      </c>
      <c r="B30">
        <v>2019</v>
      </c>
      <c r="C30">
        <v>19.16</v>
      </c>
      <c r="D30">
        <v>24.68</v>
      </c>
      <c r="E30">
        <v>7.0000000000000007E-2</v>
      </c>
      <c r="F30">
        <v>0.04</v>
      </c>
      <c r="G30">
        <v>0</v>
      </c>
      <c r="H30">
        <v>0</v>
      </c>
      <c r="I30">
        <v>45.15</v>
      </c>
    </row>
    <row r="31" spans="1:9" x14ac:dyDescent="0.45">
      <c r="A31" t="s">
        <v>143</v>
      </c>
      <c r="B31">
        <v>2020</v>
      </c>
      <c r="C31">
        <v>18.12</v>
      </c>
      <c r="D31">
        <v>24.69</v>
      </c>
      <c r="E31">
        <v>0.06</v>
      </c>
      <c r="F31">
        <v>0.04</v>
      </c>
      <c r="G31">
        <v>0</v>
      </c>
      <c r="H31">
        <v>0</v>
      </c>
      <c r="I31">
        <v>44.53</v>
      </c>
    </row>
    <row r="32" spans="1:9" x14ac:dyDescent="0.45">
      <c r="A32" t="s">
        <v>143</v>
      </c>
      <c r="B32">
        <v>2021</v>
      </c>
      <c r="C32">
        <v>17.78</v>
      </c>
      <c r="D32">
        <v>25.11</v>
      </c>
      <c r="E32">
        <v>0.06</v>
      </c>
      <c r="F32">
        <v>0.04</v>
      </c>
      <c r="G32">
        <v>0</v>
      </c>
      <c r="H32">
        <v>0</v>
      </c>
      <c r="I32">
        <v>44.61</v>
      </c>
    </row>
    <row r="33" spans="1:9" x14ac:dyDescent="0.45">
      <c r="A33" t="s">
        <v>143</v>
      </c>
      <c r="B33">
        <v>2022</v>
      </c>
      <c r="C33">
        <v>17.88</v>
      </c>
      <c r="D33">
        <v>24.67</v>
      </c>
      <c r="E33">
        <v>0.06</v>
      </c>
      <c r="F33">
        <v>0.13</v>
      </c>
      <c r="G33">
        <v>0</v>
      </c>
      <c r="H33">
        <v>0</v>
      </c>
      <c r="I33">
        <v>44.72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74</v>
      </c>
      <c r="C11">
        <v>2020</v>
      </c>
      <c r="D11">
        <v>60</v>
      </c>
      <c r="E11">
        <v>0.46</v>
      </c>
      <c r="F11">
        <v>0.28000000000000003</v>
      </c>
      <c r="G11">
        <v>0.84</v>
      </c>
      <c r="H11">
        <v>0</v>
      </c>
      <c r="I11">
        <v>3.32</v>
      </c>
      <c r="J11">
        <v>0</v>
      </c>
      <c r="K11">
        <v>0.28000000000000003</v>
      </c>
      <c r="L11" t="s">
        <v>1</v>
      </c>
      <c r="M11" t="s">
        <v>27</v>
      </c>
    </row>
    <row r="12" spans="1:13" x14ac:dyDescent="0.45">
      <c r="A12" t="s">
        <v>0</v>
      </c>
      <c r="B12" t="s">
        <v>74</v>
      </c>
      <c r="C12">
        <v>2025</v>
      </c>
      <c r="D12">
        <v>60</v>
      </c>
      <c r="E12">
        <v>197.76</v>
      </c>
      <c r="F12">
        <v>174.96</v>
      </c>
      <c r="G12">
        <v>126.47</v>
      </c>
      <c r="H12">
        <v>33.32</v>
      </c>
      <c r="I12">
        <v>626.48</v>
      </c>
      <c r="J12">
        <v>121.06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74</v>
      </c>
      <c r="C13">
        <v>2030</v>
      </c>
      <c r="D13">
        <v>60</v>
      </c>
      <c r="E13">
        <v>261.77999999999997</v>
      </c>
      <c r="F13">
        <v>241.69</v>
      </c>
      <c r="G13">
        <v>129.13</v>
      </c>
      <c r="H13">
        <v>27.52</v>
      </c>
      <c r="I13">
        <v>673.46</v>
      </c>
      <c r="J13">
        <v>173.6</v>
      </c>
      <c r="K13">
        <v>320.88</v>
      </c>
      <c r="L13" t="s">
        <v>1</v>
      </c>
      <c r="M13" t="s">
        <v>27</v>
      </c>
    </row>
    <row r="14" spans="1:13" x14ac:dyDescent="0.45">
      <c r="A14" t="s">
        <v>0</v>
      </c>
      <c r="B14" t="s">
        <v>74</v>
      </c>
      <c r="C14">
        <v>2035</v>
      </c>
      <c r="D14">
        <v>60</v>
      </c>
      <c r="E14">
        <v>354.71</v>
      </c>
      <c r="F14">
        <v>335.39</v>
      </c>
      <c r="G14">
        <v>164.48</v>
      </c>
      <c r="H14">
        <v>92.8</v>
      </c>
      <c r="I14">
        <v>859.53</v>
      </c>
      <c r="J14">
        <v>227.05</v>
      </c>
      <c r="K14">
        <v>451.85</v>
      </c>
      <c r="L14" t="s">
        <v>1</v>
      </c>
      <c r="M14" t="s">
        <v>27</v>
      </c>
    </row>
    <row r="15" spans="1:13" x14ac:dyDescent="0.45">
      <c r="A15" t="s">
        <v>0</v>
      </c>
      <c r="B15" t="s">
        <v>74</v>
      </c>
      <c r="C15">
        <v>2040</v>
      </c>
      <c r="D15">
        <v>60</v>
      </c>
      <c r="E15">
        <v>458.15</v>
      </c>
      <c r="F15">
        <v>407.27</v>
      </c>
      <c r="G15">
        <v>216.6</v>
      </c>
      <c r="H15">
        <v>162.1</v>
      </c>
      <c r="I15">
        <v>1097.01</v>
      </c>
      <c r="J15">
        <v>287.98</v>
      </c>
      <c r="K15">
        <v>574.94000000000005</v>
      </c>
      <c r="L15" t="s">
        <v>1</v>
      </c>
      <c r="M15" t="s">
        <v>27</v>
      </c>
    </row>
    <row r="16" spans="1:13" x14ac:dyDescent="0.45">
      <c r="A16" t="s">
        <v>0</v>
      </c>
      <c r="B16" t="s">
        <v>74</v>
      </c>
      <c r="C16">
        <v>2045</v>
      </c>
      <c r="D16">
        <v>60</v>
      </c>
      <c r="E16">
        <v>551.41</v>
      </c>
      <c r="F16">
        <v>479.16</v>
      </c>
      <c r="G16">
        <v>249.14</v>
      </c>
      <c r="H16">
        <v>190.36</v>
      </c>
      <c r="I16">
        <v>1269.8800000000001</v>
      </c>
      <c r="J16">
        <v>352.78</v>
      </c>
      <c r="K16">
        <v>713.93</v>
      </c>
      <c r="L16" t="s">
        <v>1</v>
      </c>
      <c r="M16" t="s">
        <v>27</v>
      </c>
    </row>
    <row r="17" spans="1:13" x14ac:dyDescent="0.45">
      <c r="A17" t="s">
        <v>0</v>
      </c>
      <c r="B17" t="s">
        <v>74</v>
      </c>
      <c r="C17">
        <v>2050</v>
      </c>
      <c r="D17">
        <v>60</v>
      </c>
      <c r="E17">
        <v>631.32000000000005</v>
      </c>
      <c r="F17">
        <v>604.24</v>
      </c>
      <c r="G17">
        <v>264.83</v>
      </c>
      <c r="H17">
        <v>194.32</v>
      </c>
      <c r="I17">
        <v>1170.26</v>
      </c>
      <c r="J17">
        <v>409.79</v>
      </c>
      <c r="K17">
        <v>827.36</v>
      </c>
      <c r="L17" t="s">
        <v>1</v>
      </c>
      <c r="M17" t="s">
        <v>27</v>
      </c>
    </row>
    <row r="18" spans="1:13" x14ac:dyDescent="0.45">
      <c r="A18" t="s">
        <v>2</v>
      </c>
      <c r="B18" t="s">
        <v>74</v>
      </c>
      <c r="C18">
        <v>2020</v>
      </c>
      <c r="D18">
        <v>86</v>
      </c>
      <c r="E18">
        <v>0.79</v>
      </c>
      <c r="F18">
        <v>0</v>
      </c>
      <c r="G18">
        <v>1.67</v>
      </c>
      <c r="H18">
        <v>0</v>
      </c>
      <c r="I18">
        <v>11.08</v>
      </c>
      <c r="J18">
        <v>0</v>
      </c>
      <c r="K18">
        <v>0.28000000000000003</v>
      </c>
      <c r="L18" t="s">
        <v>3</v>
      </c>
      <c r="M18" t="s">
        <v>27</v>
      </c>
    </row>
    <row r="19" spans="1:13" x14ac:dyDescent="0.45">
      <c r="A19" t="s">
        <v>2</v>
      </c>
      <c r="B19" t="s">
        <v>74</v>
      </c>
      <c r="C19">
        <v>2025</v>
      </c>
      <c r="D19">
        <v>75</v>
      </c>
      <c r="E19">
        <v>45</v>
      </c>
      <c r="F19">
        <v>24.75</v>
      </c>
      <c r="G19">
        <v>48.96</v>
      </c>
      <c r="H19">
        <v>1.1100000000000001</v>
      </c>
      <c r="I19">
        <v>220.01</v>
      </c>
      <c r="J19">
        <v>10.72</v>
      </c>
      <c r="K19">
        <v>68.180000000000007</v>
      </c>
      <c r="L19" t="s">
        <v>3</v>
      </c>
      <c r="M19" t="s">
        <v>27</v>
      </c>
    </row>
    <row r="20" spans="1:13" x14ac:dyDescent="0.45">
      <c r="A20" t="s">
        <v>2</v>
      </c>
      <c r="B20" t="s">
        <v>74</v>
      </c>
      <c r="C20">
        <v>2030</v>
      </c>
      <c r="D20">
        <v>86</v>
      </c>
      <c r="E20">
        <v>60.99</v>
      </c>
      <c r="F20">
        <v>46.2</v>
      </c>
      <c r="G20">
        <v>58.39</v>
      </c>
      <c r="H20">
        <v>0</v>
      </c>
      <c r="I20">
        <v>293.35000000000002</v>
      </c>
      <c r="J20">
        <v>15.43</v>
      </c>
      <c r="K20">
        <v>90.62</v>
      </c>
      <c r="L20" t="s">
        <v>3</v>
      </c>
      <c r="M20" t="s">
        <v>27</v>
      </c>
    </row>
    <row r="21" spans="1:13" x14ac:dyDescent="0.45">
      <c r="A21" t="s">
        <v>2</v>
      </c>
      <c r="B21" t="s">
        <v>74</v>
      </c>
      <c r="C21">
        <v>2035</v>
      </c>
      <c r="D21">
        <v>75</v>
      </c>
      <c r="E21">
        <v>195.24</v>
      </c>
      <c r="F21">
        <v>129.57</v>
      </c>
      <c r="G21">
        <v>290.37</v>
      </c>
      <c r="H21">
        <v>26.47</v>
      </c>
      <c r="I21">
        <v>2037.12</v>
      </c>
      <c r="J21">
        <v>87.35</v>
      </c>
      <c r="K21">
        <v>200.38</v>
      </c>
      <c r="L21" t="s">
        <v>3</v>
      </c>
      <c r="M21" t="s">
        <v>27</v>
      </c>
    </row>
    <row r="22" spans="1:13" x14ac:dyDescent="0.45">
      <c r="A22" t="s">
        <v>2</v>
      </c>
      <c r="B22" t="s">
        <v>74</v>
      </c>
      <c r="C22">
        <v>2040</v>
      </c>
      <c r="D22">
        <v>86</v>
      </c>
      <c r="E22">
        <v>250.65</v>
      </c>
      <c r="F22">
        <v>172.09</v>
      </c>
      <c r="G22">
        <v>359.95</v>
      </c>
      <c r="H22">
        <v>0</v>
      </c>
      <c r="I22">
        <v>2600</v>
      </c>
      <c r="J22">
        <v>112.15</v>
      </c>
      <c r="K22">
        <v>257.75</v>
      </c>
      <c r="L22" t="s">
        <v>3</v>
      </c>
      <c r="M22" t="s">
        <v>27</v>
      </c>
    </row>
    <row r="23" spans="1:13" x14ac:dyDescent="0.45">
      <c r="A23" t="s">
        <v>2</v>
      </c>
      <c r="B23" t="s">
        <v>74</v>
      </c>
      <c r="C23">
        <v>2045</v>
      </c>
      <c r="D23">
        <v>75</v>
      </c>
      <c r="E23">
        <v>297.39999999999998</v>
      </c>
      <c r="F23">
        <v>253.87</v>
      </c>
      <c r="G23">
        <v>189.37</v>
      </c>
      <c r="H23">
        <v>103.36</v>
      </c>
      <c r="I23">
        <v>1213.1199999999999</v>
      </c>
      <c r="J23">
        <v>166.02</v>
      </c>
      <c r="K23">
        <v>347.01</v>
      </c>
      <c r="L23" t="s">
        <v>3</v>
      </c>
      <c r="M23" t="s">
        <v>27</v>
      </c>
    </row>
    <row r="24" spans="1:13" x14ac:dyDescent="0.45">
      <c r="A24" t="s">
        <v>2</v>
      </c>
      <c r="B24" t="s">
        <v>74</v>
      </c>
      <c r="C24">
        <v>2050</v>
      </c>
      <c r="D24">
        <v>86</v>
      </c>
      <c r="E24">
        <v>308.77999999999997</v>
      </c>
      <c r="F24">
        <v>285.02999999999997</v>
      </c>
      <c r="G24">
        <v>170.12</v>
      </c>
      <c r="H24">
        <v>0</v>
      </c>
      <c r="I24">
        <v>729.74</v>
      </c>
      <c r="J24">
        <v>194.32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74</v>
      </c>
      <c r="C25">
        <v>2020</v>
      </c>
      <c r="D25">
        <v>188</v>
      </c>
      <c r="E25">
        <v>2.98</v>
      </c>
      <c r="F25">
        <v>0.1</v>
      </c>
      <c r="G25">
        <v>11.31</v>
      </c>
      <c r="H25">
        <v>0</v>
      </c>
      <c r="I25">
        <v>119.5</v>
      </c>
      <c r="J25">
        <v>0</v>
      </c>
      <c r="K25">
        <v>0.41</v>
      </c>
      <c r="L25" t="s">
        <v>6</v>
      </c>
      <c r="M25" t="s">
        <v>27</v>
      </c>
    </row>
    <row r="26" spans="1:13" x14ac:dyDescent="0.45">
      <c r="A26" t="s">
        <v>5</v>
      </c>
      <c r="B26" t="s">
        <v>74</v>
      </c>
      <c r="C26">
        <v>2025</v>
      </c>
      <c r="D26">
        <v>165</v>
      </c>
      <c r="E26">
        <v>52.69</v>
      </c>
      <c r="F26">
        <v>37.94</v>
      </c>
      <c r="G26">
        <v>52.17</v>
      </c>
      <c r="H26">
        <v>1.1100000000000001</v>
      </c>
      <c r="I26">
        <v>260.38</v>
      </c>
      <c r="J26">
        <v>16.88</v>
      </c>
      <c r="K26">
        <v>73.58</v>
      </c>
      <c r="L26" t="s">
        <v>6</v>
      </c>
      <c r="M26" t="s">
        <v>27</v>
      </c>
    </row>
    <row r="27" spans="1:13" x14ac:dyDescent="0.45">
      <c r="A27" t="s">
        <v>5</v>
      </c>
      <c r="B27" t="s">
        <v>74</v>
      </c>
      <c r="C27">
        <v>2030</v>
      </c>
      <c r="D27">
        <v>188</v>
      </c>
      <c r="E27">
        <v>73.2</v>
      </c>
      <c r="F27">
        <v>56.33</v>
      </c>
      <c r="G27">
        <v>59.29</v>
      </c>
      <c r="H27">
        <v>1.1100000000000001</v>
      </c>
      <c r="I27">
        <v>347.18</v>
      </c>
      <c r="J27">
        <v>35.18</v>
      </c>
      <c r="K27">
        <v>92.14</v>
      </c>
      <c r="L27" t="s">
        <v>6</v>
      </c>
      <c r="M27" t="s">
        <v>27</v>
      </c>
    </row>
    <row r="28" spans="1:13" x14ac:dyDescent="0.45">
      <c r="A28" t="s">
        <v>5</v>
      </c>
      <c r="B28" t="s">
        <v>74</v>
      </c>
      <c r="C28">
        <v>2035</v>
      </c>
      <c r="D28">
        <v>165</v>
      </c>
      <c r="E28">
        <v>130.62</v>
      </c>
      <c r="F28">
        <v>104.42</v>
      </c>
      <c r="G28">
        <v>98.52</v>
      </c>
      <c r="H28">
        <v>39.29</v>
      </c>
      <c r="I28">
        <v>960.63</v>
      </c>
      <c r="J28">
        <v>71.63</v>
      </c>
      <c r="K28">
        <v>167.91</v>
      </c>
      <c r="L28" t="s">
        <v>6</v>
      </c>
      <c r="M28" t="s">
        <v>27</v>
      </c>
    </row>
    <row r="29" spans="1:13" x14ac:dyDescent="0.45">
      <c r="A29" t="s">
        <v>5</v>
      </c>
      <c r="B29" t="s">
        <v>74</v>
      </c>
      <c r="C29">
        <v>2040</v>
      </c>
      <c r="D29">
        <v>188</v>
      </c>
      <c r="E29">
        <v>166.72</v>
      </c>
      <c r="F29">
        <v>134.85</v>
      </c>
      <c r="G29">
        <v>119.17</v>
      </c>
      <c r="H29">
        <v>47.96</v>
      </c>
      <c r="I29">
        <v>1226.04</v>
      </c>
      <c r="J29">
        <v>98.06</v>
      </c>
      <c r="K29">
        <v>213.2</v>
      </c>
      <c r="L29" t="s">
        <v>6</v>
      </c>
      <c r="M29" t="s">
        <v>27</v>
      </c>
    </row>
    <row r="30" spans="1:13" x14ac:dyDescent="0.45">
      <c r="A30" t="s">
        <v>5</v>
      </c>
      <c r="B30" t="s">
        <v>74</v>
      </c>
      <c r="C30">
        <v>2045</v>
      </c>
      <c r="D30">
        <v>165</v>
      </c>
      <c r="E30">
        <v>207.97</v>
      </c>
      <c r="F30">
        <v>178.1</v>
      </c>
      <c r="G30">
        <v>150.35</v>
      </c>
      <c r="H30">
        <v>47.73</v>
      </c>
      <c r="I30">
        <v>1564.8</v>
      </c>
      <c r="J30">
        <v>120.68</v>
      </c>
      <c r="K30">
        <v>263.27</v>
      </c>
      <c r="L30" t="s">
        <v>6</v>
      </c>
      <c r="M30" t="s">
        <v>27</v>
      </c>
    </row>
    <row r="31" spans="1:13" x14ac:dyDescent="0.45">
      <c r="A31" t="s">
        <v>5</v>
      </c>
      <c r="B31" t="s">
        <v>74</v>
      </c>
      <c r="C31">
        <v>2050</v>
      </c>
      <c r="D31">
        <v>188</v>
      </c>
      <c r="E31">
        <v>239.6</v>
      </c>
      <c r="F31">
        <v>209.45</v>
      </c>
      <c r="G31">
        <v>124.12</v>
      </c>
      <c r="H31">
        <v>27.36</v>
      </c>
      <c r="I31">
        <v>712.07</v>
      </c>
      <c r="J31">
        <v>147.49</v>
      </c>
      <c r="K31">
        <v>301.20999999999998</v>
      </c>
      <c r="L31" t="s">
        <v>6</v>
      </c>
      <c r="M31" t="s">
        <v>27</v>
      </c>
    </row>
    <row r="32" spans="1:13" x14ac:dyDescent="0.45">
      <c r="A32" t="s">
        <v>7</v>
      </c>
      <c r="B32" t="s">
        <v>74</v>
      </c>
      <c r="C32">
        <v>2020</v>
      </c>
      <c r="D32">
        <v>74</v>
      </c>
      <c r="E32">
        <v>1.84</v>
      </c>
      <c r="F32">
        <v>0</v>
      </c>
      <c r="G32">
        <v>5.26</v>
      </c>
      <c r="H32">
        <v>0</v>
      </c>
      <c r="I32">
        <v>26.81</v>
      </c>
      <c r="J32">
        <v>0</v>
      </c>
      <c r="K32">
        <v>0.1</v>
      </c>
      <c r="L32" t="s">
        <v>8</v>
      </c>
      <c r="M32" t="s">
        <v>27</v>
      </c>
    </row>
    <row r="33" spans="1:13" x14ac:dyDescent="0.45">
      <c r="A33" t="s">
        <v>7</v>
      </c>
      <c r="B33" t="s">
        <v>74</v>
      </c>
      <c r="C33">
        <v>2025</v>
      </c>
      <c r="D33">
        <v>68</v>
      </c>
      <c r="E33">
        <v>22.35</v>
      </c>
      <c r="F33">
        <v>17.329999999999998</v>
      </c>
      <c r="G33">
        <v>21.31</v>
      </c>
      <c r="H33">
        <v>0</v>
      </c>
      <c r="I33">
        <v>107.94</v>
      </c>
      <c r="J33">
        <v>10.49</v>
      </c>
      <c r="K33">
        <v>23.89</v>
      </c>
      <c r="L33" t="s">
        <v>8</v>
      </c>
      <c r="M33" t="s">
        <v>27</v>
      </c>
    </row>
    <row r="34" spans="1:13" x14ac:dyDescent="0.45">
      <c r="A34" t="s">
        <v>7</v>
      </c>
      <c r="B34" t="s">
        <v>74</v>
      </c>
      <c r="C34">
        <v>2030</v>
      </c>
      <c r="D34">
        <v>74</v>
      </c>
      <c r="E34">
        <v>43.19</v>
      </c>
      <c r="F34">
        <v>35.18</v>
      </c>
      <c r="G34">
        <v>21.26</v>
      </c>
      <c r="H34">
        <v>0</v>
      </c>
      <c r="I34">
        <v>97.4</v>
      </c>
      <c r="J34">
        <v>32.270000000000003</v>
      </c>
      <c r="K34">
        <v>56.45</v>
      </c>
      <c r="L34" t="s">
        <v>8</v>
      </c>
      <c r="M34" t="s">
        <v>27</v>
      </c>
    </row>
    <row r="35" spans="1:13" x14ac:dyDescent="0.45">
      <c r="A35" t="s">
        <v>7</v>
      </c>
      <c r="B35" t="s">
        <v>74</v>
      </c>
      <c r="C35">
        <v>2035</v>
      </c>
      <c r="D35">
        <v>68</v>
      </c>
      <c r="E35">
        <v>61.58</v>
      </c>
      <c r="F35">
        <v>52.06</v>
      </c>
      <c r="G35">
        <v>29.82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74</v>
      </c>
      <c r="C36">
        <v>2040</v>
      </c>
      <c r="D36">
        <v>74</v>
      </c>
      <c r="E36">
        <v>86.47</v>
      </c>
      <c r="F36">
        <v>75.8</v>
      </c>
      <c r="G36">
        <v>43.44</v>
      </c>
      <c r="H36">
        <v>31.83</v>
      </c>
      <c r="I36">
        <v>283.33</v>
      </c>
      <c r="J36">
        <v>57.1</v>
      </c>
      <c r="K36">
        <v>108.19</v>
      </c>
      <c r="L36" t="s">
        <v>8</v>
      </c>
      <c r="M36" t="s">
        <v>27</v>
      </c>
    </row>
    <row r="37" spans="1:13" x14ac:dyDescent="0.45">
      <c r="A37" t="s">
        <v>7</v>
      </c>
      <c r="B37" t="s">
        <v>74</v>
      </c>
      <c r="C37">
        <v>2045</v>
      </c>
      <c r="D37">
        <v>68</v>
      </c>
      <c r="E37">
        <v>112.23</v>
      </c>
      <c r="F37">
        <v>95.39</v>
      </c>
      <c r="G37">
        <v>56.97</v>
      </c>
      <c r="H37">
        <v>42.44</v>
      </c>
      <c r="I37">
        <v>319.42</v>
      </c>
      <c r="J37">
        <v>73.23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74</v>
      </c>
      <c r="C38">
        <v>2050</v>
      </c>
      <c r="D38">
        <v>74</v>
      </c>
      <c r="E38">
        <v>132.33000000000001</v>
      </c>
      <c r="F38">
        <v>112.39</v>
      </c>
      <c r="G38">
        <v>60.08</v>
      </c>
      <c r="H38">
        <v>54.16</v>
      </c>
      <c r="I38">
        <v>331.7</v>
      </c>
      <c r="J38">
        <v>92.51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74</v>
      </c>
      <c r="C39">
        <v>2020</v>
      </c>
      <c r="D39">
        <v>52</v>
      </c>
      <c r="E39">
        <v>0.75</v>
      </c>
      <c r="F39">
        <v>0</v>
      </c>
      <c r="G39">
        <v>1.89</v>
      </c>
      <c r="H39">
        <v>0</v>
      </c>
      <c r="I39">
        <v>9.64</v>
      </c>
      <c r="J39">
        <v>0</v>
      </c>
      <c r="K39">
        <v>0.28000000000000003</v>
      </c>
      <c r="L39" t="s">
        <v>10</v>
      </c>
      <c r="M39" t="s">
        <v>27</v>
      </c>
    </row>
    <row r="40" spans="1:13" x14ac:dyDescent="0.45">
      <c r="A40" t="s">
        <v>9</v>
      </c>
      <c r="B40" t="s">
        <v>74</v>
      </c>
      <c r="C40">
        <v>2025</v>
      </c>
      <c r="D40">
        <v>47</v>
      </c>
      <c r="E40">
        <v>0.55000000000000004</v>
      </c>
      <c r="F40">
        <v>0</v>
      </c>
      <c r="G40">
        <v>1.24</v>
      </c>
      <c r="H40">
        <v>0</v>
      </c>
      <c r="I40">
        <v>5.17</v>
      </c>
      <c r="J40">
        <v>0</v>
      </c>
      <c r="K40">
        <v>0.26</v>
      </c>
      <c r="L40" t="s">
        <v>10</v>
      </c>
      <c r="M40" t="s">
        <v>27</v>
      </c>
    </row>
    <row r="41" spans="1:13" x14ac:dyDescent="0.45">
      <c r="A41" t="s">
        <v>9</v>
      </c>
      <c r="B41" t="s">
        <v>74</v>
      </c>
      <c r="C41">
        <v>2030</v>
      </c>
      <c r="D41">
        <v>52</v>
      </c>
      <c r="E41">
        <v>3.19</v>
      </c>
      <c r="F41">
        <v>0</v>
      </c>
      <c r="G41">
        <v>10.75</v>
      </c>
      <c r="H41">
        <v>0</v>
      </c>
      <c r="I41">
        <v>46.98</v>
      </c>
      <c r="J41">
        <v>0</v>
      </c>
      <c r="K41">
        <v>0.76</v>
      </c>
      <c r="L41" t="s">
        <v>10</v>
      </c>
      <c r="M41" t="s">
        <v>27</v>
      </c>
    </row>
    <row r="42" spans="1:13" x14ac:dyDescent="0.45">
      <c r="A42" t="s">
        <v>9</v>
      </c>
      <c r="B42" t="s">
        <v>74</v>
      </c>
      <c r="C42">
        <v>2035</v>
      </c>
      <c r="D42">
        <v>47</v>
      </c>
      <c r="E42">
        <v>0.83</v>
      </c>
      <c r="F42">
        <v>0</v>
      </c>
      <c r="G42">
        <v>1.35</v>
      </c>
      <c r="H42">
        <v>0</v>
      </c>
      <c r="I42">
        <v>5.82</v>
      </c>
      <c r="J42">
        <v>0</v>
      </c>
      <c r="K42">
        <v>1.19</v>
      </c>
      <c r="L42" t="s">
        <v>10</v>
      </c>
      <c r="M42" t="s">
        <v>27</v>
      </c>
    </row>
    <row r="43" spans="1:13" x14ac:dyDescent="0.45">
      <c r="A43" t="s">
        <v>9</v>
      </c>
      <c r="B43" t="s">
        <v>74</v>
      </c>
      <c r="C43">
        <v>2040</v>
      </c>
      <c r="D43">
        <v>52</v>
      </c>
      <c r="E43">
        <v>0.96</v>
      </c>
      <c r="F43">
        <v>0</v>
      </c>
      <c r="G43">
        <v>1.56</v>
      </c>
      <c r="H43">
        <v>0</v>
      </c>
      <c r="I43">
        <v>6.81</v>
      </c>
      <c r="J43">
        <v>0</v>
      </c>
      <c r="K43">
        <v>1.54</v>
      </c>
      <c r="L43" t="s">
        <v>10</v>
      </c>
      <c r="M43" t="s">
        <v>27</v>
      </c>
    </row>
    <row r="44" spans="1:13" x14ac:dyDescent="0.45">
      <c r="A44" t="s">
        <v>9</v>
      </c>
      <c r="B44" t="s">
        <v>74</v>
      </c>
      <c r="C44">
        <v>2045</v>
      </c>
      <c r="D44">
        <v>47</v>
      </c>
      <c r="E44">
        <v>1.32</v>
      </c>
      <c r="F44">
        <v>0</v>
      </c>
      <c r="G44">
        <v>1.87</v>
      </c>
      <c r="H44">
        <v>0</v>
      </c>
      <c r="I44">
        <v>7.73</v>
      </c>
      <c r="J44">
        <v>0</v>
      </c>
      <c r="K44">
        <v>2.08</v>
      </c>
      <c r="L44" t="s">
        <v>10</v>
      </c>
      <c r="M44" t="s">
        <v>27</v>
      </c>
    </row>
    <row r="45" spans="1:13" x14ac:dyDescent="0.45">
      <c r="A45" t="s">
        <v>9</v>
      </c>
      <c r="B45" t="s">
        <v>74</v>
      </c>
      <c r="C45">
        <v>2050</v>
      </c>
      <c r="D45">
        <v>52</v>
      </c>
      <c r="E45">
        <v>1.44</v>
      </c>
      <c r="F45">
        <v>0</v>
      </c>
      <c r="G45">
        <v>2.12</v>
      </c>
      <c r="H45">
        <v>0</v>
      </c>
      <c r="I45">
        <v>8.75</v>
      </c>
      <c r="J45">
        <v>0</v>
      </c>
      <c r="K45">
        <v>2.68</v>
      </c>
      <c r="L45" t="s">
        <v>10</v>
      </c>
      <c r="M45" t="s">
        <v>27</v>
      </c>
    </row>
    <row r="46" spans="1:13" x14ac:dyDescent="0.45">
      <c r="A46" t="s">
        <v>0</v>
      </c>
      <c r="B46" t="s">
        <v>74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74</v>
      </c>
      <c r="C47">
        <v>2025</v>
      </c>
      <c r="D47">
        <v>64</v>
      </c>
      <c r="E47">
        <v>0.94</v>
      </c>
      <c r="F47">
        <v>0.93</v>
      </c>
      <c r="G47">
        <v>0.11</v>
      </c>
      <c r="H47">
        <v>0.67</v>
      </c>
      <c r="I47">
        <v>1.25</v>
      </c>
      <c r="J47">
        <v>0.9</v>
      </c>
      <c r="K47">
        <v>1.01</v>
      </c>
      <c r="L47" t="s">
        <v>1</v>
      </c>
      <c r="M47" t="s">
        <v>11</v>
      </c>
    </row>
    <row r="48" spans="1:13" x14ac:dyDescent="0.45">
      <c r="A48" t="s">
        <v>0</v>
      </c>
      <c r="B48" t="s">
        <v>74</v>
      </c>
      <c r="C48">
        <v>2030</v>
      </c>
      <c r="D48">
        <v>64</v>
      </c>
      <c r="E48">
        <v>0.98</v>
      </c>
      <c r="F48">
        <v>0.94</v>
      </c>
      <c r="G48">
        <v>0.17</v>
      </c>
      <c r="H48">
        <v>0.73</v>
      </c>
      <c r="I48">
        <v>1.64</v>
      </c>
      <c r="J48">
        <v>0.88</v>
      </c>
      <c r="K48">
        <v>1.05</v>
      </c>
      <c r="L48" t="s">
        <v>1</v>
      </c>
      <c r="M48" t="s">
        <v>11</v>
      </c>
    </row>
    <row r="49" spans="1:13" x14ac:dyDescent="0.45">
      <c r="A49" t="s">
        <v>0</v>
      </c>
      <c r="B49" t="s">
        <v>74</v>
      </c>
      <c r="C49">
        <v>2035</v>
      </c>
      <c r="D49">
        <v>64</v>
      </c>
      <c r="E49">
        <v>1.08</v>
      </c>
      <c r="F49">
        <v>0.99</v>
      </c>
      <c r="G49">
        <v>0.21</v>
      </c>
      <c r="H49">
        <v>0.83</v>
      </c>
      <c r="I49">
        <v>1.88</v>
      </c>
      <c r="J49">
        <v>0.95</v>
      </c>
      <c r="K49">
        <v>1.17</v>
      </c>
      <c r="L49" t="s">
        <v>1</v>
      </c>
      <c r="M49" t="s">
        <v>11</v>
      </c>
    </row>
    <row r="50" spans="1:13" x14ac:dyDescent="0.45">
      <c r="A50" t="s">
        <v>0</v>
      </c>
      <c r="B50" t="s">
        <v>74</v>
      </c>
      <c r="C50">
        <v>2040</v>
      </c>
      <c r="D50">
        <v>64</v>
      </c>
      <c r="E50">
        <v>1.2</v>
      </c>
      <c r="F50">
        <v>1.1100000000000001</v>
      </c>
      <c r="G50">
        <v>0.25</v>
      </c>
      <c r="H50">
        <v>0.84</v>
      </c>
      <c r="I50">
        <v>2.2400000000000002</v>
      </c>
      <c r="J50">
        <v>1.05</v>
      </c>
      <c r="K50">
        <v>1.33</v>
      </c>
      <c r="L50" t="s">
        <v>1</v>
      </c>
      <c r="M50" t="s">
        <v>11</v>
      </c>
    </row>
    <row r="51" spans="1:13" x14ac:dyDescent="0.45">
      <c r="A51" t="s">
        <v>0</v>
      </c>
      <c r="B51" t="s">
        <v>74</v>
      </c>
      <c r="C51">
        <v>2045</v>
      </c>
      <c r="D51">
        <v>64</v>
      </c>
      <c r="E51">
        <v>1.29</v>
      </c>
      <c r="F51">
        <v>1.23</v>
      </c>
      <c r="G51">
        <v>0.26</v>
      </c>
      <c r="H51">
        <v>0.86</v>
      </c>
      <c r="I51">
        <v>2.3199999999999998</v>
      </c>
      <c r="J51">
        <v>1.1299999999999999</v>
      </c>
      <c r="K51">
        <v>1.44</v>
      </c>
      <c r="L51" t="s">
        <v>1</v>
      </c>
      <c r="M51" t="s">
        <v>11</v>
      </c>
    </row>
    <row r="52" spans="1:13" x14ac:dyDescent="0.45">
      <c r="A52" t="s">
        <v>0</v>
      </c>
      <c r="B52" t="s">
        <v>74</v>
      </c>
      <c r="C52">
        <v>2050</v>
      </c>
      <c r="D52">
        <v>64</v>
      </c>
      <c r="E52">
        <v>1.37</v>
      </c>
      <c r="F52">
        <v>1.33</v>
      </c>
      <c r="G52">
        <v>0.27</v>
      </c>
      <c r="H52">
        <v>0.87</v>
      </c>
      <c r="I52">
        <v>2.36</v>
      </c>
      <c r="J52">
        <v>1.18</v>
      </c>
      <c r="K52">
        <v>1.52</v>
      </c>
      <c r="L52" t="s">
        <v>1</v>
      </c>
      <c r="M52" t="s">
        <v>11</v>
      </c>
    </row>
    <row r="53" spans="1:13" x14ac:dyDescent="0.45">
      <c r="A53" t="s">
        <v>2</v>
      </c>
      <c r="B53" t="s">
        <v>74</v>
      </c>
      <c r="C53">
        <v>2020</v>
      </c>
      <c r="D53">
        <v>95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74</v>
      </c>
      <c r="C54">
        <v>2025</v>
      </c>
      <c r="D54">
        <v>84</v>
      </c>
      <c r="E54">
        <v>1</v>
      </c>
      <c r="F54">
        <v>1</v>
      </c>
      <c r="G54">
        <v>0.04</v>
      </c>
      <c r="H54">
        <v>0.84</v>
      </c>
      <c r="I54">
        <v>1.06</v>
      </c>
      <c r="J54">
        <v>0.98</v>
      </c>
      <c r="K54">
        <v>1.02</v>
      </c>
      <c r="L54" t="s">
        <v>3</v>
      </c>
      <c r="M54" t="s">
        <v>11</v>
      </c>
    </row>
    <row r="55" spans="1:13" x14ac:dyDescent="0.45">
      <c r="A55" t="s">
        <v>2</v>
      </c>
      <c r="B55" t="s">
        <v>74</v>
      </c>
      <c r="C55">
        <v>2030</v>
      </c>
      <c r="D55">
        <v>95</v>
      </c>
      <c r="E55">
        <v>1.03</v>
      </c>
      <c r="F55">
        <v>1.03</v>
      </c>
      <c r="G55">
        <v>0.09</v>
      </c>
      <c r="H55">
        <v>0.74</v>
      </c>
      <c r="I55">
        <v>1.25</v>
      </c>
      <c r="J55">
        <v>0.97</v>
      </c>
      <c r="K55">
        <v>1.06</v>
      </c>
      <c r="L55" t="s">
        <v>3</v>
      </c>
      <c r="M55" t="s">
        <v>11</v>
      </c>
    </row>
    <row r="56" spans="1:13" x14ac:dyDescent="0.45">
      <c r="A56" t="s">
        <v>2</v>
      </c>
      <c r="B56" t="s">
        <v>74</v>
      </c>
      <c r="C56">
        <v>2035</v>
      </c>
      <c r="D56">
        <v>84</v>
      </c>
      <c r="E56">
        <v>1.03</v>
      </c>
      <c r="F56">
        <v>1.03</v>
      </c>
      <c r="G56">
        <v>0.1</v>
      </c>
      <c r="H56">
        <v>0.76</v>
      </c>
      <c r="I56">
        <v>1.24</v>
      </c>
      <c r="J56">
        <v>0.96</v>
      </c>
      <c r="K56">
        <v>1.1200000000000001</v>
      </c>
      <c r="L56" t="s">
        <v>3</v>
      </c>
      <c r="M56" t="s">
        <v>11</v>
      </c>
    </row>
    <row r="57" spans="1:13" x14ac:dyDescent="0.45">
      <c r="A57" t="s">
        <v>2</v>
      </c>
      <c r="B57" t="s">
        <v>74</v>
      </c>
      <c r="C57">
        <v>2040</v>
      </c>
      <c r="D57">
        <v>95</v>
      </c>
      <c r="E57">
        <v>1.1599999999999999</v>
      </c>
      <c r="F57">
        <v>1.1499999999999999</v>
      </c>
      <c r="G57">
        <v>0.18</v>
      </c>
      <c r="H57">
        <v>0.81</v>
      </c>
      <c r="I57">
        <v>1.62</v>
      </c>
      <c r="J57">
        <v>1.03</v>
      </c>
      <c r="K57">
        <v>1.28</v>
      </c>
      <c r="L57" t="s">
        <v>3</v>
      </c>
      <c r="M57" t="s">
        <v>11</v>
      </c>
    </row>
    <row r="58" spans="1:13" x14ac:dyDescent="0.45">
      <c r="A58" t="s">
        <v>2</v>
      </c>
      <c r="B58" t="s">
        <v>74</v>
      </c>
      <c r="C58">
        <v>2045</v>
      </c>
      <c r="D58">
        <v>84</v>
      </c>
      <c r="E58">
        <v>1.22</v>
      </c>
      <c r="F58">
        <v>1.2</v>
      </c>
      <c r="G58">
        <v>0.14000000000000001</v>
      </c>
      <c r="H58">
        <v>0.82</v>
      </c>
      <c r="I58">
        <v>1.45</v>
      </c>
      <c r="J58">
        <v>1.1200000000000001</v>
      </c>
      <c r="K58">
        <v>1.37</v>
      </c>
      <c r="L58" t="s">
        <v>3</v>
      </c>
      <c r="M58" t="s">
        <v>11</v>
      </c>
    </row>
    <row r="59" spans="1:13" x14ac:dyDescent="0.45">
      <c r="A59" t="s">
        <v>2</v>
      </c>
      <c r="B59" t="s">
        <v>74</v>
      </c>
      <c r="C59">
        <v>2050</v>
      </c>
      <c r="D59">
        <v>95</v>
      </c>
      <c r="E59">
        <v>1.37</v>
      </c>
      <c r="F59">
        <v>1.35</v>
      </c>
      <c r="G59">
        <v>0.2</v>
      </c>
      <c r="H59">
        <v>0.84</v>
      </c>
      <c r="I59">
        <v>1.94</v>
      </c>
      <c r="J59">
        <v>1.24</v>
      </c>
      <c r="K59">
        <v>1.48</v>
      </c>
      <c r="L59" t="s">
        <v>3</v>
      </c>
      <c r="M59" t="s">
        <v>11</v>
      </c>
    </row>
    <row r="60" spans="1:13" x14ac:dyDescent="0.45">
      <c r="A60" t="s">
        <v>5</v>
      </c>
      <c r="B60" t="s">
        <v>74</v>
      </c>
      <c r="C60">
        <v>2020</v>
      </c>
      <c r="D60">
        <v>229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74</v>
      </c>
      <c r="C61">
        <v>2025</v>
      </c>
      <c r="D61">
        <v>206</v>
      </c>
      <c r="E61">
        <v>0.98</v>
      </c>
      <c r="F61">
        <v>0.99</v>
      </c>
      <c r="G61">
        <v>7.0000000000000007E-2</v>
      </c>
      <c r="H61">
        <v>0.68</v>
      </c>
      <c r="I61">
        <v>1.31</v>
      </c>
      <c r="J61">
        <v>0.97</v>
      </c>
      <c r="K61">
        <v>1.02</v>
      </c>
      <c r="L61" t="s">
        <v>6</v>
      </c>
      <c r="M61" t="s">
        <v>11</v>
      </c>
    </row>
    <row r="62" spans="1:13" x14ac:dyDescent="0.45">
      <c r="A62" t="s">
        <v>5</v>
      </c>
      <c r="B62" t="s">
        <v>74</v>
      </c>
      <c r="C62">
        <v>2030</v>
      </c>
      <c r="D62">
        <v>229</v>
      </c>
      <c r="E62">
        <v>1</v>
      </c>
      <c r="F62">
        <v>1</v>
      </c>
      <c r="G62">
        <v>0.1</v>
      </c>
      <c r="H62">
        <v>0.76</v>
      </c>
      <c r="I62">
        <v>1.6</v>
      </c>
      <c r="J62">
        <v>0.95</v>
      </c>
      <c r="K62">
        <v>1.06</v>
      </c>
      <c r="L62" t="s">
        <v>6</v>
      </c>
      <c r="M62" t="s">
        <v>11</v>
      </c>
    </row>
    <row r="63" spans="1:13" x14ac:dyDescent="0.45">
      <c r="A63" t="s">
        <v>5</v>
      </c>
      <c r="B63" t="s">
        <v>74</v>
      </c>
      <c r="C63">
        <v>2035</v>
      </c>
      <c r="D63">
        <v>206</v>
      </c>
      <c r="E63">
        <v>1.04</v>
      </c>
      <c r="F63">
        <v>1.01</v>
      </c>
      <c r="G63">
        <v>0.17</v>
      </c>
      <c r="H63">
        <v>0.83</v>
      </c>
      <c r="I63">
        <v>2.2000000000000002</v>
      </c>
      <c r="J63">
        <v>0.93</v>
      </c>
      <c r="K63">
        <v>1.1000000000000001</v>
      </c>
      <c r="L63" t="s">
        <v>6</v>
      </c>
      <c r="M63" t="s">
        <v>11</v>
      </c>
    </row>
    <row r="64" spans="1:13" x14ac:dyDescent="0.45">
      <c r="A64" t="s">
        <v>5</v>
      </c>
      <c r="B64" t="s">
        <v>74</v>
      </c>
      <c r="C64">
        <v>2040</v>
      </c>
      <c r="D64">
        <v>229</v>
      </c>
      <c r="E64">
        <v>1.1399999999999999</v>
      </c>
      <c r="F64">
        <v>1.1299999999999999</v>
      </c>
      <c r="G64">
        <v>0.21</v>
      </c>
      <c r="H64">
        <v>0.84</v>
      </c>
      <c r="I64">
        <v>2.2799999999999998</v>
      </c>
      <c r="J64">
        <v>0.99</v>
      </c>
      <c r="K64">
        <v>1.2</v>
      </c>
      <c r="L64" t="s">
        <v>6</v>
      </c>
      <c r="M64" t="s">
        <v>11</v>
      </c>
    </row>
    <row r="65" spans="1:13" x14ac:dyDescent="0.45">
      <c r="A65" t="s">
        <v>5</v>
      </c>
      <c r="B65" t="s">
        <v>74</v>
      </c>
      <c r="C65">
        <v>2045</v>
      </c>
      <c r="D65">
        <v>206</v>
      </c>
      <c r="E65">
        <v>1.25</v>
      </c>
      <c r="F65">
        <v>1.2</v>
      </c>
      <c r="G65">
        <v>0.24</v>
      </c>
      <c r="H65">
        <v>0.9</v>
      </c>
      <c r="I65">
        <v>2.34</v>
      </c>
      <c r="J65">
        <v>1.1000000000000001</v>
      </c>
      <c r="K65">
        <v>1.33</v>
      </c>
      <c r="L65" t="s">
        <v>6</v>
      </c>
      <c r="M65" t="s">
        <v>11</v>
      </c>
    </row>
    <row r="66" spans="1:13" x14ac:dyDescent="0.45">
      <c r="A66" t="s">
        <v>5</v>
      </c>
      <c r="B66" t="s">
        <v>74</v>
      </c>
      <c r="C66">
        <v>2050</v>
      </c>
      <c r="D66">
        <v>229</v>
      </c>
      <c r="E66">
        <v>1.36</v>
      </c>
      <c r="F66">
        <v>1.33</v>
      </c>
      <c r="G66">
        <v>0.24</v>
      </c>
      <c r="H66">
        <v>0.96</v>
      </c>
      <c r="I66">
        <v>2.38</v>
      </c>
      <c r="J66">
        <v>1.24</v>
      </c>
      <c r="K66">
        <v>1.45</v>
      </c>
      <c r="L66" t="s">
        <v>6</v>
      </c>
      <c r="M66" t="s">
        <v>11</v>
      </c>
    </row>
    <row r="67" spans="1:13" x14ac:dyDescent="0.45">
      <c r="A67" t="s">
        <v>7</v>
      </c>
      <c r="B67" t="s">
        <v>74</v>
      </c>
      <c r="C67">
        <v>2020</v>
      </c>
      <c r="D67">
        <v>97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74</v>
      </c>
      <c r="C68">
        <v>2025</v>
      </c>
      <c r="D68">
        <v>91</v>
      </c>
      <c r="E68">
        <v>0.99</v>
      </c>
      <c r="F68">
        <v>1</v>
      </c>
      <c r="G68">
        <v>0.04</v>
      </c>
      <c r="H68">
        <v>0.83</v>
      </c>
      <c r="I68">
        <v>1.05</v>
      </c>
      <c r="J68">
        <v>0.98</v>
      </c>
      <c r="K68">
        <v>1.01</v>
      </c>
      <c r="L68" t="s">
        <v>8</v>
      </c>
      <c r="M68" t="s">
        <v>11</v>
      </c>
    </row>
    <row r="69" spans="1:13" x14ac:dyDescent="0.45">
      <c r="A69" t="s">
        <v>7</v>
      </c>
      <c r="B69" t="s">
        <v>74</v>
      </c>
      <c r="C69">
        <v>2030</v>
      </c>
      <c r="D69">
        <v>97</v>
      </c>
      <c r="E69">
        <v>1</v>
      </c>
      <c r="F69">
        <v>1</v>
      </c>
      <c r="G69">
        <v>0.06</v>
      </c>
      <c r="H69">
        <v>0.83</v>
      </c>
      <c r="I69">
        <v>1.1299999999999999</v>
      </c>
      <c r="J69">
        <v>0.97</v>
      </c>
      <c r="K69">
        <v>1.03</v>
      </c>
      <c r="L69" t="s">
        <v>8</v>
      </c>
      <c r="M69" t="s">
        <v>11</v>
      </c>
    </row>
    <row r="70" spans="1:13" x14ac:dyDescent="0.45">
      <c r="A70" t="s">
        <v>7</v>
      </c>
      <c r="B70" t="s">
        <v>74</v>
      </c>
      <c r="C70">
        <v>2035</v>
      </c>
      <c r="D70">
        <v>91</v>
      </c>
      <c r="E70">
        <v>1.02</v>
      </c>
      <c r="F70">
        <v>1.02</v>
      </c>
      <c r="G70">
        <v>0.08</v>
      </c>
      <c r="H70">
        <v>0.85</v>
      </c>
      <c r="I70">
        <v>1.21</v>
      </c>
      <c r="J70">
        <v>0.98</v>
      </c>
      <c r="K70">
        <v>1.04</v>
      </c>
      <c r="L70" t="s">
        <v>8</v>
      </c>
      <c r="M70" t="s">
        <v>11</v>
      </c>
    </row>
    <row r="71" spans="1:13" x14ac:dyDescent="0.45">
      <c r="A71" t="s">
        <v>7</v>
      </c>
      <c r="B71" t="s">
        <v>74</v>
      </c>
      <c r="C71">
        <v>2040</v>
      </c>
      <c r="D71">
        <v>97</v>
      </c>
      <c r="E71">
        <v>1.08</v>
      </c>
      <c r="F71">
        <v>1.08</v>
      </c>
      <c r="G71">
        <v>0.1</v>
      </c>
      <c r="H71">
        <v>0.85</v>
      </c>
      <c r="I71">
        <v>1.29</v>
      </c>
      <c r="J71">
        <v>1.01</v>
      </c>
      <c r="K71">
        <v>1.1299999999999999</v>
      </c>
      <c r="L71" t="s">
        <v>8</v>
      </c>
      <c r="M71" t="s">
        <v>11</v>
      </c>
    </row>
    <row r="72" spans="1:13" x14ac:dyDescent="0.45">
      <c r="A72" t="s">
        <v>7</v>
      </c>
      <c r="B72" t="s">
        <v>74</v>
      </c>
      <c r="C72">
        <v>2045</v>
      </c>
      <c r="D72">
        <v>91</v>
      </c>
      <c r="E72">
        <v>1.1499999999999999</v>
      </c>
      <c r="F72">
        <v>1.1499999999999999</v>
      </c>
      <c r="G72">
        <v>0.12</v>
      </c>
      <c r="H72">
        <v>0.89</v>
      </c>
      <c r="I72">
        <v>1.37</v>
      </c>
      <c r="J72">
        <v>1.05</v>
      </c>
      <c r="K72">
        <v>1.24</v>
      </c>
      <c r="L72" t="s">
        <v>8</v>
      </c>
      <c r="M72" t="s">
        <v>11</v>
      </c>
    </row>
    <row r="73" spans="1:13" x14ac:dyDescent="0.45">
      <c r="A73" t="s">
        <v>7</v>
      </c>
      <c r="B73" t="s">
        <v>74</v>
      </c>
      <c r="C73">
        <v>2050</v>
      </c>
      <c r="D73">
        <v>97</v>
      </c>
      <c r="E73">
        <v>1.25</v>
      </c>
      <c r="F73">
        <v>1.29</v>
      </c>
      <c r="G73">
        <v>0.13</v>
      </c>
      <c r="H73">
        <v>0.94</v>
      </c>
      <c r="I73">
        <v>1.46</v>
      </c>
      <c r="J73">
        <v>1.1499999999999999</v>
      </c>
      <c r="K73">
        <v>1.36</v>
      </c>
      <c r="L73" t="s">
        <v>8</v>
      </c>
      <c r="M73" t="s">
        <v>11</v>
      </c>
    </row>
    <row r="74" spans="1:13" x14ac:dyDescent="0.45">
      <c r="A74" t="s">
        <v>9</v>
      </c>
      <c r="B74" t="s">
        <v>74</v>
      </c>
      <c r="C74">
        <v>2020</v>
      </c>
      <c r="D74">
        <v>60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74</v>
      </c>
      <c r="C75">
        <v>2025</v>
      </c>
      <c r="D75">
        <v>55</v>
      </c>
      <c r="E75">
        <v>1.02</v>
      </c>
      <c r="F75">
        <v>1.01</v>
      </c>
      <c r="G75">
        <v>0.09</v>
      </c>
      <c r="H75">
        <v>0.91</v>
      </c>
      <c r="I75">
        <v>1.62</v>
      </c>
      <c r="J75">
        <v>0.99</v>
      </c>
      <c r="K75">
        <v>1.04</v>
      </c>
      <c r="L75" t="s">
        <v>10</v>
      </c>
      <c r="M75" t="s">
        <v>11</v>
      </c>
    </row>
    <row r="76" spans="1:13" x14ac:dyDescent="0.45">
      <c r="A76" t="s">
        <v>9</v>
      </c>
      <c r="B76" t="s">
        <v>74</v>
      </c>
      <c r="C76">
        <v>2030</v>
      </c>
      <c r="D76">
        <v>60</v>
      </c>
      <c r="E76">
        <v>1.03</v>
      </c>
      <c r="F76">
        <v>1.03</v>
      </c>
      <c r="G76">
        <v>0.1</v>
      </c>
      <c r="H76">
        <v>0.82</v>
      </c>
      <c r="I76">
        <v>1.55</v>
      </c>
      <c r="J76">
        <v>0.95</v>
      </c>
      <c r="K76">
        <v>1.1000000000000001</v>
      </c>
      <c r="L76" t="s">
        <v>10</v>
      </c>
      <c r="M76" t="s">
        <v>11</v>
      </c>
    </row>
    <row r="77" spans="1:13" x14ac:dyDescent="0.45">
      <c r="A77" t="s">
        <v>9</v>
      </c>
      <c r="B77" t="s">
        <v>74</v>
      </c>
      <c r="C77">
        <v>2035</v>
      </c>
      <c r="D77">
        <v>55</v>
      </c>
      <c r="E77">
        <v>1.05</v>
      </c>
      <c r="F77">
        <v>1.05</v>
      </c>
      <c r="G77">
        <v>0.12</v>
      </c>
      <c r="H77">
        <v>0.78</v>
      </c>
      <c r="I77">
        <v>1.63</v>
      </c>
      <c r="J77">
        <v>0.96</v>
      </c>
      <c r="K77">
        <v>1.1000000000000001</v>
      </c>
      <c r="L77" t="s">
        <v>10</v>
      </c>
      <c r="M77" t="s">
        <v>11</v>
      </c>
    </row>
    <row r="78" spans="1:13" x14ac:dyDescent="0.45">
      <c r="A78" t="s">
        <v>9</v>
      </c>
      <c r="B78" t="s">
        <v>74</v>
      </c>
      <c r="C78">
        <v>2040</v>
      </c>
      <c r="D78">
        <v>60</v>
      </c>
      <c r="E78">
        <v>1.08</v>
      </c>
      <c r="F78">
        <v>1.0900000000000001</v>
      </c>
      <c r="G78">
        <v>0.15</v>
      </c>
      <c r="H78">
        <v>0.77</v>
      </c>
      <c r="I78">
        <v>1.74</v>
      </c>
      <c r="J78">
        <v>0.95</v>
      </c>
      <c r="K78">
        <v>1.19</v>
      </c>
      <c r="L78" t="s">
        <v>10</v>
      </c>
      <c r="M78" t="s">
        <v>11</v>
      </c>
    </row>
    <row r="79" spans="1:13" x14ac:dyDescent="0.45">
      <c r="A79" t="s">
        <v>9</v>
      </c>
      <c r="B79" t="s">
        <v>74</v>
      </c>
      <c r="C79">
        <v>2045</v>
      </c>
      <c r="D79">
        <v>55</v>
      </c>
      <c r="E79">
        <v>1.0900000000000001</v>
      </c>
      <c r="F79">
        <v>1.1000000000000001</v>
      </c>
      <c r="G79">
        <v>0.17</v>
      </c>
      <c r="H79">
        <v>0.77</v>
      </c>
      <c r="I79">
        <v>1.78</v>
      </c>
      <c r="J79">
        <v>0.93</v>
      </c>
      <c r="K79">
        <v>1.1599999999999999</v>
      </c>
      <c r="L79" t="s">
        <v>10</v>
      </c>
      <c r="M79" t="s">
        <v>11</v>
      </c>
    </row>
    <row r="80" spans="1:13" x14ac:dyDescent="0.45">
      <c r="A80" t="s">
        <v>9</v>
      </c>
      <c r="B80" t="s">
        <v>74</v>
      </c>
      <c r="C80">
        <v>2050</v>
      </c>
      <c r="D80">
        <v>60</v>
      </c>
      <c r="E80">
        <v>1.1299999999999999</v>
      </c>
      <c r="F80">
        <v>1.1499999999999999</v>
      </c>
      <c r="G80">
        <v>0.19</v>
      </c>
      <c r="H80">
        <v>0.79</v>
      </c>
      <c r="I80">
        <v>1.86</v>
      </c>
      <c r="J80">
        <v>0.95</v>
      </c>
      <c r="K80">
        <v>1.22</v>
      </c>
      <c r="L80" t="s">
        <v>10</v>
      </c>
      <c r="M80" t="s">
        <v>11</v>
      </c>
    </row>
    <row r="81" spans="1:13" x14ac:dyDescent="0.45">
      <c r="A81" t="s">
        <v>0</v>
      </c>
      <c r="B81" t="s">
        <v>74</v>
      </c>
      <c r="C81">
        <v>2020</v>
      </c>
      <c r="D81">
        <v>61</v>
      </c>
      <c r="E81">
        <v>0</v>
      </c>
      <c r="F81">
        <v>0</v>
      </c>
      <c r="G81">
        <v>0</v>
      </c>
      <c r="H81">
        <v>0</v>
      </c>
      <c r="I81">
        <v>0.01</v>
      </c>
      <c r="J81">
        <v>0</v>
      </c>
      <c r="K81">
        <v>0</v>
      </c>
      <c r="L81" t="s">
        <v>1</v>
      </c>
      <c r="M81" t="s">
        <v>15</v>
      </c>
    </row>
    <row r="82" spans="1:13" x14ac:dyDescent="0.45">
      <c r="A82" t="s">
        <v>0</v>
      </c>
      <c r="B82" t="s">
        <v>74</v>
      </c>
      <c r="C82">
        <v>2025</v>
      </c>
      <c r="D82">
        <v>61</v>
      </c>
      <c r="E82">
        <v>0</v>
      </c>
      <c r="F82">
        <v>0</v>
      </c>
      <c r="G82">
        <v>0</v>
      </c>
      <c r="H82">
        <v>0</v>
      </c>
      <c r="I82">
        <v>0.02</v>
      </c>
      <c r="J82">
        <v>0</v>
      </c>
      <c r="K82">
        <v>0</v>
      </c>
      <c r="L82" t="s">
        <v>1</v>
      </c>
      <c r="M82" t="s">
        <v>15</v>
      </c>
    </row>
    <row r="83" spans="1:13" x14ac:dyDescent="0.45">
      <c r="A83" t="s">
        <v>0</v>
      </c>
      <c r="B83" t="s">
        <v>74</v>
      </c>
      <c r="C83">
        <v>2030</v>
      </c>
      <c r="D83">
        <v>61</v>
      </c>
      <c r="E83">
        <v>0.01</v>
      </c>
      <c r="F83">
        <v>0.01</v>
      </c>
      <c r="G83">
        <v>0.01</v>
      </c>
      <c r="H83">
        <v>0</v>
      </c>
      <c r="I83">
        <v>0.03</v>
      </c>
      <c r="J83">
        <v>0</v>
      </c>
      <c r="K83">
        <v>0.01</v>
      </c>
      <c r="L83" t="s">
        <v>1</v>
      </c>
      <c r="M83" t="s">
        <v>15</v>
      </c>
    </row>
    <row r="84" spans="1:13" x14ac:dyDescent="0.45">
      <c r="A84" t="s">
        <v>0</v>
      </c>
      <c r="B84" t="s">
        <v>74</v>
      </c>
      <c r="C84">
        <v>2035</v>
      </c>
      <c r="D84">
        <v>61</v>
      </c>
      <c r="E84">
        <v>0.03</v>
      </c>
      <c r="F84">
        <v>0.02</v>
      </c>
      <c r="G84">
        <v>0.02</v>
      </c>
      <c r="H84">
        <v>0</v>
      </c>
      <c r="I84">
        <v>0.09</v>
      </c>
      <c r="J84">
        <v>0.01</v>
      </c>
      <c r="K84">
        <v>0.03</v>
      </c>
      <c r="L84" t="s">
        <v>1</v>
      </c>
      <c r="M84" t="s">
        <v>15</v>
      </c>
    </row>
    <row r="85" spans="1:13" x14ac:dyDescent="0.45">
      <c r="A85" t="s">
        <v>0</v>
      </c>
      <c r="B85" t="s">
        <v>74</v>
      </c>
      <c r="C85">
        <v>2040</v>
      </c>
      <c r="D85">
        <v>61</v>
      </c>
      <c r="E85">
        <v>0.04</v>
      </c>
      <c r="F85">
        <v>0.03</v>
      </c>
      <c r="G85">
        <v>0.04</v>
      </c>
      <c r="H85">
        <v>0</v>
      </c>
      <c r="I85">
        <v>0.2</v>
      </c>
      <c r="J85">
        <v>0.02</v>
      </c>
      <c r="K85">
        <v>0.05</v>
      </c>
      <c r="L85" t="s">
        <v>1</v>
      </c>
      <c r="M85" t="s">
        <v>15</v>
      </c>
    </row>
    <row r="86" spans="1:13" x14ac:dyDescent="0.45">
      <c r="A86" t="s">
        <v>0</v>
      </c>
      <c r="B86" t="s">
        <v>74</v>
      </c>
      <c r="C86">
        <v>2045</v>
      </c>
      <c r="D86">
        <v>61</v>
      </c>
      <c r="E86">
        <v>0.06</v>
      </c>
      <c r="F86">
        <v>0.05</v>
      </c>
      <c r="G86">
        <v>0.05</v>
      </c>
      <c r="H86">
        <v>0</v>
      </c>
      <c r="I86">
        <v>0.22</v>
      </c>
      <c r="J86">
        <v>0.03</v>
      </c>
      <c r="K86">
        <v>0.06</v>
      </c>
      <c r="L86" t="s">
        <v>1</v>
      </c>
      <c r="M86" t="s">
        <v>15</v>
      </c>
    </row>
    <row r="87" spans="1:13" x14ac:dyDescent="0.45">
      <c r="A87" t="s">
        <v>0</v>
      </c>
      <c r="B87" t="s">
        <v>74</v>
      </c>
      <c r="C87">
        <v>2050</v>
      </c>
      <c r="D87">
        <v>61</v>
      </c>
      <c r="E87">
        <v>0.06</v>
      </c>
      <c r="F87">
        <v>0.06</v>
      </c>
      <c r="G87">
        <v>0.05</v>
      </c>
      <c r="H87">
        <v>0</v>
      </c>
      <c r="I87">
        <v>0.22</v>
      </c>
      <c r="J87">
        <v>0.04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74</v>
      </c>
      <c r="C88">
        <v>2020</v>
      </c>
      <c r="D88">
        <v>89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74</v>
      </c>
      <c r="C89">
        <v>2025</v>
      </c>
      <c r="D89">
        <v>78</v>
      </c>
      <c r="E89">
        <v>0</v>
      </c>
      <c r="F89">
        <v>0</v>
      </c>
      <c r="G89">
        <v>0</v>
      </c>
      <c r="H89">
        <v>0</v>
      </c>
      <c r="I89">
        <v>0.02</v>
      </c>
      <c r="J89">
        <v>0</v>
      </c>
      <c r="K89">
        <v>0</v>
      </c>
      <c r="L89" t="s">
        <v>3</v>
      </c>
      <c r="M89" t="s">
        <v>15</v>
      </c>
    </row>
    <row r="90" spans="1:13" x14ac:dyDescent="0.45">
      <c r="A90" t="s">
        <v>2</v>
      </c>
      <c r="B90" t="s">
        <v>74</v>
      </c>
      <c r="C90">
        <v>2030</v>
      </c>
      <c r="D90">
        <v>89</v>
      </c>
      <c r="E90">
        <v>0</v>
      </c>
      <c r="F90">
        <v>0</v>
      </c>
      <c r="G90">
        <v>0.01</v>
      </c>
      <c r="H90">
        <v>0</v>
      </c>
      <c r="I90">
        <v>0.03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74</v>
      </c>
      <c r="C91">
        <v>2035</v>
      </c>
      <c r="D91">
        <v>78</v>
      </c>
      <c r="E91">
        <v>0.01</v>
      </c>
      <c r="F91">
        <v>0.01</v>
      </c>
      <c r="G91">
        <v>0.02</v>
      </c>
      <c r="H91">
        <v>0</v>
      </c>
      <c r="I91">
        <v>0.09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74</v>
      </c>
      <c r="C92">
        <v>2040</v>
      </c>
      <c r="D92">
        <v>89</v>
      </c>
      <c r="E92">
        <v>0.04</v>
      </c>
      <c r="F92">
        <v>0.03</v>
      </c>
      <c r="G92">
        <v>0.04</v>
      </c>
      <c r="H92">
        <v>0</v>
      </c>
      <c r="I92">
        <v>0.2</v>
      </c>
      <c r="J92">
        <v>0.01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74</v>
      </c>
      <c r="C93">
        <v>2045</v>
      </c>
      <c r="D93">
        <v>78</v>
      </c>
      <c r="E93">
        <v>0.05</v>
      </c>
      <c r="F93">
        <v>0.03</v>
      </c>
      <c r="G93">
        <v>0.05</v>
      </c>
      <c r="H93">
        <v>0</v>
      </c>
      <c r="I93">
        <v>0.22</v>
      </c>
      <c r="J93">
        <v>0.02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74</v>
      </c>
      <c r="C94">
        <v>2050</v>
      </c>
      <c r="D94">
        <v>89</v>
      </c>
      <c r="E94">
        <v>0.06</v>
      </c>
      <c r="F94">
        <v>0.06</v>
      </c>
      <c r="G94">
        <v>0.05</v>
      </c>
      <c r="H94">
        <v>0</v>
      </c>
      <c r="I94">
        <v>0.24</v>
      </c>
      <c r="J94">
        <v>0.04</v>
      </c>
      <c r="K94">
        <v>7.0000000000000007E-2</v>
      </c>
      <c r="L94" t="s">
        <v>3</v>
      </c>
      <c r="M94" t="s">
        <v>15</v>
      </c>
    </row>
    <row r="95" spans="1:13" x14ac:dyDescent="0.45">
      <c r="A95" t="s">
        <v>5</v>
      </c>
      <c r="B95" t="s">
        <v>74</v>
      </c>
      <c r="C95">
        <v>2020</v>
      </c>
      <c r="D95">
        <v>215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</v>
      </c>
      <c r="L95" t="s">
        <v>6</v>
      </c>
      <c r="M95" t="s">
        <v>15</v>
      </c>
    </row>
    <row r="96" spans="1:13" x14ac:dyDescent="0.45">
      <c r="A96" t="s">
        <v>5</v>
      </c>
      <c r="B96" t="s">
        <v>74</v>
      </c>
      <c r="C96">
        <v>2025</v>
      </c>
      <c r="D96">
        <v>198</v>
      </c>
      <c r="E96">
        <v>0</v>
      </c>
      <c r="F96">
        <v>0</v>
      </c>
      <c r="G96">
        <v>0</v>
      </c>
      <c r="H96">
        <v>0</v>
      </c>
      <c r="I96">
        <v>0.02</v>
      </c>
      <c r="J96">
        <v>0</v>
      </c>
      <c r="K96">
        <v>0</v>
      </c>
      <c r="L96" t="s">
        <v>6</v>
      </c>
      <c r="M96" t="s">
        <v>15</v>
      </c>
    </row>
    <row r="97" spans="1:13" x14ac:dyDescent="0.45">
      <c r="A97" t="s">
        <v>5</v>
      </c>
      <c r="B97" t="s">
        <v>74</v>
      </c>
      <c r="C97">
        <v>2030</v>
      </c>
      <c r="D97">
        <v>215</v>
      </c>
      <c r="E97">
        <v>0.01</v>
      </c>
      <c r="F97">
        <v>0</v>
      </c>
      <c r="G97">
        <v>0.01</v>
      </c>
      <c r="H97">
        <v>0</v>
      </c>
      <c r="I97">
        <v>0.04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74</v>
      </c>
      <c r="C98">
        <v>2035</v>
      </c>
      <c r="D98">
        <v>198</v>
      </c>
      <c r="E98">
        <v>0.01</v>
      </c>
      <c r="F98">
        <v>0.01</v>
      </c>
      <c r="G98">
        <v>0.01</v>
      </c>
      <c r="H98">
        <v>0</v>
      </c>
      <c r="I98">
        <v>7.0000000000000007E-2</v>
      </c>
      <c r="J98">
        <v>0</v>
      </c>
      <c r="K98">
        <v>0.02</v>
      </c>
      <c r="L98" t="s">
        <v>6</v>
      </c>
      <c r="M98" t="s">
        <v>15</v>
      </c>
    </row>
    <row r="99" spans="1:13" x14ac:dyDescent="0.45">
      <c r="A99" t="s">
        <v>5</v>
      </c>
      <c r="B99" t="s">
        <v>74</v>
      </c>
      <c r="C99">
        <v>2040</v>
      </c>
      <c r="D99">
        <v>215</v>
      </c>
      <c r="E99">
        <v>0.02</v>
      </c>
      <c r="F99">
        <v>0.01</v>
      </c>
      <c r="G99">
        <v>0.02</v>
      </c>
      <c r="H99">
        <v>0</v>
      </c>
      <c r="I99">
        <v>0.11</v>
      </c>
      <c r="J99">
        <v>0</v>
      </c>
      <c r="K99">
        <v>0.03</v>
      </c>
      <c r="L99" t="s">
        <v>6</v>
      </c>
      <c r="M99" t="s">
        <v>15</v>
      </c>
    </row>
    <row r="100" spans="1:13" x14ac:dyDescent="0.45">
      <c r="A100" t="s">
        <v>5</v>
      </c>
      <c r="B100" t="s">
        <v>74</v>
      </c>
      <c r="C100">
        <v>2045</v>
      </c>
      <c r="D100">
        <v>198</v>
      </c>
      <c r="E100">
        <v>0.02</v>
      </c>
      <c r="F100">
        <v>0.02</v>
      </c>
      <c r="G100">
        <v>0.03</v>
      </c>
      <c r="H100">
        <v>0</v>
      </c>
      <c r="I100">
        <v>0.14000000000000001</v>
      </c>
      <c r="J100">
        <v>0</v>
      </c>
      <c r="K100">
        <v>0.04</v>
      </c>
      <c r="L100" t="s">
        <v>6</v>
      </c>
      <c r="M100" t="s">
        <v>15</v>
      </c>
    </row>
    <row r="101" spans="1:13" x14ac:dyDescent="0.45">
      <c r="A101" t="s">
        <v>5</v>
      </c>
      <c r="B101" t="s">
        <v>74</v>
      </c>
      <c r="C101">
        <v>2050</v>
      </c>
      <c r="D101">
        <v>215</v>
      </c>
      <c r="E101">
        <v>0.04</v>
      </c>
      <c r="F101">
        <v>0.03</v>
      </c>
      <c r="G101">
        <v>0.03</v>
      </c>
      <c r="H101">
        <v>0</v>
      </c>
      <c r="I101">
        <v>0.17</v>
      </c>
      <c r="J101">
        <v>0.01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74</v>
      </c>
      <c r="C102">
        <v>2020</v>
      </c>
      <c r="D102">
        <v>97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74</v>
      </c>
      <c r="C103">
        <v>2025</v>
      </c>
      <c r="D103">
        <v>91</v>
      </c>
      <c r="E103">
        <v>0</v>
      </c>
      <c r="F103">
        <v>0</v>
      </c>
      <c r="G103">
        <v>0</v>
      </c>
      <c r="H103">
        <v>0</v>
      </c>
      <c r="I103">
        <v>0.01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74</v>
      </c>
      <c r="C104">
        <v>2030</v>
      </c>
      <c r="D104">
        <v>97</v>
      </c>
      <c r="E104">
        <v>0.01</v>
      </c>
      <c r="F104">
        <v>0</v>
      </c>
      <c r="G104">
        <v>0.01</v>
      </c>
      <c r="H104">
        <v>0</v>
      </c>
      <c r="I104">
        <v>0.03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74</v>
      </c>
      <c r="C105">
        <v>2035</v>
      </c>
      <c r="D105">
        <v>91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74</v>
      </c>
      <c r="C106">
        <v>2040</v>
      </c>
      <c r="D106">
        <v>97</v>
      </c>
      <c r="E106">
        <v>0.01</v>
      </c>
      <c r="F106">
        <v>0</v>
      </c>
      <c r="G106">
        <v>0.03</v>
      </c>
      <c r="H106">
        <v>0</v>
      </c>
      <c r="I106">
        <v>0.11</v>
      </c>
      <c r="J106">
        <v>0</v>
      </c>
      <c r="K106">
        <v>0.02</v>
      </c>
      <c r="L106" t="s">
        <v>8</v>
      </c>
      <c r="M106" t="s">
        <v>15</v>
      </c>
    </row>
    <row r="107" spans="1:13" x14ac:dyDescent="0.45">
      <c r="A107" t="s">
        <v>7</v>
      </c>
      <c r="B107" t="s">
        <v>74</v>
      </c>
      <c r="C107">
        <v>2045</v>
      </c>
      <c r="D107">
        <v>91</v>
      </c>
      <c r="E107">
        <v>0.02</v>
      </c>
      <c r="F107">
        <v>0</v>
      </c>
      <c r="G107">
        <v>0.03</v>
      </c>
      <c r="H107">
        <v>0</v>
      </c>
      <c r="I107">
        <v>0.1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74</v>
      </c>
      <c r="C108">
        <v>2050</v>
      </c>
      <c r="D108">
        <v>97</v>
      </c>
      <c r="E108">
        <v>0.02</v>
      </c>
      <c r="F108">
        <v>0</v>
      </c>
      <c r="G108">
        <v>0.02</v>
      </c>
      <c r="H108">
        <v>0</v>
      </c>
      <c r="I108">
        <v>0.08</v>
      </c>
      <c r="J108">
        <v>0</v>
      </c>
      <c r="K108">
        <v>0.03</v>
      </c>
      <c r="L108" t="s">
        <v>8</v>
      </c>
      <c r="M108" t="s">
        <v>15</v>
      </c>
    </row>
    <row r="109" spans="1:13" x14ac:dyDescent="0.45">
      <c r="A109" t="s">
        <v>9</v>
      </c>
      <c r="B109" t="s">
        <v>74</v>
      </c>
      <c r="C109">
        <v>2020</v>
      </c>
      <c r="D109">
        <v>57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</v>
      </c>
      <c r="L109" t="s">
        <v>10</v>
      </c>
      <c r="M109" t="s">
        <v>15</v>
      </c>
    </row>
    <row r="110" spans="1:13" x14ac:dyDescent="0.45">
      <c r="A110" t="s">
        <v>9</v>
      </c>
      <c r="B110" t="s">
        <v>74</v>
      </c>
      <c r="C110">
        <v>2025</v>
      </c>
      <c r="D110">
        <v>52</v>
      </c>
      <c r="E110">
        <v>0</v>
      </c>
      <c r="F110">
        <v>0</v>
      </c>
      <c r="G110">
        <v>0</v>
      </c>
      <c r="H110">
        <v>0</v>
      </c>
      <c r="I110">
        <v>0.02</v>
      </c>
      <c r="J110">
        <v>0</v>
      </c>
      <c r="K110">
        <v>0</v>
      </c>
      <c r="L110" t="s">
        <v>10</v>
      </c>
      <c r="M110" t="s">
        <v>15</v>
      </c>
    </row>
    <row r="111" spans="1:13" x14ac:dyDescent="0.45">
      <c r="A111" t="s">
        <v>9</v>
      </c>
      <c r="B111" t="s">
        <v>74</v>
      </c>
      <c r="C111">
        <v>2030</v>
      </c>
      <c r="D111">
        <v>57</v>
      </c>
      <c r="E111">
        <v>0.01</v>
      </c>
      <c r="F111">
        <v>0.01</v>
      </c>
      <c r="G111">
        <v>0.01</v>
      </c>
      <c r="H111">
        <v>0</v>
      </c>
      <c r="I111">
        <v>0.03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74</v>
      </c>
      <c r="C112">
        <v>2035</v>
      </c>
      <c r="D112">
        <v>52</v>
      </c>
      <c r="E112">
        <v>0.01</v>
      </c>
      <c r="F112">
        <v>0.01</v>
      </c>
      <c r="G112">
        <v>0.01</v>
      </c>
      <c r="H112">
        <v>0</v>
      </c>
      <c r="I112">
        <v>7.0000000000000007E-2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45">
      <c r="A113" t="s">
        <v>9</v>
      </c>
      <c r="B113" t="s">
        <v>74</v>
      </c>
      <c r="C113">
        <v>2040</v>
      </c>
      <c r="D113">
        <v>57</v>
      </c>
      <c r="E113">
        <v>0.02</v>
      </c>
      <c r="F113">
        <v>0.01</v>
      </c>
      <c r="G113">
        <v>0.02</v>
      </c>
      <c r="H113">
        <v>0</v>
      </c>
      <c r="I113">
        <v>0.09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45">
      <c r="A114" t="s">
        <v>9</v>
      </c>
      <c r="B114" t="s">
        <v>74</v>
      </c>
      <c r="C114">
        <v>2045</v>
      </c>
      <c r="D114">
        <v>52</v>
      </c>
      <c r="E114">
        <v>0.02</v>
      </c>
      <c r="F114">
        <v>0.02</v>
      </c>
      <c r="G114">
        <v>0.02</v>
      </c>
      <c r="H114">
        <v>0</v>
      </c>
      <c r="I114">
        <v>0.09</v>
      </c>
      <c r="J114">
        <v>0</v>
      </c>
      <c r="K114">
        <v>0.03</v>
      </c>
      <c r="L114" t="s">
        <v>10</v>
      </c>
      <c r="M114" t="s">
        <v>15</v>
      </c>
    </row>
    <row r="115" spans="1:13" x14ac:dyDescent="0.45">
      <c r="A115" t="s">
        <v>9</v>
      </c>
      <c r="B115" t="s">
        <v>74</v>
      </c>
      <c r="C115">
        <v>2050</v>
      </c>
      <c r="D115">
        <v>57</v>
      </c>
      <c r="E115">
        <v>0.02</v>
      </c>
      <c r="F115">
        <v>0.02</v>
      </c>
      <c r="G115">
        <v>0.02</v>
      </c>
      <c r="H115">
        <v>0</v>
      </c>
      <c r="I115">
        <v>0.08</v>
      </c>
      <c r="J115">
        <v>0.01</v>
      </c>
      <c r="K115">
        <v>0.03</v>
      </c>
      <c r="L115" t="s">
        <v>10</v>
      </c>
      <c r="M115" t="s">
        <v>15</v>
      </c>
    </row>
    <row r="116" spans="1:13" x14ac:dyDescent="0.45">
      <c r="A116" t="s">
        <v>0</v>
      </c>
      <c r="B116" t="s">
        <v>74</v>
      </c>
      <c r="C116">
        <v>2020</v>
      </c>
      <c r="D116">
        <v>58</v>
      </c>
      <c r="E116">
        <v>0.33</v>
      </c>
      <c r="F116">
        <v>0.32</v>
      </c>
      <c r="G116">
        <v>0.03</v>
      </c>
      <c r="H116">
        <v>0.3</v>
      </c>
      <c r="I116">
        <v>0.41</v>
      </c>
      <c r="J116">
        <v>0.3</v>
      </c>
      <c r="K116">
        <v>0.34</v>
      </c>
      <c r="L116" t="s">
        <v>1</v>
      </c>
      <c r="M116" t="s">
        <v>18</v>
      </c>
    </row>
    <row r="117" spans="1:13" x14ac:dyDescent="0.45">
      <c r="A117" t="s">
        <v>0</v>
      </c>
      <c r="B117" t="s">
        <v>74</v>
      </c>
      <c r="C117">
        <v>2025</v>
      </c>
      <c r="D117">
        <v>58</v>
      </c>
      <c r="E117">
        <v>0.3</v>
      </c>
      <c r="F117">
        <v>0.28000000000000003</v>
      </c>
      <c r="G117">
        <v>0.05</v>
      </c>
      <c r="H117">
        <v>0.2</v>
      </c>
      <c r="I117">
        <v>0.44</v>
      </c>
      <c r="J117">
        <v>0.28000000000000003</v>
      </c>
      <c r="K117">
        <v>0.33</v>
      </c>
      <c r="L117" t="s">
        <v>1</v>
      </c>
      <c r="M117" t="s">
        <v>18</v>
      </c>
    </row>
    <row r="118" spans="1:13" x14ac:dyDescent="0.45">
      <c r="A118" t="s">
        <v>0</v>
      </c>
      <c r="B118" t="s">
        <v>74</v>
      </c>
      <c r="C118">
        <v>2030</v>
      </c>
      <c r="D118">
        <v>58</v>
      </c>
      <c r="E118">
        <v>0.28999999999999998</v>
      </c>
      <c r="F118">
        <v>0.28000000000000003</v>
      </c>
      <c r="G118">
        <v>0.05</v>
      </c>
      <c r="H118">
        <v>0.21</v>
      </c>
      <c r="I118">
        <v>0.49</v>
      </c>
      <c r="J118">
        <v>0.27</v>
      </c>
      <c r="K118">
        <v>0.31</v>
      </c>
      <c r="L118" t="s">
        <v>1</v>
      </c>
      <c r="M118" t="s">
        <v>18</v>
      </c>
    </row>
    <row r="119" spans="1:13" x14ac:dyDescent="0.45">
      <c r="A119" t="s">
        <v>0</v>
      </c>
      <c r="B119" t="s">
        <v>74</v>
      </c>
      <c r="C119">
        <v>2035</v>
      </c>
      <c r="D119">
        <v>58</v>
      </c>
      <c r="E119">
        <v>0.28999999999999998</v>
      </c>
      <c r="F119">
        <v>0.27</v>
      </c>
      <c r="G119">
        <v>0.06</v>
      </c>
      <c r="H119">
        <v>0.21</v>
      </c>
      <c r="I119">
        <v>0.51</v>
      </c>
      <c r="J119">
        <v>0.27</v>
      </c>
      <c r="K119">
        <v>0.3</v>
      </c>
      <c r="L119" t="s">
        <v>1</v>
      </c>
      <c r="M119" t="s">
        <v>18</v>
      </c>
    </row>
    <row r="120" spans="1:13" x14ac:dyDescent="0.45">
      <c r="A120" t="s">
        <v>0</v>
      </c>
      <c r="B120" t="s">
        <v>74</v>
      </c>
      <c r="C120">
        <v>2040</v>
      </c>
      <c r="D120">
        <v>58</v>
      </c>
      <c r="E120">
        <v>0.3</v>
      </c>
      <c r="F120">
        <v>0.28999999999999998</v>
      </c>
      <c r="G120">
        <v>7.0000000000000007E-2</v>
      </c>
      <c r="H120">
        <v>0.2</v>
      </c>
      <c r="I120">
        <v>0.51</v>
      </c>
      <c r="J120">
        <v>0.26</v>
      </c>
      <c r="K120">
        <v>0.32</v>
      </c>
      <c r="L120" t="s">
        <v>1</v>
      </c>
      <c r="M120" t="s">
        <v>18</v>
      </c>
    </row>
    <row r="121" spans="1:13" x14ac:dyDescent="0.45">
      <c r="A121" t="s">
        <v>0</v>
      </c>
      <c r="B121" t="s">
        <v>74</v>
      </c>
      <c r="C121">
        <v>2045</v>
      </c>
      <c r="D121">
        <v>58</v>
      </c>
      <c r="E121">
        <v>0.3</v>
      </c>
      <c r="F121">
        <v>0.3</v>
      </c>
      <c r="G121">
        <v>7.0000000000000007E-2</v>
      </c>
      <c r="H121">
        <v>0.19</v>
      </c>
      <c r="I121">
        <v>0.51</v>
      </c>
      <c r="J121">
        <v>0.26</v>
      </c>
      <c r="K121">
        <v>0.33</v>
      </c>
      <c r="L121" t="s">
        <v>1</v>
      </c>
      <c r="M121" t="s">
        <v>18</v>
      </c>
    </row>
    <row r="122" spans="1:13" x14ac:dyDescent="0.45">
      <c r="A122" t="s">
        <v>0</v>
      </c>
      <c r="B122" t="s">
        <v>74</v>
      </c>
      <c r="C122">
        <v>2050</v>
      </c>
      <c r="D122">
        <v>58</v>
      </c>
      <c r="E122">
        <v>0.32</v>
      </c>
      <c r="F122">
        <v>0.32</v>
      </c>
      <c r="G122">
        <v>0.08</v>
      </c>
      <c r="H122">
        <v>0.19</v>
      </c>
      <c r="I122">
        <v>0.5</v>
      </c>
      <c r="J122">
        <v>0.26</v>
      </c>
      <c r="K122">
        <v>0.36</v>
      </c>
      <c r="L122" t="s">
        <v>1</v>
      </c>
      <c r="M122" t="s">
        <v>18</v>
      </c>
    </row>
    <row r="123" spans="1:13" x14ac:dyDescent="0.45">
      <c r="A123" t="s">
        <v>2</v>
      </c>
      <c r="B123" t="s">
        <v>74</v>
      </c>
      <c r="C123">
        <v>2020</v>
      </c>
      <c r="D123">
        <v>89</v>
      </c>
      <c r="E123">
        <v>0.32</v>
      </c>
      <c r="F123">
        <v>0.32</v>
      </c>
      <c r="G123">
        <v>0.03</v>
      </c>
      <c r="H123">
        <v>0.28000000000000003</v>
      </c>
      <c r="I123">
        <v>0.45</v>
      </c>
      <c r="J123">
        <v>0.3</v>
      </c>
      <c r="K123">
        <v>0.34</v>
      </c>
      <c r="L123" t="s">
        <v>3</v>
      </c>
      <c r="M123" t="s">
        <v>18</v>
      </c>
    </row>
    <row r="124" spans="1:13" x14ac:dyDescent="0.45">
      <c r="A124" t="s">
        <v>2</v>
      </c>
      <c r="B124" t="s">
        <v>74</v>
      </c>
      <c r="C124">
        <v>2025</v>
      </c>
      <c r="D124">
        <v>78</v>
      </c>
      <c r="E124">
        <v>0.31</v>
      </c>
      <c r="F124">
        <v>0.31</v>
      </c>
      <c r="G124">
        <v>0.04</v>
      </c>
      <c r="H124">
        <v>0</v>
      </c>
      <c r="I124">
        <v>0.43</v>
      </c>
      <c r="J124">
        <v>0.3</v>
      </c>
      <c r="K124">
        <v>0.32</v>
      </c>
      <c r="L124" t="s">
        <v>3</v>
      </c>
      <c r="M124" t="s">
        <v>18</v>
      </c>
    </row>
    <row r="125" spans="1:13" x14ac:dyDescent="0.45">
      <c r="A125" t="s">
        <v>2</v>
      </c>
      <c r="B125" t="s">
        <v>74</v>
      </c>
      <c r="C125">
        <v>2030</v>
      </c>
      <c r="D125">
        <v>89</v>
      </c>
      <c r="E125">
        <v>0.28999999999999998</v>
      </c>
      <c r="F125">
        <v>0.28999999999999998</v>
      </c>
      <c r="G125">
        <v>0.05</v>
      </c>
      <c r="H125">
        <v>0</v>
      </c>
      <c r="I125">
        <v>0.39</v>
      </c>
      <c r="J125">
        <v>0.27</v>
      </c>
      <c r="K125">
        <v>0.31</v>
      </c>
      <c r="L125" t="s">
        <v>3</v>
      </c>
      <c r="M125" t="s">
        <v>18</v>
      </c>
    </row>
    <row r="126" spans="1:13" x14ac:dyDescent="0.45">
      <c r="A126" t="s">
        <v>2</v>
      </c>
      <c r="B126" t="s">
        <v>74</v>
      </c>
      <c r="C126">
        <v>2035</v>
      </c>
      <c r="D126">
        <v>78</v>
      </c>
      <c r="E126">
        <v>0.3</v>
      </c>
      <c r="F126">
        <v>0.28999999999999998</v>
      </c>
      <c r="G126">
        <v>0.04</v>
      </c>
      <c r="H126">
        <v>0.23</v>
      </c>
      <c r="I126">
        <v>0.41</v>
      </c>
      <c r="J126">
        <v>0.27</v>
      </c>
      <c r="K126">
        <v>0.31</v>
      </c>
      <c r="L126" t="s">
        <v>3</v>
      </c>
      <c r="M126" t="s">
        <v>18</v>
      </c>
    </row>
    <row r="127" spans="1:13" x14ac:dyDescent="0.45">
      <c r="A127" t="s">
        <v>2</v>
      </c>
      <c r="B127" t="s">
        <v>74</v>
      </c>
      <c r="C127">
        <v>2040</v>
      </c>
      <c r="D127">
        <v>89</v>
      </c>
      <c r="E127">
        <v>0.28000000000000003</v>
      </c>
      <c r="F127">
        <v>0.28999999999999998</v>
      </c>
      <c r="G127">
        <v>0.05</v>
      </c>
      <c r="H127">
        <v>0.18</v>
      </c>
      <c r="I127">
        <v>0.43</v>
      </c>
      <c r="J127">
        <v>0.25</v>
      </c>
      <c r="K127">
        <v>0.31</v>
      </c>
      <c r="L127" t="s">
        <v>3</v>
      </c>
      <c r="M127" t="s">
        <v>18</v>
      </c>
    </row>
    <row r="128" spans="1:13" x14ac:dyDescent="0.45">
      <c r="A128" t="s">
        <v>2</v>
      </c>
      <c r="B128" t="s">
        <v>74</v>
      </c>
      <c r="C128">
        <v>2045</v>
      </c>
      <c r="D128">
        <v>78</v>
      </c>
      <c r="E128">
        <v>0.28999999999999998</v>
      </c>
      <c r="F128">
        <v>0.3</v>
      </c>
      <c r="G128">
        <v>0.05</v>
      </c>
      <c r="H128">
        <v>0.19</v>
      </c>
      <c r="I128">
        <v>0.45</v>
      </c>
      <c r="J128">
        <v>0.26</v>
      </c>
      <c r="K128">
        <v>0.32</v>
      </c>
      <c r="L128" t="s">
        <v>3</v>
      </c>
      <c r="M128" t="s">
        <v>18</v>
      </c>
    </row>
    <row r="129" spans="1:13" x14ac:dyDescent="0.45">
      <c r="A129" t="s">
        <v>2</v>
      </c>
      <c r="B129" t="s">
        <v>74</v>
      </c>
      <c r="C129">
        <v>2050</v>
      </c>
      <c r="D129">
        <v>89</v>
      </c>
      <c r="E129">
        <v>0.28999999999999998</v>
      </c>
      <c r="F129">
        <v>0.3</v>
      </c>
      <c r="G129">
        <v>7.0000000000000007E-2</v>
      </c>
      <c r="H129">
        <v>0.16</v>
      </c>
      <c r="I129">
        <v>0.45</v>
      </c>
      <c r="J129">
        <v>0.23</v>
      </c>
      <c r="K129">
        <v>0.32</v>
      </c>
      <c r="L129" t="s">
        <v>3</v>
      </c>
      <c r="M129" t="s">
        <v>18</v>
      </c>
    </row>
    <row r="130" spans="1:13" x14ac:dyDescent="0.45">
      <c r="A130" t="s">
        <v>5</v>
      </c>
      <c r="B130" t="s">
        <v>74</v>
      </c>
      <c r="C130">
        <v>2020</v>
      </c>
      <c r="D130">
        <v>220</v>
      </c>
      <c r="E130">
        <v>0.35</v>
      </c>
      <c r="F130">
        <v>0.34</v>
      </c>
      <c r="G130">
        <v>0.05</v>
      </c>
      <c r="H130">
        <v>0.28000000000000003</v>
      </c>
      <c r="I130">
        <v>0.49</v>
      </c>
      <c r="J130">
        <v>0.3</v>
      </c>
      <c r="K130">
        <v>0.37</v>
      </c>
      <c r="L130" t="s">
        <v>6</v>
      </c>
      <c r="M130" t="s">
        <v>18</v>
      </c>
    </row>
    <row r="131" spans="1:13" x14ac:dyDescent="0.45">
      <c r="A131" t="s">
        <v>5</v>
      </c>
      <c r="B131" t="s">
        <v>74</v>
      </c>
      <c r="C131">
        <v>2025</v>
      </c>
      <c r="D131">
        <v>197</v>
      </c>
      <c r="E131">
        <v>0.28999999999999998</v>
      </c>
      <c r="F131">
        <v>0.3</v>
      </c>
      <c r="G131">
        <v>0.1</v>
      </c>
      <c r="H131">
        <v>0</v>
      </c>
      <c r="I131">
        <v>0.55000000000000004</v>
      </c>
      <c r="J131">
        <v>0.28000000000000003</v>
      </c>
      <c r="K131">
        <v>0.32</v>
      </c>
      <c r="L131" t="s">
        <v>6</v>
      </c>
      <c r="M131" t="s">
        <v>18</v>
      </c>
    </row>
    <row r="132" spans="1:13" x14ac:dyDescent="0.45">
      <c r="A132" t="s">
        <v>5</v>
      </c>
      <c r="B132" t="s">
        <v>74</v>
      </c>
      <c r="C132">
        <v>2030</v>
      </c>
      <c r="D132">
        <v>220</v>
      </c>
      <c r="E132">
        <v>0.28999999999999998</v>
      </c>
      <c r="F132">
        <v>0.28999999999999998</v>
      </c>
      <c r="G132">
        <v>0.09</v>
      </c>
      <c r="H132">
        <v>0</v>
      </c>
      <c r="I132">
        <v>0.55000000000000004</v>
      </c>
      <c r="J132">
        <v>0.27</v>
      </c>
      <c r="K132">
        <v>0.31</v>
      </c>
      <c r="L132" t="s">
        <v>6</v>
      </c>
      <c r="M132" t="s">
        <v>18</v>
      </c>
    </row>
    <row r="133" spans="1:13" x14ac:dyDescent="0.45">
      <c r="A133" t="s">
        <v>5</v>
      </c>
      <c r="B133" t="s">
        <v>74</v>
      </c>
      <c r="C133">
        <v>2035</v>
      </c>
      <c r="D133">
        <v>197</v>
      </c>
      <c r="E133">
        <v>0.3</v>
      </c>
      <c r="F133">
        <v>0.27</v>
      </c>
      <c r="G133">
        <v>7.0000000000000007E-2</v>
      </c>
      <c r="H133">
        <v>0.23</v>
      </c>
      <c r="I133">
        <v>0.53</v>
      </c>
      <c r="J133">
        <v>0.26</v>
      </c>
      <c r="K133">
        <v>0.31</v>
      </c>
      <c r="L133" t="s">
        <v>6</v>
      </c>
      <c r="M133" t="s">
        <v>18</v>
      </c>
    </row>
    <row r="134" spans="1:13" x14ac:dyDescent="0.45">
      <c r="A134" t="s">
        <v>5</v>
      </c>
      <c r="B134" t="s">
        <v>74</v>
      </c>
      <c r="C134">
        <v>2040</v>
      </c>
      <c r="D134">
        <v>220</v>
      </c>
      <c r="E134">
        <v>0.3</v>
      </c>
      <c r="F134">
        <v>0.28000000000000003</v>
      </c>
      <c r="G134">
        <v>0.08</v>
      </c>
      <c r="H134">
        <v>0.19</v>
      </c>
      <c r="I134">
        <v>0.54</v>
      </c>
      <c r="J134">
        <v>0.25</v>
      </c>
      <c r="K134">
        <v>0.31</v>
      </c>
      <c r="L134" t="s">
        <v>6</v>
      </c>
      <c r="M134" t="s">
        <v>18</v>
      </c>
    </row>
    <row r="135" spans="1:13" x14ac:dyDescent="0.45">
      <c r="A135" t="s">
        <v>5</v>
      </c>
      <c r="B135" t="s">
        <v>74</v>
      </c>
      <c r="C135">
        <v>2045</v>
      </c>
      <c r="D135">
        <v>197</v>
      </c>
      <c r="E135">
        <v>0.3</v>
      </c>
      <c r="F135">
        <v>0.28999999999999998</v>
      </c>
      <c r="G135">
        <v>0.08</v>
      </c>
      <c r="H135">
        <v>0.19</v>
      </c>
      <c r="I135">
        <v>0.54</v>
      </c>
      <c r="J135">
        <v>0.24</v>
      </c>
      <c r="K135">
        <v>0.31</v>
      </c>
      <c r="L135" t="s">
        <v>6</v>
      </c>
      <c r="M135" t="s">
        <v>18</v>
      </c>
    </row>
    <row r="136" spans="1:13" x14ac:dyDescent="0.45">
      <c r="A136" t="s">
        <v>5</v>
      </c>
      <c r="B136" t="s">
        <v>74</v>
      </c>
      <c r="C136">
        <v>2050</v>
      </c>
      <c r="D136">
        <v>220</v>
      </c>
      <c r="E136">
        <v>0.3</v>
      </c>
      <c r="F136">
        <v>0.28999999999999998</v>
      </c>
      <c r="G136">
        <v>0.09</v>
      </c>
      <c r="H136">
        <v>0.16</v>
      </c>
      <c r="I136">
        <v>0.55000000000000004</v>
      </c>
      <c r="J136">
        <v>0.24</v>
      </c>
      <c r="K136">
        <v>0.33</v>
      </c>
      <c r="L136" t="s">
        <v>6</v>
      </c>
      <c r="M136" t="s">
        <v>18</v>
      </c>
    </row>
    <row r="137" spans="1:13" x14ac:dyDescent="0.45">
      <c r="A137" t="s">
        <v>7</v>
      </c>
      <c r="B137" t="s">
        <v>74</v>
      </c>
      <c r="C137">
        <v>2020</v>
      </c>
      <c r="D137">
        <v>97</v>
      </c>
      <c r="E137">
        <v>0.37</v>
      </c>
      <c r="F137">
        <v>0.34</v>
      </c>
      <c r="G137">
        <v>0.05</v>
      </c>
      <c r="H137">
        <v>0.3</v>
      </c>
      <c r="I137">
        <v>0.49</v>
      </c>
      <c r="J137">
        <v>0.34</v>
      </c>
      <c r="K137">
        <v>0.41</v>
      </c>
      <c r="L137" t="s">
        <v>8</v>
      </c>
      <c r="M137" t="s">
        <v>18</v>
      </c>
    </row>
    <row r="138" spans="1:13" x14ac:dyDescent="0.45">
      <c r="A138" t="s">
        <v>7</v>
      </c>
      <c r="B138" t="s">
        <v>74</v>
      </c>
      <c r="C138">
        <v>2025</v>
      </c>
      <c r="D138">
        <v>91</v>
      </c>
      <c r="E138">
        <v>0.32</v>
      </c>
      <c r="F138">
        <v>0.32</v>
      </c>
      <c r="G138">
        <v>0.11</v>
      </c>
      <c r="H138">
        <v>0</v>
      </c>
      <c r="I138">
        <v>0.48</v>
      </c>
      <c r="J138">
        <v>0.3</v>
      </c>
      <c r="K138">
        <v>0.42</v>
      </c>
      <c r="L138" t="s">
        <v>8</v>
      </c>
      <c r="M138" t="s">
        <v>18</v>
      </c>
    </row>
    <row r="139" spans="1:13" x14ac:dyDescent="0.45">
      <c r="A139" t="s">
        <v>7</v>
      </c>
      <c r="B139" t="s">
        <v>74</v>
      </c>
      <c r="C139">
        <v>2030</v>
      </c>
      <c r="D139">
        <v>97</v>
      </c>
      <c r="E139">
        <v>0.32</v>
      </c>
      <c r="F139">
        <v>0.31</v>
      </c>
      <c r="G139">
        <v>0.1</v>
      </c>
      <c r="H139">
        <v>0</v>
      </c>
      <c r="I139">
        <v>0.45</v>
      </c>
      <c r="J139">
        <v>0.28999999999999998</v>
      </c>
      <c r="K139">
        <v>0.39</v>
      </c>
      <c r="L139" t="s">
        <v>8</v>
      </c>
      <c r="M139" t="s">
        <v>18</v>
      </c>
    </row>
    <row r="140" spans="1:13" x14ac:dyDescent="0.45">
      <c r="A140" t="s">
        <v>7</v>
      </c>
      <c r="B140" t="s">
        <v>74</v>
      </c>
      <c r="C140">
        <v>2035</v>
      </c>
      <c r="D140">
        <v>91</v>
      </c>
      <c r="E140">
        <v>0.33</v>
      </c>
      <c r="F140">
        <v>0.3</v>
      </c>
      <c r="G140">
        <v>7.0000000000000007E-2</v>
      </c>
      <c r="H140">
        <v>0.23</v>
      </c>
      <c r="I140">
        <v>0.45</v>
      </c>
      <c r="J140">
        <v>0.27</v>
      </c>
      <c r="K140">
        <v>0.39</v>
      </c>
      <c r="L140" t="s">
        <v>8</v>
      </c>
      <c r="M140" t="s">
        <v>18</v>
      </c>
    </row>
    <row r="141" spans="1:13" x14ac:dyDescent="0.45">
      <c r="A141" t="s">
        <v>7</v>
      </c>
      <c r="B141" t="s">
        <v>74</v>
      </c>
      <c r="C141">
        <v>2040</v>
      </c>
      <c r="D141">
        <v>97</v>
      </c>
      <c r="E141">
        <v>0.32</v>
      </c>
      <c r="F141">
        <v>0.28000000000000003</v>
      </c>
      <c r="G141">
        <v>7.0000000000000007E-2</v>
      </c>
      <c r="H141">
        <v>0.24</v>
      </c>
      <c r="I141">
        <v>0.5</v>
      </c>
      <c r="J141">
        <v>0.26</v>
      </c>
      <c r="K141">
        <v>0.37</v>
      </c>
      <c r="L141" t="s">
        <v>8</v>
      </c>
      <c r="M141" t="s">
        <v>18</v>
      </c>
    </row>
    <row r="142" spans="1:13" x14ac:dyDescent="0.45">
      <c r="A142" t="s">
        <v>7</v>
      </c>
      <c r="B142" t="s">
        <v>74</v>
      </c>
      <c r="C142">
        <v>2045</v>
      </c>
      <c r="D142">
        <v>91</v>
      </c>
      <c r="E142">
        <v>0.31</v>
      </c>
      <c r="F142">
        <v>0.28999999999999998</v>
      </c>
      <c r="G142">
        <v>0.08</v>
      </c>
      <c r="H142">
        <v>0.21</v>
      </c>
      <c r="I142">
        <v>0.49</v>
      </c>
      <c r="J142">
        <v>0.25</v>
      </c>
      <c r="K142">
        <v>0.36</v>
      </c>
      <c r="L142" t="s">
        <v>8</v>
      </c>
      <c r="M142" t="s">
        <v>18</v>
      </c>
    </row>
    <row r="143" spans="1:13" x14ac:dyDescent="0.45">
      <c r="A143" t="s">
        <v>7</v>
      </c>
      <c r="B143" t="s">
        <v>74</v>
      </c>
      <c r="C143">
        <v>2050</v>
      </c>
      <c r="D143">
        <v>97</v>
      </c>
      <c r="E143">
        <v>0.3</v>
      </c>
      <c r="F143">
        <v>0.28000000000000003</v>
      </c>
      <c r="G143">
        <v>0.09</v>
      </c>
      <c r="H143">
        <v>0.19</v>
      </c>
      <c r="I143">
        <v>0.49</v>
      </c>
      <c r="J143">
        <v>0.24</v>
      </c>
      <c r="K143">
        <v>0.35</v>
      </c>
      <c r="L143" t="s">
        <v>8</v>
      </c>
      <c r="M143" t="s">
        <v>18</v>
      </c>
    </row>
    <row r="144" spans="1:13" x14ac:dyDescent="0.45">
      <c r="A144" t="s">
        <v>9</v>
      </c>
      <c r="B144" t="s">
        <v>74</v>
      </c>
      <c r="C144">
        <v>2020</v>
      </c>
      <c r="D144">
        <v>55</v>
      </c>
      <c r="E144">
        <v>0.33</v>
      </c>
      <c r="F144">
        <v>0.32</v>
      </c>
      <c r="G144">
        <v>0.04</v>
      </c>
      <c r="H144">
        <v>0.3</v>
      </c>
      <c r="I144">
        <v>0.43</v>
      </c>
      <c r="J144">
        <v>0.3</v>
      </c>
      <c r="K144">
        <v>0.35</v>
      </c>
      <c r="L144" t="s">
        <v>10</v>
      </c>
      <c r="M144" t="s">
        <v>18</v>
      </c>
    </row>
    <row r="145" spans="1:13" x14ac:dyDescent="0.45">
      <c r="A145" t="s">
        <v>9</v>
      </c>
      <c r="B145" t="s">
        <v>74</v>
      </c>
      <c r="C145">
        <v>2025</v>
      </c>
      <c r="D145">
        <v>50</v>
      </c>
      <c r="E145">
        <v>0.32</v>
      </c>
      <c r="F145">
        <v>0.31</v>
      </c>
      <c r="G145">
        <v>0.04</v>
      </c>
      <c r="H145">
        <v>0.28000000000000003</v>
      </c>
      <c r="I145">
        <v>0.41</v>
      </c>
      <c r="J145">
        <v>0.28000000000000003</v>
      </c>
      <c r="K145">
        <v>0.32</v>
      </c>
      <c r="L145" t="s">
        <v>10</v>
      </c>
      <c r="M145" t="s">
        <v>18</v>
      </c>
    </row>
    <row r="146" spans="1:13" x14ac:dyDescent="0.45">
      <c r="A146" t="s">
        <v>9</v>
      </c>
      <c r="B146" t="s">
        <v>74</v>
      </c>
      <c r="C146">
        <v>2030</v>
      </c>
      <c r="D146">
        <v>55</v>
      </c>
      <c r="E146">
        <v>0.31</v>
      </c>
      <c r="F146">
        <v>0.31</v>
      </c>
      <c r="G146">
        <v>0.04</v>
      </c>
      <c r="H146">
        <v>0.26</v>
      </c>
      <c r="I146">
        <v>0.41</v>
      </c>
      <c r="J146">
        <v>0.28000000000000003</v>
      </c>
      <c r="K146">
        <v>0.31</v>
      </c>
      <c r="L146" t="s">
        <v>10</v>
      </c>
      <c r="M146" t="s">
        <v>18</v>
      </c>
    </row>
    <row r="147" spans="1:13" x14ac:dyDescent="0.45">
      <c r="A147" t="s">
        <v>9</v>
      </c>
      <c r="B147" t="s">
        <v>74</v>
      </c>
      <c r="C147">
        <v>2035</v>
      </c>
      <c r="D147">
        <v>50</v>
      </c>
      <c r="E147">
        <v>0.31</v>
      </c>
      <c r="F147">
        <v>0.3</v>
      </c>
      <c r="G147">
        <v>0.04</v>
      </c>
      <c r="H147">
        <v>0.26</v>
      </c>
      <c r="I147">
        <v>0.4</v>
      </c>
      <c r="J147">
        <v>0.27</v>
      </c>
      <c r="K147">
        <v>0.31</v>
      </c>
      <c r="L147" t="s">
        <v>10</v>
      </c>
      <c r="M147" t="s">
        <v>18</v>
      </c>
    </row>
    <row r="148" spans="1:13" x14ac:dyDescent="0.45">
      <c r="A148" t="s">
        <v>9</v>
      </c>
      <c r="B148" t="s">
        <v>74</v>
      </c>
      <c r="C148">
        <v>2040</v>
      </c>
      <c r="D148">
        <v>55</v>
      </c>
      <c r="E148">
        <v>0.3</v>
      </c>
      <c r="F148">
        <v>0.28000000000000003</v>
      </c>
      <c r="G148">
        <v>0.04</v>
      </c>
      <c r="H148">
        <v>0.25</v>
      </c>
      <c r="I148">
        <v>0.41</v>
      </c>
      <c r="J148">
        <v>0.27</v>
      </c>
      <c r="K148">
        <v>0.31</v>
      </c>
      <c r="L148" t="s">
        <v>10</v>
      </c>
      <c r="M148" t="s">
        <v>18</v>
      </c>
    </row>
    <row r="149" spans="1:13" x14ac:dyDescent="0.45">
      <c r="A149" t="s">
        <v>9</v>
      </c>
      <c r="B149" t="s">
        <v>74</v>
      </c>
      <c r="C149">
        <v>2045</v>
      </c>
      <c r="D149">
        <v>50</v>
      </c>
      <c r="E149">
        <v>0.28999999999999998</v>
      </c>
      <c r="F149">
        <v>0.28000000000000003</v>
      </c>
      <c r="G149">
        <v>0.04</v>
      </c>
      <c r="H149">
        <v>0.25</v>
      </c>
      <c r="I149">
        <v>0.41</v>
      </c>
      <c r="J149">
        <v>0.27</v>
      </c>
      <c r="K149">
        <v>0.31</v>
      </c>
      <c r="L149" t="s">
        <v>10</v>
      </c>
      <c r="M149" t="s">
        <v>18</v>
      </c>
    </row>
    <row r="150" spans="1:13" x14ac:dyDescent="0.45">
      <c r="A150" t="s">
        <v>9</v>
      </c>
      <c r="B150" t="s">
        <v>74</v>
      </c>
      <c r="C150">
        <v>2050</v>
      </c>
      <c r="D150">
        <v>55</v>
      </c>
      <c r="E150">
        <v>0.28999999999999998</v>
      </c>
      <c r="F150">
        <v>0.27</v>
      </c>
      <c r="G150">
        <v>0.04</v>
      </c>
      <c r="H150">
        <v>0.24</v>
      </c>
      <c r="I150">
        <v>0.41</v>
      </c>
      <c r="J150">
        <v>0.26</v>
      </c>
      <c r="K150">
        <v>0.3</v>
      </c>
      <c r="L150" t="s">
        <v>10</v>
      </c>
      <c r="M150" t="s">
        <v>18</v>
      </c>
    </row>
    <row r="151" spans="1:13" x14ac:dyDescent="0.45">
      <c r="A151" t="s">
        <v>0</v>
      </c>
      <c r="B151" t="s">
        <v>74</v>
      </c>
      <c r="C151">
        <v>2020</v>
      </c>
      <c r="D151">
        <v>64</v>
      </c>
      <c r="E151">
        <v>0.64</v>
      </c>
      <c r="F151">
        <v>0.66</v>
      </c>
      <c r="G151">
        <v>0.05</v>
      </c>
      <c r="H151">
        <v>0.54</v>
      </c>
      <c r="I151">
        <v>0.68</v>
      </c>
      <c r="J151">
        <v>0.57999999999999996</v>
      </c>
      <c r="K151">
        <v>0.68</v>
      </c>
      <c r="L151" t="s">
        <v>1</v>
      </c>
      <c r="M151" t="s">
        <v>21</v>
      </c>
    </row>
    <row r="152" spans="1:13" x14ac:dyDescent="0.45">
      <c r="A152" t="s">
        <v>0</v>
      </c>
      <c r="B152" t="s">
        <v>74</v>
      </c>
      <c r="C152">
        <v>2025</v>
      </c>
      <c r="D152">
        <v>64</v>
      </c>
      <c r="E152">
        <v>0.65</v>
      </c>
      <c r="F152">
        <v>0.68</v>
      </c>
      <c r="G152">
        <v>7.0000000000000007E-2</v>
      </c>
      <c r="H152">
        <v>0.44</v>
      </c>
      <c r="I152">
        <v>0.75</v>
      </c>
      <c r="J152">
        <v>0.62</v>
      </c>
      <c r="K152">
        <v>0.69</v>
      </c>
      <c r="L152" t="s">
        <v>1</v>
      </c>
      <c r="M152" t="s">
        <v>21</v>
      </c>
    </row>
    <row r="153" spans="1:13" x14ac:dyDescent="0.45">
      <c r="A153" t="s">
        <v>0</v>
      </c>
      <c r="B153" t="s">
        <v>74</v>
      </c>
      <c r="C153">
        <v>2030</v>
      </c>
      <c r="D153">
        <v>64</v>
      </c>
      <c r="E153">
        <v>0.63</v>
      </c>
      <c r="F153">
        <v>0.67</v>
      </c>
      <c r="G153">
        <v>0.08</v>
      </c>
      <c r="H153">
        <v>0.42</v>
      </c>
      <c r="I153">
        <v>0.71</v>
      </c>
      <c r="J153">
        <v>0.6</v>
      </c>
      <c r="K153">
        <v>0.69</v>
      </c>
      <c r="L153" t="s">
        <v>1</v>
      </c>
      <c r="M153" t="s">
        <v>21</v>
      </c>
    </row>
    <row r="154" spans="1:13" x14ac:dyDescent="0.45">
      <c r="A154" t="s">
        <v>0</v>
      </c>
      <c r="B154" t="s">
        <v>74</v>
      </c>
      <c r="C154">
        <v>2035</v>
      </c>
      <c r="D154">
        <v>64</v>
      </c>
      <c r="E154">
        <v>0.6</v>
      </c>
      <c r="F154">
        <v>0.64</v>
      </c>
      <c r="G154">
        <v>0.08</v>
      </c>
      <c r="H154">
        <v>0.44</v>
      </c>
      <c r="I154">
        <v>0.72</v>
      </c>
      <c r="J154">
        <v>0.56000000000000005</v>
      </c>
      <c r="K154">
        <v>0.66</v>
      </c>
      <c r="L154" t="s">
        <v>1</v>
      </c>
      <c r="M154" t="s">
        <v>21</v>
      </c>
    </row>
    <row r="155" spans="1:13" x14ac:dyDescent="0.45">
      <c r="A155" t="s">
        <v>0</v>
      </c>
      <c r="B155" t="s">
        <v>74</v>
      </c>
      <c r="C155">
        <v>2040</v>
      </c>
      <c r="D155">
        <v>64</v>
      </c>
      <c r="E155">
        <v>0.56999999999999995</v>
      </c>
      <c r="F155">
        <v>0.59</v>
      </c>
      <c r="G155">
        <v>0.08</v>
      </c>
      <c r="H155">
        <v>0.41</v>
      </c>
      <c r="I155">
        <v>0.71</v>
      </c>
      <c r="J155">
        <v>0.53</v>
      </c>
      <c r="K155">
        <v>0.63</v>
      </c>
      <c r="L155" t="s">
        <v>1</v>
      </c>
      <c r="M155" t="s">
        <v>21</v>
      </c>
    </row>
    <row r="156" spans="1:13" x14ac:dyDescent="0.45">
      <c r="A156" t="s">
        <v>0</v>
      </c>
      <c r="B156" t="s">
        <v>74</v>
      </c>
      <c r="C156">
        <v>2045</v>
      </c>
      <c r="D156">
        <v>64</v>
      </c>
      <c r="E156">
        <v>0.55000000000000004</v>
      </c>
      <c r="F156">
        <v>0.56999999999999995</v>
      </c>
      <c r="G156">
        <v>0.08</v>
      </c>
      <c r="H156">
        <v>0.39</v>
      </c>
      <c r="I156">
        <v>0.7</v>
      </c>
      <c r="J156">
        <v>0.53</v>
      </c>
      <c r="K156">
        <v>0.61</v>
      </c>
      <c r="L156" t="s">
        <v>1</v>
      </c>
      <c r="M156" t="s">
        <v>21</v>
      </c>
    </row>
    <row r="157" spans="1:13" x14ac:dyDescent="0.45">
      <c r="A157" t="s">
        <v>0</v>
      </c>
      <c r="B157" t="s">
        <v>74</v>
      </c>
      <c r="C157">
        <v>2050</v>
      </c>
      <c r="D157">
        <v>64</v>
      </c>
      <c r="E157">
        <v>0.54</v>
      </c>
      <c r="F157">
        <v>0.54</v>
      </c>
      <c r="G157">
        <v>0.08</v>
      </c>
      <c r="H157">
        <v>0.38</v>
      </c>
      <c r="I157">
        <v>0.69</v>
      </c>
      <c r="J157">
        <v>0.48</v>
      </c>
      <c r="K157">
        <v>0.61</v>
      </c>
      <c r="L157" t="s">
        <v>1</v>
      </c>
      <c r="M157" t="s">
        <v>21</v>
      </c>
    </row>
    <row r="158" spans="1:13" x14ac:dyDescent="0.45">
      <c r="A158" t="s">
        <v>2</v>
      </c>
      <c r="B158" t="s">
        <v>74</v>
      </c>
      <c r="C158">
        <v>2020</v>
      </c>
      <c r="D158">
        <v>92</v>
      </c>
      <c r="E158">
        <v>0.64</v>
      </c>
      <c r="F158">
        <v>0.64</v>
      </c>
      <c r="G158">
        <v>0.04</v>
      </c>
      <c r="H158">
        <v>0.54</v>
      </c>
      <c r="I158">
        <v>0.7</v>
      </c>
      <c r="J158">
        <v>0.63</v>
      </c>
      <c r="K158">
        <v>0.68</v>
      </c>
      <c r="L158" t="s">
        <v>3</v>
      </c>
      <c r="M158" t="s">
        <v>21</v>
      </c>
    </row>
    <row r="159" spans="1:13" x14ac:dyDescent="0.45">
      <c r="A159" t="s">
        <v>2</v>
      </c>
      <c r="B159" t="s">
        <v>74</v>
      </c>
      <c r="C159">
        <v>2025</v>
      </c>
      <c r="D159">
        <v>81</v>
      </c>
      <c r="E159">
        <v>0.64</v>
      </c>
      <c r="F159">
        <v>0.65</v>
      </c>
      <c r="G159">
        <v>0.04</v>
      </c>
      <c r="H159">
        <v>0.53</v>
      </c>
      <c r="I159">
        <v>0.71</v>
      </c>
      <c r="J159">
        <v>0.63</v>
      </c>
      <c r="K159">
        <v>0.67</v>
      </c>
      <c r="L159" t="s">
        <v>3</v>
      </c>
      <c r="M159" t="s">
        <v>21</v>
      </c>
    </row>
    <row r="160" spans="1:13" x14ac:dyDescent="0.45">
      <c r="A160" t="s">
        <v>2</v>
      </c>
      <c r="B160" t="s">
        <v>74</v>
      </c>
      <c r="C160">
        <v>2030</v>
      </c>
      <c r="D160">
        <v>92</v>
      </c>
      <c r="E160">
        <v>0.64</v>
      </c>
      <c r="F160">
        <v>0.66</v>
      </c>
      <c r="G160">
        <v>0.05</v>
      </c>
      <c r="H160">
        <v>0.48</v>
      </c>
      <c r="I160">
        <v>0.72</v>
      </c>
      <c r="J160">
        <v>0.62</v>
      </c>
      <c r="K160">
        <v>0.68</v>
      </c>
      <c r="L160" t="s">
        <v>3</v>
      </c>
      <c r="M160" t="s">
        <v>21</v>
      </c>
    </row>
    <row r="161" spans="1:13" x14ac:dyDescent="0.45">
      <c r="A161" t="s">
        <v>2</v>
      </c>
      <c r="B161" t="s">
        <v>74</v>
      </c>
      <c r="C161">
        <v>2035</v>
      </c>
      <c r="D161">
        <v>81</v>
      </c>
      <c r="E161">
        <v>0.62</v>
      </c>
      <c r="F161">
        <v>0.63</v>
      </c>
      <c r="G161">
        <v>0.06</v>
      </c>
      <c r="H161">
        <v>0.46</v>
      </c>
      <c r="I161">
        <v>0.71</v>
      </c>
      <c r="J161">
        <v>0.59</v>
      </c>
      <c r="K161">
        <v>0.66</v>
      </c>
      <c r="L161" t="s">
        <v>3</v>
      </c>
      <c r="M161" t="s">
        <v>21</v>
      </c>
    </row>
    <row r="162" spans="1:13" x14ac:dyDescent="0.45">
      <c r="A162" t="s">
        <v>2</v>
      </c>
      <c r="B162" t="s">
        <v>74</v>
      </c>
      <c r="C162">
        <v>2040</v>
      </c>
      <c r="D162">
        <v>92</v>
      </c>
      <c r="E162">
        <v>0.59</v>
      </c>
      <c r="F162">
        <v>0.61</v>
      </c>
      <c r="G162">
        <v>0.05</v>
      </c>
      <c r="H162">
        <v>0.44</v>
      </c>
      <c r="I162">
        <v>0.7</v>
      </c>
      <c r="J162">
        <v>0.57999999999999996</v>
      </c>
      <c r="K162">
        <v>0.63</v>
      </c>
      <c r="L162" t="s">
        <v>3</v>
      </c>
      <c r="M162" t="s">
        <v>21</v>
      </c>
    </row>
    <row r="163" spans="1:13" x14ac:dyDescent="0.45">
      <c r="A163" t="s">
        <v>2</v>
      </c>
      <c r="B163" t="s">
        <v>74</v>
      </c>
      <c r="C163">
        <v>2045</v>
      </c>
      <c r="D163">
        <v>81</v>
      </c>
      <c r="E163">
        <v>0.57999999999999996</v>
      </c>
      <c r="F163">
        <v>0.59</v>
      </c>
      <c r="G163">
        <v>0.06</v>
      </c>
      <c r="H163">
        <v>0.41</v>
      </c>
      <c r="I163">
        <v>0.69</v>
      </c>
      <c r="J163">
        <v>0.56999999999999995</v>
      </c>
      <c r="K163">
        <v>0.62</v>
      </c>
      <c r="L163" t="s">
        <v>3</v>
      </c>
      <c r="M163" t="s">
        <v>21</v>
      </c>
    </row>
    <row r="164" spans="1:13" x14ac:dyDescent="0.45">
      <c r="A164" t="s">
        <v>2</v>
      </c>
      <c r="B164" t="s">
        <v>74</v>
      </c>
      <c r="C164">
        <v>2050</v>
      </c>
      <c r="D164">
        <v>92</v>
      </c>
      <c r="E164">
        <v>0.56000000000000005</v>
      </c>
      <c r="F164">
        <v>0.59</v>
      </c>
      <c r="G164">
        <v>0.06</v>
      </c>
      <c r="H164">
        <v>0.4</v>
      </c>
      <c r="I164">
        <v>0.69</v>
      </c>
      <c r="J164">
        <v>0.53</v>
      </c>
      <c r="K164">
        <v>0.61</v>
      </c>
      <c r="L164" t="s">
        <v>3</v>
      </c>
      <c r="M164" t="s">
        <v>21</v>
      </c>
    </row>
    <row r="165" spans="1:13" x14ac:dyDescent="0.45">
      <c r="A165" t="s">
        <v>5</v>
      </c>
      <c r="B165" t="s">
        <v>74</v>
      </c>
      <c r="C165">
        <v>2020</v>
      </c>
      <c r="D165">
        <v>229</v>
      </c>
      <c r="E165">
        <v>0.63</v>
      </c>
      <c r="F165">
        <v>0.64</v>
      </c>
      <c r="G165">
        <v>0.05</v>
      </c>
      <c r="H165">
        <v>0.49</v>
      </c>
      <c r="I165">
        <v>0.7</v>
      </c>
      <c r="J165">
        <v>0.57999999999999996</v>
      </c>
      <c r="K165">
        <v>0.68</v>
      </c>
      <c r="L165" t="s">
        <v>6</v>
      </c>
      <c r="M165" t="s">
        <v>21</v>
      </c>
    </row>
    <row r="166" spans="1:13" x14ac:dyDescent="0.45">
      <c r="A166" t="s">
        <v>5</v>
      </c>
      <c r="B166" t="s">
        <v>74</v>
      </c>
      <c r="C166">
        <v>2025</v>
      </c>
      <c r="D166">
        <v>206</v>
      </c>
      <c r="E166">
        <v>0.65</v>
      </c>
      <c r="F166">
        <v>0.67</v>
      </c>
      <c r="G166">
        <v>0.11</v>
      </c>
      <c r="H166">
        <v>0.14000000000000001</v>
      </c>
      <c r="I166">
        <v>0.9</v>
      </c>
      <c r="J166">
        <v>0.61</v>
      </c>
      <c r="K166">
        <v>0.69</v>
      </c>
      <c r="L166" t="s">
        <v>6</v>
      </c>
      <c r="M166" t="s">
        <v>21</v>
      </c>
    </row>
    <row r="167" spans="1:13" x14ac:dyDescent="0.45">
      <c r="A167" t="s">
        <v>5</v>
      </c>
      <c r="B167" t="s">
        <v>74</v>
      </c>
      <c r="C167">
        <v>2030</v>
      </c>
      <c r="D167">
        <v>229</v>
      </c>
      <c r="E167">
        <v>0.64</v>
      </c>
      <c r="F167">
        <v>0.67</v>
      </c>
      <c r="G167">
        <v>0.11</v>
      </c>
      <c r="H167">
        <v>0.1</v>
      </c>
      <c r="I167">
        <v>0.88</v>
      </c>
      <c r="J167">
        <v>0.63</v>
      </c>
      <c r="K167">
        <v>0.69</v>
      </c>
      <c r="L167" t="s">
        <v>6</v>
      </c>
      <c r="M167" t="s">
        <v>21</v>
      </c>
    </row>
    <row r="168" spans="1:13" x14ac:dyDescent="0.45">
      <c r="A168" t="s">
        <v>5</v>
      </c>
      <c r="B168" t="s">
        <v>74</v>
      </c>
      <c r="C168">
        <v>2035</v>
      </c>
      <c r="D168">
        <v>206</v>
      </c>
      <c r="E168">
        <v>0.63</v>
      </c>
      <c r="F168">
        <v>0.65</v>
      </c>
      <c r="G168">
        <v>7.0000000000000007E-2</v>
      </c>
      <c r="H168">
        <v>0.42</v>
      </c>
      <c r="I168">
        <v>0.71</v>
      </c>
      <c r="J168">
        <v>0.6</v>
      </c>
      <c r="K168">
        <v>0.68</v>
      </c>
      <c r="L168" t="s">
        <v>6</v>
      </c>
      <c r="M168" t="s">
        <v>21</v>
      </c>
    </row>
    <row r="169" spans="1:13" x14ac:dyDescent="0.45">
      <c r="A169" t="s">
        <v>5</v>
      </c>
      <c r="B169" t="s">
        <v>74</v>
      </c>
      <c r="C169">
        <v>2040</v>
      </c>
      <c r="D169">
        <v>229</v>
      </c>
      <c r="E169">
        <v>0.61</v>
      </c>
      <c r="F169">
        <v>0.62</v>
      </c>
      <c r="G169">
        <v>7.0000000000000007E-2</v>
      </c>
      <c r="H169">
        <v>0.44</v>
      </c>
      <c r="I169">
        <v>0.7</v>
      </c>
      <c r="J169">
        <v>0.57999999999999996</v>
      </c>
      <c r="K169">
        <v>0.66</v>
      </c>
      <c r="L169" t="s">
        <v>6</v>
      </c>
      <c r="M169" t="s">
        <v>21</v>
      </c>
    </row>
    <row r="170" spans="1:13" x14ac:dyDescent="0.45">
      <c r="A170" t="s">
        <v>5</v>
      </c>
      <c r="B170" t="s">
        <v>74</v>
      </c>
      <c r="C170">
        <v>2045</v>
      </c>
      <c r="D170">
        <v>206</v>
      </c>
      <c r="E170">
        <v>0.57999999999999996</v>
      </c>
      <c r="F170">
        <v>0.59</v>
      </c>
      <c r="G170">
        <v>0.06</v>
      </c>
      <c r="H170">
        <v>0.41</v>
      </c>
      <c r="I170">
        <v>0.68</v>
      </c>
      <c r="J170">
        <v>0.56000000000000005</v>
      </c>
      <c r="K170">
        <v>0.63</v>
      </c>
      <c r="L170" t="s">
        <v>6</v>
      </c>
      <c r="M170" t="s">
        <v>21</v>
      </c>
    </row>
    <row r="171" spans="1:13" x14ac:dyDescent="0.45">
      <c r="A171" t="s">
        <v>5</v>
      </c>
      <c r="B171" t="s">
        <v>74</v>
      </c>
      <c r="C171">
        <v>2050</v>
      </c>
      <c r="D171">
        <v>229</v>
      </c>
      <c r="E171">
        <v>0.57999999999999996</v>
      </c>
      <c r="F171">
        <v>0.57999999999999996</v>
      </c>
      <c r="G171">
        <v>7.0000000000000007E-2</v>
      </c>
      <c r="H171">
        <v>0.39</v>
      </c>
      <c r="I171">
        <v>0.71</v>
      </c>
      <c r="J171">
        <v>0.53</v>
      </c>
      <c r="K171">
        <v>0.64</v>
      </c>
      <c r="L171" t="s">
        <v>6</v>
      </c>
      <c r="M171" t="s">
        <v>21</v>
      </c>
    </row>
    <row r="172" spans="1:13" x14ac:dyDescent="0.45">
      <c r="A172" t="s">
        <v>7</v>
      </c>
      <c r="B172" t="s">
        <v>74</v>
      </c>
      <c r="C172">
        <v>2020</v>
      </c>
      <c r="D172">
        <v>97</v>
      </c>
      <c r="E172">
        <v>0.61</v>
      </c>
      <c r="F172">
        <v>0.63</v>
      </c>
      <c r="G172">
        <v>0.05</v>
      </c>
      <c r="H172">
        <v>0.49</v>
      </c>
      <c r="I172">
        <v>0.68</v>
      </c>
      <c r="J172">
        <v>0.56000000000000005</v>
      </c>
      <c r="K172">
        <v>0.64</v>
      </c>
      <c r="L172" t="s">
        <v>8</v>
      </c>
      <c r="M172" t="s">
        <v>21</v>
      </c>
    </row>
    <row r="173" spans="1:13" x14ac:dyDescent="0.45">
      <c r="A173" t="s">
        <v>7</v>
      </c>
      <c r="B173" t="s">
        <v>74</v>
      </c>
      <c r="C173">
        <v>2025</v>
      </c>
      <c r="D173">
        <v>91</v>
      </c>
      <c r="E173">
        <v>0.62</v>
      </c>
      <c r="F173">
        <v>0.65</v>
      </c>
      <c r="G173">
        <v>0.1</v>
      </c>
      <c r="H173">
        <v>0.13</v>
      </c>
      <c r="I173">
        <v>0.9</v>
      </c>
      <c r="J173">
        <v>0.56000000000000005</v>
      </c>
      <c r="K173">
        <v>0.67</v>
      </c>
      <c r="L173" t="s">
        <v>8</v>
      </c>
      <c r="M173" t="s">
        <v>21</v>
      </c>
    </row>
    <row r="174" spans="1:13" x14ac:dyDescent="0.45">
      <c r="A174" t="s">
        <v>7</v>
      </c>
      <c r="B174" t="s">
        <v>74</v>
      </c>
      <c r="C174">
        <v>2030</v>
      </c>
      <c r="D174">
        <v>97</v>
      </c>
      <c r="E174">
        <v>0.62</v>
      </c>
      <c r="F174">
        <v>0.65</v>
      </c>
      <c r="G174">
        <v>0.1</v>
      </c>
      <c r="H174">
        <v>0.15</v>
      </c>
      <c r="I174">
        <v>0.87</v>
      </c>
      <c r="J174">
        <v>0.59</v>
      </c>
      <c r="K174">
        <v>0.68</v>
      </c>
      <c r="L174" t="s">
        <v>8</v>
      </c>
      <c r="M174" t="s">
        <v>21</v>
      </c>
    </row>
    <row r="175" spans="1:13" x14ac:dyDescent="0.45">
      <c r="A175" t="s">
        <v>7</v>
      </c>
      <c r="B175" t="s">
        <v>74</v>
      </c>
      <c r="C175">
        <v>2035</v>
      </c>
      <c r="D175">
        <v>91</v>
      </c>
      <c r="E175">
        <v>0.63</v>
      </c>
      <c r="F175">
        <v>0.65</v>
      </c>
      <c r="G175">
        <v>0.06</v>
      </c>
      <c r="H175">
        <v>0.53</v>
      </c>
      <c r="I175">
        <v>0.71</v>
      </c>
      <c r="J175">
        <v>0.6</v>
      </c>
      <c r="K175">
        <v>0.68</v>
      </c>
      <c r="L175" t="s">
        <v>8</v>
      </c>
      <c r="M175" t="s">
        <v>21</v>
      </c>
    </row>
    <row r="176" spans="1:13" x14ac:dyDescent="0.45">
      <c r="A176" t="s">
        <v>7</v>
      </c>
      <c r="B176" t="s">
        <v>74</v>
      </c>
      <c r="C176">
        <v>2040</v>
      </c>
      <c r="D176">
        <v>97</v>
      </c>
      <c r="E176">
        <v>0.62</v>
      </c>
      <c r="F176">
        <v>0.64</v>
      </c>
      <c r="G176">
        <v>0.06</v>
      </c>
      <c r="H176">
        <v>0.46</v>
      </c>
      <c r="I176">
        <v>0.71</v>
      </c>
      <c r="J176">
        <v>0.6</v>
      </c>
      <c r="K176">
        <v>0.67</v>
      </c>
      <c r="L176" t="s">
        <v>8</v>
      </c>
      <c r="M176" t="s">
        <v>21</v>
      </c>
    </row>
    <row r="177" spans="1:13" x14ac:dyDescent="0.45">
      <c r="A177" t="s">
        <v>7</v>
      </c>
      <c r="B177" t="s">
        <v>74</v>
      </c>
      <c r="C177">
        <v>2045</v>
      </c>
      <c r="D177">
        <v>91</v>
      </c>
      <c r="E177">
        <v>0.61</v>
      </c>
      <c r="F177">
        <v>0.62</v>
      </c>
      <c r="G177">
        <v>0.05</v>
      </c>
      <c r="H177">
        <v>0.47</v>
      </c>
      <c r="I177">
        <v>0.68</v>
      </c>
      <c r="J177">
        <v>0.6</v>
      </c>
      <c r="K177">
        <v>0.64</v>
      </c>
      <c r="L177" t="s">
        <v>8</v>
      </c>
      <c r="M177" t="s">
        <v>21</v>
      </c>
    </row>
    <row r="178" spans="1:13" x14ac:dyDescent="0.45">
      <c r="A178" t="s">
        <v>7</v>
      </c>
      <c r="B178" t="s">
        <v>74</v>
      </c>
      <c r="C178">
        <v>2050</v>
      </c>
      <c r="D178">
        <v>97</v>
      </c>
      <c r="E178">
        <v>0.6</v>
      </c>
      <c r="F178">
        <v>0.6</v>
      </c>
      <c r="G178">
        <v>0.06</v>
      </c>
      <c r="H178">
        <v>0.47</v>
      </c>
      <c r="I178">
        <v>0.72</v>
      </c>
      <c r="J178">
        <v>0.56999999999999995</v>
      </c>
      <c r="K178">
        <v>0.63</v>
      </c>
      <c r="L178" t="s">
        <v>8</v>
      </c>
      <c r="M178" t="s">
        <v>21</v>
      </c>
    </row>
    <row r="179" spans="1:13" x14ac:dyDescent="0.45">
      <c r="A179" t="s">
        <v>9</v>
      </c>
      <c r="B179" t="s">
        <v>74</v>
      </c>
      <c r="C179">
        <v>2020</v>
      </c>
      <c r="D179">
        <v>57</v>
      </c>
      <c r="E179">
        <v>0.63</v>
      </c>
      <c r="F179">
        <v>0.66</v>
      </c>
      <c r="G179">
        <v>0.05</v>
      </c>
      <c r="H179">
        <v>0.49</v>
      </c>
      <c r="I179">
        <v>0.68</v>
      </c>
      <c r="J179">
        <v>0.6</v>
      </c>
      <c r="K179">
        <v>0.68</v>
      </c>
      <c r="L179" t="s">
        <v>10</v>
      </c>
      <c r="M179" t="s">
        <v>21</v>
      </c>
    </row>
    <row r="180" spans="1:13" x14ac:dyDescent="0.45">
      <c r="A180" t="s">
        <v>9</v>
      </c>
      <c r="B180" t="s">
        <v>74</v>
      </c>
      <c r="C180">
        <v>2025</v>
      </c>
      <c r="D180">
        <v>52</v>
      </c>
      <c r="E180">
        <v>0.64</v>
      </c>
      <c r="F180">
        <v>0.67</v>
      </c>
      <c r="G180">
        <v>0.06</v>
      </c>
      <c r="H180">
        <v>0.43</v>
      </c>
      <c r="I180">
        <v>0.7</v>
      </c>
      <c r="J180">
        <v>0.61</v>
      </c>
      <c r="K180">
        <v>0.69</v>
      </c>
      <c r="L180" t="s">
        <v>10</v>
      </c>
      <c r="M180" t="s">
        <v>21</v>
      </c>
    </row>
    <row r="181" spans="1:13" x14ac:dyDescent="0.45">
      <c r="A181" t="s">
        <v>9</v>
      </c>
      <c r="B181" t="s">
        <v>74</v>
      </c>
      <c r="C181">
        <v>2030</v>
      </c>
      <c r="D181">
        <v>57</v>
      </c>
      <c r="E181">
        <v>0.65</v>
      </c>
      <c r="F181">
        <v>0.67</v>
      </c>
      <c r="G181">
        <v>0.06</v>
      </c>
      <c r="H181">
        <v>0.4</v>
      </c>
      <c r="I181">
        <v>0.7</v>
      </c>
      <c r="J181">
        <v>0.6</v>
      </c>
      <c r="K181">
        <v>0.69</v>
      </c>
      <c r="L181" t="s">
        <v>10</v>
      </c>
      <c r="M181" t="s">
        <v>21</v>
      </c>
    </row>
    <row r="182" spans="1:13" x14ac:dyDescent="0.45">
      <c r="A182" t="s">
        <v>9</v>
      </c>
      <c r="B182" t="s">
        <v>74</v>
      </c>
      <c r="C182">
        <v>2035</v>
      </c>
      <c r="D182">
        <v>52</v>
      </c>
      <c r="E182">
        <v>0.64</v>
      </c>
      <c r="F182">
        <v>0.67</v>
      </c>
      <c r="G182">
        <v>7.0000000000000007E-2</v>
      </c>
      <c r="H182">
        <v>0.37</v>
      </c>
      <c r="I182">
        <v>0.7</v>
      </c>
      <c r="J182">
        <v>0.57999999999999996</v>
      </c>
      <c r="K182">
        <v>0.68</v>
      </c>
      <c r="L182" t="s">
        <v>10</v>
      </c>
      <c r="M182" t="s">
        <v>21</v>
      </c>
    </row>
    <row r="183" spans="1:13" x14ac:dyDescent="0.45">
      <c r="A183" t="s">
        <v>9</v>
      </c>
      <c r="B183" t="s">
        <v>74</v>
      </c>
      <c r="C183">
        <v>2040</v>
      </c>
      <c r="D183">
        <v>57</v>
      </c>
      <c r="E183">
        <v>0.63</v>
      </c>
      <c r="F183">
        <v>0.66</v>
      </c>
      <c r="G183">
        <v>0.06</v>
      </c>
      <c r="H183">
        <v>0.4</v>
      </c>
      <c r="I183">
        <v>0.71</v>
      </c>
      <c r="J183">
        <v>0.57999999999999996</v>
      </c>
      <c r="K183">
        <v>0.67</v>
      </c>
      <c r="L183" t="s">
        <v>10</v>
      </c>
      <c r="M183" t="s">
        <v>21</v>
      </c>
    </row>
    <row r="184" spans="1:13" x14ac:dyDescent="0.45">
      <c r="A184" t="s">
        <v>9</v>
      </c>
      <c r="B184" t="s">
        <v>74</v>
      </c>
      <c r="C184">
        <v>2045</v>
      </c>
      <c r="D184">
        <v>52</v>
      </c>
      <c r="E184">
        <v>0.62</v>
      </c>
      <c r="F184">
        <v>0.63</v>
      </c>
      <c r="G184">
        <v>0.06</v>
      </c>
      <c r="H184">
        <v>0.4</v>
      </c>
      <c r="I184">
        <v>0.73</v>
      </c>
      <c r="J184">
        <v>0.55000000000000004</v>
      </c>
      <c r="K184">
        <v>0.66</v>
      </c>
      <c r="L184" t="s">
        <v>10</v>
      </c>
      <c r="M184" t="s">
        <v>21</v>
      </c>
    </row>
    <row r="185" spans="1:13" x14ac:dyDescent="0.45">
      <c r="A185" t="s">
        <v>9</v>
      </c>
      <c r="B185" t="s">
        <v>74</v>
      </c>
      <c r="C185">
        <v>2050</v>
      </c>
      <c r="D185">
        <v>57</v>
      </c>
      <c r="E185">
        <v>0.61</v>
      </c>
      <c r="F185">
        <v>0.61</v>
      </c>
      <c r="G185">
        <v>7.0000000000000007E-2</v>
      </c>
      <c r="H185">
        <v>0.4</v>
      </c>
      <c r="I185">
        <v>0.74</v>
      </c>
      <c r="J185">
        <v>0.56000000000000005</v>
      </c>
      <c r="K185">
        <v>0.66</v>
      </c>
      <c r="L185" t="s">
        <v>10</v>
      </c>
      <c r="M185" t="s">
        <v>21</v>
      </c>
    </row>
    <row r="186" spans="1:13" x14ac:dyDescent="0.45">
      <c r="A186" t="s">
        <v>0</v>
      </c>
      <c r="B186" t="s">
        <v>74</v>
      </c>
      <c r="C186">
        <v>2020</v>
      </c>
      <c r="D186">
        <v>64</v>
      </c>
      <c r="E186">
        <v>0.02</v>
      </c>
      <c r="F186">
        <v>0.02</v>
      </c>
      <c r="G186">
        <v>0.01</v>
      </c>
      <c r="H186">
        <v>0.01</v>
      </c>
      <c r="I186">
        <v>0.06</v>
      </c>
      <c r="J186">
        <v>0.02</v>
      </c>
      <c r="K186">
        <v>0.02</v>
      </c>
      <c r="L186" t="s">
        <v>1</v>
      </c>
      <c r="M186" t="s">
        <v>23</v>
      </c>
    </row>
    <row r="187" spans="1:13" x14ac:dyDescent="0.45">
      <c r="A187" t="s">
        <v>0</v>
      </c>
      <c r="B187" t="s">
        <v>74</v>
      </c>
      <c r="C187">
        <v>2025</v>
      </c>
      <c r="D187">
        <v>64</v>
      </c>
      <c r="E187">
        <v>0.03</v>
      </c>
      <c r="F187">
        <v>0.03</v>
      </c>
      <c r="G187">
        <v>0.01</v>
      </c>
      <c r="H187">
        <v>0.01</v>
      </c>
      <c r="I187">
        <v>7.0000000000000007E-2</v>
      </c>
      <c r="J187">
        <v>0.02</v>
      </c>
      <c r="K187">
        <v>0.04</v>
      </c>
      <c r="L187" t="s">
        <v>1</v>
      </c>
      <c r="M187" t="s">
        <v>23</v>
      </c>
    </row>
    <row r="188" spans="1:13" x14ac:dyDescent="0.45">
      <c r="A188" t="s">
        <v>0</v>
      </c>
      <c r="B188" t="s">
        <v>74</v>
      </c>
      <c r="C188">
        <v>2030</v>
      </c>
      <c r="D188">
        <v>64</v>
      </c>
      <c r="E188">
        <v>0.05</v>
      </c>
      <c r="F188">
        <v>0.05</v>
      </c>
      <c r="G188">
        <v>0.02</v>
      </c>
      <c r="H188">
        <v>0.01</v>
      </c>
      <c r="I188">
        <v>0.1</v>
      </c>
      <c r="J188">
        <v>0.04</v>
      </c>
      <c r="K188">
        <v>0.08</v>
      </c>
      <c r="L188" t="s">
        <v>1</v>
      </c>
      <c r="M188" t="s">
        <v>23</v>
      </c>
    </row>
    <row r="189" spans="1:13" x14ac:dyDescent="0.45">
      <c r="A189" t="s">
        <v>0</v>
      </c>
      <c r="B189" t="s">
        <v>74</v>
      </c>
      <c r="C189">
        <v>2035</v>
      </c>
      <c r="D189">
        <v>64</v>
      </c>
      <c r="E189">
        <v>0.08</v>
      </c>
      <c r="F189">
        <v>0.08</v>
      </c>
      <c r="G189">
        <v>0.04</v>
      </c>
      <c r="H189">
        <v>0.02</v>
      </c>
      <c r="I189">
        <v>0.15</v>
      </c>
      <c r="J189">
        <v>0.06</v>
      </c>
      <c r="K189">
        <v>0.11</v>
      </c>
      <c r="L189" t="s">
        <v>1</v>
      </c>
      <c r="M189" t="s">
        <v>23</v>
      </c>
    </row>
    <row r="190" spans="1:13" x14ac:dyDescent="0.45">
      <c r="A190" t="s">
        <v>0</v>
      </c>
      <c r="B190" t="s">
        <v>74</v>
      </c>
      <c r="C190">
        <v>2040</v>
      </c>
      <c r="D190">
        <v>64</v>
      </c>
      <c r="E190">
        <v>0.11</v>
      </c>
      <c r="F190">
        <v>0.11</v>
      </c>
      <c r="G190">
        <v>0.05</v>
      </c>
      <c r="H190">
        <v>0.02</v>
      </c>
      <c r="I190">
        <v>0.19</v>
      </c>
      <c r="J190">
        <v>0.08</v>
      </c>
      <c r="K190">
        <v>0.14000000000000001</v>
      </c>
      <c r="L190" t="s">
        <v>1</v>
      </c>
      <c r="M190" t="s">
        <v>23</v>
      </c>
    </row>
    <row r="191" spans="1:13" x14ac:dyDescent="0.45">
      <c r="A191" t="s">
        <v>0</v>
      </c>
      <c r="B191" t="s">
        <v>74</v>
      </c>
      <c r="C191">
        <v>2045</v>
      </c>
      <c r="D191">
        <v>64</v>
      </c>
      <c r="E191">
        <v>0.12</v>
      </c>
      <c r="F191">
        <v>0.13</v>
      </c>
      <c r="G191">
        <v>0.05</v>
      </c>
      <c r="H191">
        <v>0.02</v>
      </c>
      <c r="I191">
        <v>0.22</v>
      </c>
      <c r="J191">
        <v>0.09</v>
      </c>
      <c r="K191">
        <v>0.15</v>
      </c>
      <c r="L191" t="s">
        <v>1</v>
      </c>
      <c r="M191" t="s">
        <v>23</v>
      </c>
    </row>
    <row r="192" spans="1:13" x14ac:dyDescent="0.45">
      <c r="A192" t="s">
        <v>0</v>
      </c>
      <c r="B192" t="s">
        <v>74</v>
      </c>
      <c r="C192">
        <v>2050</v>
      </c>
      <c r="D192">
        <v>64</v>
      </c>
      <c r="E192">
        <v>0.13</v>
      </c>
      <c r="F192">
        <v>0.13</v>
      </c>
      <c r="G192">
        <v>0.05</v>
      </c>
      <c r="H192">
        <v>0.02</v>
      </c>
      <c r="I192">
        <v>0.24</v>
      </c>
      <c r="J192">
        <v>0.09</v>
      </c>
      <c r="K192">
        <v>0.16</v>
      </c>
      <c r="L192" t="s">
        <v>1</v>
      </c>
      <c r="M192" t="s">
        <v>23</v>
      </c>
    </row>
    <row r="193" spans="1:13" x14ac:dyDescent="0.45">
      <c r="A193" t="s">
        <v>2</v>
      </c>
      <c r="B193" t="s">
        <v>74</v>
      </c>
      <c r="C193">
        <v>2020</v>
      </c>
      <c r="D193">
        <v>95</v>
      </c>
      <c r="E193">
        <v>0.02</v>
      </c>
      <c r="F193">
        <v>0.02</v>
      </c>
      <c r="G193">
        <v>0.01</v>
      </c>
      <c r="H193">
        <v>0.01</v>
      </c>
      <c r="I193">
        <v>0.06</v>
      </c>
      <c r="J193">
        <v>0.02</v>
      </c>
      <c r="K193">
        <v>0.02</v>
      </c>
      <c r="L193" t="s">
        <v>3</v>
      </c>
      <c r="M193" t="s">
        <v>23</v>
      </c>
    </row>
    <row r="194" spans="1:13" x14ac:dyDescent="0.45">
      <c r="A194" t="s">
        <v>2</v>
      </c>
      <c r="B194" t="s">
        <v>74</v>
      </c>
      <c r="C194">
        <v>2025</v>
      </c>
      <c r="D194">
        <v>84</v>
      </c>
      <c r="E194">
        <v>0.03</v>
      </c>
      <c r="F194">
        <v>0.03</v>
      </c>
      <c r="G194">
        <v>0.02</v>
      </c>
      <c r="H194">
        <v>0.01</v>
      </c>
      <c r="I194">
        <v>0.13</v>
      </c>
      <c r="J194">
        <v>0.02</v>
      </c>
      <c r="K194">
        <v>0.04</v>
      </c>
      <c r="L194" t="s">
        <v>3</v>
      </c>
      <c r="M194" t="s">
        <v>23</v>
      </c>
    </row>
    <row r="195" spans="1:13" x14ac:dyDescent="0.45">
      <c r="A195" t="s">
        <v>2</v>
      </c>
      <c r="B195" t="s">
        <v>74</v>
      </c>
      <c r="C195">
        <v>2030</v>
      </c>
      <c r="D195">
        <v>95</v>
      </c>
      <c r="E195">
        <v>0.05</v>
      </c>
      <c r="F195">
        <v>0.04</v>
      </c>
      <c r="G195">
        <v>0.03</v>
      </c>
      <c r="H195">
        <v>0.01</v>
      </c>
      <c r="I195">
        <v>0.2</v>
      </c>
      <c r="J195">
        <v>0.03</v>
      </c>
      <c r="K195">
        <v>0.08</v>
      </c>
      <c r="L195" t="s">
        <v>3</v>
      </c>
      <c r="M195" t="s">
        <v>23</v>
      </c>
    </row>
    <row r="196" spans="1:13" x14ac:dyDescent="0.45">
      <c r="A196" t="s">
        <v>2</v>
      </c>
      <c r="B196" t="s">
        <v>74</v>
      </c>
      <c r="C196">
        <v>2035</v>
      </c>
      <c r="D196">
        <v>84</v>
      </c>
      <c r="E196">
        <v>7.0000000000000007E-2</v>
      </c>
      <c r="F196">
        <v>0.06</v>
      </c>
      <c r="G196">
        <v>0.04</v>
      </c>
      <c r="H196">
        <v>0.01</v>
      </c>
      <c r="I196">
        <v>0.14000000000000001</v>
      </c>
      <c r="J196">
        <v>0.04</v>
      </c>
      <c r="K196">
        <v>0.11</v>
      </c>
      <c r="L196" t="s">
        <v>3</v>
      </c>
      <c r="M196" t="s">
        <v>23</v>
      </c>
    </row>
    <row r="197" spans="1:13" x14ac:dyDescent="0.45">
      <c r="A197" t="s">
        <v>2</v>
      </c>
      <c r="B197" t="s">
        <v>74</v>
      </c>
      <c r="C197">
        <v>2040</v>
      </c>
      <c r="D197">
        <v>95</v>
      </c>
      <c r="E197">
        <v>0.11</v>
      </c>
      <c r="F197">
        <v>0.1</v>
      </c>
      <c r="G197">
        <v>0.06</v>
      </c>
      <c r="H197">
        <v>0.01</v>
      </c>
      <c r="I197">
        <v>0.2</v>
      </c>
      <c r="J197">
        <v>0.06</v>
      </c>
      <c r="K197">
        <v>0.17</v>
      </c>
      <c r="L197" t="s">
        <v>3</v>
      </c>
      <c r="M197" t="s">
        <v>23</v>
      </c>
    </row>
    <row r="198" spans="1:13" x14ac:dyDescent="0.45">
      <c r="A198" t="s">
        <v>2</v>
      </c>
      <c r="B198" t="s">
        <v>74</v>
      </c>
      <c r="C198">
        <v>2045</v>
      </c>
      <c r="D198">
        <v>84</v>
      </c>
      <c r="E198">
        <v>0.11</v>
      </c>
      <c r="F198">
        <v>0.11</v>
      </c>
      <c r="G198">
        <v>0.06</v>
      </c>
      <c r="H198">
        <v>0.01</v>
      </c>
      <c r="I198">
        <v>0.22</v>
      </c>
      <c r="J198">
        <v>7.0000000000000007E-2</v>
      </c>
      <c r="K198">
        <v>0.17</v>
      </c>
      <c r="L198" t="s">
        <v>3</v>
      </c>
      <c r="M198" t="s">
        <v>23</v>
      </c>
    </row>
    <row r="199" spans="1:13" x14ac:dyDescent="0.45">
      <c r="A199" t="s">
        <v>2</v>
      </c>
      <c r="B199" t="s">
        <v>74</v>
      </c>
      <c r="C199">
        <v>2050</v>
      </c>
      <c r="D199">
        <v>95</v>
      </c>
      <c r="E199">
        <v>0.13</v>
      </c>
      <c r="F199">
        <v>0.13</v>
      </c>
      <c r="G199">
        <v>0.06</v>
      </c>
      <c r="H199">
        <v>0.01</v>
      </c>
      <c r="I199">
        <v>0.24</v>
      </c>
      <c r="J199">
        <v>0.08</v>
      </c>
      <c r="K199">
        <v>0.18</v>
      </c>
      <c r="L199" t="s">
        <v>3</v>
      </c>
      <c r="M199" t="s">
        <v>23</v>
      </c>
    </row>
    <row r="200" spans="1:13" x14ac:dyDescent="0.45">
      <c r="A200" t="s">
        <v>5</v>
      </c>
      <c r="B200" t="s">
        <v>74</v>
      </c>
      <c r="C200">
        <v>2020</v>
      </c>
      <c r="D200">
        <v>229</v>
      </c>
      <c r="E200">
        <v>0.02</v>
      </c>
      <c r="F200">
        <v>0.02</v>
      </c>
      <c r="G200">
        <v>0.01</v>
      </c>
      <c r="H200">
        <v>0.01</v>
      </c>
      <c r="I200">
        <v>0.06</v>
      </c>
      <c r="J200">
        <v>0.02</v>
      </c>
      <c r="K200">
        <v>0.02</v>
      </c>
      <c r="L200" t="s">
        <v>6</v>
      </c>
      <c r="M200" t="s">
        <v>23</v>
      </c>
    </row>
    <row r="201" spans="1:13" x14ac:dyDescent="0.45">
      <c r="A201" t="s">
        <v>5</v>
      </c>
      <c r="B201" t="s">
        <v>74</v>
      </c>
      <c r="C201">
        <v>2025</v>
      </c>
      <c r="D201">
        <v>206</v>
      </c>
      <c r="E201">
        <v>0.04</v>
      </c>
      <c r="F201">
        <v>0.03</v>
      </c>
      <c r="G201">
        <v>0.06</v>
      </c>
      <c r="H201">
        <v>0.01</v>
      </c>
      <c r="I201">
        <v>0.44</v>
      </c>
      <c r="J201">
        <v>0.02</v>
      </c>
      <c r="K201">
        <v>0.04</v>
      </c>
      <c r="L201" t="s">
        <v>6</v>
      </c>
      <c r="M201" t="s">
        <v>23</v>
      </c>
    </row>
    <row r="202" spans="1:13" x14ac:dyDescent="0.45">
      <c r="A202" t="s">
        <v>5</v>
      </c>
      <c r="B202" t="s">
        <v>74</v>
      </c>
      <c r="C202">
        <v>2030</v>
      </c>
      <c r="D202">
        <v>229</v>
      </c>
      <c r="E202">
        <v>0.06</v>
      </c>
      <c r="F202">
        <v>0.03</v>
      </c>
      <c r="G202">
        <v>0.1</v>
      </c>
      <c r="H202">
        <v>0.01</v>
      </c>
      <c r="I202">
        <v>0.76</v>
      </c>
      <c r="J202">
        <v>0.02</v>
      </c>
      <c r="K202">
        <v>0.05</v>
      </c>
      <c r="L202" t="s">
        <v>6</v>
      </c>
      <c r="M202" t="s">
        <v>23</v>
      </c>
    </row>
    <row r="203" spans="1:13" x14ac:dyDescent="0.45">
      <c r="A203" t="s">
        <v>5</v>
      </c>
      <c r="B203" t="s">
        <v>74</v>
      </c>
      <c r="C203">
        <v>2035</v>
      </c>
      <c r="D203">
        <v>206</v>
      </c>
      <c r="E203">
        <v>0.06</v>
      </c>
      <c r="F203">
        <v>0.05</v>
      </c>
      <c r="G203">
        <v>0.03</v>
      </c>
      <c r="H203">
        <v>0.01</v>
      </c>
      <c r="I203">
        <v>0.14000000000000001</v>
      </c>
      <c r="J203">
        <v>0.04</v>
      </c>
      <c r="K203">
        <v>7.0000000000000007E-2</v>
      </c>
      <c r="L203" t="s">
        <v>6</v>
      </c>
      <c r="M203" t="s">
        <v>23</v>
      </c>
    </row>
    <row r="204" spans="1:13" x14ac:dyDescent="0.45">
      <c r="A204" t="s">
        <v>5</v>
      </c>
      <c r="B204" t="s">
        <v>74</v>
      </c>
      <c r="C204">
        <v>2040</v>
      </c>
      <c r="D204">
        <v>229</v>
      </c>
      <c r="E204">
        <v>0.08</v>
      </c>
      <c r="F204">
        <v>0.08</v>
      </c>
      <c r="G204">
        <v>0.05</v>
      </c>
      <c r="H204">
        <v>0.01</v>
      </c>
      <c r="I204">
        <v>0.19</v>
      </c>
      <c r="J204">
        <v>0.03</v>
      </c>
      <c r="K204">
        <v>0.1</v>
      </c>
      <c r="L204" t="s">
        <v>6</v>
      </c>
      <c r="M204" t="s">
        <v>23</v>
      </c>
    </row>
    <row r="205" spans="1:13" x14ac:dyDescent="0.45">
      <c r="A205" t="s">
        <v>5</v>
      </c>
      <c r="B205" t="s">
        <v>74</v>
      </c>
      <c r="C205">
        <v>2045</v>
      </c>
      <c r="D205">
        <v>206</v>
      </c>
      <c r="E205">
        <v>0.1</v>
      </c>
      <c r="F205">
        <v>0.11</v>
      </c>
      <c r="G205">
        <v>0.06</v>
      </c>
      <c r="H205">
        <v>0.01</v>
      </c>
      <c r="I205">
        <v>0.22</v>
      </c>
      <c r="J205">
        <v>0.06</v>
      </c>
      <c r="K205">
        <v>0.14000000000000001</v>
      </c>
      <c r="L205" t="s">
        <v>6</v>
      </c>
      <c r="M205" t="s">
        <v>23</v>
      </c>
    </row>
    <row r="206" spans="1:13" x14ac:dyDescent="0.45">
      <c r="A206" t="s">
        <v>5</v>
      </c>
      <c r="B206" t="s">
        <v>74</v>
      </c>
      <c r="C206">
        <v>2050</v>
      </c>
      <c r="D206">
        <v>229</v>
      </c>
      <c r="E206">
        <v>0.11</v>
      </c>
      <c r="F206">
        <v>0.12</v>
      </c>
      <c r="G206">
        <v>0.06</v>
      </c>
      <c r="H206">
        <v>0.02</v>
      </c>
      <c r="I206">
        <v>0.24</v>
      </c>
      <c r="J206">
        <v>0.04</v>
      </c>
      <c r="K206">
        <v>0.16</v>
      </c>
      <c r="L206" t="s">
        <v>6</v>
      </c>
      <c r="M206" t="s">
        <v>23</v>
      </c>
    </row>
    <row r="207" spans="1:13" x14ac:dyDescent="0.45">
      <c r="A207" t="s">
        <v>7</v>
      </c>
      <c r="B207" t="s">
        <v>74</v>
      </c>
      <c r="C207">
        <v>2020</v>
      </c>
      <c r="D207">
        <v>97</v>
      </c>
      <c r="E207">
        <v>0.02</v>
      </c>
      <c r="F207">
        <v>0.02</v>
      </c>
      <c r="G207">
        <v>0.01</v>
      </c>
      <c r="H207">
        <v>0.01</v>
      </c>
      <c r="I207">
        <v>0.03</v>
      </c>
      <c r="J207">
        <v>0.01</v>
      </c>
      <c r="K207">
        <v>0.02</v>
      </c>
      <c r="L207" t="s">
        <v>8</v>
      </c>
      <c r="M207" t="s">
        <v>23</v>
      </c>
    </row>
    <row r="208" spans="1:13" x14ac:dyDescent="0.45">
      <c r="A208" t="s">
        <v>7</v>
      </c>
      <c r="B208" t="s">
        <v>74</v>
      </c>
      <c r="C208">
        <v>2025</v>
      </c>
      <c r="D208">
        <v>91</v>
      </c>
      <c r="E208">
        <v>0.04</v>
      </c>
      <c r="F208">
        <v>0.02</v>
      </c>
      <c r="G208">
        <v>7.0000000000000007E-2</v>
      </c>
      <c r="H208">
        <v>0.01</v>
      </c>
      <c r="I208">
        <v>0.51</v>
      </c>
      <c r="J208">
        <v>0.02</v>
      </c>
      <c r="K208">
        <v>0.03</v>
      </c>
      <c r="L208" t="s">
        <v>8</v>
      </c>
      <c r="M208" t="s">
        <v>23</v>
      </c>
    </row>
    <row r="209" spans="1:13" x14ac:dyDescent="0.45">
      <c r="A209" t="s">
        <v>7</v>
      </c>
      <c r="B209" t="s">
        <v>74</v>
      </c>
      <c r="C209">
        <v>2030</v>
      </c>
      <c r="D209">
        <v>97</v>
      </c>
      <c r="E209">
        <v>0.05</v>
      </c>
      <c r="F209">
        <v>0.02</v>
      </c>
      <c r="G209">
        <v>0.11</v>
      </c>
      <c r="H209">
        <v>0.01</v>
      </c>
      <c r="I209">
        <v>0.83</v>
      </c>
      <c r="J209">
        <v>0.02</v>
      </c>
      <c r="K209">
        <v>0.03</v>
      </c>
      <c r="L209" t="s">
        <v>8</v>
      </c>
      <c r="M209" t="s">
        <v>23</v>
      </c>
    </row>
    <row r="210" spans="1:13" x14ac:dyDescent="0.45">
      <c r="A210" t="s">
        <v>7</v>
      </c>
      <c r="B210" t="s">
        <v>74</v>
      </c>
      <c r="C210">
        <v>2035</v>
      </c>
      <c r="D210">
        <v>91</v>
      </c>
      <c r="E210">
        <v>0.04</v>
      </c>
      <c r="F210">
        <v>0.03</v>
      </c>
      <c r="G210">
        <v>0.02</v>
      </c>
      <c r="H210">
        <v>0.01</v>
      </c>
      <c r="I210">
        <v>7.0000000000000007E-2</v>
      </c>
      <c r="J210">
        <v>0.02</v>
      </c>
      <c r="K210">
        <v>0.05</v>
      </c>
      <c r="L210" t="s">
        <v>8</v>
      </c>
      <c r="M210" t="s">
        <v>23</v>
      </c>
    </row>
    <row r="211" spans="1:13" x14ac:dyDescent="0.45">
      <c r="A211" t="s">
        <v>7</v>
      </c>
      <c r="B211" t="s">
        <v>74</v>
      </c>
      <c r="C211">
        <v>2040</v>
      </c>
      <c r="D211">
        <v>97</v>
      </c>
      <c r="E211">
        <v>0.05</v>
      </c>
      <c r="F211">
        <v>0.04</v>
      </c>
      <c r="G211">
        <v>0.03</v>
      </c>
      <c r="H211">
        <v>0.01</v>
      </c>
      <c r="I211">
        <v>0.12</v>
      </c>
      <c r="J211">
        <v>0.02</v>
      </c>
      <c r="K211">
        <v>0.08</v>
      </c>
      <c r="L211" t="s">
        <v>8</v>
      </c>
      <c r="M211" t="s">
        <v>23</v>
      </c>
    </row>
    <row r="212" spans="1:13" x14ac:dyDescent="0.45">
      <c r="A212" t="s">
        <v>7</v>
      </c>
      <c r="B212" t="s">
        <v>74</v>
      </c>
      <c r="C212">
        <v>2045</v>
      </c>
      <c r="D212">
        <v>91</v>
      </c>
      <c r="E212">
        <v>0.08</v>
      </c>
      <c r="F212">
        <v>0.06</v>
      </c>
      <c r="G212">
        <v>0.05</v>
      </c>
      <c r="H212">
        <v>0.01</v>
      </c>
      <c r="I212">
        <v>0.18</v>
      </c>
      <c r="J212">
        <v>0.03</v>
      </c>
      <c r="K212">
        <v>0.13</v>
      </c>
      <c r="L212" t="s">
        <v>8</v>
      </c>
      <c r="M212" t="s">
        <v>23</v>
      </c>
    </row>
    <row r="213" spans="1:13" x14ac:dyDescent="0.45">
      <c r="A213" t="s">
        <v>7</v>
      </c>
      <c r="B213" t="s">
        <v>74</v>
      </c>
      <c r="C213">
        <v>2050</v>
      </c>
      <c r="D213">
        <v>97</v>
      </c>
      <c r="E213">
        <v>0.09</v>
      </c>
      <c r="F213">
        <v>0.06</v>
      </c>
      <c r="G213">
        <v>7.0000000000000007E-2</v>
      </c>
      <c r="H213">
        <v>0.01</v>
      </c>
      <c r="I213">
        <v>0.22</v>
      </c>
      <c r="J213">
        <v>0.02</v>
      </c>
      <c r="K213">
        <v>0.18</v>
      </c>
      <c r="L213" t="s">
        <v>8</v>
      </c>
      <c r="M213" t="s">
        <v>23</v>
      </c>
    </row>
    <row r="214" spans="1:13" x14ac:dyDescent="0.45">
      <c r="A214" t="s">
        <v>9</v>
      </c>
      <c r="B214" t="s">
        <v>74</v>
      </c>
      <c r="C214">
        <v>2020</v>
      </c>
      <c r="D214">
        <v>59</v>
      </c>
      <c r="E214">
        <v>0.02</v>
      </c>
      <c r="F214">
        <v>0.02</v>
      </c>
      <c r="G214">
        <v>0.01</v>
      </c>
      <c r="H214">
        <v>0.01</v>
      </c>
      <c r="I214">
        <v>0.06</v>
      </c>
      <c r="J214">
        <v>0.01</v>
      </c>
      <c r="K214">
        <v>0.02</v>
      </c>
      <c r="L214" t="s">
        <v>10</v>
      </c>
      <c r="M214" t="s">
        <v>23</v>
      </c>
    </row>
    <row r="215" spans="1:13" x14ac:dyDescent="0.45">
      <c r="A215" t="s">
        <v>9</v>
      </c>
      <c r="B215" t="s">
        <v>74</v>
      </c>
      <c r="C215">
        <v>2025</v>
      </c>
      <c r="D215">
        <v>54</v>
      </c>
      <c r="E215">
        <v>0.02</v>
      </c>
      <c r="F215">
        <v>0.02</v>
      </c>
      <c r="G215">
        <v>0.01</v>
      </c>
      <c r="H215">
        <v>0.01</v>
      </c>
      <c r="I215">
        <v>0.06</v>
      </c>
      <c r="J215">
        <v>0.02</v>
      </c>
      <c r="K215">
        <v>0.03</v>
      </c>
      <c r="L215" t="s">
        <v>10</v>
      </c>
      <c r="M215" t="s">
        <v>23</v>
      </c>
    </row>
    <row r="216" spans="1:13" x14ac:dyDescent="0.45">
      <c r="A216" t="s">
        <v>9</v>
      </c>
      <c r="B216" t="s">
        <v>74</v>
      </c>
      <c r="C216">
        <v>2030</v>
      </c>
      <c r="D216">
        <v>59</v>
      </c>
      <c r="E216">
        <v>0.03</v>
      </c>
      <c r="F216">
        <v>0.03</v>
      </c>
      <c r="G216">
        <v>0.01</v>
      </c>
      <c r="H216">
        <v>0.01</v>
      </c>
      <c r="I216">
        <v>7.0000000000000007E-2</v>
      </c>
      <c r="J216">
        <v>0.02</v>
      </c>
      <c r="K216">
        <v>0.03</v>
      </c>
      <c r="L216" t="s">
        <v>10</v>
      </c>
      <c r="M216" t="s">
        <v>23</v>
      </c>
    </row>
    <row r="217" spans="1:13" x14ac:dyDescent="0.45">
      <c r="A217" t="s">
        <v>9</v>
      </c>
      <c r="B217" t="s">
        <v>74</v>
      </c>
      <c r="C217">
        <v>2035</v>
      </c>
      <c r="D217">
        <v>54</v>
      </c>
      <c r="E217">
        <v>0.04</v>
      </c>
      <c r="F217">
        <v>0.04</v>
      </c>
      <c r="G217">
        <v>0.02</v>
      </c>
      <c r="H217">
        <v>0.01</v>
      </c>
      <c r="I217">
        <v>0.08</v>
      </c>
      <c r="J217">
        <v>0.03</v>
      </c>
      <c r="K217">
        <v>0.05</v>
      </c>
      <c r="L217" t="s">
        <v>10</v>
      </c>
      <c r="M217" t="s">
        <v>23</v>
      </c>
    </row>
    <row r="218" spans="1:13" x14ac:dyDescent="0.45">
      <c r="A218" t="s">
        <v>9</v>
      </c>
      <c r="B218" t="s">
        <v>74</v>
      </c>
      <c r="C218">
        <v>2040</v>
      </c>
      <c r="D218">
        <v>59</v>
      </c>
      <c r="E218">
        <v>0.05</v>
      </c>
      <c r="F218">
        <v>0.05</v>
      </c>
      <c r="G218">
        <v>0.03</v>
      </c>
      <c r="H218">
        <v>0.01</v>
      </c>
      <c r="I218">
        <v>0.12</v>
      </c>
      <c r="J218">
        <v>0.02</v>
      </c>
      <c r="K218">
        <v>7.0000000000000007E-2</v>
      </c>
      <c r="L218" t="s">
        <v>10</v>
      </c>
      <c r="M218" t="s">
        <v>23</v>
      </c>
    </row>
    <row r="219" spans="1:13" x14ac:dyDescent="0.45">
      <c r="A219" t="s">
        <v>9</v>
      </c>
      <c r="B219" t="s">
        <v>74</v>
      </c>
      <c r="C219">
        <v>2045</v>
      </c>
      <c r="D219">
        <v>54</v>
      </c>
      <c r="E219">
        <v>7.0000000000000007E-2</v>
      </c>
      <c r="F219">
        <v>7.0000000000000007E-2</v>
      </c>
      <c r="G219">
        <v>0.04</v>
      </c>
      <c r="H219">
        <v>0.01</v>
      </c>
      <c r="I219">
        <v>0.16</v>
      </c>
      <c r="J219">
        <v>0.04</v>
      </c>
      <c r="K219">
        <v>0.1</v>
      </c>
      <c r="L219" t="s">
        <v>10</v>
      </c>
      <c r="M219" t="s">
        <v>23</v>
      </c>
    </row>
    <row r="220" spans="1:13" x14ac:dyDescent="0.45">
      <c r="A220" t="s">
        <v>9</v>
      </c>
      <c r="B220" t="s">
        <v>74</v>
      </c>
      <c r="C220">
        <v>2050</v>
      </c>
      <c r="D220">
        <v>59</v>
      </c>
      <c r="E220">
        <v>0.08</v>
      </c>
      <c r="F220">
        <v>0.08</v>
      </c>
      <c r="G220">
        <v>0.05</v>
      </c>
      <c r="H220">
        <v>0.01</v>
      </c>
      <c r="I220">
        <v>0.18</v>
      </c>
      <c r="J220">
        <v>0.03</v>
      </c>
      <c r="K220">
        <v>0.12</v>
      </c>
      <c r="L220" t="s">
        <v>10</v>
      </c>
      <c r="M220" t="s">
        <v>23</v>
      </c>
    </row>
    <row r="221" spans="1:13" x14ac:dyDescent="0.45">
      <c r="A221" t="s">
        <v>0</v>
      </c>
      <c r="B221" t="s">
        <v>74</v>
      </c>
      <c r="C221">
        <v>2020</v>
      </c>
      <c r="D221">
        <v>44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74</v>
      </c>
      <c r="C222">
        <v>2025</v>
      </c>
      <c r="D222">
        <v>44</v>
      </c>
      <c r="E222">
        <v>2.4900000000000002</v>
      </c>
      <c r="F222">
        <v>2.2799999999999998</v>
      </c>
      <c r="G222">
        <v>0.93</v>
      </c>
      <c r="H222">
        <v>0</v>
      </c>
      <c r="I222">
        <v>5.34</v>
      </c>
      <c r="J222">
        <v>2</v>
      </c>
      <c r="K222">
        <v>2.91</v>
      </c>
      <c r="L222" t="s">
        <v>1</v>
      </c>
      <c r="M222" t="s">
        <v>70</v>
      </c>
    </row>
    <row r="223" spans="1:13" x14ac:dyDescent="0.45">
      <c r="A223" t="s">
        <v>0</v>
      </c>
      <c r="B223" t="s">
        <v>74</v>
      </c>
      <c r="C223">
        <v>2030</v>
      </c>
      <c r="D223">
        <v>44</v>
      </c>
      <c r="E223">
        <v>3.22</v>
      </c>
      <c r="F223">
        <v>3.09</v>
      </c>
      <c r="G223">
        <v>1.1399999999999999</v>
      </c>
      <c r="H223">
        <v>0</v>
      </c>
      <c r="I223">
        <v>6.3</v>
      </c>
      <c r="J223">
        <v>2.69</v>
      </c>
      <c r="K223">
        <v>3.84</v>
      </c>
      <c r="L223" t="s">
        <v>1</v>
      </c>
      <c r="M223" t="s">
        <v>70</v>
      </c>
    </row>
    <row r="224" spans="1:13" x14ac:dyDescent="0.45">
      <c r="A224" t="s">
        <v>0</v>
      </c>
      <c r="B224" t="s">
        <v>74</v>
      </c>
      <c r="C224">
        <v>2035</v>
      </c>
      <c r="D224">
        <v>44</v>
      </c>
      <c r="E224">
        <v>3.85</v>
      </c>
      <c r="F224">
        <v>3.62</v>
      </c>
      <c r="G224">
        <v>1.55</v>
      </c>
      <c r="H224">
        <v>0</v>
      </c>
      <c r="I224">
        <v>8.33</v>
      </c>
      <c r="J224">
        <v>2.76</v>
      </c>
      <c r="K224">
        <v>4.75</v>
      </c>
      <c r="L224" t="s">
        <v>1</v>
      </c>
      <c r="M224" t="s">
        <v>70</v>
      </c>
    </row>
    <row r="225" spans="1:13" x14ac:dyDescent="0.45">
      <c r="A225" t="s">
        <v>0</v>
      </c>
      <c r="B225" t="s">
        <v>74</v>
      </c>
      <c r="C225">
        <v>2040</v>
      </c>
      <c r="D225">
        <v>44</v>
      </c>
      <c r="E225">
        <v>4.68</v>
      </c>
      <c r="F225">
        <v>4.42</v>
      </c>
      <c r="G225">
        <v>1.88</v>
      </c>
      <c r="H225">
        <v>0</v>
      </c>
      <c r="I225">
        <v>9.23</v>
      </c>
      <c r="J225">
        <v>3.25</v>
      </c>
      <c r="K225">
        <v>6.38</v>
      </c>
      <c r="L225" t="s">
        <v>1</v>
      </c>
      <c r="M225" t="s">
        <v>70</v>
      </c>
    </row>
    <row r="226" spans="1:13" x14ac:dyDescent="0.45">
      <c r="A226" t="s">
        <v>0</v>
      </c>
      <c r="B226" t="s">
        <v>74</v>
      </c>
      <c r="C226">
        <v>2045</v>
      </c>
      <c r="D226">
        <v>44</v>
      </c>
      <c r="E226">
        <v>5.14</v>
      </c>
      <c r="F226">
        <v>4.68</v>
      </c>
      <c r="G226">
        <v>2.0499999999999998</v>
      </c>
      <c r="H226">
        <v>0</v>
      </c>
      <c r="I226">
        <v>9.2799999999999994</v>
      </c>
      <c r="J226">
        <v>3.67</v>
      </c>
      <c r="K226">
        <v>6.07</v>
      </c>
      <c r="L226" t="s">
        <v>1</v>
      </c>
      <c r="M226" t="s">
        <v>70</v>
      </c>
    </row>
    <row r="227" spans="1:13" x14ac:dyDescent="0.45">
      <c r="A227" t="s">
        <v>0</v>
      </c>
      <c r="B227" t="s">
        <v>74</v>
      </c>
      <c r="C227">
        <v>2050</v>
      </c>
      <c r="D227">
        <v>44</v>
      </c>
      <c r="E227">
        <v>5.16</v>
      </c>
      <c r="F227">
        <v>4.4800000000000004</v>
      </c>
      <c r="G227">
        <v>2.34</v>
      </c>
      <c r="H227">
        <v>0</v>
      </c>
      <c r="I227">
        <v>9.9499999999999993</v>
      </c>
      <c r="J227">
        <v>3.95</v>
      </c>
      <c r="K227">
        <v>5.19</v>
      </c>
      <c r="L227" t="s">
        <v>1</v>
      </c>
      <c r="M227" t="s">
        <v>70</v>
      </c>
    </row>
    <row r="228" spans="1:13" x14ac:dyDescent="0.45">
      <c r="A228" t="s">
        <v>2</v>
      </c>
      <c r="B228" t="s">
        <v>74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74</v>
      </c>
      <c r="C229">
        <v>2025</v>
      </c>
      <c r="D229">
        <v>44</v>
      </c>
      <c r="E229">
        <v>1.32</v>
      </c>
      <c r="F229">
        <v>1.32</v>
      </c>
      <c r="G229">
        <v>0.47</v>
      </c>
      <c r="H229">
        <v>0</v>
      </c>
      <c r="I229">
        <v>2.95</v>
      </c>
      <c r="J229">
        <v>1.1100000000000001</v>
      </c>
      <c r="K229">
        <v>1.51</v>
      </c>
      <c r="L229" t="s">
        <v>3</v>
      </c>
      <c r="M229" t="s">
        <v>70</v>
      </c>
    </row>
    <row r="230" spans="1:13" x14ac:dyDescent="0.45">
      <c r="A230" t="s">
        <v>2</v>
      </c>
      <c r="B230" t="s">
        <v>74</v>
      </c>
      <c r="C230">
        <v>2030</v>
      </c>
      <c r="D230">
        <v>44</v>
      </c>
      <c r="E230">
        <v>1.53</v>
      </c>
      <c r="F230">
        <v>1.23</v>
      </c>
      <c r="G230">
        <v>0.71</v>
      </c>
      <c r="H230">
        <v>0</v>
      </c>
      <c r="I230">
        <v>3.93</v>
      </c>
      <c r="J230">
        <v>1.18</v>
      </c>
      <c r="K230">
        <v>1.75</v>
      </c>
      <c r="L230" t="s">
        <v>3</v>
      </c>
      <c r="M230" t="s">
        <v>70</v>
      </c>
    </row>
    <row r="231" spans="1:13" x14ac:dyDescent="0.45">
      <c r="A231" t="s">
        <v>2</v>
      </c>
      <c r="B231" t="s">
        <v>74</v>
      </c>
      <c r="C231">
        <v>2035</v>
      </c>
      <c r="D231">
        <v>44</v>
      </c>
      <c r="E231">
        <v>2.91</v>
      </c>
      <c r="F231">
        <v>2.33</v>
      </c>
      <c r="G231">
        <v>2.71</v>
      </c>
      <c r="H231">
        <v>1.05</v>
      </c>
      <c r="I231">
        <v>15.1</v>
      </c>
      <c r="J231">
        <v>1.9</v>
      </c>
      <c r="K231">
        <v>2.62</v>
      </c>
      <c r="L231" t="s">
        <v>3</v>
      </c>
      <c r="M231" t="s">
        <v>70</v>
      </c>
    </row>
    <row r="232" spans="1:13" x14ac:dyDescent="0.45">
      <c r="A232" t="s">
        <v>2</v>
      </c>
      <c r="B232" t="s">
        <v>74</v>
      </c>
      <c r="C232">
        <v>2040</v>
      </c>
      <c r="D232">
        <v>44</v>
      </c>
      <c r="E232">
        <v>3.61</v>
      </c>
      <c r="F232">
        <v>2.75</v>
      </c>
      <c r="G232">
        <v>3.58</v>
      </c>
      <c r="H232">
        <v>1.04</v>
      </c>
      <c r="I232">
        <v>19.920000000000002</v>
      </c>
      <c r="J232">
        <v>2.0099999999999998</v>
      </c>
      <c r="K232">
        <v>3.31</v>
      </c>
      <c r="L232" t="s">
        <v>3</v>
      </c>
      <c r="M232" t="s">
        <v>70</v>
      </c>
    </row>
    <row r="233" spans="1:13" x14ac:dyDescent="0.45">
      <c r="A233" t="s">
        <v>2</v>
      </c>
      <c r="B233" t="s">
        <v>74</v>
      </c>
      <c r="C233">
        <v>2045</v>
      </c>
      <c r="D233">
        <v>44</v>
      </c>
      <c r="E233">
        <v>3.42</v>
      </c>
      <c r="F233">
        <v>3.2</v>
      </c>
      <c r="G233">
        <v>1.44</v>
      </c>
      <c r="H233">
        <v>1.1000000000000001</v>
      </c>
      <c r="I233">
        <v>8.15</v>
      </c>
      <c r="J233">
        <v>2.2999999999999998</v>
      </c>
      <c r="K233">
        <v>4.1500000000000004</v>
      </c>
      <c r="L233" t="s">
        <v>3</v>
      </c>
      <c r="M233" t="s">
        <v>70</v>
      </c>
    </row>
    <row r="234" spans="1:13" x14ac:dyDescent="0.45">
      <c r="A234" t="s">
        <v>2</v>
      </c>
      <c r="B234" t="s">
        <v>74</v>
      </c>
      <c r="C234">
        <v>2050</v>
      </c>
      <c r="D234">
        <v>44</v>
      </c>
      <c r="E234">
        <v>3.45</v>
      </c>
      <c r="F234">
        <v>3.42</v>
      </c>
      <c r="G234">
        <v>1.19</v>
      </c>
      <c r="H234">
        <v>1.2</v>
      </c>
      <c r="I234">
        <v>7</v>
      </c>
      <c r="J234">
        <v>2.57</v>
      </c>
      <c r="K234">
        <v>4.04</v>
      </c>
      <c r="L234" t="s">
        <v>3</v>
      </c>
      <c r="M234" t="s">
        <v>70</v>
      </c>
    </row>
    <row r="235" spans="1:13" x14ac:dyDescent="0.45">
      <c r="A235" t="s">
        <v>5</v>
      </c>
      <c r="B235" t="s">
        <v>74</v>
      </c>
      <c r="C235">
        <v>2020</v>
      </c>
      <c r="D235">
        <v>107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74</v>
      </c>
      <c r="C236">
        <v>2025</v>
      </c>
      <c r="D236">
        <v>107</v>
      </c>
      <c r="E236">
        <v>1.61</v>
      </c>
      <c r="F236">
        <v>1.52</v>
      </c>
      <c r="G236">
        <v>0.61</v>
      </c>
      <c r="H236">
        <v>0</v>
      </c>
      <c r="I236">
        <v>4.47</v>
      </c>
      <c r="J236">
        <v>1.19</v>
      </c>
      <c r="K236">
        <v>1.88</v>
      </c>
      <c r="L236" t="s">
        <v>6</v>
      </c>
      <c r="M236" t="s">
        <v>70</v>
      </c>
    </row>
    <row r="237" spans="1:13" x14ac:dyDescent="0.45">
      <c r="A237" t="s">
        <v>5</v>
      </c>
      <c r="B237" t="s">
        <v>74</v>
      </c>
      <c r="C237">
        <v>2030</v>
      </c>
      <c r="D237">
        <v>107</v>
      </c>
      <c r="E237">
        <v>1.88</v>
      </c>
      <c r="F237">
        <v>1.71</v>
      </c>
      <c r="G237">
        <v>0.71</v>
      </c>
      <c r="H237">
        <v>0</v>
      </c>
      <c r="I237">
        <v>4.1500000000000004</v>
      </c>
      <c r="J237">
        <v>1.41</v>
      </c>
      <c r="K237">
        <v>2.38</v>
      </c>
      <c r="L237" t="s">
        <v>6</v>
      </c>
      <c r="M237" t="s">
        <v>70</v>
      </c>
    </row>
    <row r="238" spans="1:13" x14ac:dyDescent="0.45">
      <c r="A238" t="s">
        <v>5</v>
      </c>
      <c r="B238" t="s">
        <v>74</v>
      </c>
      <c r="C238">
        <v>2035</v>
      </c>
      <c r="D238">
        <v>107</v>
      </c>
      <c r="E238">
        <v>2.31</v>
      </c>
      <c r="F238">
        <v>2.17</v>
      </c>
      <c r="G238">
        <v>0.64</v>
      </c>
      <c r="H238">
        <v>0</v>
      </c>
      <c r="I238">
        <v>4.22</v>
      </c>
      <c r="J238">
        <v>1.85</v>
      </c>
      <c r="K238">
        <v>2.67</v>
      </c>
      <c r="L238" t="s">
        <v>6</v>
      </c>
      <c r="M238" t="s">
        <v>70</v>
      </c>
    </row>
    <row r="239" spans="1:13" x14ac:dyDescent="0.45">
      <c r="A239" t="s">
        <v>5</v>
      </c>
      <c r="B239" t="s">
        <v>74</v>
      </c>
      <c r="C239">
        <v>2040</v>
      </c>
      <c r="D239">
        <v>107</v>
      </c>
      <c r="E239">
        <v>2.66</v>
      </c>
      <c r="F239">
        <v>2.59</v>
      </c>
      <c r="G239">
        <v>0.89</v>
      </c>
      <c r="H239">
        <v>0</v>
      </c>
      <c r="I239">
        <v>5.0199999999999996</v>
      </c>
      <c r="J239">
        <v>2.0299999999999998</v>
      </c>
      <c r="K239">
        <v>3.06</v>
      </c>
      <c r="L239" t="s">
        <v>6</v>
      </c>
      <c r="M239" t="s">
        <v>70</v>
      </c>
    </row>
    <row r="240" spans="1:13" x14ac:dyDescent="0.45">
      <c r="A240" t="s">
        <v>5</v>
      </c>
      <c r="B240" t="s">
        <v>74</v>
      </c>
      <c r="C240">
        <v>2045</v>
      </c>
      <c r="D240">
        <v>107</v>
      </c>
      <c r="E240">
        <v>3</v>
      </c>
      <c r="F240">
        <v>2.93</v>
      </c>
      <c r="G240">
        <v>1.04</v>
      </c>
      <c r="H240">
        <v>0</v>
      </c>
      <c r="I240">
        <v>5.63</v>
      </c>
      <c r="J240">
        <v>2.23</v>
      </c>
      <c r="K240">
        <v>3.45</v>
      </c>
      <c r="L240" t="s">
        <v>6</v>
      </c>
      <c r="M240" t="s">
        <v>70</v>
      </c>
    </row>
    <row r="241" spans="1:13" x14ac:dyDescent="0.45">
      <c r="A241" t="s">
        <v>5</v>
      </c>
      <c r="B241" t="s">
        <v>74</v>
      </c>
      <c r="C241">
        <v>2050</v>
      </c>
      <c r="D241">
        <v>107</v>
      </c>
      <c r="E241">
        <v>3.21</v>
      </c>
      <c r="F241">
        <v>3.21</v>
      </c>
      <c r="G241">
        <v>1.21</v>
      </c>
      <c r="H241">
        <v>0</v>
      </c>
      <c r="I241">
        <v>6.67</v>
      </c>
      <c r="J241">
        <v>2.33</v>
      </c>
      <c r="K241">
        <v>3.69</v>
      </c>
      <c r="L241" t="s">
        <v>6</v>
      </c>
      <c r="M241" t="s">
        <v>70</v>
      </c>
    </row>
    <row r="242" spans="1:13" x14ac:dyDescent="0.45">
      <c r="A242" t="s">
        <v>7</v>
      </c>
      <c r="B242" t="s">
        <v>74</v>
      </c>
      <c r="C242">
        <v>2020</v>
      </c>
      <c r="D242">
        <v>29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74</v>
      </c>
      <c r="C243">
        <v>2025</v>
      </c>
      <c r="D243">
        <v>29</v>
      </c>
      <c r="E243">
        <v>1.33</v>
      </c>
      <c r="F243">
        <v>1.22</v>
      </c>
      <c r="G243">
        <v>0.26</v>
      </c>
      <c r="H243">
        <v>1.08</v>
      </c>
      <c r="I243">
        <v>1.99</v>
      </c>
      <c r="J243">
        <v>1.1599999999999999</v>
      </c>
      <c r="K243">
        <v>1.4</v>
      </c>
      <c r="L243" t="s">
        <v>8</v>
      </c>
      <c r="M243" t="s">
        <v>70</v>
      </c>
    </row>
    <row r="244" spans="1:13" x14ac:dyDescent="0.45">
      <c r="A244" t="s">
        <v>7</v>
      </c>
      <c r="B244" t="s">
        <v>74</v>
      </c>
      <c r="C244">
        <v>2030</v>
      </c>
      <c r="D244">
        <v>29</v>
      </c>
      <c r="E244">
        <v>1.54</v>
      </c>
      <c r="F244">
        <v>1.56</v>
      </c>
      <c r="G244">
        <v>0.24</v>
      </c>
      <c r="H244">
        <v>1.19</v>
      </c>
      <c r="I244">
        <v>2</v>
      </c>
      <c r="J244">
        <v>1.34</v>
      </c>
      <c r="K244">
        <v>1.68</v>
      </c>
      <c r="L244" t="s">
        <v>8</v>
      </c>
      <c r="M244" t="s">
        <v>70</v>
      </c>
    </row>
    <row r="245" spans="1:13" x14ac:dyDescent="0.45">
      <c r="A245" t="s">
        <v>7</v>
      </c>
      <c r="B245" t="s">
        <v>74</v>
      </c>
      <c r="C245">
        <v>2035</v>
      </c>
      <c r="D245">
        <v>29</v>
      </c>
      <c r="E245">
        <v>1.8</v>
      </c>
      <c r="F245">
        <v>1.74</v>
      </c>
      <c r="G245">
        <v>0.25</v>
      </c>
      <c r="H245">
        <v>1.44</v>
      </c>
      <c r="I245">
        <v>2.39</v>
      </c>
      <c r="J245">
        <v>1.62</v>
      </c>
      <c r="K245">
        <v>1.9</v>
      </c>
      <c r="L245" t="s">
        <v>8</v>
      </c>
      <c r="M245" t="s">
        <v>70</v>
      </c>
    </row>
    <row r="246" spans="1:13" x14ac:dyDescent="0.45">
      <c r="A246" t="s">
        <v>7</v>
      </c>
      <c r="B246" t="s">
        <v>74</v>
      </c>
      <c r="C246">
        <v>2040</v>
      </c>
      <c r="D246">
        <v>29</v>
      </c>
      <c r="E246">
        <v>2.08</v>
      </c>
      <c r="F246">
        <v>2.0699999999999998</v>
      </c>
      <c r="G246">
        <v>0.43</v>
      </c>
      <c r="H246">
        <v>1.5</v>
      </c>
      <c r="I246">
        <v>3.52</v>
      </c>
      <c r="J246">
        <v>1.72</v>
      </c>
      <c r="K246">
        <v>2.2799999999999998</v>
      </c>
      <c r="L246" t="s">
        <v>8</v>
      </c>
      <c r="M246" t="s">
        <v>70</v>
      </c>
    </row>
    <row r="247" spans="1:13" x14ac:dyDescent="0.45">
      <c r="A247" t="s">
        <v>7</v>
      </c>
      <c r="B247" t="s">
        <v>74</v>
      </c>
      <c r="C247">
        <v>2045</v>
      </c>
      <c r="D247">
        <v>29</v>
      </c>
      <c r="E247">
        <v>2.33</v>
      </c>
      <c r="F247">
        <v>2.27</v>
      </c>
      <c r="G247">
        <v>0.5</v>
      </c>
      <c r="H247">
        <v>1.72</v>
      </c>
      <c r="I247">
        <v>4.0599999999999996</v>
      </c>
      <c r="J247">
        <v>1.91</v>
      </c>
      <c r="K247">
        <v>2.56</v>
      </c>
      <c r="L247" t="s">
        <v>8</v>
      </c>
      <c r="M247" t="s">
        <v>70</v>
      </c>
    </row>
    <row r="248" spans="1:13" x14ac:dyDescent="0.45">
      <c r="A248" t="s">
        <v>7</v>
      </c>
      <c r="B248" t="s">
        <v>74</v>
      </c>
      <c r="C248">
        <v>2050</v>
      </c>
      <c r="D248">
        <v>29</v>
      </c>
      <c r="E248">
        <v>2.4</v>
      </c>
      <c r="F248">
        <v>2.41</v>
      </c>
      <c r="G248">
        <v>0.48</v>
      </c>
      <c r="H248">
        <v>1.67</v>
      </c>
      <c r="I248">
        <v>3.43</v>
      </c>
      <c r="J248">
        <v>1.97</v>
      </c>
      <c r="K248">
        <v>2.69</v>
      </c>
      <c r="L248" t="s">
        <v>8</v>
      </c>
      <c r="M248" t="s">
        <v>70</v>
      </c>
    </row>
    <row r="249" spans="1:13" x14ac:dyDescent="0.45">
      <c r="A249" t="s">
        <v>9</v>
      </c>
      <c r="B249" t="s">
        <v>74</v>
      </c>
      <c r="C249">
        <v>2020</v>
      </c>
      <c r="D249">
        <v>43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74</v>
      </c>
      <c r="C250">
        <v>2025</v>
      </c>
      <c r="D250">
        <v>43</v>
      </c>
      <c r="E250">
        <v>1.08</v>
      </c>
      <c r="F250">
        <v>1.03</v>
      </c>
      <c r="G250">
        <v>0.17</v>
      </c>
      <c r="H250">
        <v>0.94</v>
      </c>
      <c r="I250">
        <v>1.99</v>
      </c>
      <c r="J250">
        <v>1.02</v>
      </c>
      <c r="K250">
        <v>1.08</v>
      </c>
      <c r="L250" t="s">
        <v>10</v>
      </c>
      <c r="M250" t="s">
        <v>70</v>
      </c>
    </row>
    <row r="251" spans="1:13" x14ac:dyDescent="0.45">
      <c r="A251" t="s">
        <v>9</v>
      </c>
      <c r="B251" t="s">
        <v>74</v>
      </c>
      <c r="C251">
        <v>2030</v>
      </c>
      <c r="D251">
        <v>43</v>
      </c>
      <c r="E251">
        <v>1.1399999999999999</v>
      </c>
      <c r="F251">
        <v>1.1299999999999999</v>
      </c>
      <c r="G251">
        <v>0.17</v>
      </c>
      <c r="H251">
        <v>0.99</v>
      </c>
      <c r="I251">
        <v>2</v>
      </c>
      <c r="J251">
        <v>1.04</v>
      </c>
      <c r="K251">
        <v>1.1599999999999999</v>
      </c>
      <c r="L251" t="s">
        <v>10</v>
      </c>
      <c r="M251" t="s">
        <v>70</v>
      </c>
    </row>
    <row r="252" spans="1:13" x14ac:dyDescent="0.45">
      <c r="A252" t="s">
        <v>9</v>
      </c>
      <c r="B252" t="s">
        <v>74</v>
      </c>
      <c r="C252">
        <v>2035</v>
      </c>
      <c r="D252">
        <v>43</v>
      </c>
      <c r="E252">
        <v>1.17</v>
      </c>
      <c r="F252">
        <v>1.1599999999999999</v>
      </c>
      <c r="G252">
        <v>0.17</v>
      </c>
      <c r="H252">
        <v>0.98</v>
      </c>
      <c r="I252">
        <v>1.95</v>
      </c>
      <c r="J252">
        <v>1.08</v>
      </c>
      <c r="K252">
        <v>1.18</v>
      </c>
      <c r="L252" t="s">
        <v>10</v>
      </c>
      <c r="M252" t="s">
        <v>70</v>
      </c>
    </row>
    <row r="253" spans="1:13" x14ac:dyDescent="0.45">
      <c r="A253" t="s">
        <v>9</v>
      </c>
      <c r="B253" t="s">
        <v>74</v>
      </c>
      <c r="C253">
        <v>2040</v>
      </c>
      <c r="D253">
        <v>43</v>
      </c>
      <c r="E253">
        <v>1.21</v>
      </c>
      <c r="F253">
        <v>1.19</v>
      </c>
      <c r="G253">
        <v>0.18</v>
      </c>
      <c r="H253">
        <v>0.98</v>
      </c>
      <c r="I253">
        <v>1.97</v>
      </c>
      <c r="J253">
        <v>1.1000000000000001</v>
      </c>
      <c r="K253">
        <v>1.21</v>
      </c>
      <c r="L253" t="s">
        <v>10</v>
      </c>
      <c r="M253" t="s">
        <v>70</v>
      </c>
    </row>
    <row r="254" spans="1:13" x14ac:dyDescent="0.45">
      <c r="A254" t="s">
        <v>9</v>
      </c>
      <c r="B254" t="s">
        <v>74</v>
      </c>
      <c r="C254">
        <v>2045</v>
      </c>
      <c r="D254">
        <v>43</v>
      </c>
      <c r="E254">
        <v>1.27</v>
      </c>
      <c r="F254">
        <v>1.27</v>
      </c>
      <c r="G254">
        <v>0.2</v>
      </c>
      <c r="H254">
        <v>0.98</v>
      </c>
      <c r="I254">
        <v>2.0499999999999998</v>
      </c>
      <c r="J254">
        <v>1.1200000000000001</v>
      </c>
      <c r="K254">
        <v>1.32</v>
      </c>
      <c r="L254" t="s">
        <v>10</v>
      </c>
      <c r="M254" t="s">
        <v>70</v>
      </c>
    </row>
    <row r="255" spans="1:13" x14ac:dyDescent="0.45">
      <c r="A255" t="s">
        <v>9</v>
      </c>
      <c r="B255" t="s">
        <v>74</v>
      </c>
      <c r="C255">
        <v>2050</v>
      </c>
      <c r="D255">
        <v>43</v>
      </c>
      <c r="E255">
        <v>1.32</v>
      </c>
      <c r="F255">
        <v>1.31</v>
      </c>
      <c r="G255">
        <v>0.21</v>
      </c>
      <c r="H255">
        <v>0.98</v>
      </c>
      <c r="I255">
        <v>2.12</v>
      </c>
      <c r="J255">
        <v>1.2</v>
      </c>
      <c r="K255">
        <v>1.38</v>
      </c>
      <c r="L255" t="s">
        <v>10</v>
      </c>
      <c r="M255" t="s">
        <v>70</v>
      </c>
    </row>
    <row r="256" spans="1:13" x14ac:dyDescent="0.45">
      <c r="A256" t="s">
        <v>0</v>
      </c>
      <c r="B256" t="s">
        <v>74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74</v>
      </c>
      <c r="C257">
        <v>2025</v>
      </c>
      <c r="D257">
        <v>50</v>
      </c>
      <c r="E257">
        <v>1.64</v>
      </c>
      <c r="F257">
        <v>1.39</v>
      </c>
      <c r="G257">
        <v>0.84</v>
      </c>
      <c r="H257">
        <v>0</v>
      </c>
      <c r="I257">
        <v>4.01</v>
      </c>
      <c r="J257">
        <v>1.05</v>
      </c>
      <c r="K257">
        <v>2.0699999999999998</v>
      </c>
      <c r="L257" t="s">
        <v>1</v>
      </c>
      <c r="M257" t="s">
        <v>71</v>
      </c>
    </row>
    <row r="258" spans="1:13" x14ac:dyDescent="0.45">
      <c r="A258" t="s">
        <v>0</v>
      </c>
      <c r="B258" t="s">
        <v>74</v>
      </c>
      <c r="C258">
        <v>2030</v>
      </c>
      <c r="D258">
        <v>50</v>
      </c>
      <c r="E258">
        <v>2.2400000000000002</v>
      </c>
      <c r="F258">
        <v>2.12</v>
      </c>
      <c r="G258">
        <v>1.2</v>
      </c>
      <c r="H258">
        <v>0</v>
      </c>
      <c r="I258">
        <v>6.24</v>
      </c>
      <c r="J258">
        <v>1.48</v>
      </c>
      <c r="K258">
        <v>3.09</v>
      </c>
      <c r="L258" t="s">
        <v>1</v>
      </c>
      <c r="M258" t="s">
        <v>71</v>
      </c>
    </row>
    <row r="259" spans="1:13" x14ac:dyDescent="0.45">
      <c r="A259" t="s">
        <v>0</v>
      </c>
      <c r="B259" t="s">
        <v>74</v>
      </c>
      <c r="C259">
        <v>2035</v>
      </c>
      <c r="D259">
        <v>50</v>
      </c>
      <c r="E259">
        <v>2.62</v>
      </c>
      <c r="F259">
        <v>2.21</v>
      </c>
      <c r="G259">
        <v>1.6</v>
      </c>
      <c r="H259">
        <v>-0.96</v>
      </c>
      <c r="I259">
        <v>6.14</v>
      </c>
      <c r="J259">
        <v>1.55</v>
      </c>
      <c r="K259">
        <v>3.64</v>
      </c>
      <c r="L259" t="s">
        <v>1</v>
      </c>
      <c r="M259" t="s">
        <v>71</v>
      </c>
    </row>
    <row r="260" spans="1:13" x14ac:dyDescent="0.45">
      <c r="A260" t="s">
        <v>0</v>
      </c>
      <c r="B260" t="s">
        <v>74</v>
      </c>
      <c r="C260">
        <v>2040</v>
      </c>
      <c r="D260">
        <v>50</v>
      </c>
      <c r="E260">
        <v>3.24</v>
      </c>
      <c r="F260">
        <v>2.61</v>
      </c>
      <c r="G260">
        <v>2.06</v>
      </c>
      <c r="H260">
        <v>-0.09</v>
      </c>
      <c r="I260">
        <v>7.09</v>
      </c>
      <c r="J260">
        <v>1.81</v>
      </c>
      <c r="K260">
        <v>4.49</v>
      </c>
      <c r="L260" t="s">
        <v>1</v>
      </c>
      <c r="M260" t="s">
        <v>71</v>
      </c>
    </row>
    <row r="261" spans="1:13" x14ac:dyDescent="0.45">
      <c r="A261" t="s">
        <v>0</v>
      </c>
      <c r="B261" t="s">
        <v>74</v>
      </c>
      <c r="C261">
        <v>2045</v>
      </c>
      <c r="D261">
        <v>50</v>
      </c>
      <c r="E261">
        <v>3.47</v>
      </c>
      <c r="F261">
        <v>2.95</v>
      </c>
      <c r="G261">
        <v>2.66</v>
      </c>
      <c r="H261">
        <v>-0.32</v>
      </c>
      <c r="I261">
        <v>8.61</v>
      </c>
      <c r="J261">
        <v>1.81</v>
      </c>
      <c r="K261">
        <v>4.59</v>
      </c>
      <c r="L261" t="s">
        <v>1</v>
      </c>
      <c r="M261" t="s">
        <v>71</v>
      </c>
    </row>
    <row r="262" spans="1:13" x14ac:dyDescent="0.45">
      <c r="A262" t="s">
        <v>0</v>
      </c>
      <c r="B262" t="s">
        <v>74</v>
      </c>
      <c r="C262">
        <v>2050</v>
      </c>
      <c r="D262">
        <v>50</v>
      </c>
      <c r="E262">
        <v>3.57</v>
      </c>
      <c r="F262">
        <v>2.72</v>
      </c>
      <c r="G262">
        <v>3.08</v>
      </c>
      <c r="H262">
        <v>-0.44</v>
      </c>
      <c r="I262">
        <v>9.4700000000000006</v>
      </c>
      <c r="J262">
        <v>2.0299999999999998</v>
      </c>
      <c r="K262">
        <v>4.43</v>
      </c>
      <c r="L262" t="s">
        <v>1</v>
      </c>
      <c r="M262" t="s">
        <v>71</v>
      </c>
    </row>
    <row r="263" spans="1:13" x14ac:dyDescent="0.45">
      <c r="A263" t="s">
        <v>2</v>
      </c>
      <c r="B263" t="s">
        <v>74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74</v>
      </c>
      <c r="C264">
        <v>2025</v>
      </c>
      <c r="D264">
        <v>52</v>
      </c>
      <c r="E264">
        <v>1.1000000000000001</v>
      </c>
      <c r="F264">
        <v>1.1499999999999999</v>
      </c>
      <c r="G264">
        <v>0.38</v>
      </c>
      <c r="H264">
        <v>0.56000000000000005</v>
      </c>
      <c r="I264">
        <v>3.02</v>
      </c>
      <c r="J264">
        <v>0.94</v>
      </c>
      <c r="K264">
        <v>1.27</v>
      </c>
      <c r="L264" t="s">
        <v>3</v>
      </c>
      <c r="M264" t="s">
        <v>71</v>
      </c>
    </row>
    <row r="265" spans="1:13" x14ac:dyDescent="0.45">
      <c r="A265" t="s">
        <v>2</v>
      </c>
      <c r="B265" t="s">
        <v>74</v>
      </c>
      <c r="C265">
        <v>2030</v>
      </c>
      <c r="D265">
        <v>63</v>
      </c>
      <c r="E265">
        <v>1.72</v>
      </c>
      <c r="F265">
        <v>1.24</v>
      </c>
      <c r="G265">
        <v>1.42</v>
      </c>
      <c r="H265">
        <v>0.81</v>
      </c>
      <c r="I265">
        <v>7.6</v>
      </c>
      <c r="J265">
        <v>1.0900000000000001</v>
      </c>
      <c r="K265">
        <v>1.52</v>
      </c>
      <c r="L265" t="s">
        <v>3</v>
      </c>
      <c r="M265" t="s">
        <v>71</v>
      </c>
    </row>
    <row r="266" spans="1:13" x14ac:dyDescent="0.45">
      <c r="A266" t="s">
        <v>2</v>
      </c>
      <c r="B266" t="s">
        <v>74</v>
      </c>
      <c r="C266">
        <v>2035</v>
      </c>
      <c r="D266">
        <v>52</v>
      </c>
      <c r="E266">
        <v>2.0699999999999998</v>
      </c>
      <c r="F266">
        <v>1.46</v>
      </c>
      <c r="G266">
        <v>1.61</v>
      </c>
      <c r="H266">
        <v>0.77</v>
      </c>
      <c r="I266">
        <v>9.02</v>
      </c>
      <c r="J266">
        <v>1.27</v>
      </c>
      <c r="K266">
        <v>2</v>
      </c>
      <c r="L266" t="s">
        <v>3</v>
      </c>
      <c r="M266" t="s">
        <v>71</v>
      </c>
    </row>
    <row r="267" spans="1:13" x14ac:dyDescent="0.45">
      <c r="A267" t="s">
        <v>2</v>
      </c>
      <c r="B267" t="s">
        <v>74</v>
      </c>
      <c r="C267">
        <v>2040</v>
      </c>
      <c r="D267">
        <v>63</v>
      </c>
      <c r="E267">
        <v>2.9</v>
      </c>
      <c r="F267">
        <v>1.77</v>
      </c>
      <c r="G267">
        <v>2.8</v>
      </c>
      <c r="H267">
        <v>-0.12</v>
      </c>
      <c r="I267">
        <v>12.26</v>
      </c>
      <c r="J267">
        <v>1.52</v>
      </c>
      <c r="K267">
        <v>2.69</v>
      </c>
      <c r="L267" t="s">
        <v>3</v>
      </c>
      <c r="M267" t="s">
        <v>71</v>
      </c>
    </row>
    <row r="268" spans="1:13" x14ac:dyDescent="0.45">
      <c r="A268" t="s">
        <v>2</v>
      </c>
      <c r="B268" t="s">
        <v>74</v>
      </c>
      <c r="C268">
        <v>2045</v>
      </c>
      <c r="D268">
        <v>52</v>
      </c>
      <c r="E268">
        <v>2.23</v>
      </c>
      <c r="F268">
        <v>1.96</v>
      </c>
      <c r="G268">
        <v>1.38</v>
      </c>
      <c r="H268">
        <v>0.13</v>
      </c>
      <c r="I268">
        <v>8.1</v>
      </c>
      <c r="J268">
        <v>1.55</v>
      </c>
      <c r="K268">
        <v>2.39</v>
      </c>
      <c r="L268" t="s">
        <v>3</v>
      </c>
      <c r="M268" t="s">
        <v>71</v>
      </c>
    </row>
    <row r="269" spans="1:13" x14ac:dyDescent="0.45">
      <c r="A269" t="s">
        <v>2</v>
      </c>
      <c r="B269" t="s">
        <v>74</v>
      </c>
      <c r="C269">
        <v>2050</v>
      </c>
      <c r="D269">
        <v>63</v>
      </c>
      <c r="E269">
        <v>2.74</v>
      </c>
      <c r="F269">
        <v>1.88</v>
      </c>
      <c r="G269">
        <v>3.53</v>
      </c>
      <c r="H269">
        <v>-0.93</v>
      </c>
      <c r="I269">
        <v>17.54</v>
      </c>
      <c r="J269">
        <v>1.24</v>
      </c>
      <c r="K269">
        <v>2.34</v>
      </c>
      <c r="L269" t="s">
        <v>3</v>
      </c>
      <c r="M269" t="s">
        <v>71</v>
      </c>
    </row>
    <row r="270" spans="1:13" x14ac:dyDescent="0.45">
      <c r="A270" t="s">
        <v>5</v>
      </c>
      <c r="B270" t="s">
        <v>74</v>
      </c>
      <c r="C270">
        <v>2020</v>
      </c>
      <c r="D270">
        <v>160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74</v>
      </c>
      <c r="C271">
        <v>2025</v>
      </c>
      <c r="D271">
        <v>157</v>
      </c>
      <c r="E271">
        <v>1.1599999999999999</v>
      </c>
      <c r="F271">
        <v>1.19</v>
      </c>
      <c r="G271">
        <v>0.48</v>
      </c>
      <c r="H271">
        <v>0.56000000000000005</v>
      </c>
      <c r="I271">
        <v>3.55</v>
      </c>
      <c r="J271">
        <v>0.85</v>
      </c>
      <c r="K271">
        <v>1.27</v>
      </c>
      <c r="L271" t="s">
        <v>6</v>
      </c>
      <c r="M271" t="s">
        <v>71</v>
      </c>
    </row>
    <row r="272" spans="1:13" x14ac:dyDescent="0.45">
      <c r="A272" t="s">
        <v>5</v>
      </c>
      <c r="B272" t="s">
        <v>74</v>
      </c>
      <c r="C272">
        <v>2030</v>
      </c>
      <c r="D272">
        <v>160</v>
      </c>
      <c r="E272">
        <v>1.46</v>
      </c>
      <c r="F272">
        <v>1.35</v>
      </c>
      <c r="G272">
        <v>0.53</v>
      </c>
      <c r="H272">
        <v>0.91</v>
      </c>
      <c r="I272">
        <v>4.55</v>
      </c>
      <c r="J272">
        <v>1.1299999999999999</v>
      </c>
      <c r="K272">
        <v>1.63</v>
      </c>
      <c r="L272" t="s">
        <v>6</v>
      </c>
      <c r="M272" t="s">
        <v>71</v>
      </c>
    </row>
    <row r="273" spans="1:13" x14ac:dyDescent="0.45">
      <c r="A273" t="s">
        <v>5</v>
      </c>
      <c r="B273" t="s">
        <v>74</v>
      </c>
      <c r="C273">
        <v>2035</v>
      </c>
      <c r="D273">
        <v>157</v>
      </c>
      <c r="E273">
        <v>1.72</v>
      </c>
      <c r="F273">
        <v>1.51</v>
      </c>
      <c r="G273">
        <v>0.74</v>
      </c>
      <c r="H273">
        <v>0</v>
      </c>
      <c r="I273">
        <v>5.08</v>
      </c>
      <c r="J273">
        <v>1.22</v>
      </c>
      <c r="K273">
        <v>2.02</v>
      </c>
      <c r="L273" t="s">
        <v>6</v>
      </c>
      <c r="M273" t="s">
        <v>71</v>
      </c>
    </row>
    <row r="274" spans="1:13" x14ac:dyDescent="0.45">
      <c r="A274" t="s">
        <v>5</v>
      </c>
      <c r="B274" t="s">
        <v>74</v>
      </c>
      <c r="C274">
        <v>2040</v>
      </c>
      <c r="D274">
        <v>160</v>
      </c>
      <c r="E274">
        <v>1.91</v>
      </c>
      <c r="F274">
        <v>1.58</v>
      </c>
      <c r="G274">
        <v>0.83</v>
      </c>
      <c r="H274">
        <v>0</v>
      </c>
      <c r="I274">
        <v>5.23</v>
      </c>
      <c r="J274">
        <v>1.36</v>
      </c>
      <c r="K274">
        <v>2.34</v>
      </c>
      <c r="L274" t="s">
        <v>6</v>
      </c>
      <c r="M274" t="s">
        <v>71</v>
      </c>
    </row>
    <row r="275" spans="1:13" x14ac:dyDescent="0.45">
      <c r="A275" t="s">
        <v>5</v>
      </c>
      <c r="B275" t="s">
        <v>74</v>
      </c>
      <c r="C275">
        <v>2045</v>
      </c>
      <c r="D275">
        <v>157</v>
      </c>
      <c r="E275">
        <v>2.1800000000000002</v>
      </c>
      <c r="F275">
        <v>1.8</v>
      </c>
      <c r="G275">
        <v>1.03</v>
      </c>
      <c r="H275">
        <v>-0.05</v>
      </c>
      <c r="I275">
        <v>6.64</v>
      </c>
      <c r="J275">
        <v>1.53</v>
      </c>
      <c r="K275">
        <v>2.7</v>
      </c>
      <c r="L275" t="s">
        <v>6</v>
      </c>
      <c r="M275" t="s">
        <v>71</v>
      </c>
    </row>
    <row r="276" spans="1:13" x14ac:dyDescent="0.45">
      <c r="A276" t="s">
        <v>5</v>
      </c>
      <c r="B276" t="s">
        <v>74</v>
      </c>
      <c r="C276">
        <v>2050</v>
      </c>
      <c r="D276">
        <v>160</v>
      </c>
      <c r="E276">
        <v>2.2599999999999998</v>
      </c>
      <c r="F276">
        <v>1.93</v>
      </c>
      <c r="G276">
        <v>1.2</v>
      </c>
      <c r="H276">
        <v>-0.36</v>
      </c>
      <c r="I276">
        <v>6.42</v>
      </c>
      <c r="J276">
        <v>1.56</v>
      </c>
      <c r="K276">
        <v>2.81</v>
      </c>
      <c r="L276" t="s">
        <v>6</v>
      </c>
      <c r="M276" t="s">
        <v>71</v>
      </c>
    </row>
    <row r="277" spans="1:13" x14ac:dyDescent="0.45">
      <c r="A277" t="s">
        <v>7</v>
      </c>
      <c r="B277" t="s">
        <v>74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74</v>
      </c>
      <c r="C278">
        <v>2025</v>
      </c>
      <c r="D278">
        <v>51</v>
      </c>
      <c r="E278">
        <v>1.26</v>
      </c>
      <c r="F278">
        <v>1.24</v>
      </c>
      <c r="G278">
        <v>0.12</v>
      </c>
      <c r="H278">
        <v>1.01</v>
      </c>
      <c r="I278">
        <v>1.61</v>
      </c>
      <c r="J278">
        <v>1.22</v>
      </c>
      <c r="K278">
        <v>1.27</v>
      </c>
      <c r="L278" t="s">
        <v>8</v>
      </c>
      <c r="M278" t="s">
        <v>71</v>
      </c>
    </row>
    <row r="279" spans="1:13" x14ac:dyDescent="0.45">
      <c r="A279" t="s">
        <v>7</v>
      </c>
      <c r="B279" t="s">
        <v>74</v>
      </c>
      <c r="C279">
        <v>2030</v>
      </c>
      <c r="D279">
        <v>51</v>
      </c>
      <c r="E279">
        <v>1.43</v>
      </c>
      <c r="F279">
        <v>1.44</v>
      </c>
      <c r="G279">
        <v>0.18</v>
      </c>
      <c r="H279">
        <v>1</v>
      </c>
      <c r="I279">
        <v>1.68</v>
      </c>
      <c r="J279">
        <v>1.26</v>
      </c>
      <c r="K279">
        <v>1.63</v>
      </c>
      <c r="L279" t="s">
        <v>8</v>
      </c>
      <c r="M279" t="s">
        <v>71</v>
      </c>
    </row>
    <row r="280" spans="1:13" x14ac:dyDescent="0.45">
      <c r="A280" t="s">
        <v>7</v>
      </c>
      <c r="B280" t="s">
        <v>74</v>
      </c>
      <c r="C280">
        <v>2035</v>
      </c>
      <c r="D280">
        <v>51</v>
      </c>
      <c r="E280">
        <v>1.49</v>
      </c>
      <c r="F280">
        <v>1.47</v>
      </c>
      <c r="G280">
        <v>0.18</v>
      </c>
      <c r="H280">
        <v>1.01</v>
      </c>
      <c r="I280">
        <v>1.89</v>
      </c>
      <c r="J280">
        <v>1.39</v>
      </c>
      <c r="K280">
        <v>1.6</v>
      </c>
      <c r="L280" t="s">
        <v>8</v>
      </c>
      <c r="M280" t="s">
        <v>71</v>
      </c>
    </row>
    <row r="281" spans="1:13" x14ac:dyDescent="0.45">
      <c r="A281" t="s">
        <v>7</v>
      </c>
      <c r="B281" t="s">
        <v>74</v>
      </c>
      <c r="C281">
        <v>2040</v>
      </c>
      <c r="D281">
        <v>51</v>
      </c>
      <c r="E281">
        <v>1.65</v>
      </c>
      <c r="F281">
        <v>1.55</v>
      </c>
      <c r="G281">
        <v>0.3</v>
      </c>
      <c r="H281">
        <v>1</v>
      </c>
      <c r="I281">
        <v>2.63</v>
      </c>
      <c r="J281">
        <v>1.47</v>
      </c>
      <c r="K281">
        <v>1.85</v>
      </c>
      <c r="L281" t="s">
        <v>8</v>
      </c>
      <c r="M281" t="s">
        <v>71</v>
      </c>
    </row>
    <row r="282" spans="1:13" x14ac:dyDescent="0.45">
      <c r="A282" t="s">
        <v>7</v>
      </c>
      <c r="B282" t="s">
        <v>74</v>
      </c>
      <c r="C282">
        <v>2045</v>
      </c>
      <c r="D282">
        <v>51</v>
      </c>
      <c r="E282">
        <v>1.86</v>
      </c>
      <c r="F282">
        <v>1.79</v>
      </c>
      <c r="G282">
        <v>0.35</v>
      </c>
      <c r="H282">
        <v>1.02</v>
      </c>
      <c r="I282">
        <v>2.96</v>
      </c>
      <c r="J282">
        <v>1.64</v>
      </c>
      <c r="K282">
        <v>2.0499999999999998</v>
      </c>
      <c r="L282" t="s">
        <v>8</v>
      </c>
      <c r="M282" t="s">
        <v>71</v>
      </c>
    </row>
    <row r="283" spans="1:13" x14ac:dyDescent="0.45">
      <c r="A283" t="s">
        <v>7</v>
      </c>
      <c r="B283" t="s">
        <v>74</v>
      </c>
      <c r="C283">
        <v>2050</v>
      </c>
      <c r="D283">
        <v>51</v>
      </c>
      <c r="E283">
        <v>1.94</v>
      </c>
      <c r="F283">
        <v>1.83</v>
      </c>
      <c r="G283">
        <v>0.44</v>
      </c>
      <c r="H283">
        <v>0.95</v>
      </c>
      <c r="I283">
        <v>3.26</v>
      </c>
      <c r="J283">
        <v>1.62</v>
      </c>
      <c r="K283">
        <v>2.25</v>
      </c>
      <c r="L283" t="s">
        <v>8</v>
      </c>
      <c r="M283" t="s">
        <v>71</v>
      </c>
    </row>
    <row r="284" spans="1:13" x14ac:dyDescent="0.45">
      <c r="A284" t="s">
        <v>9</v>
      </c>
      <c r="B284" t="s">
        <v>74</v>
      </c>
      <c r="C284">
        <v>2020</v>
      </c>
      <c r="D284">
        <v>39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74</v>
      </c>
      <c r="C285">
        <v>2025</v>
      </c>
      <c r="D285">
        <v>39</v>
      </c>
      <c r="E285">
        <v>0.95</v>
      </c>
      <c r="F285">
        <v>1.04</v>
      </c>
      <c r="G285">
        <v>0.42</v>
      </c>
      <c r="H285">
        <v>0</v>
      </c>
      <c r="I285">
        <v>2.3199999999999998</v>
      </c>
      <c r="J285">
        <v>0.61</v>
      </c>
      <c r="K285">
        <v>1.1200000000000001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74</v>
      </c>
      <c r="C286">
        <v>2030</v>
      </c>
      <c r="D286">
        <v>39</v>
      </c>
      <c r="E286">
        <v>1.1599999999999999</v>
      </c>
      <c r="F286">
        <v>1.05</v>
      </c>
      <c r="G286">
        <v>0.48</v>
      </c>
      <c r="H286">
        <v>0</v>
      </c>
      <c r="I286">
        <v>3.16</v>
      </c>
      <c r="J286">
        <v>0.94</v>
      </c>
      <c r="K286">
        <v>1.21</v>
      </c>
      <c r="L286" t="s">
        <v>10</v>
      </c>
      <c r="M286" t="s">
        <v>71</v>
      </c>
    </row>
    <row r="287" spans="1:13" x14ac:dyDescent="0.45">
      <c r="A287" t="s">
        <v>9</v>
      </c>
      <c r="B287" t="s">
        <v>74</v>
      </c>
      <c r="C287">
        <v>2035</v>
      </c>
      <c r="D287">
        <v>39</v>
      </c>
      <c r="E287">
        <v>1.0900000000000001</v>
      </c>
      <c r="F287">
        <v>1.04</v>
      </c>
      <c r="G287">
        <v>0.41</v>
      </c>
      <c r="H287">
        <v>0</v>
      </c>
      <c r="I287">
        <v>2.54</v>
      </c>
      <c r="J287">
        <v>0.84</v>
      </c>
      <c r="K287">
        <v>1.23</v>
      </c>
      <c r="L287" t="s">
        <v>10</v>
      </c>
      <c r="M287" t="s">
        <v>71</v>
      </c>
    </row>
    <row r="288" spans="1:13" x14ac:dyDescent="0.45">
      <c r="A288" t="s">
        <v>9</v>
      </c>
      <c r="B288" t="s">
        <v>74</v>
      </c>
      <c r="C288">
        <v>2040</v>
      </c>
      <c r="D288">
        <v>39</v>
      </c>
      <c r="E288">
        <v>1.19</v>
      </c>
      <c r="F288">
        <v>1.04</v>
      </c>
      <c r="G288">
        <v>0.46</v>
      </c>
      <c r="H288">
        <v>0</v>
      </c>
      <c r="I288">
        <v>2.95</v>
      </c>
      <c r="J288">
        <v>0.93</v>
      </c>
      <c r="K288">
        <v>1.33</v>
      </c>
      <c r="L288" t="s">
        <v>10</v>
      </c>
      <c r="M288" t="s">
        <v>71</v>
      </c>
    </row>
    <row r="289" spans="1:13" x14ac:dyDescent="0.45">
      <c r="A289" t="s">
        <v>9</v>
      </c>
      <c r="B289" t="s">
        <v>74</v>
      </c>
      <c r="C289">
        <v>2045</v>
      </c>
      <c r="D289">
        <v>39</v>
      </c>
      <c r="E289">
        <v>1.33</v>
      </c>
      <c r="F289">
        <v>1.17</v>
      </c>
      <c r="G289">
        <v>0.54</v>
      </c>
      <c r="H289">
        <v>0</v>
      </c>
      <c r="I289">
        <v>3.43</v>
      </c>
      <c r="J289">
        <v>1.07</v>
      </c>
      <c r="K289">
        <v>1.38</v>
      </c>
      <c r="L289" t="s">
        <v>10</v>
      </c>
      <c r="M289" t="s">
        <v>71</v>
      </c>
    </row>
    <row r="290" spans="1:13" x14ac:dyDescent="0.45">
      <c r="A290" t="s">
        <v>9</v>
      </c>
      <c r="B290" t="s">
        <v>74</v>
      </c>
      <c r="C290">
        <v>2050</v>
      </c>
      <c r="D290">
        <v>39</v>
      </c>
      <c r="E290">
        <v>1.44</v>
      </c>
      <c r="F290">
        <v>1.25</v>
      </c>
      <c r="G290">
        <v>0.68</v>
      </c>
      <c r="H290">
        <v>0</v>
      </c>
      <c r="I290">
        <v>4.18</v>
      </c>
      <c r="J290">
        <v>1.1399999999999999</v>
      </c>
      <c r="K290">
        <v>1.51</v>
      </c>
      <c r="L290" t="s">
        <v>10</v>
      </c>
      <c r="M290" t="s">
        <v>71</v>
      </c>
    </row>
    <row r="291" spans="1:13" x14ac:dyDescent="0.45">
      <c r="A291" t="s">
        <v>0</v>
      </c>
      <c r="B291" t="s">
        <v>74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74</v>
      </c>
      <c r="C292">
        <v>2025</v>
      </c>
      <c r="D292">
        <v>20</v>
      </c>
      <c r="E292">
        <v>7.88</v>
      </c>
      <c r="F292">
        <v>5.62</v>
      </c>
      <c r="G292">
        <v>8.85</v>
      </c>
      <c r="H292">
        <v>0</v>
      </c>
      <c r="I292">
        <v>40.4</v>
      </c>
      <c r="J292">
        <v>2.19</v>
      </c>
      <c r="K292">
        <v>11.38</v>
      </c>
      <c r="L292" t="s">
        <v>1</v>
      </c>
      <c r="M292" t="s">
        <v>72</v>
      </c>
    </row>
    <row r="293" spans="1:13" x14ac:dyDescent="0.45">
      <c r="A293" t="s">
        <v>0</v>
      </c>
      <c r="B293" t="s">
        <v>74</v>
      </c>
      <c r="C293">
        <v>2030</v>
      </c>
      <c r="D293">
        <v>20</v>
      </c>
      <c r="E293">
        <v>10.26</v>
      </c>
      <c r="F293">
        <v>8.74</v>
      </c>
      <c r="G293">
        <v>6.31</v>
      </c>
      <c r="H293">
        <v>0</v>
      </c>
      <c r="I293">
        <v>27.81</v>
      </c>
      <c r="J293">
        <v>6.42</v>
      </c>
      <c r="K293">
        <v>13.75</v>
      </c>
      <c r="L293" t="s">
        <v>1</v>
      </c>
      <c r="M293" t="s">
        <v>72</v>
      </c>
    </row>
    <row r="294" spans="1:13" x14ac:dyDescent="0.45">
      <c r="A294" t="s">
        <v>0</v>
      </c>
      <c r="B294" t="s">
        <v>74</v>
      </c>
      <c r="C294">
        <v>2035</v>
      </c>
      <c r="D294">
        <v>20</v>
      </c>
      <c r="E294">
        <v>13.46</v>
      </c>
      <c r="F294">
        <v>11.81</v>
      </c>
      <c r="G294">
        <v>6.38</v>
      </c>
      <c r="H294">
        <v>0</v>
      </c>
      <c r="I294">
        <v>29.54</v>
      </c>
      <c r="J294">
        <v>11.45</v>
      </c>
      <c r="K294">
        <v>16.350000000000001</v>
      </c>
      <c r="L294" t="s">
        <v>1</v>
      </c>
      <c r="M294" t="s">
        <v>72</v>
      </c>
    </row>
    <row r="295" spans="1:13" x14ac:dyDescent="0.45">
      <c r="A295" t="s">
        <v>0</v>
      </c>
      <c r="B295" t="s">
        <v>74</v>
      </c>
      <c r="C295">
        <v>2040</v>
      </c>
      <c r="D295">
        <v>20</v>
      </c>
      <c r="E295">
        <v>14.22</v>
      </c>
      <c r="F295">
        <v>14.26</v>
      </c>
      <c r="G295">
        <v>5.85</v>
      </c>
      <c r="H295">
        <v>0</v>
      </c>
      <c r="I295">
        <v>27.95</v>
      </c>
      <c r="J295">
        <v>10.41</v>
      </c>
      <c r="K295">
        <v>16.48</v>
      </c>
      <c r="L295" t="s">
        <v>1</v>
      </c>
      <c r="M295" t="s">
        <v>72</v>
      </c>
    </row>
    <row r="296" spans="1:13" x14ac:dyDescent="0.45">
      <c r="A296" t="s">
        <v>0</v>
      </c>
      <c r="B296" t="s">
        <v>74</v>
      </c>
      <c r="C296">
        <v>2045</v>
      </c>
      <c r="D296">
        <v>20</v>
      </c>
      <c r="E296">
        <v>17.29</v>
      </c>
      <c r="F296">
        <v>18.12</v>
      </c>
      <c r="G296">
        <v>6.97</v>
      </c>
      <c r="H296">
        <v>0</v>
      </c>
      <c r="I296">
        <v>34.020000000000003</v>
      </c>
      <c r="J296">
        <v>13.35</v>
      </c>
      <c r="K296">
        <v>20.48</v>
      </c>
      <c r="L296" t="s">
        <v>1</v>
      </c>
      <c r="M296" t="s">
        <v>72</v>
      </c>
    </row>
    <row r="297" spans="1:13" x14ac:dyDescent="0.45">
      <c r="A297" t="s">
        <v>0</v>
      </c>
      <c r="B297" t="s">
        <v>74</v>
      </c>
      <c r="C297">
        <v>2050</v>
      </c>
      <c r="D297">
        <v>20</v>
      </c>
      <c r="E297">
        <v>17.72</v>
      </c>
      <c r="F297">
        <v>16.600000000000001</v>
      </c>
      <c r="G297">
        <v>8.6999999999999993</v>
      </c>
      <c r="H297">
        <v>0</v>
      </c>
      <c r="I297">
        <v>36.659999999999997</v>
      </c>
      <c r="J297">
        <v>11.1</v>
      </c>
      <c r="K297">
        <v>23.79</v>
      </c>
      <c r="L297" t="s">
        <v>1</v>
      </c>
      <c r="M297" t="s">
        <v>72</v>
      </c>
    </row>
    <row r="298" spans="1:13" x14ac:dyDescent="0.45">
      <c r="A298" t="s">
        <v>2</v>
      </c>
      <c r="B298" t="s">
        <v>74</v>
      </c>
      <c r="C298">
        <v>2020</v>
      </c>
      <c r="D298">
        <v>17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74</v>
      </c>
      <c r="C299">
        <v>2025</v>
      </c>
      <c r="D299">
        <v>17</v>
      </c>
      <c r="E299">
        <v>2.7</v>
      </c>
      <c r="F299">
        <v>2.77</v>
      </c>
      <c r="G299">
        <v>2.58</v>
      </c>
      <c r="H299">
        <v>0</v>
      </c>
      <c r="I299">
        <v>9.4600000000000009</v>
      </c>
      <c r="J299">
        <v>1.36</v>
      </c>
      <c r="K299">
        <v>2.77</v>
      </c>
      <c r="L299" t="s">
        <v>3</v>
      </c>
      <c r="M299" t="s">
        <v>72</v>
      </c>
    </row>
    <row r="300" spans="1:13" x14ac:dyDescent="0.45">
      <c r="A300" t="s">
        <v>2</v>
      </c>
      <c r="B300" t="s">
        <v>74</v>
      </c>
      <c r="C300">
        <v>2030</v>
      </c>
      <c r="D300">
        <v>17</v>
      </c>
      <c r="E300">
        <v>2.88</v>
      </c>
      <c r="F300">
        <v>2.27</v>
      </c>
      <c r="G300">
        <v>3.01</v>
      </c>
      <c r="H300">
        <v>0</v>
      </c>
      <c r="I300">
        <v>11.12</v>
      </c>
      <c r="J300">
        <v>1.85</v>
      </c>
      <c r="K300">
        <v>2.46</v>
      </c>
      <c r="L300" t="s">
        <v>3</v>
      </c>
      <c r="M300" t="s">
        <v>72</v>
      </c>
    </row>
    <row r="301" spans="1:13" x14ac:dyDescent="0.45">
      <c r="A301" t="s">
        <v>2</v>
      </c>
      <c r="B301" t="s">
        <v>74</v>
      </c>
      <c r="C301">
        <v>2035</v>
      </c>
      <c r="D301">
        <v>17</v>
      </c>
      <c r="E301">
        <v>15.34</v>
      </c>
      <c r="F301">
        <v>13.83</v>
      </c>
      <c r="G301">
        <v>12.52</v>
      </c>
      <c r="H301">
        <v>3.28</v>
      </c>
      <c r="I301">
        <v>47.6</v>
      </c>
      <c r="J301">
        <v>10.62</v>
      </c>
      <c r="K301">
        <v>16.059999999999999</v>
      </c>
      <c r="L301" t="s">
        <v>3</v>
      </c>
      <c r="M301" t="s">
        <v>72</v>
      </c>
    </row>
    <row r="302" spans="1:13" x14ac:dyDescent="0.45">
      <c r="A302" t="s">
        <v>2</v>
      </c>
      <c r="B302" t="s">
        <v>74</v>
      </c>
      <c r="C302">
        <v>2040</v>
      </c>
      <c r="D302">
        <v>17</v>
      </c>
      <c r="E302">
        <v>20.260000000000002</v>
      </c>
      <c r="F302">
        <v>16.149999999999999</v>
      </c>
      <c r="G302">
        <v>21.28</v>
      </c>
      <c r="H302">
        <v>3.43</v>
      </c>
      <c r="I302">
        <v>78.709999999999994</v>
      </c>
      <c r="J302">
        <v>9.83</v>
      </c>
      <c r="K302">
        <v>20.57</v>
      </c>
      <c r="L302" t="s">
        <v>3</v>
      </c>
      <c r="M302" t="s">
        <v>72</v>
      </c>
    </row>
    <row r="303" spans="1:13" x14ac:dyDescent="0.45">
      <c r="A303" t="s">
        <v>2</v>
      </c>
      <c r="B303" t="s">
        <v>74</v>
      </c>
      <c r="C303">
        <v>2045</v>
      </c>
      <c r="D303">
        <v>17</v>
      </c>
      <c r="E303">
        <v>15.59</v>
      </c>
      <c r="F303">
        <v>19.71</v>
      </c>
      <c r="G303">
        <v>8.1199999999999992</v>
      </c>
      <c r="H303">
        <v>3.88</v>
      </c>
      <c r="I303">
        <v>28.72</v>
      </c>
      <c r="J303">
        <v>9.5299999999999994</v>
      </c>
      <c r="K303">
        <v>20.74</v>
      </c>
      <c r="L303" t="s">
        <v>3</v>
      </c>
      <c r="M303" t="s">
        <v>72</v>
      </c>
    </row>
    <row r="304" spans="1:13" x14ac:dyDescent="0.45">
      <c r="A304" t="s">
        <v>2</v>
      </c>
      <c r="B304" t="s">
        <v>74</v>
      </c>
      <c r="C304">
        <v>2050</v>
      </c>
      <c r="D304">
        <v>17</v>
      </c>
      <c r="E304">
        <v>9.8699999999999992</v>
      </c>
      <c r="F304">
        <v>10.3</v>
      </c>
      <c r="G304">
        <v>4.1500000000000004</v>
      </c>
      <c r="H304">
        <v>4.32</v>
      </c>
      <c r="I304">
        <v>16.63</v>
      </c>
      <c r="J304">
        <v>5.56</v>
      </c>
      <c r="K304">
        <v>13.61</v>
      </c>
      <c r="L304" t="s">
        <v>3</v>
      </c>
      <c r="M304" t="s">
        <v>72</v>
      </c>
    </row>
    <row r="305" spans="1:13" x14ac:dyDescent="0.45">
      <c r="A305" t="s">
        <v>5</v>
      </c>
      <c r="B305" t="s">
        <v>74</v>
      </c>
      <c r="C305">
        <v>2020</v>
      </c>
      <c r="D305">
        <v>69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74</v>
      </c>
      <c r="C306">
        <v>2025</v>
      </c>
      <c r="D306">
        <v>69</v>
      </c>
      <c r="E306">
        <v>3.2</v>
      </c>
      <c r="F306">
        <v>2.77</v>
      </c>
      <c r="G306">
        <v>2.0499999999999998</v>
      </c>
      <c r="H306">
        <v>0</v>
      </c>
      <c r="I306">
        <v>9.26</v>
      </c>
      <c r="J306">
        <v>1.79</v>
      </c>
      <c r="K306">
        <v>4.0999999999999996</v>
      </c>
      <c r="L306" t="s">
        <v>6</v>
      </c>
      <c r="M306" t="s">
        <v>72</v>
      </c>
    </row>
    <row r="307" spans="1:13" x14ac:dyDescent="0.45">
      <c r="A307" t="s">
        <v>5</v>
      </c>
      <c r="B307" t="s">
        <v>74</v>
      </c>
      <c r="C307">
        <v>2030</v>
      </c>
      <c r="D307">
        <v>69</v>
      </c>
      <c r="E307">
        <v>3.97</v>
      </c>
      <c r="F307">
        <v>3.67</v>
      </c>
      <c r="G307">
        <v>2.39</v>
      </c>
      <c r="H307">
        <v>0</v>
      </c>
      <c r="I307">
        <v>10.88</v>
      </c>
      <c r="J307">
        <v>1.85</v>
      </c>
      <c r="K307">
        <v>5.68</v>
      </c>
      <c r="L307" t="s">
        <v>6</v>
      </c>
      <c r="M307" t="s">
        <v>72</v>
      </c>
    </row>
    <row r="308" spans="1:13" x14ac:dyDescent="0.45">
      <c r="A308" t="s">
        <v>5</v>
      </c>
      <c r="B308" t="s">
        <v>74</v>
      </c>
      <c r="C308">
        <v>2035</v>
      </c>
      <c r="D308">
        <v>69</v>
      </c>
      <c r="E308">
        <v>7.2</v>
      </c>
      <c r="F308">
        <v>7.2</v>
      </c>
      <c r="G308">
        <v>3.14</v>
      </c>
      <c r="H308">
        <v>0</v>
      </c>
      <c r="I308">
        <v>18.8</v>
      </c>
      <c r="J308">
        <v>5.51</v>
      </c>
      <c r="K308">
        <v>8.6300000000000008</v>
      </c>
      <c r="L308" t="s">
        <v>6</v>
      </c>
      <c r="M308" t="s">
        <v>72</v>
      </c>
    </row>
    <row r="309" spans="1:13" x14ac:dyDescent="0.45">
      <c r="A309" t="s">
        <v>5</v>
      </c>
      <c r="B309" t="s">
        <v>74</v>
      </c>
      <c r="C309">
        <v>2040</v>
      </c>
      <c r="D309">
        <v>69</v>
      </c>
      <c r="E309">
        <v>9.14</v>
      </c>
      <c r="F309">
        <v>9.17</v>
      </c>
      <c r="G309">
        <v>4.21</v>
      </c>
      <c r="H309">
        <v>0</v>
      </c>
      <c r="I309">
        <v>28.51</v>
      </c>
      <c r="J309">
        <v>7.47</v>
      </c>
      <c r="K309">
        <v>10.77</v>
      </c>
      <c r="L309" t="s">
        <v>6</v>
      </c>
      <c r="M309" t="s">
        <v>72</v>
      </c>
    </row>
    <row r="310" spans="1:13" x14ac:dyDescent="0.45">
      <c r="A310" t="s">
        <v>5</v>
      </c>
      <c r="B310" t="s">
        <v>74</v>
      </c>
      <c r="C310">
        <v>2045</v>
      </c>
      <c r="D310">
        <v>69</v>
      </c>
      <c r="E310">
        <v>10.33</v>
      </c>
      <c r="F310">
        <v>9.67</v>
      </c>
      <c r="G310">
        <v>4.76</v>
      </c>
      <c r="H310">
        <v>0</v>
      </c>
      <c r="I310">
        <v>25.74</v>
      </c>
      <c r="J310">
        <v>8.3800000000000008</v>
      </c>
      <c r="K310">
        <v>13.06</v>
      </c>
      <c r="L310" t="s">
        <v>6</v>
      </c>
      <c r="M310" t="s">
        <v>72</v>
      </c>
    </row>
    <row r="311" spans="1:13" x14ac:dyDescent="0.45">
      <c r="A311" t="s">
        <v>5</v>
      </c>
      <c r="B311" t="s">
        <v>74</v>
      </c>
      <c r="C311">
        <v>2050</v>
      </c>
      <c r="D311">
        <v>69</v>
      </c>
      <c r="E311">
        <v>10.59</v>
      </c>
      <c r="F311">
        <v>10.46</v>
      </c>
      <c r="G311">
        <v>4.91</v>
      </c>
      <c r="H311">
        <v>0</v>
      </c>
      <c r="I311">
        <v>23.33</v>
      </c>
      <c r="J311">
        <v>9.26</v>
      </c>
      <c r="K311">
        <v>12.27</v>
      </c>
      <c r="L311" t="s">
        <v>6</v>
      </c>
      <c r="M311" t="s">
        <v>72</v>
      </c>
    </row>
    <row r="312" spans="1:13" x14ac:dyDescent="0.45">
      <c r="A312" t="s">
        <v>7</v>
      </c>
      <c r="B312" t="s">
        <v>74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74</v>
      </c>
      <c r="C313">
        <v>2025</v>
      </c>
      <c r="D313">
        <v>27</v>
      </c>
      <c r="E313">
        <v>2.65</v>
      </c>
      <c r="F313">
        <v>2.27</v>
      </c>
      <c r="G313">
        <v>1.19</v>
      </c>
      <c r="H313">
        <v>1.22</v>
      </c>
      <c r="I313">
        <v>5.33</v>
      </c>
      <c r="J313">
        <v>1.79</v>
      </c>
      <c r="K313">
        <v>3.4</v>
      </c>
      <c r="L313" t="s">
        <v>8</v>
      </c>
      <c r="M313" t="s">
        <v>72</v>
      </c>
    </row>
    <row r="314" spans="1:13" x14ac:dyDescent="0.45">
      <c r="A314" t="s">
        <v>7</v>
      </c>
      <c r="B314" t="s">
        <v>74</v>
      </c>
      <c r="C314">
        <v>2030</v>
      </c>
      <c r="D314">
        <v>27</v>
      </c>
      <c r="E314">
        <v>3.42</v>
      </c>
      <c r="F314">
        <v>3.67</v>
      </c>
      <c r="G314">
        <v>0.77</v>
      </c>
      <c r="H314">
        <v>1.85</v>
      </c>
      <c r="I314">
        <v>4.3</v>
      </c>
      <c r="J314">
        <v>3.14</v>
      </c>
      <c r="K314">
        <v>3.98</v>
      </c>
      <c r="L314" t="s">
        <v>8</v>
      </c>
      <c r="M314" t="s">
        <v>72</v>
      </c>
    </row>
    <row r="315" spans="1:13" x14ac:dyDescent="0.45">
      <c r="A315" t="s">
        <v>7</v>
      </c>
      <c r="B315" t="s">
        <v>74</v>
      </c>
      <c r="C315">
        <v>2035</v>
      </c>
      <c r="D315">
        <v>27</v>
      </c>
      <c r="E315">
        <v>4.33</v>
      </c>
      <c r="F315">
        <v>4.1900000000000004</v>
      </c>
      <c r="G315">
        <v>1</v>
      </c>
      <c r="H315">
        <v>2.79</v>
      </c>
      <c r="I315">
        <v>6.13</v>
      </c>
      <c r="J315">
        <v>3.47</v>
      </c>
      <c r="K315">
        <v>4.93</v>
      </c>
      <c r="L315" t="s">
        <v>8</v>
      </c>
      <c r="M315" t="s">
        <v>72</v>
      </c>
    </row>
    <row r="316" spans="1:13" x14ac:dyDescent="0.45">
      <c r="A316" t="s">
        <v>7</v>
      </c>
      <c r="B316" t="s">
        <v>74</v>
      </c>
      <c r="C316">
        <v>2040</v>
      </c>
      <c r="D316">
        <v>27</v>
      </c>
      <c r="E316">
        <v>5.62</v>
      </c>
      <c r="F316">
        <v>5.64</v>
      </c>
      <c r="G316">
        <v>1.17</v>
      </c>
      <c r="H316">
        <v>3.94</v>
      </c>
      <c r="I316">
        <v>8.76</v>
      </c>
      <c r="J316">
        <v>4.78</v>
      </c>
      <c r="K316">
        <v>6.21</v>
      </c>
      <c r="L316" t="s">
        <v>8</v>
      </c>
      <c r="M316" t="s">
        <v>72</v>
      </c>
    </row>
    <row r="317" spans="1:13" x14ac:dyDescent="0.45">
      <c r="A317" t="s">
        <v>7</v>
      </c>
      <c r="B317" t="s">
        <v>74</v>
      </c>
      <c r="C317">
        <v>2045</v>
      </c>
      <c r="D317">
        <v>27</v>
      </c>
      <c r="E317">
        <v>6.27</v>
      </c>
      <c r="F317">
        <v>6.04</v>
      </c>
      <c r="G317">
        <v>1.38</v>
      </c>
      <c r="H317">
        <v>3.69</v>
      </c>
      <c r="I317">
        <v>10.53</v>
      </c>
      <c r="J317">
        <v>5.8</v>
      </c>
      <c r="K317">
        <v>6.94</v>
      </c>
      <c r="L317" t="s">
        <v>8</v>
      </c>
      <c r="M317" t="s">
        <v>72</v>
      </c>
    </row>
    <row r="318" spans="1:13" x14ac:dyDescent="0.45">
      <c r="A318" t="s">
        <v>7</v>
      </c>
      <c r="B318" t="s">
        <v>74</v>
      </c>
      <c r="C318">
        <v>2050</v>
      </c>
      <c r="D318">
        <v>27</v>
      </c>
      <c r="E318">
        <v>6.85</v>
      </c>
      <c r="F318">
        <v>7.41</v>
      </c>
      <c r="G318">
        <v>1.6</v>
      </c>
      <c r="H318">
        <v>3.24</v>
      </c>
      <c r="I318">
        <v>8.77</v>
      </c>
      <c r="J318">
        <v>5.99</v>
      </c>
      <c r="K318">
        <v>8.1999999999999993</v>
      </c>
      <c r="L318" t="s">
        <v>8</v>
      </c>
      <c r="M318" t="s">
        <v>72</v>
      </c>
    </row>
    <row r="319" spans="1:13" x14ac:dyDescent="0.45">
      <c r="A319" t="s">
        <v>9</v>
      </c>
      <c r="B319" t="s">
        <v>74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74</v>
      </c>
      <c r="C320">
        <v>2025</v>
      </c>
      <c r="D320">
        <v>14</v>
      </c>
      <c r="E320">
        <v>1.6</v>
      </c>
      <c r="F320">
        <v>1.03</v>
      </c>
      <c r="G320">
        <v>0.98</v>
      </c>
      <c r="H320">
        <v>1.02</v>
      </c>
      <c r="I320">
        <v>3.84</v>
      </c>
      <c r="J320">
        <v>1.03</v>
      </c>
      <c r="K320">
        <v>2.0699999999999998</v>
      </c>
      <c r="L320" t="s">
        <v>10</v>
      </c>
      <c r="M320" t="s">
        <v>72</v>
      </c>
    </row>
    <row r="321" spans="1:13" x14ac:dyDescent="0.45">
      <c r="A321" t="s">
        <v>9</v>
      </c>
      <c r="B321" t="s">
        <v>74</v>
      </c>
      <c r="C321">
        <v>2030</v>
      </c>
      <c r="D321">
        <v>14</v>
      </c>
      <c r="E321">
        <v>1.55</v>
      </c>
      <c r="F321">
        <v>1.0900000000000001</v>
      </c>
      <c r="G321">
        <v>0.91</v>
      </c>
      <c r="H321">
        <v>1.05</v>
      </c>
      <c r="I321">
        <v>4.2300000000000004</v>
      </c>
      <c r="J321">
        <v>1.06</v>
      </c>
      <c r="K321">
        <v>1.88</v>
      </c>
      <c r="L321" t="s">
        <v>10</v>
      </c>
      <c r="M321" t="s">
        <v>72</v>
      </c>
    </row>
    <row r="322" spans="1:13" x14ac:dyDescent="0.45">
      <c r="A322" t="s">
        <v>9</v>
      </c>
      <c r="B322" t="s">
        <v>74</v>
      </c>
      <c r="C322">
        <v>2035</v>
      </c>
      <c r="D322">
        <v>14</v>
      </c>
      <c r="E322">
        <v>2.2000000000000002</v>
      </c>
      <c r="F322">
        <v>1.18</v>
      </c>
      <c r="G322">
        <v>1.94</v>
      </c>
      <c r="H322">
        <v>1.05</v>
      </c>
      <c r="I322">
        <v>6.45</v>
      </c>
      <c r="J322">
        <v>1.0900000000000001</v>
      </c>
      <c r="K322">
        <v>2.4</v>
      </c>
      <c r="L322" t="s">
        <v>10</v>
      </c>
      <c r="M322" t="s">
        <v>72</v>
      </c>
    </row>
    <row r="323" spans="1:13" x14ac:dyDescent="0.45">
      <c r="A323" t="s">
        <v>9</v>
      </c>
      <c r="B323" t="s">
        <v>74</v>
      </c>
      <c r="C323">
        <v>2040</v>
      </c>
      <c r="D323">
        <v>14</v>
      </c>
      <c r="E323">
        <v>2.3199999999999998</v>
      </c>
      <c r="F323">
        <v>1.27</v>
      </c>
      <c r="G323">
        <v>2.11</v>
      </c>
      <c r="H323">
        <v>1.03</v>
      </c>
      <c r="I323">
        <v>6.76</v>
      </c>
      <c r="J323">
        <v>1.1100000000000001</v>
      </c>
      <c r="K323">
        <v>2.16</v>
      </c>
      <c r="L323" t="s">
        <v>10</v>
      </c>
      <c r="M323" t="s">
        <v>72</v>
      </c>
    </row>
    <row r="324" spans="1:13" x14ac:dyDescent="0.45">
      <c r="A324" t="s">
        <v>9</v>
      </c>
      <c r="B324" t="s">
        <v>74</v>
      </c>
      <c r="C324">
        <v>2045</v>
      </c>
      <c r="D324">
        <v>14</v>
      </c>
      <c r="E324">
        <v>2.2200000000000002</v>
      </c>
      <c r="F324">
        <v>1.35</v>
      </c>
      <c r="G324">
        <v>1.86</v>
      </c>
      <c r="H324">
        <v>1.01</v>
      </c>
      <c r="I324">
        <v>6.32</v>
      </c>
      <c r="J324">
        <v>1.1299999999999999</v>
      </c>
      <c r="K324">
        <v>2.2000000000000002</v>
      </c>
      <c r="L324" t="s">
        <v>10</v>
      </c>
      <c r="M324" t="s">
        <v>72</v>
      </c>
    </row>
    <row r="325" spans="1:13" x14ac:dyDescent="0.45">
      <c r="A325" t="s">
        <v>9</v>
      </c>
      <c r="B325" t="s">
        <v>74</v>
      </c>
      <c r="C325">
        <v>2050</v>
      </c>
      <c r="D325">
        <v>14</v>
      </c>
      <c r="E325">
        <v>2.4500000000000002</v>
      </c>
      <c r="F325">
        <v>1.41</v>
      </c>
      <c r="G325">
        <v>2.21</v>
      </c>
      <c r="H325">
        <v>0.99</v>
      </c>
      <c r="I325">
        <v>6.85</v>
      </c>
      <c r="J325">
        <v>1.1499999999999999</v>
      </c>
      <c r="K325">
        <v>2.27</v>
      </c>
      <c r="L325" t="s">
        <v>10</v>
      </c>
      <c r="M325" t="s">
        <v>72</v>
      </c>
    </row>
    <row r="326" spans="1:13" x14ac:dyDescent="0.45">
      <c r="A326" t="s">
        <v>0</v>
      </c>
      <c r="B326" t="s">
        <v>74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74</v>
      </c>
      <c r="C327">
        <v>2025</v>
      </c>
      <c r="D327">
        <v>7</v>
      </c>
      <c r="E327">
        <v>0.95</v>
      </c>
      <c r="F327">
        <v>0.94</v>
      </c>
      <c r="G327">
        <v>0.01</v>
      </c>
      <c r="H327">
        <v>0.93</v>
      </c>
      <c r="I327">
        <v>0.96</v>
      </c>
      <c r="J327">
        <v>0.94</v>
      </c>
      <c r="K327">
        <v>0.95</v>
      </c>
      <c r="L327" t="s">
        <v>1</v>
      </c>
      <c r="M327" t="s">
        <v>73</v>
      </c>
    </row>
    <row r="328" spans="1:13" x14ac:dyDescent="0.45">
      <c r="A328" t="s">
        <v>0</v>
      </c>
      <c r="B328" t="s">
        <v>74</v>
      </c>
      <c r="C328">
        <v>2030</v>
      </c>
      <c r="D328">
        <v>7</v>
      </c>
      <c r="E328">
        <v>0.93</v>
      </c>
      <c r="F328">
        <v>0.93</v>
      </c>
      <c r="G328">
        <v>0.01</v>
      </c>
      <c r="H328">
        <v>0.91</v>
      </c>
      <c r="I328">
        <v>0.94</v>
      </c>
      <c r="J328">
        <v>0.92</v>
      </c>
      <c r="K328">
        <v>0.93</v>
      </c>
      <c r="L328" t="s">
        <v>1</v>
      </c>
      <c r="M328" t="s">
        <v>73</v>
      </c>
    </row>
    <row r="329" spans="1:13" x14ac:dyDescent="0.45">
      <c r="A329" t="s">
        <v>0</v>
      </c>
      <c r="B329" t="s">
        <v>74</v>
      </c>
      <c r="C329">
        <v>2035</v>
      </c>
      <c r="D329">
        <v>7</v>
      </c>
      <c r="E329">
        <v>0.94</v>
      </c>
      <c r="F329">
        <v>0.95</v>
      </c>
      <c r="G329">
        <v>0.01</v>
      </c>
      <c r="H329">
        <v>0.93</v>
      </c>
      <c r="I329">
        <v>0.96</v>
      </c>
      <c r="J329">
        <v>0.94</v>
      </c>
      <c r="K329">
        <v>0.95</v>
      </c>
      <c r="L329" t="s">
        <v>1</v>
      </c>
      <c r="M329" t="s">
        <v>73</v>
      </c>
    </row>
    <row r="330" spans="1:13" x14ac:dyDescent="0.45">
      <c r="A330" t="s">
        <v>0</v>
      </c>
      <c r="B330" t="s">
        <v>74</v>
      </c>
      <c r="C330">
        <v>2040</v>
      </c>
      <c r="D330">
        <v>7</v>
      </c>
      <c r="E330">
        <v>0.96</v>
      </c>
      <c r="F330">
        <v>0.96</v>
      </c>
      <c r="G330">
        <v>0.02</v>
      </c>
      <c r="H330">
        <v>0.93</v>
      </c>
      <c r="I330">
        <v>0.98</v>
      </c>
      <c r="J330">
        <v>0.96</v>
      </c>
      <c r="K330">
        <v>0.97</v>
      </c>
      <c r="L330" t="s">
        <v>1</v>
      </c>
      <c r="M330" t="s">
        <v>73</v>
      </c>
    </row>
    <row r="331" spans="1:13" x14ac:dyDescent="0.45">
      <c r="A331" t="s">
        <v>0</v>
      </c>
      <c r="B331" t="s">
        <v>74</v>
      </c>
      <c r="C331">
        <v>2045</v>
      </c>
      <c r="D331">
        <v>7</v>
      </c>
      <c r="E331">
        <v>0.94</v>
      </c>
      <c r="F331">
        <v>0.94</v>
      </c>
      <c r="G331">
        <v>0.03</v>
      </c>
      <c r="H331">
        <v>0.9</v>
      </c>
      <c r="I331">
        <v>1</v>
      </c>
      <c r="J331">
        <v>0.93</v>
      </c>
      <c r="K331">
        <v>0.94</v>
      </c>
      <c r="L331" t="s">
        <v>1</v>
      </c>
      <c r="M331" t="s">
        <v>73</v>
      </c>
    </row>
    <row r="332" spans="1:13" x14ac:dyDescent="0.45">
      <c r="A332" t="s">
        <v>0</v>
      </c>
      <c r="B332" t="s">
        <v>74</v>
      </c>
      <c r="C332">
        <v>2050</v>
      </c>
      <c r="D332">
        <v>7</v>
      </c>
      <c r="E332">
        <v>0.93</v>
      </c>
      <c r="F332">
        <v>0.92</v>
      </c>
      <c r="G332">
        <v>0.06</v>
      </c>
      <c r="H332">
        <v>0.88</v>
      </c>
      <c r="I332">
        <v>1.05</v>
      </c>
      <c r="J332">
        <v>0.89</v>
      </c>
      <c r="K332">
        <v>0.95</v>
      </c>
      <c r="L332" t="s">
        <v>1</v>
      </c>
      <c r="M332" t="s">
        <v>73</v>
      </c>
    </row>
    <row r="333" spans="1:13" x14ac:dyDescent="0.45">
      <c r="A333" t="s">
        <v>2</v>
      </c>
      <c r="B333" t="s">
        <v>74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74</v>
      </c>
      <c r="C334">
        <v>2025</v>
      </c>
      <c r="D334">
        <v>7</v>
      </c>
      <c r="E334">
        <v>0.93</v>
      </c>
      <c r="F334">
        <v>0.93</v>
      </c>
      <c r="G334">
        <v>0.01</v>
      </c>
      <c r="H334">
        <v>0.92</v>
      </c>
      <c r="I334">
        <v>0.93</v>
      </c>
      <c r="J334">
        <v>0.92</v>
      </c>
      <c r="K334">
        <v>0.93</v>
      </c>
      <c r="L334" t="s">
        <v>3</v>
      </c>
      <c r="M334" t="s">
        <v>73</v>
      </c>
    </row>
    <row r="335" spans="1:13" x14ac:dyDescent="0.45">
      <c r="A335" t="s">
        <v>2</v>
      </c>
      <c r="B335" t="s">
        <v>74</v>
      </c>
      <c r="C335">
        <v>2030</v>
      </c>
      <c r="D335">
        <v>7</v>
      </c>
      <c r="E335">
        <v>0.93</v>
      </c>
      <c r="F335">
        <v>0.93</v>
      </c>
      <c r="G335">
        <v>0.02</v>
      </c>
      <c r="H335">
        <v>0.91</v>
      </c>
      <c r="I335">
        <v>0.95</v>
      </c>
      <c r="J335">
        <v>0.92</v>
      </c>
      <c r="K335">
        <v>0.94</v>
      </c>
      <c r="L335" t="s">
        <v>3</v>
      </c>
      <c r="M335" t="s">
        <v>73</v>
      </c>
    </row>
    <row r="336" spans="1:13" x14ac:dyDescent="0.45">
      <c r="A336" t="s">
        <v>2</v>
      </c>
      <c r="B336" t="s">
        <v>74</v>
      </c>
      <c r="C336">
        <v>2035</v>
      </c>
      <c r="D336">
        <v>7</v>
      </c>
      <c r="E336">
        <v>0.94</v>
      </c>
      <c r="F336">
        <v>0.93</v>
      </c>
      <c r="G336">
        <v>0.03</v>
      </c>
      <c r="H336">
        <v>0.91</v>
      </c>
      <c r="I336">
        <v>0.99</v>
      </c>
      <c r="J336">
        <v>0.91</v>
      </c>
      <c r="K336">
        <v>0.95</v>
      </c>
      <c r="L336" t="s">
        <v>3</v>
      </c>
      <c r="M336" t="s">
        <v>73</v>
      </c>
    </row>
    <row r="337" spans="1:13" x14ac:dyDescent="0.45">
      <c r="A337" t="s">
        <v>2</v>
      </c>
      <c r="B337" t="s">
        <v>74</v>
      </c>
      <c r="C337">
        <v>2040</v>
      </c>
      <c r="D337">
        <v>7</v>
      </c>
      <c r="E337">
        <v>0.96</v>
      </c>
      <c r="F337">
        <v>0.96</v>
      </c>
      <c r="G337">
        <v>0.02</v>
      </c>
      <c r="H337">
        <v>0.94</v>
      </c>
      <c r="I337">
        <v>1</v>
      </c>
      <c r="J337">
        <v>0.94</v>
      </c>
      <c r="K337">
        <v>0.98</v>
      </c>
      <c r="L337" t="s">
        <v>3</v>
      </c>
      <c r="M337" t="s">
        <v>73</v>
      </c>
    </row>
    <row r="338" spans="1:13" x14ac:dyDescent="0.45">
      <c r="A338" t="s">
        <v>2</v>
      </c>
      <c r="B338" t="s">
        <v>74</v>
      </c>
      <c r="C338">
        <v>2045</v>
      </c>
      <c r="D338">
        <v>7</v>
      </c>
      <c r="E338">
        <v>1.01</v>
      </c>
      <c r="F338">
        <v>1.01</v>
      </c>
      <c r="G338">
        <v>0.02</v>
      </c>
      <c r="H338">
        <v>0.99</v>
      </c>
      <c r="I338">
        <v>1.05</v>
      </c>
      <c r="J338">
        <v>0.99</v>
      </c>
      <c r="K338">
        <v>1.03</v>
      </c>
      <c r="L338" t="s">
        <v>3</v>
      </c>
      <c r="M338" t="s">
        <v>73</v>
      </c>
    </row>
    <row r="339" spans="1:13" x14ac:dyDescent="0.45">
      <c r="A339" t="s">
        <v>2</v>
      </c>
      <c r="B339" t="s">
        <v>74</v>
      </c>
      <c r="C339">
        <v>2050</v>
      </c>
      <c r="D339">
        <v>7</v>
      </c>
      <c r="E339">
        <v>1.07</v>
      </c>
      <c r="F339">
        <v>1.07</v>
      </c>
      <c r="G339">
        <v>0.02</v>
      </c>
      <c r="H339">
        <v>1.04</v>
      </c>
      <c r="I339">
        <v>1.1000000000000001</v>
      </c>
      <c r="J339">
        <v>1.05</v>
      </c>
      <c r="K339">
        <v>1.0900000000000001</v>
      </c>
      <c r="L339" t="s">
        <v>3</v>
      </c>
      <c r="M339" t="s">
        <v>73</v>
      </c>
    </row>
    <row r="340" spans="1:13" x14ac:dyDescent="0.45">
      <c r="A340" t="s">
        <v>5</v>
      </c>
      <c r="B340" t="s">
        <v>74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74</v>
      </c>
      <c r="C341">
        <v>2025</v>
      </c>
      <c r="D341">
        <v>15</v>
      </c>
      <c r="E341">
        <v>1.03</v>
      </c>
      <c r="F341">
        <v>0.94</v>
      </c>
      <c r="G341">
        <v>0.13</v>
      </c>
      <c r="H341">
        <v>0.92</v>
      </c>
      <c r="I341">
        <v>1.28</v>
      </c>
      <c r="J341">
        <v>0.92</v>
      </c>
      <c r="K341">
        <v>1.1599999999999999</v>
      </c>
      <c r="L341" t="s">
        <v>6</v>
      </c>
      <c r="M341" t="s">
        <v>73</v>
      </c>
    </row>
    <row r="342" spans="1:13" x14ac:dyDescent="0.45">
      <c r="A342" t="s">
        <v>5</v>
      </c>
      <c r="B342" t="s">
        <v>74</v>
      </c>
      <c r="C342">
        <v>2030</v>
      </c>
      <c r="D342">
        <v>15</v>
      </c>
      <c r="E342">
        <v>0.96</v>
      </c>
      <c r="F342">
        <v>0.93</v>
      </c>
      <c r="G342">
        <v>7.0000000000000007E-2</v>
      </c>
      <c r="H342">
        <v>0.9</v>
      </c>
      <c r="I342">
        <v>1.18</v>
      </c>
      <c r="J342">
        <v>0.91</v>
      </c>
      <c r="K342">
        <v>0.99</v>
      </c>
      <c r="L342" t="s">
        <v>6</v>
      </c>
      <c r="M342" t="s">
        <v>73</v>
      </c>
    </row>
    <row r="343" spans="1:13" x14ac:dyDescent="0.45">
      <c r="A343" t="s">
        <v>5</v>
      </c>
      <c r="B343" t="s">
        <v>74</v>
      </c>
      <c r="C343">
        <v>2035</v>
      </c>
      <c r="D343">
        <v>15</v>
      </c>
      <c r="E343">
        <v>1.1100000000000001</v>
      </c>
      <c r="F343">
        <v>0.94</v>
      </c>
      <c r="G343">
        <v>0.25</v>
      </c>
      <c r="H343">
        <v>0.9</v>
      </c>
      <c r="I343">
        <v>1.55</v>
      </c>
      <c r="J343">
        <v>0.92</v>
      </c>
      <c r="K343">
        <v>1.34</v>
      </c>
      <c r="L343" t="s">
        <v>6</v>
      </c>
      <c r="M343" t="s">
        <v>73</v>
      </c>
    </row>
    <row r="344" spans="1:13" x14ac:dyDescent="0.45">
      <c r="A344" t="s">
        <v>5</v>
      </c>
      <c r="B344" t="s">
        <v>74</v>
      </c>
      <c r="C344">
        <v>2040</v>
      </c>
      <c r="D344">
        <v>15</v>
      </c>
      <c r="E344">
        <v>1.22</v>
      </c>
      <c r="F344">
        <v>0.95</v>
      </c>
      <c r="G344">
        <v>0.43</v>
      </c>
      <c r="H344">
        <v>0.88</v>
      </c>
      <c r="I344">
        <v>2.17</v>
      </c>
      <c r="J344">
        <v>0.93</v>
      </c>
      <c r="K344">
        <v>1.48</v>
      </c>
      <c r="L344" t="s">
        <v>6</v>
      </c>
      <c r="M344" t="s">
        <v>73</v>
      </c>
    </row>
    <row r="345" spans="1:13" x14ac:dyDescent="0.45">
      <c r="A345" t="s">
        <v>5</v>
      </c>
      <c r="B345" t="s">
        <v>74</v>
      </c>
      <c r="C345">
        <v>2045</v>
      </c>
      <c r="D345">
        <v>15</v>
      </c>
      <c r="E345">
        <v>1.43</v>
      </c>
      <c r="F345">
        <v>0.99</v>
      </c>
      <c r="G345">
        <v>0.67</v>
      </c>
      <c r="H345">
        <v>0.9</v>
      </c>
      <c r="I345">
        <v>2.77</v>
      </c>
      <c r="J345">
        <v>0.95</v>
      </c>
      <c r="K345">
        <v>1.81</v>
      </c>
      <c r="L345" t="s">
        <v>6</v>
      </c>
      <c r="M345" t="s">
        <v>73</v>
      </c>
    </row>
    <row r="346" spans="1:13" x14ac:dyDescent="0.45">
      <c r="A346" t="s">
        <v>5</v>
      </c>
      <c r="B346" t="s">
        <v>74</v>
      </c>
      <c r="C346">
        <v>2050</v>
      </c>
      <c r="D346">
        <v>15</v>
      </c>
      <c r="E346">
        <v>1.7</v>
      </c>
      <c r="F346">
        <v>1.04</v>
      </c>
      <c r="G346">
        <v>0.97</v>
      </c>
      <c r="H346">
        <v>0.95</v>
      </c>
      <c r="I346">
        <v>3.56</v>
      </c>
      <c r="J346">
        <v>1</v>
      </c>
      <c r="K346">
        <v>2.2799999999999998</v>
      </c>
      <c r="L346" t="s">
        <v>6</v>
      </c>
      <c r="M346" t="s">
        <v>73</v>
      </c>
    </row>
    <row r="347" spans="1:13" x14ac:dyDescent="0.45">
      <c r="A347" t="s">
        <v>7</v>
      </c>
      <c r="B347" t="s">
        <v>74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74</v>
      </c>
      <c r="C348">
        <v>2025</v>
      </c>
      <c r="D348">
        <v>8</v>
      </c>
      <c r="E348">
        <v>1.22</v>
      </c>
      <c r="F348">
        <v>1.22</v>
      </c>
      <c r="G348">
        <v>7.0000000000000007E-2</v>
      </c>
      <c r="H348">
        <v>1.1399999999999999</v>
      </c>
      <c r="I348">
        <v>1.28</v>
      </c>
      <c r="J348">
        <v>1.1499999999999999</v>
      </c>
      <c r="K348">
        <v>1.28</v>
      </c>
      <c r="L348" t="s">
        <v>8</v>
      </c>
      <c r="M348" t="s">
        <v>73</v>
      </c>
    </row>
    <row r="349" spans="1:13" x14ac:dyDescent="0.45">
      <c r="A349" t="s">
        <v>7</v>
      </c>
      <c r="B349" t="s">
        <v>74</v>
      </c>
      <c r="C349">
        <v>2030</v>
      </c>
      <c r="D349">
        <v>8</v>
      </c>
      <c r="E349">
        <v>1</v>
      </c>
      <c r="F349">
        <v>1.01</v>
      </c>
      <c r="G349">
        <v>0.04</v>
      </c>
      <c r="H349">
        <v>0.94</v>
      </c>
      <c r="I349">
        <v>1.03</v>
      </c>
      <c r="J349">
        <v>0.96</v>
      </c>
      <c r="K349">
        <v>1.03</v>
      </c>
      <c r="L349" t="s">
        <v>8</v>
      </c>
      <c r="M349" t="s">
        <v>73</v>
      </c>
    </row>
    <row r="350" spans="1:13" x14ac:dyDescent="0.45">
      <c r="A350" t="s">
        <v>7</v>
      </c>
      <c r="B350" t="s">
        <v>74</v>
      </c>
      <c r="C350">
        <v>2035</v>
      </c>
      <c r="D350">
        <v>8</v>
      </c>
      <c r="E350">
        <v>1.1299999999999999</v>
      </c>
      <c r="F350">
        <v>1.1200000000000001</v>
      </c>
      <c r="G350">
        <v>7.0000000000000007E-2</v>
      </c>
      <c r="H350">
        <v>1.04</v>
      </c>
      <c r="I350">
        <v>1.25</v>
      </c>
      <c r="J350">
        <v>1.08</v>
      </c>
      <c r="K350">
        <v>1.17</v>
      </c>
      <c r="L350" t="s">
        <v>8</v>
      </c>
      <c r="M350" t="s">
        <v>73</v>
      </c>
    </row>
    <row r="351" spans="1:13" x14ac:dyDescent="0.45">
      <c r="A351" t="s">
        <v>7</v>
      </c>
      <c r="B351" t="s">
        <v>74</v>
      </c>
      <c r="C351">
        <v>2040</v>
      </c>
      <c r="D351">
        <v>8</v>
      </c>
      <c r="E351">
        <v>1.1000000000000001</v>
      </c>
      <c r="F351">
        <v>1.06</v>
      </c>
      <c r="G351">
        <v>0.09</v>
      </c>
      <c r="H351">
        <v>1.01</v>
      </c>
      <c r="I351">
        <v>1.28</v>
      </c>
      <c r="J351">
        <v>1.05</v>
      </c>
      <c r="K351">
        <v>1.1200000000000001</v>
      </c>
      <c r="L351" t="s">
        <v>8</v>
      </c>
      <c r="M351" t="s">
        <v>73</v>
      </c>
    </row>
    <row r="352" spans="1:13" x14ac:dyDescent="0.45">
      <c r="A352" t="s">
        <v>7</v>
      </c>
      <c r="B352" t="s">
        <v>74</v>
      </c>
      <c r="C352">
        <v>2045</v>
      </c>
      <c r="D352">
        <v>8</v>
      </c>
      <c r="E352">
        <v>1.21</v>
      </c>
      <c r="F352">
        <v>1.22</v>
      </c>
      <c r="G352">
        <v>0.13</v>
      </c>
      <c r="H352">
        <v>1.01</v>
      </c>
      <c r="I352">
        <v>1.38</v>
      </c>
      <c r="J352">
        <v>1.1299999999999999</v>
      </c>
      <c r="K352">
        <v>1.3</v>
      </c>
      <c r="L352" t="s">
        <v>8</v>
      </c>
      <c r="M352" t="s">
        <v>73</v>
      </c>
    </row>
    <row r="353" spans="1:13" x14ac:dyDescent="0.45">
      <c r="A353" t="s">
        <v>7</v>
      </c>
      <c r="B353" t="s">
        <v>74</v>
      </c>
      <c r="C353">
        <v>2050</v>
      </c>
      <c r="D353">
        <v>8</v>
      </c>
      <c r="E353">
        <v>1.55</v>
      </c>
      <c r="F353">
        <v>1.5</v>
      </c>
      <c r="G353">
        <v>0.2</v>
      </c>
      <c r="H353">
        <v>1.31</v>
      </c>
      <c r="I353">
        <v>1.89</v>
      </c>
      <c r="J353">
        <v>1.42</v>
      </c>
      <c r="K353">
        <v>1.66</v>
      </c>
      <c r="L353" t="s">
        <v>8</v>
      </c>
      <c r="M353" t="s">
        <v>73</v>
      </c>
    </row>
    <row r="354" spans="1:13" x14ac:dyDescent="0.45">
      <c r="A354" t="s">
        <v>9</v>
      </c>
      <c r="B354" t="s">
        <v>74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74</v>
      </c>
      <c r="C355">
        <v>2025</v>
      </c>
      <c r="D355">
        <v>7</v>
      </c>
      <c r="E355">
        <v>1.07</v>
      </c>
      <c r="F355">
        <v>1.01</v>
      </c>
      <c r="G355">
        <v>0.11</v>
      </c>
      <c r="H355">
        <v>1.01</v>
      </c>
      <c r="I355">
        <v>1.28</v>
      </c>
      <c r="J355">
        <v>1.01</v>
      </c>
      <c r="K355">
        <v>1.08</v>
      </c>
      <c r="L355" t="s">
        <v>10</v>
      </c>
      <c r="M355" t="s">
        <v>73</v>
      </c>
    </row>
    <row r="356" spans="1:13" x14ac:dyDescent="0.45">
      <c r="A356" t="s">
        <v>9</v>
      </c>
      <c r="B356" t="s">
        <v>74</v>
      </c>
      <c r="C356">
        <v>2030</v>
      </c>
      <c r="D356">
        <v>7</v>
      </c>
      <c r="E356">
        <v>0.99</v>
      </c>
      <c r="F356">
        <v>0.99</v>
      </c>
      <c r="G356">
        <v>0.05</v>
      </c>
      <c r="H356">
        <v>0.89</v>
      </c>
      <c r="I356">
        <v>1.05</v>
      </c>
      <c r="J356">
        <v>0.98</v>
      </c>
      <c r="K356">
        <v>1.01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74</v>
      </c>
      <c r="C357">
        <v>2035</v>
      </c>
      <c r="D357">
        <v>7</v>
      </c>
      <c r="E357">
        <v>0.96</v>
      </c>
      <c r="F357">
        <v>0.97</v>
      </c>
      <c r="G357">
        <v>0.11</v>
      </c>
      <c r="H357">
        <v>0.74</v>
      </c>
      <c r="I357">
        <v>1.1000000000000001</v>
      </c>
      <c r="J357">
        <v>0.95</v>
      </c>
      <c r="K357">
        <v>1</v>
      </c>
      <c r="L357" t="s">
        <v>10</v>
      </c>
      <c r="M357" t="s">
        <v>73</v>
      </c>
    </row>
    <row r="358" spans="1:13" x14ac:dyDescent="0.45">
      <c r="A358" t="s">
        <v>9</v>
      </c>
      <c r="B358" t="s">
        <v>74</v>
      </c>
      <c r="C358">
        <v>2040</v>
      </c>
      <c r="D358">
        <v>7</v>
      </c>
      <c r="E358">
        <v>0.89</v>
      </c>
      <c r="F358">
        <v>0.92</v>
      </c>
      <c r="G358">
        <v>0.12</v>
      </c>
      <c r="H358">
        <v>0.63</v>
      </c>
      <c r="I358">
        <v>0.98</v>
      </c>
      <c r="J358">
        <v>0.9</v>
      </c>
      <c r="K358">
        <v>0.97</v>
      </c>
      <c r="L358" t="s">
        <v>10</v>
      </c>
      <c r="M358" t="s">
        <v>73</v>
      </c>
    </row>
    <row r="359" spans="1:13" x14ac:dyDescent="0.45">
      <c r="A359" t="s">
        <v>9</v>
      </c>
      <c r="B359" t="s">
        <v>74</v>
      </c>
      <c r="C359">
        <v>2045</v>
      </c>
      <c r="D359">
        <v>7</v>
      </c>
      <c r="E359">
        <v>0.93</v>
      </c>
      <c r="F359">
        <v>0.95</v>
      </c>
      <c r="G359">
        <v>0.1</v>
      </c>
      <c r="H359">
        <v>0.77</v>
      </c>
      <c r="I359">
        <v>1.05</v>
      </c>
      <c r="J359">
        <v>0.86</v>
      </c>
      <c r="K359">
        <v>1.01</v>
      </c>
      <c r="L359" t="s">
        <v>10</v>
      </c>
      <c r="M359" t="s">
        <v>73</v>
      </c>
    </row>
    <row r="360" spans="1:13" x14ac:dyDescent="0.45">
      <c r="A360" t="s">
        <v>9</v>
      </c>
      <c r="B360" t="s">
        <v>74</v>
      </c>
      <c r="C360">
        <v>2050</v>
      </c>
      <c r="D360">
        <v>7</v>
      </c>
      <c r="E360">
        <v>1</v>
      </c>
      <c r="F360">
        <v>1.02</v>
      </c>
      <c r="G360">
        <v>0.15</v>
      </c>
      <c r="H360">
        <v>0.83</v>
      </c>
      <c r="I360">
        <v>1.21</v>
      </c>
      <c r="J360">
        <v>0.86</v>
      </c>
      <c r="K360">
        <v>1.1000000000000001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M24"/>
  <sheetViews>
    <sheetView workbookViewId="0">
      <selection activeCell="H21" sqref="H21"/>
    </sheetView>
  </sheetViews>
  <sheetFormatPr defaultRowHeight="14.25" x14ac:dyDescent="0.45"/>
  <sheetData>
    <row r="10" spans="1:13" x14ac:dyDescent="0.45">
      <c r="A10" t="str">
        <f>IFERROR(Veda!D5,"ts_12t")</f>
        <v>ts_annual</v>
      </c>
      <c r="B10" s="15"/>
      <c r="C10" s="15" t="s">
        <v>239</v>
      </c>
      <c r="D10" t="s">
        <v>126</v>
      </c>
      <c r="F10" t="s">
        <v>239</v>
      </c>
      <c r="G10" t="s">
        <v>128</v>
      </c>
      <c r="I10" t="s">
        <v>239</v>
      </c>
      <c r="J10" t="s">
        <v>108</v>
      </c>
      <c r="L10" t="s">
        <v>239</v>
      </c>
      <c r="M10" t="s">
        <v>133</v>
      </c>
    </row>
    <row r="11" spans="1:13" x14ac:dyDescent="0.45">
      <c r="B11" s="15"/>
      <c r="C11" s="15" t="s">
        <v>240</v>
      </c>
      <c r="D11" t="s">
        <v>241</v>
      </c>
      <c r="F11" t="s">
        <v>240</v>
      </c>
      <c r="G11" t="s">
        <v>292</v>
      </c>
      <c r="I11" t="s">
        <v>240</v>
      </c>
      <c r="J11" t="s">
        <v>296</v>
      </c>
      <c r="L11" t="s">
        <v>240</v>
      </c>
      <c r="M11" t="s">
        <v>315</v>
      </c>
    </row>
    <row r="12" spans="1:13" x14ac:dyDescent="0.45">
      <c r="B12" s="15"/>
      <c r="C12" s="15" t="s">
        <v>242</v>
      </c>
      <c r="D12" t="s">
        <v>243</v>
      </c>
      <c r="F12" t="s">
        <v>242</v>
      </c>
      <c r="G12" t="s">
        <v>293</v>
      </c>
      <c r="I12" t="s">
        <v>242</v>
      </c>
      <c r="J12" t="s">
        <v>296</v>
      </c>
      <c r="L12" t="s">
        <v>242</v>
      </c>
      <c r="M12" t="s">
        <v>316</v>
      </c>
    </row>
    <row r="17" spans="3:13" x14ac:dyDescent="0.45">
      <c r="I17" s="12">
        <v>0.75</v>
      </c>
      <c r="K17" s="2" t="s">
        <v>86</v>
      </c>
    </row>
    <row r="18" spans="3:13" ht="17.649999999999999" thickBot="1" x14ac:dyDescent="0.6">
      <c r="C18" s="13" t="s">
        <v>87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88</v>
      </c>
      <c r="D22" s="14" t="s">
        <v>89</v>
      </c>
      <c r="E22" s="14" t="s">
        <v>90</v>
      </c>
      <c r="F22" s="14" t="s">
        <v>91</v>
      </c>
      <c r="G22" s="14" t="s">
        <v>92</v>
      </c>
      <c r="H22" s="14" t="s">
        <v>93</v>
      </c>
      <c r="I22" s="14" t="s">
        <v>94</v>
      </c>
      <c r="J22" s="14" t="s">
        <v>95</v>
      </c>
      <c r="K22" s="14" t="s">
        <v>96</v>
      </c>
    </row>
    <row r="23" spans="3:13" x14ac:dyDescent="0.45">
      <c r="C23" t="s">
        <v>97</v>
      </c>
      <c r="D23" t="s">
        <v>98</v>
      </c>
      <c r="E23" t="str">
        <f>G23</f>
        <v>AuxStoIN</v>
      </c>
      <c r="F23" t="s">
        <v>99</v>
      </c>
      <c r="G23" t="s">
        <v>100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101</v>
      </c>
    </row>
    <row r="24" spans="3:13" x14ac:dyDescent="0.45">
      <c r="D24" t="s">
        <v>98</v>
      </c>
      <c r="E24" t="str">
        <f>G24</f>
        <v>AuxStoIN</v>
      </c>
      <c r="F24" t="s">
        <v>99</v>
      </c>
      <c r="G24" t="s">
        <v>100</v>
      </c>
      <c r="H24" t="str">
        <f>HLOOKUP($A$10,$D$10:$CU$12,2,FALSE)</f>
        <v>AllSaAllH</v>
      </c>
      <c r="I24">
        <f>-$I$17</f>
        <v>-0.75</v>
      </c>
      <c r="M24" t="s">
        <v>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0F7C6-5CC6-4C8E-BE14-321BEAB245E8}">
  <dimension ref="A9:AN40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126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123</v>
      </c>
      <c r="K10" t="s">
        <v>160</v>
      </c>
      <c r="L10" t="s">
        <v>30</v>
      </c>
      <c r="N10" t="s">
        <v>13</v>
      </c>
      <c r="O10" t="s">
        <v>123</v>
      </c>
      <c r="P10" t="s">
        <v>160</v>
      </c>
      <c r="Q10" t="s">
        <v>30</v>
      </c>
      <c r="S10" t="s">
        <v>13</v>
      </c>
      <c r="T10" t="s">
        <v>123</v>
      </c>
      <c r="U10" t="s">
        <v>160</v>
      </c>
      <c r="V10" t="s">
        <v>30</v>
      </c>
      <c r="X10" t="s">
        <v>238</v>
      </c>
      <c r="Y10" t="s">
        <v>160</v>
      </c>
      <c r="Z10" t="s">
        <v>123</v>
      </c>
      <c r="AA10" t="s">
        <v>13</v>
      </c>
      <c r="AC10" t="s">
        <v>13</v>
      </c>
      <c r="AD10" t="s">
        <v>123</v>
      </c>
      <c r="AE10" t="s">
        <v>160</v>
      </c>
      <c r="AG10" t="s">
        <v>13</v>
      </c>
      <c r="AH10" t="s">
        <v>123</v>
      </c>
      <c r="AI10" t="s">
        <v>244</v>
      </c>
      <c r="AK10" t="s">
        <v>47</v>
      </c>
      <c r="AL10" t="s">
        <v>123</v>
      </c>
      <c r="AM10" t="s">
        <v>245</v>
      </c>
      <c r="AN10" t="s">
        <v>246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153</v>
      </c>
      <c r="F11" t="s">
        <v>154</v>
      </c>
      <c r="G11" t="s">
        <v>152</v>
      </c>
      <c r="I11" t="s">
        <v>161</v>
      </c>
      <c r="J11" t="s">
        <v>162</v>
      </c>
      <c r="K11">
        <v>4.2037486550773077E-3</v>
      </c>
      <c r="L11" t="s">
        <v>163</v>
      </c>
      <c r="N11" t="s">
        <v>190</v>
      </c>
      <c r="O11" t="s">
        <v>162</v>
      </c>
      <c r="P11">
        <v>4.0922778171950634E-2</v>
      </c>
      <c r="Q11" t="s">
        <v>163</v>
      </c>
      <c r="S11" t="s">
        <v>205</v>
      </c>
      <c r="T11" t="s">
        <v>162</v>
      </c>
      <c r="U11">
        <v>5.3342882258498821E-2</v>
      </c>
      <c r="V11" t="s">
        <v>163</v>
      </c>
      <c r="X11">
        <v>4.714611872146119E-2</v>
      </c>
      <c r="Y11">
        <v>1.861886648600718E-2</v>
      </c>
      <c r="Z11" t="s">
        <v>162</v>
      </c>
      <c r="AA11" t="s">
        <v>25</v>
      </c>
      <c r="AC11" t="s">
        <v>22</v>
      </c>
      <c r="AD11" t="s">
        <v>162</v>
      </c>
      <c r="AE11">
        <v>5.1269050374917899E-2</v>
      </c>
      <c r="AG11" t="s">
        <v>98</v>
      </c>
      <c r="AH11" t="s">
        <v>162</v>
      </c>
      <c r="AI11">
        <v>5.452725543812087E-2</v>
      </c>
      <c r="AK11">
        <v>2020</v>
      </c>
      <c r="AL11" t="s">
        <v>151</v>
      </c>
      <c r="AM11">
        <v>0.4878446094789417</v>
      </c>
      <c r="AN11" t="s">
        <v>247</v>
      </c>
    </row>
    <row r="12" spans="1:40" x14ac:dyDescent="0.45">
      <c r="C12" t="s">
        <v>155</v>
      </c>
      <c r="E12" t="s">
        <v>156</v>
      </c>
      <c r="G12" t="s">
        <v>152</v>
      </c>
      <c r="I12" t="s">
        <v>161</v>
      </c>
      <c r="J12" t="s">
        <v>164</v>
      </c>
      <c r="K12">
        <v>0.24139677978561236</v>
      </c>
      <c r="L12" t="s">
        <v>163</v>
      </c>
      <c r="N12" t="s">
        <v>190</v>
      </c>
      <c r="O12" t="s">
        <v>164</v>
      </c>
      <c r="P12">
        <v>7.3425396679711902E-2</v>
      </c>
      <c r="Q12" t="s">
        <v>163</v>
      </c>
      <c r="S12" t="s">
        <v>205</v>
      </c>
      <c r="T12" t="s">
        <v>164</v>
      </c>
      <c r="U12">
        <v>9.823981665897881E-2</v>
      </c>
      <c r="V12" t="s">
        <v>163</v>
      </c>
      <c r="X12">
        <v>8.0821917808219179E-2</v>
      </c>
      <c r="Y12">
        <v>0.11760004640794239</v>
      </c>
      <c r="Z12" t="s">
        <v>164</v>
      </c>
      <c r="AA12" t="s">
        <v>25</v>
      </c>
      <c r="AC12" t="s">
        <v>22</v>
      </c>
      <c r="AD12" t="s">
        <v>164</v>
      </c>
      <c r="AE12">
        <v>6.6219521980456122E-2</v>
      </c>
      <c r="AG12" t="s">
        <v>98</v>
      </c>
      <c r="AH12" t="s">
        <v>164</v>
      </c>
      <c r="AI12">
        <v>0.22109836193195953</v>
      </c>
      <c r="AK12">
        <v>2020</v>
      </c>
      <c r="AL12" t="s">
        <v>155</v>
      </c>
      <c r="AM12">
        <v>0.46480915955091706</v>
      </c>
      <c r="AN12" t="s">
        <v>247</v>
      </c>
    </row>
    <row r="13" spans="1:40" x14ac:dyDescent="0.45">
      <c r="C13" t="s">
        <v>157</v>
      </c>
      <c r="E13" t="s">
        <v>158</v>
      </c>
      <c r="G13" t="s">
        <v>152</v>
      </c>
      <c r="I13" t="s">
        <v>161</v>
      </c>
      <c r="J13" t="s">
        <v>165</v>
      </c>
      <c r="K13">
        <v>1.3078310619717442E-2</v>
      </c>
      <c r="L13" t="s">
        <v>163</v>
      </c>
      <c r="N13" t="s">
        <v>190</v>
      </c>
      <c r="O13" t="s">
        <v>165</v>
      </c>
      <c r="P13">
        <v>3.0778153227287088E-2</v>
      </c>
      <c r="Q13" t="s">
        <v>163</v>
      </c>
      <c r="S13" t="s">
        <v>205</v>
      </c>
      <c r="T13" t="s">
        <v>165</v>
      </c>
      <c r="U13">
        <v>4.0723396661898406E-2</v>
      </c>
      <c r="V13" t="s">
        <v>163</v>
      </c>
      <c r="X13">
        <v>3.3675799086757989E-2</v>
      </c>
      <c r="Y13">
        <v>2.5424922722488794E-2</v>
      </c>
      <c r="Z13" t="s">
        <v>165</v>
      </c>
      <c r="AA13" t="s">
        <v>25</v>
      </c>
      <c r="AC13" t="s">
        <v>22</v>
      </c>
      <c r="AD13" t="s">
        <v>165</v>
      </c>
      <c r="AE13">
        <v>3.5683015976026591E-2</v>
      </c>
      <c r="AG13" t="s">
        <v>98</v>
      </c>
      <c r="AH13" t="s">
        <v>165</v>
      </c>
      <c r="AI13">
        <v>7.4409022887609089E-2</v>
      </c>
      <c r="AK13">
        <v>2020</v>
      </c>
      <c r="AL13" t="s">
        <v>157</v>
      </c>
      <c r="AM13">
        <v>0.50477348197343441</v>
      </c>
      <c r="AN13" t="s">
        <v>247</v>
      </c>
    </row>
    <row r="14" spans="1:40" x14ac:dyDescent="0.45">
      <c r="C14" t="s">
        <v>159</v>
      </c>
      <c r="I14" t="s">
        <v>161</v>
      </c>
      <c r="J14" t="s">
        <v>166</v>
      </c>
      <c r="K14">
        <v>0</v>
      </c>
      <c r="L14" t="s">
        <v>163</v>
      </c>
      <c r="N14" t="s">
        <v>190</v>
      </c>
      <c r="O14" t="s">
        <v>166</v>
      </c>
      <c r="P14">
        <v>8.5836599519152221E-2</v>
      </c>
      <c r="Q14" t="s">
        <v>163</v>
      </c>
      <c r="S14" t="s">
        <v>205</v>
      </c>
      <c r="T14" t="s">
        <v>166</v>
      </c>
      <c r="U14">
        <v>0.10466018910062169</v>
      </c>
      <c r="V14" t="s">
        <v>163</v>
      </c>
      <c r="X14">
        <v>9.7488584474885842E-2</v>
      </c>
      <c r="Y14">
        <v>3.8500029004964E-2</v>
      </c>
      <c r="Z14" t="s">
        <v>166</v>
      </c>
      <c r="AA14" t="s">
        <v>25</v>
      </c>
      <c r="AC14" t="s">
        <v>22</v>
      </c>
      <c r="AD14" t="s">
        <v>166</v>
      </c>
      <c r="AE14">
        <v>0.11053902287303083</v>
      </c>
      <c r="AG14" t="s">
        <v>98</v>
      </c>
      <c r="AH14" t="s">
        <v>166</v>
      </c>
      <c r="AI14">
        <v>0.1921271497160566</v>
      </c>
      <c r="AK14">
        <v>2020</v>
      </c>
      <c r="AL14" t="s">
        <v>159</v>
      </c>
      <c r="AM14">
        <v>0.50868549704828159</v>
      </c>
      <c r="AN14" t="s">
        <v>247</v>
      </c>
    </row>
    <row r="15" spans="1:40" x14ac:dyDescent="0.45">
      <c r="I15" t="s">
        <v>161</v>
      </c>
      <c r="J15" t="s">
        <v>167</v>
      </c>
      <c r="K15">
        <v>0.22616150677463684</v>
      </c>
      <c r="L15" t="s">
        <v>163</v>
      </c>
      <c r="N15" t="s">
        <v>190</v>
      </c>
      <c r="O15" t="s">
        <v>167</v>
      </c>
      <c r="P15">
        <v>0.15028546342410048</v>
      </c>
      <c r="Q15" t="s">
        <v>163</v>
      </c>
      <c r="S15" t="s">
        <v>205</v>
      </c>
      <c r="T15" t="s">
        <v>167</v>
      </c>
      <c r="U15">
        <v>0.18218936946075817</v>
      </c>
      <c r="V15" t="s">
        <v>163</v>
      </c>
      <c r="X15">
        <v>0.16712328767123288</v>
      </c>
      <c r="Y15">
        <v>0.24317297731811821</v>
      </c>
      <c r="Z15" t="s">
        <v>167</v>
      </c>
      <c r="AA15" t="s">
        <v>25</v>
      </c>
      <c r="AC15" t="s">
        <v>22</v>
      </c>
      <c r="AD15" t="s">
        <v>167</v>
      </c>
      <c r="AE15">
        <v>0.14560007669642536</v>
      </c>
      <c r="AG15" t="s">
        <v>98</v>
      </c>
      <c r="AH15" t="s">
        <v>167</v>
      </c>
      <c r="AI15">
        <v>0.40616617172020231</v>
      </c>
      <c r="AK15">
        <v>2021</v>
      </c>
      <c r="AL15" t="s">
        <v>151</v>
      </c>
      <c r="AM15">
        <v>0.44433726111412303</v>
      </c>
      <c r="AN15" t="s">
        <v>247</v>
      </c>
    </row>
    <row r="16" spans="1:40" x14ac:dyDescent="0.45">
      <c r="I16" t="s">
        <v>161</v>
      </c>
      <c r="J16" t="s">
        <v>168</v>
      </c>
      <c r="K16">
        <v>1.3351280726390463E-3</v>
      </c>
      <c r="L16" t="s">
        <v>163</v>
      </c>
      <c r="N16" t="s">
        <v>190</v>
      </c>
      <c r="O16" t="s">
        <v>168</v>
      </c>
      <c r="P16">
        <v>6.145850412997076E-2</v>
      </c>
      <c r="Q16" t="s">
        <v>163</v>
      </c>
      <c r="S16" t="s">
        <v>205</v>
      </c>
      <c r="T16" t="s">
        <v>168</v>
      </c>
      <c r="U16">
        <v>7.3206054602531892E-2</v>
      </c>
      <c r="V16" t="s">
        <v>163</v>
      </c>
      <c r="X16">
        <v>6.9634703196347028E-2</v>
      </c>
      <c r="Y16">
        <v>5.2573569019383606E-2</v>
      </c>
      <c r="Z16" t="s">
        <v>168</v>
      </c>
      <c r="AA16" t="s">
        <v>25</v>
      </c>
      <c r="AC16" t="s">
        <v>22</v>
      </c>
      <c r="AD16" t="s">
        <v>168</v>
      </c>
      <c r="AE16">
        <v>7.6736712648168795E-2</v>
      </c>
      <c r="AG16" t="s">
        <v>98</v>
      </c>
      <c r="AH16" t="s">
        <v>168</v>
      </c>
      <c r="AI16">
        <v>0.24372056682869747</v>
      </c>
      <c r="AK16">
        <v>2021</v>
      </c>
      <c r="AL16" t="s">
        <v>155</v>
      </c>
      <c r="AM16">
        <v>0.43701326296647686</v>
      </c>
      <c r="AN16" t="s">
        <v>247</v>
      </c>
    </row>
    <row r="17" spans="9:40" x14ac:dyDescent="0.45">
      <c r="I17" t="s">
        <v>161</v>
      </c>
      <c r="J17" t="s">
        <v>169</v>
      </c>
      <c r="K17">
        <v>2.0006380832013108E-3</v>
      </c>
      <c r="L17" t="s">
        <v>163</v>
      </c>
      <c r="N17" t="s">
        <v>190</v>
      </c>
      <c r="O17" t="s">
        <v>169</v>
      </c>
      <c r="P17">
        <v>0.11288553880687854</v>
      </c>
      <c r="Q17" t="s">
        <v>163</v>
      </c>
      <c r="S17" t="s">
        <v>205</v>
      </c>
      <c r="T17" t="s">
        <v>169</v>
      </c>
      <c r="U17">
        <v>9.6729598280484635E-2</v>
      </c>
      <c r="V17" t="s">
        <v>163</v>
      </c>
      <c r="X17">
        <v>9.8287671232876711E-2</v>
      </c>
      <c r="Y17">
        <v>3.8815603013201416E-2</v>
      </c>
      <c r="Z17" t="s">
        <v>169</v>
      </c>
      <c r="AA17" t="s">
        <v>25</v>
      </c>
      <c r="AC17" t="s">
        <v>22</v>
      </c>
      <c r="AD17" t="s">
        <v>169</v>
      </c>
      <c r="AE17">
        <v>0.11766171478855797</v>
      </c>
      <c r="AG17" t="s">
        <v>98</v>
      </c>
      <c r="AH17" t="s">
        <v>169</v>
      </c>
      <c r="AI17">
        <v>0.17707708393690025</v>
      </c>
      <c r="AK17">
        <v>2021</v>
      </c>
      <c r="AL17" t="s">
        <v>157</v>
      </c>
      <c r="AM17">
        <v>0.54368773719165087</v>
      </c>
      <c r="AN17" t="s">
        <v>247</v>
      </c>
    </row>
    <row r="18" spans="9:40" x14ac:dyDescent="0.45">
      <c r="I18" t="s">
        <v>161</v>
      </c>
      <c r="J18" t="s">
        <v>170</v>
      </c>
      <c r="K18">
        <v>0.26960405908335022</v>
      </c>
      <c r="L18" t="s">
        <v>163</v>
      </c>
      <c r="N18" t="s">
        <v>190</v>
      </c>
      <c r="O18" t="s">
        <v>170</v>
      </c>
      <c r="P18">
        <v>0.20217890881487788</v>
      </c>
      <c r="Q18" t="s">
        <v>163</v>
      </c>
      <c r="S18" t="s">
        <v>205</v>
      </c>
      <c r="T18" t="s">
        <v>170</v>
      </c>
      <c r="U18">
        <v>0.16993672338855254</v>
      </c>
      <c r="V18" t="s">
        <v>163</v>
      </c>
      <c r="X18">
        <v>0.16849315068493151</v>
      </c>
      <c r="Y18">
        <v>0.24516619844367657</v>
      </c>
      <c r="Z18" t="s">
        <v>170</v>
      </c>
      <c r="AA18" t="s">
        <v>25</v>
      </c>
      <c r="AC18" t="s">
        <v>22</v>
      </c>
      <c r="AD18" t="s">
        <v>170</v>
      </c>
      <c r="AE18">
        <v>0.15617529836235275</v>
      </c>
      <c r="AG18" t="s">
        <v>98</v>
      </c>
      <c r="AH18" t="s">
        <v>170</v>
      </c>
      <c r="AI18">
        <v>0.3907388851872009</v>
      </c>
      <c r="AK18">
        <v>2021</v>
      </c>
      <c r="AL18" t="s">
        <v>159</v>
      </c>
      <c r="AM18">
        <v>0.52120394528779257</v>
      </c>
      <c r="AN18" t="s">
        <v>247</v>
      </c>
    </row>
    <row r="19" spans="9:40" x14ac:dyDescent="0.45">
      <c r="I19" t="s">
        <v>161</v>
      </c>
      <c r="J19" t="s">
        <v>171</v>
      </c>
      <c r="K19">
        <v>8.9412695927761153E-4</v>
      </c>
      <c r="L19" t="s">
        <v>163</v>
      </c>
      <c r="N19" t="s">
        <v>190</v>
      </c>
      <c r="O19" t="s">
        <v>171</v>
      </c>
      <c r="P19">
        <v>8.331622241541202E-2</v>
      </c>
      <c r="Q19" t="s">
        <v>163</v>
      </c>
      <c r="S19" t="s">
        <v>205</v>
      </c>
      <c r="T19" t="s">
        <v>171</v>
      </c>
      <c r="U19">
        <v>6.7504191777036315E-2</v>
      </c>
      <c r="V19" t="s">
        <v>163</v>
      </c>
      <c r="X19">
        <v>7.0205479452054798E-2</v>
      </c>
      <c r="Y19">
        <v>5.3004499912985108E-2</v>
      </c>
      <c r="Z19" t="s">
        <v>171</v>
      </c>
      <c r="AA19" t="s">
        <v>25</v>
      </c>
      <c r="AC19" t="s">
        <v>22</v>
      </c>
      <c r="AD19" t="s">
        <v>171</v>
      </c>
      <c r="AE19">
        <v>8.2539770616859437E-2</v>
      </c>
      <c r="AG19" t="s">
        <v>98</v>
      </c>
      <c r="AH19" t="s">
        <v>171</v>
      </c>
      <c r="AI19">
        <v>0.2392671431300557</v>
      </c>
      <c r="AK19">
        <v>2022</v>
      </c>
      <c r="AL19" t="s">
        <v>151</v>
      </c>
      <c r="AM19">
        <v>0.44973300826464163</v>
      </c>
      <c r="AN19" t="s">
        <v>247</v>
      </c>
    </row>
    <row r="20" spans="9:40" x14ac:dyDescent="0.45">
      <c r="I20" t="s">
        <v>161</v>
      </c>
      <c r="J20" t="s">
        <v>172</v>
      </c>
      <c r="K20">
        <v>7.4078848212524922E-3</v>
      </c>
      <c r="L20" t="s">
        <v>163</v>
      </c>
      <c r="N20" t="s">
        <v>190</v>
      </c>
      <c r="O20" t="s">
        <v>172</v>
      </c>
      <c r="P20">
        <v>4.2008123891141565E-2</v>
      </c>
      <c r="Q20" t="s">
        <v>163</v>
      </c>
      <c r="S20" t="s">
        <v>205</v>
      </c>
      <c r="T20" t="s">
        <v>172</v>
      </c>
      <c r="U20">
        <v>3.336468105807603E-2</v>
      </c>
      <c r="V20" t="s">
        <v>163</v>
      </c>
      <c r="X20">
        <v>4.8744292237442921E-2</v>
      </c>
      <c r="Y20">
        <v>1.9250014502482003E-2</v>
      </c>
      <c r="Z20" t="s">
        <v>172</v>
      </c>
      <c r="AA20" t="s">
        <v>25</v>
      </c>
      <c r="AC20" t="s">
        <v>22</v>
      </c>
      <c r="AD20" t="s">
        <v>172</v>
      </c>
      <c r="AE20">
        <v>5.2561570545679032E-2</v>
      </c>
      <c r="AG20" t="s">
        <v>98</v>
      </c>
      <c r="AH20" t="s">
        <v>172</v>
      </c>
      <c r="AI20">
        <v>7.8199338361619963E-2</v>
      </c>
      <c r="AK20">
        <v>2022</v>
      </c>
      <c r="AL20" t="s">
        <v>155</v>
      </c>
      <c r="AM20">
        <v>0.44696381695189058</v>
      </c>
      <c r="AN20" t="s">
        <v>247</v>
      </c>
    </row>
    <row r="21" spans="9:40" x14ac:dyDescent="0.45">
      <c r="I21" t="s">
        <v>161</v>
      </c>
      <c r="J21" t="s">
        <v>173</v>
      </c>
      <c r="K21">
        <v>0.22504026309844902</v>
      </c>
      <c r="L21" t="s">
        <v>163</v>
      </c>
      <c r="N21" t="s">
        <v>190</v>
      </c>
      <c r="O21" t="s">
        <v>173</v>
      </c>
      <c r="P21">
        <v>8.3817938056707342E-2</v>
      </c>
      <c r="Q21" t="s">
        <v>163</v>
      </c>
      <c r="S21" t="s">
        <v>205</v>
      </c>
      <c r="T21" t="s">
        <v>173</v>
      </c>
      <c r="U21">
        <v>5.6240401638559027E-2</v>
      </c>
      <c r="V21" t="s">
        <v>163</v>
      </c>
      <c r="X21">
        <v>8.3561643835616442E-2</v>
      </c>
      <c r="Y21">
        <v>0.12158648865905911</v>
      </c>
      <c r="Z21" t="s">
        <v>173</v>
      </c>
      <c r="AA21" t="s">
        <v>25</v>
      </c>
      <c r="AC21" t="s">
        <v>22</v>
      </c>
      <c r="AD21" t="s">
        <v>173</v>
      </c>
      <c r="AE21">
        <v>6.8361801241992912E-2</v>
      </c>
      <c r="AG21" t="s">
        <v>98</v>
      </c>
      <c r="AH21" t="s">
        <v>173</v>
      </c>
      <c r="AI21">
        <v>0.25207431415992221</v>
      </c>
      <c r="AK21">
        <v>2022</v>
      </c>
      <c r="AL21" t="s">
        <v>157</v>
      </c>
      <c r="AM21">
        <v>0.56796311020243329</v>
      </c>
      <c r="AN21" t="s">
        <v>247</v>
      </c>
    </row>
    <row r="22" spans="9:40" x14ac:dyDescent="0.45">
      <c r="I22" t="s">
        <v>161</v>
      </c>
      <c r="J22" t="s">
        <v>174</v>
      </c>
      <c r="K22">
        <v>8.8775540467846258E-3</v>
      </c>
      <c r="L22" t="s">
        <v>163</v>
      </c>
      <c r="N22" t="s">
        <v>190</v>
      </c>
      <c r="O22" t="s">
        <v>174</v>
      </c>
      <c r="P22">
        <v>3.3086372862809667E-2</v>
      </c>
      <c r="Q22" t="s">
        <v>163</v>
      </c>
      <c r="S22" t="s">
        <v>205</v>
      </c>
      <c r="T22" t="s">
        <v>174</v>
      </c>
      <c r="U22">
        <v>2.3862695114008129E-2</v>
      </c>
      <c r="V22" t="s">
        <v>163</v>
      </c>
      <c r="X22">
        <v>3.4817351598173514E-2</v>
      </c>
      <c r="Y22">
        <v>2.6286784509691803E-2</v>
      </c>
      <c r="Z22" t="s">
        <v>174</v>
      </c>
      <c r="AA22" t="s">
        <v>25</v>
      </c>
      <c r="AC22" t="s">
        <v>22</v>
      </c>
      <c r="AD22" t="s">
        <v>174</v>
      </c>
      <c r="AE22">
        <v>3.6652443895532287E-2</v>
      </c>
      <c r="AG22" t="s">
        <v>98</v>
      </c>
      <c r="AH22" t="s">
        <v>174</v>
      </c>
      <c r="AI22">
        <v>0.10188180178320994</v>
      </c>
      <c r="AK22">
        <v>2022</v>
      </c>
      <c r="AL22" t="s">
        <v>159</v>
      </c>
      <c r="AM22">
        <v>0.55699902821949621</v>
      </c>
      <c r="AN22" t="s">
        <v>247</v>
      </c>
    </row>
    <row r="23" spans="9:40" x14ac:dyDescent="0.45">
      <c r="I23" t="s">
        <v>175</v>
      </c>
      <c r="J23" t="s">
        <v>162</v>
      </c>
      <c r="K23">
        <v>1.1308122088744156E-2</v>
      </c>
      <c r="L23" t="s">
        <v>163</v>
      </c>
      <c r="N23" t="s">
        <v>191</v>
      </c>
      <c r="O23" t="s">
        <v>162</v>
      </c>
      <c r="P23">
        <v>3.7134461224149859E-2</v>
      </c>
      <c r="Q23" t="s">
        <v>163</v>
      </c>
      <c r="S23" t="s">
        <v>206</v>
      </c>
      <c r="T23" t="s">
        <v>162</v>
      </c>
      <c r="U23">
        <v>5.2206153285661083E-2</v>
      </c>
      <c r="V23" t="s">
        <v>163</v>
      </c>
      <c r="AC23" t="s">
        <v>19</v>
      </c>
      <c r="AD23" t="s">
        <v>162</v>
      </c>
      <c r="AE23">
        <v>4.7550272122805215E-2</v>
      </c>
      <c r="AK23">
        <v>2025</v>
      </c>
      <c r="AL23" t="s">
        <v>151</v>
      </c>
      <c r="AM23">
        <v>0.49024999999999996</v>
      </c>
      <c r="AN23" t="s">
        <v>247</v>
      </c>
    </row>
    <row r="24" spans="9:40" x14ac:dyDescent="0.45">
      <c r="I24" t="s">
        <v>175</v>
      </c>
      <c r="J24" t="s">
        <v>164</v>
      </c>
      <c r="K24">
        <v>0.22375060560331159</v>
      </c>
      <c r="L24" t="s">
        <v>163</v>
      </c>
      <c r="N24" t="s">
        <v>191</v>
      </c>
      <c r="O24" t="s">
        <v>164</v>
      </c>
      <c r="P24">
        <v>7.1483002335481771E-2</v>
      </c>
      <c r="Q24" t="s">
        <v>163</v>
      </c>
      <c r="S24" t="s">
        <v>206</v>
      </c>
      <c r="T24" t="s">
        <v>164</v>
      </c>
      <c r="U24">
        <v>9.0359016273561965E-2</v>
      </c>
      <c r="V24" t="s">
        <v>163</v>
      </c>
      <c r="AC24" t="s">
        <v>19</v>
      </c>
      <c r="AD24" t="s">
        <v>164</v>
      </c>
      <c r="AE24">
        <v>8.0136731610690293E-2</v>
      </c>
      <c r="AK24">
        <v>2025</v>
      </c>
      <c r="AL24" t="s">
        <v>155</v>
      </c>
      <c r="AM24">
        <v>0.50009999999999999</v>
      </c>
      <c r="AN24" t="s">
        <v>247</v>
      </c>
    </row>
    <row r="25" spans="9:40" x14ac:dyDescent="0.45">
      <c r="I25" t="s">
        <v>175</v>
      </c>
      <c r="J25" t="s">
        <v>165</v>
      </c>
      <c r="K25">
        <v>2.9512368234676047E-3</v>
      </c>
      <c r="L25" t="s">
        <v>163</v>
      </c>
      <c r="N25" t="s">
        <v>191</v>
      </c>
      <c r="O25" t="s">
        <v>165</v>
      </c>
      <c r="P25">
        <v>2.8680979616683127E-2</v>
      </c>
      <c r="Q25" t="s">
        <v>163</v>
      </c>
      <c r="S25" t="s">
        <v>206</v>
      </c>
      <c r="T25" t="s">
        <v>165</v>
      </c>
      <c r="U25">
        <v>3.7253480861582658E-2</v>
      </c>
      <c r="V25" t="s">
        <v>163</v>
      </c>
      <c r="AC25" t="s">
        <v>19</v>
      </c>
      <c r="AD25" t="s">
        <v>165</v>
      </c>
      <c r="AE25">
        <v>3.3904849236109168E-2</v>
      </c>
      <c r="AK25">
        <v>2025</v>
      </c>
      <c r="AL25" t="s">
        <v>157</v>
      </c>
      <c r="AM25">
        <v>0.52497500000000008</v>
      </c>
      <c r="AN25" t="s">
        <v>247</v>
      </c>
    </row>
    <row r="26" spans="9:40" x14ac:dyDescent="0.45">
      <c r="I26" t="s">
        <v>175</v>
      </c>
      <c r="J26" t="s">
        <v>166</v>
      </c>
      <c r="K26">
        <v>1.9474199826339808E-3</v>
      </c>
      <c r="L26" t="s">
        <v>163</v>
      </c>
      <c r="N26" t="s">
        <v>191</v>
      </c>
      <c r="O26" t="s">
        <v>166</v>
      </c>
      <c r="P26">
        <v>8.1662307088687228E-2</v>
      </c>
      <c r="Q26" t="s">
        <v>163</v>
      </c>
      <c r="S26" t="s">
        <v>206</v>
      </c>
      <c r="T26" t="s">
        <v>166</v>
      </c>
      <c r="U26">
        <v>9.4885371192809848E-2</v>
      </c>
      <c r="V26" t="s">
        <v>163</v>
      </c>
      <c r="AC26" t="s">
        <v>19</v>
      </c>
      <c r="AD26" t="s">
        <v>166</v>
      </c>
      <c r="AE26">
        <v>9.8341437150523681E-2</v>
      </c>
      <c r="AK26">
        <v>2025</v>
      </c>
      <c r="AL26" t="s">
        <v>159</v>
      </c>
      <c r="AM26">
        <v>0.50445000000000007</v>
      </c>
      <c r="AN26" t="s">
        <v>247</v>
      </c>
    </row>
    <row r="27" spans="9:40" x14ac:dyDescent="0.45">
      <c r="I27" t="s">
        <v>175</v>
      </c>
      <c r="J27" t="s">
        <v>167</v>
      </c>
      <c r="K27">
        <v>0.23431609746404117</v>
      </c>
      <c r="L27" t="s">
        <v>163</v>
      </c>
      <c r="N27" t="s">
        <v>191</v>
      </c>
      <c r="O27" t="s">
        <v>167</v>
      </c>
      <c r="P27">
        <v>0.1481055900374251</v>
      </c>
      <c r="Q27" t="s">
        <v>163</v>
      </c>
      <c r="S27" t="s">
        <v>206</v>
      </c>
      <c r="T27" t="s">
        <v>167</v>
      </c>
      <c r="U27">
        <v>0.16199640786102601</v>
      </c>
      <c r="V27" t="s">
        <v>163</v>
      </c>
      <c r="AC27" t="s">
        <v>19</v>
      </c>
      <c r="AD27" t="s">
        <v>167</v>
      </c>
      <c r="AE27">
        <v>0.16579399755684993</v>
      </c>
      <c r="AK27">
        <v>2026</v>
      </c>
      <c r="AL27" t="s">
        <v>151</v>
      </c>
      <c r="AM27">
        <v>0.48140000000000005</v>
      </c>
      <c r="AN27" t="s">
        <v>247</v>
      </c>
    </row>
    <row r="28" spans="9:40" x14ac:dyDescent="0.45">
      <c r="I28" t="s">
        <v>175</v>
      </c>
      <c r="J28" t="s">
        <v>168</v>
      </c>
      <c r="K28">
        <v>0</v>
      </c>
      <c r="L28" t="s">
        <v>163</v>
      </c>
      <c r="N28" t="s">
        <v>191</v>
      </c>
      <c r="O28" t="s">
        <v>168</v>
      </c>
      <c r="P28">
        <v>5.8215562853059719E-2</v>
      </c>
      <c r="Q28" t="s">
        <v>163</v>
      </c>
      <c r="S28" t="s">
        <v>206</v>
      </c>
      <c r="T28" t="s">
        <v>168</v>
      </c>
      <c r="U28">
        <v>6.8333220694973246E-2</v>
      </c>
      <c r="V28" t="s">
        <v>163</v>
      </c>
      <c r="AC28" t="s">
        <v>19</v>
      </c>
      <c r="AD28" t="s">
        <v>168</v>
      </c>
      <c r="AE28">
        <v>7.0102730128055041E-2</v>
      </c>
      <c r="AK28">
        <v>2026</v>
      </c>
      <c r="AL28" t="s">
        <v>155</v>
      </c>
      <c r="AM28">
        <v>0.46382499999999993</v>
      </c>
      <c r="AN28" t="s">
        <v>247</v>
      </c>
    </row>
    <row r="29" spans="9:40" x14ac:dyDescent="0.45">
      <c r="I29" t="s">
        <v>175</v>
      </c>
      <c r="J29" t="s">
        <v>169</v>
      </c>
      <c r="K29">
        <v>7.3032456763559815E-3</v>
      </c>
      <c r="L29" t="s">
        <v>163</v>
      </c>
      <c r="N29" t="s">
        <v>191</v>
      </c>
      <c r="O29" t="s">
        <v>169</v>
      </c>
      <c r="P29">
        <v>0.11966952682396008</v>
      </c>
      <c r="Q29" t="s">
        <v>163</v>
      </c>
      <c r="S29" t="s">
        <v>206</v>
      </c>
      <c r="T29" t="s">
        <v>169</v>
      </c>
      <c r="U29">
        <v>0.10906383713927155</v>
      </c>
      <c r="V29" t="s">
        <v>163</v>
      </c>
      <c r="AC29" t="s">
        <v>19</v>
      </c>
      <c r="AD29" t="s">
        <v>169</v>
      </c>
      <c r="AE29">
        <v>9.9194735023698993E-2</v>
      </c>
      <c r="AK29">
        <v>2026</v>
      </c>
      <c r="AL29" t="s">
        <v>157</v>
      </c>
      <c r="AM29">
        <v>0.54475000000000007</v>
      </c>
      <c r="AN29" t="s">
        <v>247</v>
      </c>
    </row>
    <row r="30" spans="9:40" x14ac:dyDescent="0.45">
      <c r="I30" t="s">
        <v>175</v>
      </c>
      <c r="J30" t="s">
        <v>170</v>
      </c>
      <c r="K30">
        <v>0.26904568330694267</v>
      </c>
      <c r="L30" t="s">
        <v>163</v>
      </c>
      <c r="N30" t="s">
        <v>191</v>
      </c>
      <c r="O30" t="s">
        <v>170</v>
      </c>
      <c r="P30">
        <v>0.21907675527410855</v>
      </c>
      <c r="Q30" t="s">
        <v>163</v>
      </c>
      <c r="S30" t="s">
        <v>206</v>
      </c>
      <c r="T30" t="s">
        <v>170</v>
      </c>
      <c r="U30">
        <v>0.18767513602644409</v>
      </c>
      <c r="V30" t="s">
        <v>163</v>
      </c>
      <c r="AC30" t="s">
        <v>19</v>
      </c>
      <c r="AD30" t="s">
        <v>170</v>
      </c>
      <c r="AE30">
        <v>0.16715281686369726</v>
      </c>
      <c r="AK30">
        <v>2026</v>
      </c>
      <c r="AL30" t="s">
        <v>159</v>
      </c>
      <c r="AM30">
        <v>0.53075000000000006</v>
      </c>
      <c r="AN30" t="s">
        <v>247</v>
      </c>
    </row>
    <row r="31" spans="9:40" x14ac:dyDescent="0.45">
      <c r="I31" t="s">
        <v>175</v>
      </c>
      <c r="J31" t="s">
        <v>171</v>
      </c>
      <c r="K31">
        <v>0</v>
      </c>
      <c r="L31" t="s">
        <v>163</v>
      </c>
      <c r="N31" t="s">
        <v>191</v>
      </c>
      <c r="O31" t="s">
        <v>171</v>
      </c>
      <c r="P31">
        <v>8.9563654457321951E-2</v>
      </c>
      <c r="Q31" t="s">
        <v>163</v>
      </c>
      <c r="S31" t="s">
        <v>206</v>
      </c>
      <c r="T31" t="s">
        <v>171</v>
      </c>
      <c r="U31">
        <v>8.0075766566654008E-2</v>
      </c>
      <c r="V31" t="s">
        <v>163</v>
      </c>
      <c r="AC31" t="s">
        <v>19</v>
      </c>
      <c r="AD31" t="s">
        <v>171</v>
      </c>
      <c r="AE31">
        <v>7.0757722473281812E-2</v>
      </c>
      <c r="AK31">
        <v>2027</v>
      </c>
      <c r="AL31" t="s">
        <v>151</v>
      </c>
      <c r="AM31">
        <v>0.48399999999999999</v>
      </c>
      <c r="AN31" t="s">
        <v>247</v>
      </c>
    </row>
    <row r="32" spans="9:40" x14ac:dyDescent="0.45">
      <c r="I32" t="s">
        <v>175</v>
      </c>
      <c r="J32" t="s">
        <v>172</v>
      </c>
      <c r="K32">
        <v>2.0455698100443696E-2</v>
      </c>
      <c r="L32" t="s">
        <v>163</v>
      </c>
      <c r="N32" t="s">
        <v>191</v>
      </c>
      <c r="O32" t="s">
        <v>172</v>
      </c>
      <c r="P32">
        <v>3.8940275456274077E-2</v>
      </c>
      <c r="Q32" t="s">
        <v>163</v>
      </c>
      <c r="S32" t="s">
        <v>206</v>
      </c>
      <c r="T32" t="s">
        <v>172</v>
      </c>
      <c r="U32">
        <v>3.5353436442136656E-2</v>
      </c>
      <c r="V32" t="s">
        <v>163</v>
      </c>
      <c r="AC32" t="s">
        <v>19</v>
      </c>
      <c r="AD32" t="s">
        <v>172</v>
      </c>
      <c r="AE32">
        <v>4.9147027247065968E-2</v>
      </c>
      <c r="AK32">
        <v>2027</v>
      </c>
      <c r="AL32" t="s">
        <v>155</v>
      </c>
      <c r="AM32">
        <v>0.46107500000000001</v>
      </c>
      <c r="AN32" t="s">
        <v>247</v>
      </c>
    </row>
    <row r="33" spans="9:40" x14ac:dyDescent="0.45">
      <c r="I33" t="s">
        <v>175</v>
      </c>
      <c r="J33" t="s">
        <v>173</v>
      </c>
      <c r="K33">
        <v>0.2278399838764518</v>
      </c>
      <c r="L33" t="s">
        <v>163</v>
      </c>
      <c r="N33" t="s">
        <v>191</v>
      </c>
      <c r="O33" t="s">
        <v>173</v>
      </c>
      <c r="P33">
        <v>7.7871236246681463E-2</v>
      </c>
      <c r="Q33" t="s">
        <v>163</v>
      </c>
      <c r="S33" t="s">
        <v>206</v>
      </c>
      <c r="T33" t="s">
        <v>173</v>
      </c>
      <c r="U33">
        <v>5.7648939032421478E-2</v>
      </c>
      <c r="V33" t="s">
        <v>163</v>
      </c>
      <c r="AC33" t="s">
        <v>19</v>
      </c>
      <c r="AD33" t="s">
        <v>173</v>
      </c>
      <c r="AE33">
        <v>8.2869354151694316E-2</v>
      </c>
      <c r="AK33">
        <v>2027</v>
      </c>
      <c r="AL33" t="s">
        <v>157</v>
      </c>
      <c r="AM33">
        <v>0.53592499999999998</v>
      </c>
      <c r="AN33" t="s">
        <v>247</v>
      </c>
    </row>
    <row r="34" spans="9:40" x14ac:dyDescent="0.45">
      <c r="I34" t="s">
        <v>175</v>
      </c>
      <c r="J34" t="s">
        <v>174</v>
      </c>
      <c r="K34">
        <v>1.0819070776113837E-3</v>
      </c>
      <c r="L34" t="s">
        <v>163</v>
      </c>
      <c r="N34" t="s">
        <v>191</v>
      </c>
      <c r="O34" t="s">
        <v>174</v>
      </c>
      <c r="P34">
        <v>2.9596648586167736E-2</v>
      </c>
      <c r="Q34" t="s">
        <v>163</v>
      </c>
      <c r="S34" t="s">
        <v>206</v>
      </c>
      <c r="T34" t="s">
        <v>174</v>
      </c>
      <c r="U34">
        <v>2.5149234623461438E-2</v>
      </c>
      <c r="V34" t="s">
        <v>163</v>
      </c>
      <c r="AC34" t="s">
        <v>19</v>
      </c>
      <c r="AD34" t="s">
        <v>174</v>
      </c>
      <c r="AE34">
        <v>3.504832643552843E-2</v>
      </c>
      <c r="AK34">
        <v>2027</v>
      </c>
      <c r="AL34" t="s">
        <v>159</v>
      </c>
      <c r="AM34">
        <v>0.52049999999999996</v>
      </c>
      <c r="AN34" t="s">
        <v>247</v>
      </c>
    </row>
    <row r="35" spans="9:40" x14ac:dyDescent="0.45">
      <c r="I35" t="s">
        <v>176</v>
      </c>
      <c r="J35" t="s">
        <v>162</v>
      </c>
      <c r="K35">
        <v>1.4063770924486548E-2</v>
      </c>
      <c r="L35" t="s">
        <v>163</v>
      </c>
      <c r="N35" t="s">
        <v>192</v>
      </c>
      <c r="O35" t="s">
        <v>162</v>
      </c>
      <c r="P35">
        <v>4.2963910101555557E-2</v>
      </c>
      <c r="Q35" t="s">
        <v>163</v>
      </c>
      <c r="S35" t="s">
        <v>207</v>
      </c>
      <c r="T35" t="s">
        <v>162</v>
      </c>
      <c r="U35">
        <v>4.6947065196822686E-2</v>
      </c>
      <c r="V35" t="s">
        <v>163</v>
      </c>
      <c r="AK35">
        <v>2028</v>
      </c>
      <c r="AL35" t="s">
        <v>151</v>
      </c>
      <c r="AM35">
        <v>0.45965</v>
      </c>
      <c r="AN35" t="s">
        <v>247</v>
      </c>
    </row>
    <row r="36" spans="9:40" x14ac:dyDescent="0.45">
      <c r="I36" t="s">
        <v>176</v>
      </c>
      <c r="J36" t="s">
        <v>164</v>
      </c>
      <c r="K36">
        <v>0.23506079074475802</v>
      </c>
      <c r="L36" t="s">
        <v>163</v>
      </c>
      <c r="N36" t="s">
        <v>192</v>
      </c>
      <c r="O36" t="s">
        <v>164</v>
      </c>
      <c r="P36">
        <v>8.4005759925798396E-2</v>
      </c>
      <c r="Q36" t="s">
        <v>163</v>
      </c>
      <c r="S36" t="s">
        <v>207</v>
      </c>
      <c r="T36" t="s">
        <v>164</v>
      </c>
      <c r="U36">
        <v>8.3361253976885347E-2</v>
      </c>
      <c r="V36" t="s">
        <v>163</v>
      </c>
      <c r="AK36">
        <v>2028</v>
      </c>
      <c r="AL36" t="s">
        <v>155</v>
      </c>
      <c r="AM36">
        <v>0.46597500000000003</v>
      </c>
      <c r="AN36" t="s">
        <v>247</v>
      </c>
    </row>
    <row r="37" spans="9:40" x14ac:dyDescent="0.45">
      <c r="I37" t="s">
        <v>176</v>
      </c>
      <c r="J37" t="s">
        <v>165</v>
      </c>
      <c r="K37">
        <v>1.9026290578419258E-3</v>
      </c>
      <c r="L37" t="s">
        <v>163</v>
      </c>
      <c r="N37" t="s">
        <v>192</v>
      </c>
      <c r="O37" t="s">
        <v>165</v>
      </c>
      <c r="P37">
        <v>3.4061508129517672E-2</v>
      </c>
      <c r="Q37" t="s">
        <v>163</v>
      </c>
      <c r="S37" t="s">
        <v>207</v>
      </c>
      <c r="T37" t="s">
        <v>165</v>
      </c>
      <c r="U37">
        <v>3.4629437048420933E-2</v>
      </c>
      <c r="V37" t="s">
        <v>163</v>
      </c>
      <c r="AK37">
        <v>2028</v>
      </c>
      <c r="AL37" t="s">
        <v>157</v>
      </c>
      <c r="AM37">
        <v>0.53034999999999999</v>
      </c>
      <c r="AN37" t="s">
        <v>247</v>
      </c>
    </row>
    <row r="38" spans="9:40" x14ac:dyDescent="0.45">
      <c r="I38" t="s">
        <v>176</v>
      </c>
      <c r="J38" t="s">
        <v>166</v>
      </c>
      <c r="K38">
        <v>3.3306356076633933E-3</v>
      </c>
      <c r="L38" t="s">
        <v>163</v>
      </c>
      <c r="N38" t="s">
        <v>192</v>
      </c>
      <c r="O38" t="s">
        <v>166</v>
      </c>
      <c r="P38">
        <v>9.0615516184805678E-2</v>
      </c>
      <c r="Q38" t="s">
        <v>163</v>
      </c>
      <c r="S38" t="s">
        <v>207</v>
      </c>
      <c r="T38" t="s">
        <v>166</v>
      </c>
      <c r="U38">
        <v>9.9803038212084291E-2</v>
      </c>
      <c r="V38" t="s">
        <v>163</v>
      </c>
      <c r="AK38">
        <v>2028</v>
      </c>
      <c r="AL38" t="s">
        <v>159</v>
      </c>
      <c r="AM38">
        <v>0.46905000000000002</v>
      </c>
      <c r="AN38" t="s">
        <v>247</v>
      </c>
    </row>
    <row r="39" spans="9:40" x14ac:dyDescent="0.45">
      <c r="I39" t="s">
        <v>176</v>
      </c>
      <c r="J39" t="s">
        <v>167</v>
      </c>
      <c r="K39">
        <v>0.22950505958457498</v>
      </c>
      <c r="L39" t="s">
        <v>163</v>
      </c>
      <c r="N39" t="s">
        <v>192</v>
      </c>
      <c r="O39" t="s">
        <v>167</v>
      </c>
      <c r="P39">
        <v>0.15772224325963233</v>
      </c>
      <c r="Q39" t="s">
        <v>163</v>
      </c>
      <c r="S39" t="s">
        <v>207</v>
      </c>
      <c r="T39" t="s">
        <v>167</v>
      </c>
      <c r="U39">
        <v>0.17470291772967844</v>
      </c>
      <c r="V39" t="s">
        <v>163</v>
      </c>
      <c r="AK39">
        <v>2029</v>
      </c>
      <c r="AL39" t="s">
        <v>151</v>
      </c>
      <c r="AM39">
        <v>0.51889999999999992</v>
      </c>
      <c r="AN39" t="s">
        <v>247</v>
      </c>
    </row>
    <row r="40" spans="9:40" x14ac:dyDescent="0.45">
      <c r="I40" t="s">
        <v>176</v>
      </c>
      <c r="J40" t="s">
        <v>168</v>
      </c>
      <c r="K40">
        <v>0</v>
      </c>
      <c r="L40" t="s">
        <v>163</v>
      </c>
      <c r="N40" t="s">
        <v>192</v>
      </c>
      <c r="O40" t="s">
        <v>168</v>
      </c>
      <c r="P40">
        <v>6.6245407844779905E-2</v>
      </c>
      <c r="Q40" t="s">
        <v>163</v>
      </c>
      <c r="S40" t="s">
        <v>207</v>
      </c>
      <c r="T40" t="s">
        <v>168</v>
      </c>
      <c r="U40">
        <v>6.9309937600515278E-2</v>
      </c>
      <c r="V40" t="s">
        <v>163</v>
      </c>
      <c r="AK40">
        <v>2029</v>
      </c>
      <c r="AL40" t="s">
        <v>155</v>
      </c>
      <c r="AM40">
        <v>0.53262500000000002</v>
      </c>
      <c r="AN40" t="s">
        <v>247</v>
      </c>
    </row>
    <row r="41" spans="9:40" x14ac:dyDescent="0.45">
      <c r="I41" t="s">
        <v>176</v>
      </c>
      <c r="J41" t="s">
        <v>169</v>
      </c>
      <c r="K41">
        <v>8.3831445718891614E-3</v>
      </c>
      <c r="L41" t="s">
        <v>163</v>
      </c>
      <c r="N41" t="s">
        <v>192</v>
      </c>
      <c r="O41" t="s">
        <v>169</v>
      </c>
      <c r="P41">
        <v>0.11248248465246166</v>
      </c>
      <c r="Q41" t="s">
        <v>163</v>
      </c>
      <c r="S41" t="s">
        <v>207</v>
      </c>
      <c r="T41" t="s">
        <v>169</v>
      </c>
      <c r="U41">
        <v>0.10850049579732191</v>
      </c>
      <c r="V41" t="s">
        <v>163</v>
      </c>
      <c r="AK41">
        <v>2029</v>
      </c>
      <c r="AL41" t="s">
        <v>157</v>
      </c>
      <c r="AM41">
        <v>0.61409999999999998</v>
      </c>
      <c r="AN41" t="s">
        <v>247</v>
      </c>
    </row>
    <row r="42" spans="9:40" x14ac:dyDescent="0.45">
      <c r="I42" t="s">
        <v>176</v>
      </c>
      <c r="J42" t="s">
        <v>170</v>
      </c>
      <c r="K42">
        <v>0.25764150933655233</v>
      </c>
      <c r="L42" t="s">
        <v>163</v>
      </c>
      <c r="N42" t="s">
        <v>192</v>
      </c>
      <c r="O42" t="s">
        <v>170</v>
      </c>
      <c r="P42">
        <v>0.2004350930205096</v>
      </c>
      <c r="Q42" t="s">
        <v>163</v>
      </c>
      <c r="S42" t="s">
        <v>207</v>
      </c>
      <c r="T42" t="s">
        <v>170</v>
      </c>
      <c r="U42">
        <v>0.18812944238381307</v>
      </c>
      <c r="V42" t="s">
        <v>163</v>
      </c>
      <c r="AK42">
        <v>2029</v>
      </c>
      <c r="AL42" t="s">
        <v>159</v>
      </c>
      <c r="AM42">
        <v>0.54269999999999996</v>
      </c>
      <c r="AN42" t="s">
        <v>247</v>
      </c>
    </row>
    <row r="43" spans="9:40" x14ac:dyDescent="0.45">
      <c r="I43" t="s">
        <v>176</v>
      </c>
      <c r="J43" t="s">
        <v>171</v>
      </c>
      <c r="K43">
        <v>0</v>
      </c>
      <c r="L43" t="s">
        <v>163</v>
      </c>
      <c r="N43" t="s">
        <v>192</v>
      </c>
      <c r="O43" t="s">
        <v>171</v>
      </c>
      <c r="P43">
        <v>8.0810531478761743E-2</v>
      </c>
      <c r="Q43" t="s">
        <v>163</v>
      </c>
      <c r="S43" t="s">
        <v>207</v>
      </c>
      <c r="T43" t="s">
        <v>171</v>
      </c>
      <c r="U43">
        <v>7.7708807447807324E-2</v>
      </c>
      <c r="V43" t="s">
        <v>163</v>
      </c>
      <c r="AK43">
        <v>2030</v>
      </c>
      <c r="AL43" t="s">
        <v>151</v>
      </c>
      <c r="AM43">
        <v>0.56955</v>
      </c>
      <c r="AN43" t="s">
        <v>247</v>
      </c>
    </row>
    <row r="44" spans="9:40" x14ac:dyDescent="0.45">
      <c r="I44" t="s">
        <v>176</v>
      </c>
      <c r="J44" t="s">
        <v>172</v>
      </c>
      <c r="K44">
        <v>2.1021324354044881E-2</v>
      </c>
      <c r="L44" t="s">
        <v>163</v>
      </c>
      <c r="N44" t="s">
        <v>192</v>
      </c>
      <c r="O44" t="s">
        <v>172</v>
      </c>
      <c r="P44">
        <v>3.5454886916611895E-2</v>
      </c>
      <c r="Q44" t="s">
        <v>163</v>
      </c>
      <c r="S44" t="s">
        <v>207</v>
      </c>
      <c r="T44" t="s">
        <v>172</v>
      </c>
      <c r="U44">
        <v>3.4690647384655243E-2</v>
      </c>
      <c r="V44" t="s">
        <v>163</v>
      </c>
      <c r="AK44">
        <v>2030</v>
      </c>
      <c r="AL44" t="s">
        <v>155</v>
      </c>
      <c r="AM44">
        <v>0.53359999999999996</v>
      </c>
      <c r="AN44" t="s">
        <v>247</v>
      </c>
    </row>
    <row r="45" spans="9:40" x14ac:dyDescent="0.45">
      <c r="I45" t="s">
        <v>176</v>
      </c>
      <c r="J45" t="s">
        <v>173</v>
      </c>
      <c r="K45">
        <v>0.22841549039041706</v>
      </c>
      <c r="L45" t="s">
        <v>163</v>
      </c>
      <c r="N45" t="s">
        <v>192</v>
      </c>
      <c r="O45" t="s">
        <v>173</v>
      </c>
      <c r="P45">
        <v>6.8101655923478582E-2</v>
      </c>
      <c r="Q45" t="s">
        <v>163</v>
      </c>
      <c r="S45" t="s">
        <v>207</v>
      </c>
      <c r="T45" t="s">
        <v>173</v>
      </c>
      <c r="U45">
        <v>5.9006008583623981E-2</v>
      </c>
      <c r="V45" t="s">
        <v>163</v>
      </c>
      <c r="AK45">
        <v>2030</v>
      </c>
      <c r="AL45" t="s">
        <v>157</v>
      </c>
      <c r="AM45">
        <v>0.57909999999999995</v>
      </c>
      <c r="AN45" t="s">
        <v>247</v>
      </c>
    </row>
    <row r="46" spans="9:40" x14ac:dyDescent="0.45">
      <c r="I46" t="s">
        <v>176</v>
      </c>
      <c r="J46" t="s">
        <v>174</v>
      </c>
      <c r="K46">
        <v>6.7564542777169686E-4</v>
      </c>
      <c r="L46" t="s">
        <v>163</v>
      </c>
      <c r="N46" t="s">
        <v>192</v>
      </c>
      <c r="O46" t="s">
        <v>174</v>
      </c>
      <c r="P46">
        <v>2.7101002562088475E-2</v>
      </c>
      <c r="Q46" t="s">
        <v>163</v>
      </c>
      <c r="S46" t="s">
        <v>207</v>
      </c>
      <c r="T46" t="s">
        <v>174</v>
      </c>
      <c r="U46">
        <v>2.3210948638372208E-2</v>
      </c>
      <c r="V46" t="s">
        <v>163</v>
      </c>
      <c r="AK46">
        <v>2030</v>
      </c>
      <c r="AL46" t="s">
        <v>159</v>
      </c>
      <c r="AM46">
        <v>0.58745000000000003</v>
      </c>
      <c r="AN46" t="s">
        <v>247</v>
      </c>
    </row>
    <row r="47" spans="9:40" x14ac:dyDescent="0.45">
      <c r="I47" t="s">
        <v>177</v>
      </c>
      <c r="J47" t="s">
        <v>162</v>
      </c>
      <c r="K47">
        <v>1.7048389484935179E-2</v>
      </c>
      <c r="L47" t="s">
        <v>163</v>
      </c>
      <c r="N47" t="s">
        <v>193</v>
      </c>
      <c r="O47" t="s">
        <v>162</v>
      </c>
      <c r="P47">
        <v>2.5453040503302615E-2</v>
      </c>
      <c r="Q47" t="s">
        <v>163</v>
      </c>
      <c r="S47" t="s">
        <v>208</v>
      </c>
      <c r="T47" t="s">
        <v>162</v>
      </c>
      <c r="U47">
        <v>4.5712274921099923E-2</v>
      </c>
      <c r="V47" t="s">
        <v>163</v>
      </c>
      <c r="AK47">
        <v>2031</v>
      </c>
      <c r="AL47" t="s">
        <v>151</v>
      </c>
      <c r="AM47">
        <v>0.53454999999999997</v>
      </c>
      <c r="AN47" t="s">
        <v>247</v>
      </c>
    </row>
    <row r="48" spans="9:40" x14ac:dyDescent="0.45">
      <c r="I48" t="s">
        <v>177</v>
      </c>
      <c r="J48" t="s">
        <v>164</v>
      </c>
      <c r="K48">
        <v>0.24953058676963419</v>
      </c>
      <c r="L48" t="s">
        <v>163</v>
      </c>
      <c r="N48" t="s">
        <v>193</v>
      </c>
      <c r="O48" t="s">
        <v>164</v>
      </c>
      <c r="P48">
        <v>7.0049049606156086E-2</v>
      </c>
      <c r="Q48" t="s">
        <v>163</v>
      </c>
      <c r="S48" t="s">
        <v>208</v>
      </c>
      <c r="T48" t="s">
        <v>164</v>
      </c>
      <c r="U48">
        <v>8.29749353517924E-2</v>
      </c>
      <c r="V48" t="s">
        <v>163</v>
      </c>
      <c r="AK48">
        <v>2031</v>
      </c>
      <c r="AL48" t="s">
        <v>155</v>
      </c>
      <c r="AM48">
        <v>0.55725000000000002</v>
      </c>
      <c r="AN48" t="s">
        <v>247</v>
      </c>
    </row>
    <row r="49" spans="9:40" x14ac:dyDescent="0.45">
      <c r="I49" t="s">
        <v>177</v>
      </c>
      <c r="J49" t="s">
        <v>165</v>
      </c>
      <c r="K49">
        <v>4.789644708291815E-3</v>
      </c>
      <c r="L49" t="s">
        <v>163</v>
      </c>
      <c r="N49" t="s">
        <v>193</v>
      </c>
      <c r="O49" t="s">
        <v>165</v>
      </c>
      <c r="P49">
        <v>2.7437649780070027E-2</v>
      </c>
      <c r="Q49" t="s">
        <v>163</v>
      </c>
      <c r="S49" t="s">
        <v>208</v>
      </c>
      <c r="T49" t="s">
        <v>165</v>
      </c>
      <c r="U49">
        <v>3.6476482461837649E-2</v>
      </c>
      <c r="V49" t="s">
        <v>163</v>
      </c>
      <c r="AK49">
        <v>2031</v>
      </c>
      <c r="AL49" t="s">
        <v>157</v>
      </c>
      <c r="AM49">
        <v>0.63395000000000001</v>
      </c>
      <c r="AN49" t="s">
        <v>247</v>
      </c>
    </row>
    <row r="50" spans="9:40" x14ac:dyDescent="0.45">
      <c r="I50" t="s">
        <v>177</v>
      </c>
      <c r="J50" t="s">
        <v>166</v>
      </c>
      <c r="K50">
        <v>2.6151972276476352E-3</v>
      </c>
      <c r="L50" t="s">
        <v>163</v>
      </c>
      <c r="N50" t="s">
        <v>193</v>
      </c>
      <c r="O50" t="s">
        <v>166</v>
      </c>
      <c r="P50">
        <v>7.8271873294247091E-2</v>
      </c>
      <c r="Q50" t="s">
        <v>163</v>
      </c>
      <c r="S50" t="s">
        <v>208</v>
      </c>
      <c r="T50" t="s">
        <v>166</v>
      </c>
      <c r="U50">
        <v>9.4876291922855904E-2</v>
      </c>
      <c r="V50" t="s">
        <v>163</v>
      </c>
      <c r="AK50">
        <v>2031</v>
      </c>
      <c r="AL50" t="s">
        <v>159</v>
      </c>
      <c r="AM50">
        <v>0.55754999999999999</v>
      </c>
      <c r="AN50" t="s">
        <v>247</v>
      </c>
    </row>
    <row r="51" spans="9:40" x14ac:dyDescent="0.45">
      <c r="I51" t="s">
        <v>177</v>
      </c>
      <c r="J51" t="s">
        <v>167</v>
      </c>
      <c r="K51">
        <v>0.21152503317016913</v>
      </c>
      <c r="L51" t="s">
        <v>163</v>
      </c>
      <c r="N51" t="s">
        <v>193</v>
      </c>
      <c r="O51" t="s">
        <v>167</v>
      </c>
      <c r="P51">
        <v>0.15070047072062981</v>
      </c>
      <c r="Q51" t="s">
        <v>163</v>
      </c>
      <c r="S51" t="s">
        <v>208</v>
      </c>
      <c r="T51" t="s">
        <v>167</v>
      </c>
      <c r="U51">
        <v>0.16427791549948692</v>
      </c>
      <c r="V51" t="s">
        <v>163</v>
      </c>
      <c r="AK51">
        <v>2032</v>
      </c>
      <c r="AL51" t="s">
        <v>151</v>
      </c>
      <c r="AM51">
        <v>0.53584999999999994</v>
      </c>
      <c r="AN51" t="s">
        <v>247</v>
      </c>
    </row>
    <row r="52" spans="9:40" x14ac:dyDescent="0.45">
      <c r="I52" t="s">
        <v>177</v>
      </c>
      <c r="J52" t="s">
        <v>168</v>
      </c>
      <c r="K52">
        <v>0</v>
      </c>
      <c r="L52" t="s">
        <v>163</v>
      </c>
      <c r="N52" t="s">
        <v>193</v>
      </c>
      <c r="O52" t="s">
        <v>168</v>
      </c>
      <c r="P52">
        <v>5.8673366543569055E-2</v>
      </c>
      <c r="Q52" t="s">
        <v>163</v>
      </c>
      <c r="S52" t="s">
        <v>208</v>
      </c>
      <c r="T52" t="s">
        <v>168</v>
      </c>
      <c r="U52">
        <v>7.2043315193110899E-2</v>
      </c>
      <c r="V52" t="s">
        <v>163</v>
      </c>
      <c r="AK52">
        <v>2032</v>
      </c>
      <c r="AL52" t="s">
        <v>155</v>
      </c>
      <c r="AM52">
        <v>0.52934999999999999</v>
      </c>
      <c r="AN52" t="s">
        <v>247</v>
      </c>
    </row>
    <row r="53" spans="9:40" x14ac:dyDescent="0.45">
      <c r="I53" t="s">
        <v>177</v>
      </c>
      <c r="J53" t="s">
        <v>169</v>
      </c>
      <c r="K53">
        <v>8.0461832859563473E-3</v>
      </c>
      <c r="L53" t="s">
        <v>163</v>
      </c>
      <c r="N53" t="s">
        <v>193</v>
      </c>
      <c r="O53" t="s">
        <v>169</v>
      </c>
      <c r="P53">
        <v>0.1161938409481582</v>
      </c>
      <c r="Q53" t="s">
        <v>163</v>
      </c>
      <c r="S53" t="s">
        <v>208</v>
      </c>
      <c r="T53" t="s">
        <v>169</v>
      </c>
      <c r="U53">
        <v>0.10303359809781554</v>
      </c>
      <c r="V53" t="s">
        <v>163</v>
      </c>
      <c r="AK53">
        <v>2032</v>
      </c>
      <c r="AL53" t="s">
        <v>157</v>
      </c>
      <c r="AM53">
        <v>0.62592500000000006</v>
      </c>
      <c r="AN53" t="s">
        <v>247</v>
      </c>
    </row>
    <row r="54" spans="9:40" x14ac:dyDescent="0.45">
      <c r="I54" t="s">
        <v>177</v>
      </c>
      <c r="J54" t="s">
        <v>170</v>
      </c>
      <c r="K54">
        <v>0.25579527100807803</v>
      </c>
      <c r="L54" t="s">
        <v>163</v>
      </c>
      <c r="N54" t="s">
        <v>193</v>
      </c>
      <c r="O54" t="s">
        <v>170</v>
      </c>
      <c r="P54">
        <v>0.24668713119861796</v>
      </c>
      <c r="Q54" t="s">
        <v>163</v>
      </c>
      <c r="S54" t="s">
        <v>208</v>
      </c>
      <c r="T54" t="s">
        <v>170</v>
      </c>
      <c r="U54">
        <v>0.17488481723211971</v>
      </c>
      <c r="V54" t="s">
        <v>163</v>
      </c>
      <c r="AK54">
        <v>2032</v>
      </c>
      <c r="AL54" t="s">
        <v>159</v>
      </c>
      <c r="AM54">
        <v>0.59775</v>
      </c>
      <c r="AN54" t="s">
        <v>247</v>
      </c>
    </row>
    <row r="55" spans="9:40" x14ac:dyDescent="0.45">
      <c r="I55" t="s">
        <v>177</v>
      </c>
      <c r="J55" t="s">
        <v>171</v>
      </c>
      <c r="K55">
        <v>0</v>
      </c>
      <c r="L55" t="s">
        <v>163</v>
      </c>
      <c r="N55" t="s">
        <v>193</v>
      </c>
      <c r="O55" t="s">
        <v>171</v>
      </c>
      <c r="P55">
        <v>8.4434862890154311E-2</v>
      </c>
      <c r="Q55" t="s">
        <v>163</v>
      </c>
      <c r="S55" t="s">
        <v>208</v>
      </c>
      <c r="T55" t="s">
        <v>171</v>
      </c>
      <c r="U55">
        <v>7.4039694701107606E-2</v>
      </c>
      <c r="V55" t="s">
        <v>163</v>
      </c>
      <c r="AK55">
        <v>2033</v>
      </c>
      <c r="AL55" t="s">
        <v>151</v>
      </c>
      <c r="AM55">
        <v>0.60250000000000004</v>
      </c>
      <c r="AN55" t="s">
        <v>247</v>
      </c>
    </row>
    <row r="56" spans="9:40" x14ac:dyDescent="0.45">
      <c r="I56" t="s">
        <v>177</v>
      </c>
      <c r="J56" t="s">
        <v>172</v>
      </c>
      <c r="K56">
        <v>2.1511440921896056E-2</v>
      </c>
      <c r="L56" t="s">
        <v>163</v>
      </c>
      <c r="N56" t="s">
        <v>193</v>
      </c>
      <c r="O56" t="s">
        <v>172</v>
      </c>
      <c r="P56">
        <v>3.2008533477595517E-2</v>
      </c>
      <c r="Q56" t="s">
        <v>163</v>
      </c>
      <c r="S56" t="s">
        <v>208</v>
      </c>
      <c r="T56" t="s">
        <v>172</v>
      </c>
      <c r="U56">
        <v>4.3593567701215946E-2</v>
      </c>
      <c r="V56" t="s">
        <v>163</v>
      </c>
      <c r="AK56">
        <v>2033</v>
      </c>
      <c r="AL56" t="s">
        <v>155</v>
      </c>
      <c r="AM56">
        <v>0.57300000000000006</v>
      </c>
      <c r="AN56" t="s">
        <v>247</v>
      </c>
    </row>
    <row r="57" spans="9:40" x14ac:dyDescent="0.45">
      <c r="I57" t="s">
        <v>177</v>
      </c>
      <c r="J57" t="s">
        <v>173</v>
      </c>
      <c r="K57">
        <v>0.22617395041654098</v>
      </c>
      <c r="L57" t="s">
        <v>163</v>
      </c>
      <c r="N57" t="s">
        <v>193</v>
      </c>
      <c r="O57" t="s">
        <v>173</v>
      </c>
      <c r="P57">
        <v>8.3679739509819356E-2</v>
      </c>
      <c r="Q57" t="s">
        <v>163</v>
      </c>
      <c r="S57" t="s">
        <v>208</v>
      </c>
      <c r="T57" t="s">
        <v>173</v>
      </c>
      <c r="U57">
        <v>7.5202360464966575E-2</v>
      </c>
      <c r="V57" t="s">
        <v>163</v>
      </c>
      <c r="AK57">
        <v>2033</v>
      </c>
      <c r="AL57" t="s">
        <v>157</v>
      </c>
      <c r="AM57">
        <v>0.63832500000000003</v>
      </c>
      <c r="AN57" t="s">
        <v>247</v>
      </c>
    </row>
    <row r="58" spans="9:40" x14ac:dyDescent="0.45">
      <c r="I58" t="s">
        <v>177</v>
      </c>
      <c r="J58" t="s">
        <v>174</v>
      </c>
      <c r="K58">
        <v>2.9643030068524376E-3</v>
      </c>
      <c r="L58" t="s">
        <v>163</v>
      </c>
      <c r="N58" t="s">
        <v>193</v>
      </c>
      <c r="O58" t="s">
        <v>174</v>
      </c>
      <c r="P58">
        <v>2.641044152768016E-2</v>
      </c>
      <c r="Q58" t="s">
        <v>163</v>
      </c>
      <c r="S58" t="s">
        <v>208</v>
      </c>
      <c r="T58" t="s">
        <v>174</v>
      </c>
      <c r="U58">
        <v>3.2884746452590041E-2</v>
      </c>
      <c r="V58" t="s">
        <v>163</v>
      </c>
      <c r="AK58">
        <v>2033</v>
      </c>
      <c r="AL58" t="s">
        <v>159</v>
      </c>
      <c r="AM58">
        <v>0.56835000000000002</v>
      </c>
      <c r="AN58" t="s">
        <v>247</v>
      </c>
    </row>
    <row r="59" spans="9:40" x14ac:dyDescent="0.45">
      <c r="I59" t="s">
        <v>178</v>
      </c>
      <c r="J59" t="s">
        <v>162</v>
      </c>
      <c r="K59">
        <v>1.4871442674368712E-2</v>
      </c>
      <c r="L59" t="s">
        <v>163</v>
      </c>
      <c r="N59" t="s">
        <v>194</v>
      </c>
      <c r="O59" t="s">
        <v>162</v>
      </c>
      <c r="P59">
        <v>3.6206606048083484E-2</v>
      </c>
      <c r="Q59" t="s">
        <v>163</v>
      </c>
      <c r="S59" t="s">
        <v>209</v>
      </c>
      <c r="T59" t="s">
        <v>162</v>
      </c>
      <c r="U59">
        <v>3.5559173783111062E-2</v>
      </c>
      <c r="V59" t="s">
        <v>163</v>
      </c>
      <c r="AK59">
        <v>2034</v>
      </c>
      <c r="AL59" t="s">
        <v>151</v>
      </c>
      <c r="AM59">
        <v>0.50095000000000001</v>
      </c>
      <c r="AN59" t="s">
        <v>247</v>
      </c>
    </row>
    <row r="60" spans="9:40" x14ac:dyDescent="0.45">
      <c r="I60" t="s">
        <v>178</v>
      </c>
      <c r="J60" t="s">
        <v>164</v>
      </c>
      <c r="K60">
        <v>0.25295711330352222</v>
      </c>
      <c r="L60" t="s">
        <v>163</v>
      </c>
      <c r="N60" t="s">
        <v>194</v>
      </c>
      <c r="O60" t="s">
        <v>164</v>
      </c>
      <c r="P60">
        <v>7.5930480008260262E-2</v>
      </c>
      <c r="Q60" t="s">
        <v>163</v>
      </c>
      <c r="S60" t="s">
        <v>209</v>
      </c>
      <c r="T60" t="s">
        <v>164</v>
      </c>
      <c r="U60">
        <v>7.5930950311250647E-2</v>
      </c>
      <c r="V60" t="s">
        <v>163</v>
      </c>
      <c r="AK60">
        <v>2034</v>
      </c>
      <c r="AL60" t="s">
        <v>155</v>
      </c>
      <c r="AM60">
        <v>0.46789999999999998</v>
      </c>
      <c r="AN60" t="s">
        <v>247</v>
      </c>
    </row>
    <row r="61" spans="9:40" x14ac:dyDescent="0.45">
      <c r="I61" t="s">
        <v>178</v>
      </c>
      <c r="J61" t="s">
        <v>165</v>
      </c>
      <c r="K61">
        <v>3.7121104351803933E-3</v>
      </c>
      <c r="L61" t="s">
        <v>163</v>
      </c>
      <c r="N61" t="s">
        <v>194</v>
      </c>
      <c r="O61" t="s">
        <v>165</v>
      </c>
      <c r="P61">
        <v>3.1086873434052576E-2</v>
      </c>
      <c r="Q61" t="s">
        <v>163</v>
      </c>
      <c r="S61" t="s">
        <v>209</v>
      </c>
      <c r="T61" t="s">
        <v>165</v>
      </c>
      <c r="U61">
        <v>3.4150808651182703E-2</v>
      </c>
      <c r="V61" t="s">
        <v>163</v>
      </c>
      <c r="AK61">
        <v>2034</v>
      </c>
      <c r="AL61" t="s">
        <v>157</v>
      </c>
      <c r="AM61">
        <v>0.54139999999999999</v>
      </c>
      <c r="AN61" t="s">
        <v>247</v>
      </c>
    </row>
    <row r="62" spans="9:40" x14ac:dyDescent="0.45">
      <c r="I62" t="s">
        <v>178</v>
      </c>
      <c r="J62" t="s">
        <v>166</v>
      </c>
      <c r="K62">
        <v>3.2475431875624706E-3</v>
      </c>
      <c r="L62" t="s">
        <v>163</v>
      </c>
      <c r="N62" t="s">
        <v>194</v>
      </c>
      <c r="O62" t="s">
        <v>166</v>
      </c>
      <c r="P62">
        <v>8.7052346880094569E-2</v>
      </c>
      <c r="Q62" t="s">
        <v>163</v>
      </c>
      <c r="S62" t="s">
        <v>209</v>
      </c>
      <c r="T62" t="s">
        <v>166</v>
      </c>
      <c r="U62">
        <v>8.6504316484741064E-2</v>
      </c>
      <c r="V62" t="s">
        <v>163</v>
      </c>
      <c r="AK62">
        <v>2034</v>
      </c>
      <c r="AL62" t="s">
        <v>159</v>
      </c>
      <c r="AM62">
        <v>0.49629999999999996</v>
      </c>
      <c r="AN62" t="s">
        <v>247</v>
      </c>
    </row>
    <row r="63" spans="9:40" x14ac:dyDescent="0.45">
      <c r="I63" t="s">
        <v>178</v>
      </c>
      <c r="J63" t="s">
        <v>167</v>
      </c>
      <c r="K63">
        <v>0.22586661010112477</v>
      </c>
      <c r="L63" t="s">
        <v>163</v>
      </c>
      <c r="N63" t="s">
        <v>194</v>
      </c>
      <c r="O63" t="s">
        <v>167</v>
      </c>
      <c r="P63">
        <v>0.15609617825404287</v>
      </c>
      <c r="Q63" t="s">
        <v>163</v>
      </c>
      <c r="S63" t="s">
        <v>209</v>
      </c>
      <c r="T63" t="s">
        <v>167</v>
      </c>
      <c r="U63">
        <v>0.15903075661620189</v>
      </c>
      <c r="V63" t="s">
        <v>163</v>
      </c>
      <c r="AK63">
        <v>2035</v>
      </c>
      <c r="AL63" t="s">
        <v>151</v>
      </c>
      <c r="AM63">
        <v>0.53889999999999993</v>
      </c>
      <c r="AN63" t="s">
        <v>247</v>
      </c>
    </row>
    <row r="64" spans="9:40" x14ac:dyDescent="0.45">
      <c r="I64" t="s">
        <v>178</v>
      </c>
      <c r="J64" t="s">
        <v>168</v>
      </c>
      <c r="K64">
        <v>0</v>
      </c>
      <c r="L64" t="s">
        <v>163</v>
      </c>
      <c r="N64" t="s">
        <v>194</v>
      </c>
      <c r="O64" t="s">
        <v>168</v>
      </c>
      <c r="P64">
        <v>6.44895695645121E-2</v>
      </c>
      <c r="Q64" t="s">
        <v>163</v>
      </c>
      <c r="S64" t="s">
        <v>209</v>
      </c>
      <c r="T64" t="s">
        <v>168</v>
      </c>
      <c r="U64">
        <v>6.8339728004497322E-2</v>
      </c>
      <c r="V64" t="s">
        <v>163</v>
      </c>
      <c r="AK64">
        <v>2035</v>
      </c>
      <c r="AL64" t="s">
        <v>155</v>
      </c>
      <c r="AM64">
        <v>0.55682500000000013</v>
      </c>
      <c r="AN64" t="s">
        <v>247</v>
      </c>
    </row>
    <row r="65" spans="9:40" x14ac:dyDescent="0.45">
      <c r="I65" t="s">
        <v>178</v>
      </c>
      <c r="J65" t="s">
        <v>169</v>
      </c>
      <c r="K65">
        <v>6.7722202426088512E-3</v>
      </c>
      <c r="L65" t="s">
        <v>163</v>
      </c>
      <c r="N65" t="s">
        <v>194</v>
      </c>
      <c r="O65" t="s">
        <v>169</v>
      </c>
      <c r="P65">
        <v>0.11782379863410888</v>
      </c>
      <c r="Q65" t="s">
        <v>163</v>
      </c>
      <c r="S65" t="s">
        <v>209</v>
      </c>
      <c r="T65" t="s">
        <v>169</v>
      </c>
      <c r="U65">
        <v>0.12088540700160107</v>
      </c>
      <c r="V65" t="s">
        <v>163</v>
      </c>
      <c r="AK65">
        <v>2035</v>
      </c>
      <c r="AL65" t="s">
        <v>157</v>
      </c>
      <c r="AM65">
        <v>0.62559999999999993</v>
      </c>
      <c r="AN65" t="s">
        <v>247</v>
      </c>
    </row>
    <row r="66" spans="9:40" x14ac:dyDescent="0.45">
      <c r="I66" t="s">
        <v>178</v>
      </c>
      <c r="J66" t="s">
        <v>170</v>
      </c>
      <c r="K66">
        <v>0.24312771278429651</v>
      </c>
      <c r="L66" t="s">
        <v>163</v>
      </c>
      <c r="N66" t="s">
        <v>194</v>
      </c>
      <c r="O66" t="s">
        <v>170</v>
      </c>
      <c r="P66">
        <v>0.21054683671298063</v>
      </c>
      <c r="Q66" t="s">
        <v>163</v>
      </c>
      <c r="S66" t="s">
        <v>209</v>
      </c>
      <c r="T66" t="s">
        <v>170</v>
      </c>
      <c r="U66">
        <v>0.19912438223400822</v>
      </c>
      <c r="V66" t="s">
        <v>163</v>
      </c>
      <c r="AK66">
        <v>2035</v>
      </c>
      <c r="AL66" t="s">
        <v>159</v>
      </c>
      <c r="AM66">
        <v>0.60055000000000003</v>
      </c>
      <c r="AN66" t="s">
        <v>247</v>
      </c>
    </row>
    <row r="67" spans="9:40" x14ac:dyDescent="0.45">
      <c r="I67" t="s">
        <v>178</v>
      </c>
      <c r="J67" t="s">
        <v>171</v>
      </c>
      <c r="K67">
        <v>0</v>
      </c>
      <c r="L67" t="s">
        <v>163</v>
      </c>
      <c r="N67" t="s">
        <v>194</v>
      </c>
      <c r="O67" t="s">
        <v>171</v>
      </c>
      <c r="P67">
        <v>8.3190425168917712E-2</v>
      </c>
      <c r="Q67" t="s">
        <v>163</v>
      </c>
      <c r="S67" t="s">
        <v>209</v>
      </c>
      <c r="T67" t="s">
        <v>171</v>
      </c>
      <c r="U67">
        <v>8.5467052963058815E-2</v>
      </c>
      <c r="V67" t="s">
        <v>163</v>
      </c>
      <c r="AK67">
        <v>2036</v>
      </c>
      <c r="AL67" t="s">
        <v>151</v>
      </c>
      <c r="AM67">
        <v>0.54235</v>
      </c>
      <c r="AN67" t="s">
        <v>247</v>
      </c>
    </row>
    <row r="68" spans="9:40" x14ac:dyDescent="0.45">
      <c r="I68" t="s">
        <v>178</v>
      </c>
      <c r="J68" t="s">
        <v>172</v>
      </c>
      <c r="K68">
        <v>2.0181483623169745E-2</v>
      </c>
      <c r="L68" t="s">
        <v>163</v>
      </c>
      <c r="N68" t="s">
        <v>194</v>
      </c>
      <c r="O68" t="s">
        <v>172</v>
      </c>
      <c r="P68">
        <v>3.7353684265707301E-2</v>
      </c>
      <c r="Q68" t="s">
        <v>163</v>
      </c>
      <c r="S68" t="s">
        <v>209</v>
      </c>
      <c r="T68" t="s">
        <v>172</v>
      </c>
      <c r="U68">
        <v>3.6351630269662552E-2</v>
      </c>
      <c r="V68" t="s">
        <v>163</v>
      </c>
      <c r="AK68">
        <v>2036</v>
      </c>
      <c r="AL68" t="s">
        <v>155</v>
      </c>
      <c r="AM68">
        <v>0.51602499999999996</v>
      </c>
      <c r="AN68" t="s">
        <v>247</v>
      </c>
    </row>
    <row r="69" spans="9:40" x14ac:dyDescent="0.45">
      <c r="I69" t="s">
        <v>178</v>
      </c>
      <c r="J69" t="s">
        <v>173</v>
      </c>
      <c r="K69">
        <v>0.22768626476128839</v>
      </c>
      <c r="L69" t="s">
        <v>163</v>
      </c>
      <c r="N69" t="s">
        <v>194</v>
      </c>
      <c r="O69" t="s">
        <v>173</v>
      </c>
      <c r="P69">
        <v>7.1561354976215977E-2</v>
      </c>
      <c r="Q69" t="s">
        <v>163</v>
      </c>
      <c r="S69" t="s">
        <v>209</v>
      </c>
      <c r="T69" t="s">
        <v>173</v>
      </c>
      <c r="U69">
        <v>6.9128590690695227E-2</v>
      </c>
      <c r="V69" t="s">
        <v>163</v>
      </c>
      <c r="AK69">
        <v>2036</v>
      </c>
      <c r="AL69" t="s">
        <v>157</v>
      </c>
      <c r="AM69">
        <v>0.63585000000000003</v>
      </c>
      <c r="AN69" t="s">
        <v>247</v>
      </c>
    </row>
    <row r="70" spans="9:40" x14ac:dyDescent="0.45">
      <c r="I70" t="s">
        <v>178</v>
      </c>
      <c r="J70" t="s">
        <v>174</v>
      </c>
      <c r="K70">
        <v>1.577498886878863E-3</v>
      </c>
      <c r="L70" t="s">
        <v>163</v>
      </c>
      <c r="N70" t="s">
        <v>194</v>
      </c>
      <c r="O70" t="s">
        <v>174</v>
      </c>
      <c r="P70">
        <v>2.8661846053025002E-2</v>
      </c>
      <c r="Q70" t="s">
        <v>163</v>
      </c>
      <c r="S70" t="s">
        <v>209</v>
      </c>
      <c r="T70" t="s">
        <v>174</v>
      </c>
      <c r="U70">
        <v>2.952720298999149E-2</v>
      </c>
      <c r="V70" t="s">
        <v>163</v>
      </c>
      <c r="AK70">
        <v>2036</v>
      </c>
      <c r="AL70" t="s">
        <v>159</v>
      </c>
      <c r="AM70">
        <v>0.58830000000000005</v>
      </c>
      <c r="AN70" t="s">
        <v>247</v>
      </c>
    </row>
    <row r="71" spans="9:40" x14ac:dyDescent="0.45">
      <c r="I71" t="s">
        <v>179</v>
      </c>
      <c r="J71" t="s">
        <v>162</v>
      </c>
      <c r="K71">
        <v>1.5509330211355124E-2</v>
      </c>
      <c r="L71" t="s">
        <v>163</v>
      </c>
      <c r="N71" t="s">
        <v>195</v>
      </c>
      <c r="O71" t="s">
        <v>162</v>
      </c>
      <c r="P71">
        <v>2.641797497257465E-2</v>
      </c>
      <c r="Q71" t="s">
        <v>163</v>
      </c>
      <c r="S71" t="s">
        <v>210</v>
      </c>
      <c r="T71" t="s">
        <v>162</v>
      </c>
      <c r="U71">
        <v>3.7896609776158989E-2</v>
      </c>
      <c r="V71" t="s">
        <v>163</v>
      </c>
      <c r="AK71">
        <v>2037</v>
      </c>
      <c r="AL71" t="s">
        <v>151</v>
      </c>
      <c r="AM71">
        <v>0.40939999999999999</v>
      </c>
      <c r="AN71" t="s">
        <v>247</v>
      </c>
    </row>
    <row r="72" spans="9:40" x14ac:dyDescent="0.45">
      <c r="I72" t="s">
        <v>179</v>
      </c>
      <c r="J72" t="s">
        <v>164</v>
      </c>
      <c r="K72">
        <v>0.25465769031766672</v>
      </c>
      <c r="L72" t="s">
        <v>163</v>
      </c>
      <c r="N72" t="s">
        <v>195</v>
      </c>
      <c r="O72" t="s">
        <v>164</v>
      </c>
      <c r="P72">
        <v>9.5953787748043265E-2</v>
      </c>
      <c r="Q72" t="s">
        <v>163</v>
      </c>
      <c r="S72" t="s">
        <v>210</v>
      </c>
      <c r="T72" t="s">
        <v>164</v>
      </c>
      <c r="U72">
        <v>6.729088715120031E-2</v>
      </c>
      <c r="V72" t="s">
        <v>163</v>
      </c>
      <c r="AK72">
        <v>2037</v>
      </c>
      <c r="AL72" t="s">
        <v>155</v>
      </c>
      <c r="AM72">
        <v>0.40900000000000003</v>
      </c>
      <c r="AN72" t="s">
        <v>247</v>
      </c>
    </row>
    <row r="73" spans="9:40" x14ac:dyDescent="0.45">
      <c r="I73" t="s">
        <v>179</v>
      </c>
      <c r="J73" t="s">
        <v>165</v>
      </c>
      <c r="K73">
        <v>4.2009910296597602E-3</v>
      </c>
      <c r="L73" t="s">
        <v>163</v>
      </c>
      <c r="N73" t="s">
        <v>195</v>
      </c>
      <c r="O73" t="s">
        <v>165</v>
      </c>
      <c r="P73">
        <v>2.6631400194980989E-2</v>
      </c>
      <c r="Q73" t="s">
        <v>163</v>
      </c>
      <c r="S73" t="s">
        <v>210</v>
      </c>
      <c r="T73" t="s">
        <v>165</v>
      </c>
      <c r="U73">
        <v>3.3661719044951313E-2</v>
      </c>
      <c r="V73" t="s">
        <v>163</v>
      </c>
      <c r="AK73">
        <v>2037</v>
      </c>
      <c r="AL73" t="s">
        <v>157</v>
      </c>
      <c r="AM73">
        <v>0.45892499999999997</v>
      </c>
      <c r="AN73" t="s">
        <v>247</v>
      </c>
    </row>
    <row r="74" spans="9:40" x14ac:dyDescent="0.45">
      <c r="I74" t="s">
        <v>179</v>
      </c>
      <c r="J74" t="s">
        <v>166</v>
      </c>
      <c r="K74">
        <v>3.0487842387893153E-3</v>
      </c>
      <c r="L74" t="s">
        <v>163</v>
      </c>
      <c r="N74" t="s">
        <v>195</v>
      </c>
      <c r="O74" t="s">
        <v>166</v>
      </c>
      <c r="P74">
        <v>7.7585453842366758E-2</v>
      </c>
      <c r="Q74" t="s">
        <v>163</v>
      </c>
      <c r="S74" t="s">
        <v>210</v>
      </c>
      <c r="T74" t="s">
        <v>166</v>
      </c>
      <c r="U74">
        <v>9.5113557102139409E-2</v>
      </c>
      <c r="V74" t="s">
        <v>163</v>
      </c>
      <c r="AK74">
        <v>2037</v>
      </c>
      <c r="AL74" t="s">
        <v>159</v>
      </c>
      <c r="AM74">
        <v>0.44240000000000002</v>
      </c>
      <c r="AN74" t="s">
        <v>247</v>
      </c>
    </row>
    <row r="75" spans="9:40" x14ac:dyDescent="0.45">
      <c r="I75" t="s">
        <v>179</v>
      </c>
      <c r="J75" t="s">
        <v>167</v>
      </c>
      <c r="K75">
        <v>0.22303824291579458</v>
      </c>
      <c r="L75" t="s">
        <v>163</v>
      </c>
      <c r="N75" t="s">
        <v>195</v>
      </c>
      <c r="O75" t="s">
        <v>167</v>
      </c>
      <c r="P75">
        <v>0.14854843199607667</v>
      </c>
      <c r="Q75" t="s">
        <v>163</v>
      </c>
      <c r="S75" t="s">
        <v>210</v>
      </c>
      <c r="T75" t="s">
        <v>167</v>
      </c>
      <c r="U75">
        <v>0.16528314532267369</v>
      </c>
      <c r="V75" t="s">
        <v>163</v>
      </c>
      <c r="AK75">
        <v>2038</v>
      </c>
      <c r="AL75" t="s">
        <v>151</v>
      </c>
      <c r="AM75">
        <v>0.55025000000000002</v>
      </c>
      <c r="AN75" t="s">
        <v>247</v>
      </c>
    </row>
    <row r="76" spans="9:40" x14ac:dyDescent="0.45">
      <c r="I76" t="s">
        <v>179</v>
      </c>
      <c r="J76" t="s">
        <v>168</v>
      </c>
      <c r="K76">
        <v>0</v>
      </c>
      <c r="L76" t="s">
        <v>163</v>
      </c>
      <c r="N76" t="s">
        <v>195</v>
      </c>
      <c r="O76" t="s">
        <v>168</v>
      </c>
      <c r="P76">
        <v>5.1975248290341676E-2</v>
      </c>
      <c r="Q76" t="s">
        <v>163</v>
      </c>
      <c r="S76" t="s">
        <v>210</v>
      </c>
      <c r="T76" t="s">
        <v>168</v>
      </c>
      <c r="U76">
        <v>7.3794000419104125E-2</v>
      </c>
      <c r="V76" t="s">
        <v>163</v>
      </c>
      <c r="AK76">
        <v>2038</v>
      </c>
      <c r="AL76" t="s">
        <v>155</v>
      </c>
      <c r="AM76">
        <v>0.55935000000000001</v>
      </c>
      <c r="AN76" t="s">
        <v>247</v>
      </c>
    </row>
    <row r="77" spans="9:40" x14ac:dyDescent="0.45">
      <c r="I77" t="s">
        <v>179</v>
      </c>
      <c r="J77" t="s">
        <v>169</v>
      </c>
      <c r="K77">
        <v>6.668706595366892E-3</v>
      </c>
      <c r="L77" t="s">
        <v>163</v>
      </c>
      <c r="N77" t="s">
        <v>195</v>
      </c>
      <c r="O77" t="s">
        <v>169</v>
      </c>
      <c r="P77">
        <v>0.11619411738954634</v>
      </c>
      <c r="Q77" t="s">
        <v>163</v>
      </c>
      <c r="S77" t="s">
        <v>210</v>
      </c>
      <c r="T77" t="s">
        <v>169</v>
      </c>
      <c r="U77">
        <v>0.11247445250463925</v>
      </c>
      <c r="V77" t="s">
        <v>163</v>
      </c>
      <c r="AK77">
        <v>2038</v>
      </c>
      <c r="AL77" t="s">
        <v>157</v>
      </c>
      <c r="AM77">
        <v>0.59884999999999999</v>
      </c>
      <c r="AN77" t="s">
        <v>247</v>
      </c>
    </row>
    <row r="78" spans="9:40" x14ac:dyDescent="0.45">
      <c r="I78" t="s">
        <v>179</v>
      </c>
      <c r="J78" t="s">
        <v>170</v>
      </c>
      <c r="K78">
        <v>0.24559867389458054</v>
      </c>
      <c r="L78" t="s">
        <v>163</v>
      </c>
      <c r="N78" t="s">
        <v>195</v>
      </c>
      <c r="O78" t="s">
        <v>170</v>
      </c>
      <c r="P78">
        <v>0.24637847851865385</v>
      </c>
      <c r="Q78" t="s">
        <v>163</v>
      </c>
      <c r="S78" t="s">
        <v>210</v>
      </c>
      <c r="T78" t="s">
        <v>170</v>
      </c>
      <c r="U78">
        <v>0.18002663906185759</v>
      </c>
      <c r="V78" t="s">
        <v>163</v>
      </c>
      <c r="AK78">
        <v>2038</v>
      </c>
      <c r="AL78" t="s">
        <v>159</v>
      </c>
      <c r="AM78">
        <v>0.56969999999999998</v>
      </c>
      <c r="AN78" t="s">
        <v>247</v>
      </c>
    </row>
    <row r="79" spans="9:40" x14ac:dyDescent="0.45">
      <c r="I79" t="s">
        <v>179</v>
      </c>
      <c r="J79" t="s">
        <v>171</v>
      </c>
      <c r="K79">
        <v>0</v>
      </c>
      <c r="L79" t="s">
        <v>163</v>
      </c>
      <c r="N79" t="s">
        <v>195</v>
      </c>
      <c r="O79" t="s">
        <v>171</v>
      </c>
      <c r="P79">
        <v>8.8656106438732507E-2</v>
      </c>
      <c r="Q79" t="s">
        <v>163</v>
      </c>
      <c r="S79" t="s">
        <v>210</v>
      </c>
      <c r="T79" t="s">
        <v>171</v>
      </c>
      <c r="U79">
        <v>7.7320064954060408E-2</v>
      </c>
      <c r="V79" t="s">
        <v>163</v>
      </c>
      <c r="AK79">
        <v>2039</v>
      </c>
      <c r="AL79" t="s">
        <v>151</v>
      </c>
      <c r="AM79">
        <v>0.4027</v>
      </c>
      <c r="AN79" t="s">
        <v>247</v>
      </c>
    </row>
    <row r="80" spans="9:40" x14ac:dyDescent="0.45">
      <c r="I80" t="s">
        <v>179</v>
      </c>
      <c r="J80" t="s">
        <v>172</v>
      </c>
      <c r="K80">
        <v>2.0472599915346838E-2</v>
      </c>
      <c r="L80" t="s">
        <v>163</v>
      </c>
      <c r="N80" t="s">
        <v>195</v>
      </c>
      <c r="O80" t="s">
        <v>172</v>
      </c>
      <c r="P80">
        <v>2.381744400324097E-2</v>
      </c>
      <c r="Q80" t="s">
        <v>163</v>
      </c>
      <c r="S80" t="s">
        <v>210</v>
      </c>
      <c r="T80" t="s">
        <v>172</v>
      </c>
      <c r="U80">
        <v>4.7169294909694494E-2</v>
      </c>
      <c r="V80" t="s">
        <v>163</v>
      </c>
      <c r="AK80">
        <v>2039</v>
      </c>
      <c r="AL80" t="s">
        <v>155</v>
      </c>
      <c r="AM80">
        <v>0.39627499999999999</v>
      </c>
      <c r="AN80" t="s">
        <v>247</v>
      </c>
    </row>
    <row r="81" spans="9:40" x14ac:dyDescent="0.45">
      <c r="I81" t="s">
        <v>179</v>
      </c>
      <c r="J81" t="s">
        <v>173</v>
      </c>
      <c r="K81">
        <v>0.22429728109943736</v>
      </c>
      <c r="L81" t="s">
        <v>163</v>
      </c>
      <c r="N81" t="s">
        <v>195</v>
      </c>
      <c r="O81" t="s">
        <v>173</v>
      </c>
      <c r="P81">
        <v>7.5434437121689721E-2</v>
      </c>
      <c r="Q81" t="s">
        <v>163</v>
      </c>
      <c r="S81" t="s">
        <v>210</v>
      </c>
      <c r="T81" t="s">
        <v>173</v>
      </c>
      <c r="U81">
        <v>7.5029268220859965E-2</v>
      </c>
      <c r="V81" t="s">
        <v>163</v>
      </c>
      <c r="AK81">
        <v>2039</v>
      </c>
      <c r="AL81" t="s">
        <v>157</v>
      </c>
      <c r="AM81">
        <v>0.45092500000000002</v>
      </c>
      <c r="AN81" t="s">
        <v>247</v>
      </c>
    </row>
    <row r="82" spans="9:40" x14ac:dyDescent="0.45">
      <c r="I82" t="s">
        <v>179</v>
      </c>
      <c r="J82" t="s">
        <v>174</v>
      </c>
      <c r="K82">
        <v>2.5076997820017728E-3</v>
      </c>
      <c r="L82" t="s">
        <v>163</v>
      </c>
      <c r="N82" t="s">
        <v>195</v>
      </c>
      <c r="O82" t="s">
        <v>174</v>
      </c>
      <c r="P82">
        <v>2.2407119483753634E-2</v>
      </c>
      <c r="Q82" t="s">
        <v>163</v>
      </c>
      <c r="S82" t="s">
        <v>210</v>
      </c>
      <c r="T82" t="s">
        <v>174</v>
      </c>
      <c r="U82">
        <v>3.4940361532661841E-2</v>
      </c>
      <c r="V82" t="s">
        <v>163</v>
      </c>
      <c r="AK82">
        <v>2039</v>
      </c>
      <c r="AL82" t="s">
        <v>159</v>
      </c>
      <c r="AM82">
        <v>0.40334999999999999</v>
      </c>
      <c r="AN82" t="s">
        <v>247</v>
      </c>
    </row>
    <row r="83" spans="9:40" x14ac:dyDescent="0.45">
      <c r="I83" t="s">
        <v>180</v>
      </c>
      <c r="J83" t="s">
        <v>162</v>
      </c>
      <c r="K83">
        <v>1.2622262079475114E-2</v>
      </c>
      <c r="L83" t="s">
        <v>163</v>
      </c>
      <c r="N83" t="s">
        <v>196</v>
      </c>
      <c r="O83" t="s">
        <v>162</v>
      </c>
      <c r="P83">
        <v>3.4774935667757578E-2</v>
      </c>
      <c r="Q83" t="s">
        <v>163</v>
      </c>
      <c r="S83" t="s">
        <v>211</v>
      </c>
      <c r="T83" t="s">
        <v>162</v>
      </c>
      <c r="U83">
        <v>4.1224448109714228E-2</v>
      </c>
      <c r="V83" t="s">
        <v>163</v>
      </c>
      <c r="AK83">
        <v>2040</v>
      </c>
      <c r="AL83" t="s">
        <v>151</v>
      </c>
      <c r="AM83">
        <v>0.42869999999999997</v>
      </c>
      <c r="AN83" t="s">
        <v>247</v>
      </c>
    </row>
    <row r="84" spans="9:40" x14ac:dyDescent="0.45">
      <c r="I84" t="s">
        <v>180</v>
      </c>
      <c r="J84" t="s">
        <v>164</v>
      </c>
      <c r="K84">
        <v>0.25610214070419152</v>
      </c>
      <c r="L84" t="s">
        <v>163</v>
      </c>
      <c r="N84" t="s">
        <v>196</v>
      </c>
      <c r="O84" t="s">
        <v>164</v>
      </c>
      <c r="P84">
        <v>8.0771054721979291E-2</v>
      </c>
      <c r="Q84" t="s">
        <v>163</v>
      </c>
      <c r="S84" t="s">
        <v>211</v>
      </c>
      <c r="T84" t="s">
        <v>164</v>
      </c>
      <c r="U84">
        <v>6.4953658076820769E-2</v>
      </c>
      <c r="V84" t="s">
        <v>163</v>
      </c>
      <c r="AK84">
        <v>2040</v>
      </c>
      <c r="AL84" t="s">
        <v>155</v>
      </c>
      <c r="AM84">
        <v>0.39759999999999995</v>
      </c>
      <c r="AN84" t="s">
        <v>247</v>
      </c>
    </row>
    <row r="85" spans="9:40" x14ac:dyDescent="0.45">
      <c r="I85" t="s">
        <v>180</v>
      </c>
      <c r="J85" t="s">
        <v>165</v>
      </c>
      <c r="K85">
        <v>9.9482026393761108E-3</v>
      </c>
      <c r="L85" t="s">
        <v>163</v>
      </c>
      <c r="N85" t="s">
        <v>196</v>
      </c>
      <c r="O85" t="s">
        <v>165</v>
      </c>
      <c r="P85">
        <v>2.6152776687662114E-2</v>
      </c>
      <c r="Q85" t="s">
        <v>163</v>
      </c>
      <c r="S85" t="s">
        <v>211</v>
      </c>
      <c r="T85" t="s">
        <v>165</v>
      </c>
      <c r="U85">
        <v>3.6310694826616627E-2</v>
      </c>
      <c r="V85" t="s">
        <v>163</v>
      </c>
      <c r="AK85">
        <v>2040</v>
      </c>
      <c r="AL85" t="s">
        <v>157</v>
      </c>
      <c r="AM85">
        <v>0.45899999999999996</v>
      </c>
      <c r="AN85" t="s">
        <v>247</v>
      </c>
    </row>
    <row r="86" spans="9:40" x14ac:dyDescent="0.45">
      <c r="I86" t="s">
        <v>180</v>
      </c>
      <c r="J86" t="s">
        <v>166</v>
      </c>
      <c r="K86">
        <v>2.6306639430922341E-4</v>
      </c>
      <c r="L86" t="s">
        <v>163</v>
      </c>
      <c r="N86" t="s">
        <v>196</v>
      </c>
      <c r="O86" t="s">
        <v>166</v>
      </c>
      <c r="P86">
        <v>8.5979638967543903E-2</v>
      </c>
      <c r="Q86" t="s">
        <v>163</v>
      </c>
      <c r="S86" t="s">
        <v>211</v>
      </c>
      <c r="T86" t="s">
        <v>166</v>
      </c>
      <c r="U86">
        <v>9.1509089292411791E-2</v>
      </c>
      <c r="V86" t="s">
        <v>163</v>
      </c>
      <c r="AK86">
        <v>2040</v>
      </c>
      <c r="AL86" t="s">
        <v>159</v>
      </c>
      <c r="AM86">
        <v>0.43935000000000002</v>
      </c>
      <c r="AN86" t="s">
        <v>247</v>
      </c>
    </row>
    <row r="87" spans="9:40" x14ac:dyDescent="0.45">
      <c r="I87" t="s">
        <v>180</v>
      </c>
      <c r="J87" t="s">
        <v>167</v>
      </c>
      <c r="K87">
        <v>0.19724316394938496</v>
      </c>
      <c r="L87" t="s">
        <v>163</v>
      </c>
      <c r="N87" t="s">
        <v>196</v>
      </c>
      <c r="O87" t="s">
        <v>167</v>
      </c>
      <c r="P87">
        <v>0.16031871667881928</v>
      </c>
      <c r="Q87" t="s">
        <v>163</v>
      </c>
      <c r="S87" t="s">
        <v>211</v>
      </c>
      <c r="T87" t="s">
        <v>167</v>
      </c>
      <c r="U87">
        <v>0.14494789866639499</v>
      </c>
      <c r="V87" t="s">
        <v>163</v>
      </c>
      <c r="AK87">
        <v>2041</v>
      </c>
      <c r="AL87" t="s">
        <v>151</v>
      </c>
      <c r="AM87">
        <v>0.3967</v>
      </c>
      <c r="AN87" t="s">
        <v>247</v>
      </c>
    </row>
    <row r="88" spans="9:40" x14ac:dyDescent="0.45">
      <c r="I88" t="s">
        <v>180</v>
      </c>
      <c r="J88" t="s">
        <v>168</v>
      </c>
      <c r="K88">
        <v>0</v>
      </c>
      <c r="L88" t="s">
        <v>163</v>
      </c>
      <c r="N88" t="s">
        <v>196</v>
      </c>
      <c r="O88" t="s">
        <v>168</v>
      </c>
      <c r="P88">
        <v>6.3781600674975056E-2</v>
      </c>
      <c r="Q88" t="s">
        <v>163</v>
      </c>
      <c r="S88" t="s">
        <v>211</v>
      </c>
      <c r="T88" t="s">
        <v>168</v>
      </c>
      <c r="U88">
        <v>6.8439438119247464E-2</v>
      </c>
      <c r="V88" t="s">
        <v>163</v>
      </c>
      <c r="AK88">
        <v>2041</v>
      </c>
      <c r="AL88" t="s">
        <v>155</v>
      </c>
      <c r="AM88">
        <v>0.41679999999999995</v>
      </c>
      <c r="AN88" t="s">
        <v>247</v>
      </c>
    </row>
    <row r="89" spans="9:40" x14ac:dyDescent="0.45">
      <c r="I89" t="s">
        <v>180</v>
      </c>
      <c r="J89" t="s">
        <v>169</v>
      </c>
      <c r="K89">
        <v>4.49383647830959E-3</v>
      </c>
      <c r="L89" t="s">
        <v>163</v>
      </c>
      <c r="N89" t="s">
        <v>196</v>
      </c>
      <c r="O89" t="s">
        <v>169</v>
      </c>
      <c r="P89">
        <v>0.10807511611999399</v>
      </c>
      <c r="Q89" t="s">
        <v>163</v>
      </c>
      <c r="S89" t="s">
        <v>211</v>
      </c>
      <c r="T89" t="s">
        <v>169</v>
      </c>
      <c r="U89">
        <v>0.11649913709299525</v>
      </c>
      <c r="V89" t="s">
        <v>163</v>
      </c>
      <c r="AK89">
        <v>2041</v>
      </c>
      <c r="AL89" t="s">
        <v>157</v>
      </c>
      <c r="AM89">
        <v>0.47902500000000003</v>
      </c>
      <c r="AN89" t="s">
        <v>247</v>
      </c>
    </row>
    <row r="90" spans="9:40" x14ac:dyDescent="0.45">
      <c r="I90" t="s">
        <v>180</v>
      </c>
      <c r="J90" t="s">
        <v>170</v>
      </c>
      <c r="K90">
        <v>0.26407459806243277</v>
      </c>
      <c r="L90" t="s">
        <v>163</v>
      </c>
      <c r="N90" t="s">
        <v>196</v>
      </c>
      <c r="O90" t="s">
        <v>170</v>
      </c>
      <c r="P90">
        <v>0.21335637294542664</v>
      </c>
      <c r="Q90" t="s">
        <v>163</v>
      </c>
      <c r="S90" t="s">
        <v>211</v>
      </c>
      <c r="T90" t="s">
        <v>170</v>
      </c>
      <c r="U90">
        <v>0.20457497686943074</v>
      </c>
      <c r="V90" t="s">
        <v>163</v>
      </c>
      <c r="AK90">
        <v>2041</v>
      </c>
      <c r="AL90" t="s">
        <v>159</v>
      </c>
      <c r="AM90">
        <v>0.43785000000000002</v>
      </c>
      <c r="AN90" t="s">
        <v>247</v>
      </c>
    </row>
    <row r="91" spans="9:40" x14ac:dyDescent="0.45">
      <c r="I91" t="s">
        <v>180</v>
      </c>
      <c r="J91" t="s">
        <v>171</v>
      </c>
      <c r="K91">
        <v>0</v>
      </c>
      <c r="L91" t="s">
        <v>163</v>
      </c>
      <c r="N91" t="s">
        <v>196</v>
      </c>
      <c r="O91" t="s">
        <v>171</v>
      </c>
      <c r="P91">
        <v>8.1532965924561066E-2</v>
      </c>
      <c r="Q91" t="s">
        <v>163</v>
      </c>
      <c r="S91" t="s">
        <v>211</v>
      </c>
      <c r="T91" t="s">
        <v>171</v>
      </c>
      <c r="U91">
        <v>8.7435509138804851E-2</v>
      </c>
      <c r="V91" t="s">
        <v>163</v>
      </c>
      <c r="AK91">
        <v>2042</v>
      </c>
      <c r="AL91" t="s">
        <v>151</v>
      </c>
      <c r="AM91">
        <v>0.38834999999999997</v>
      </c>
      <c r="AN91" t="s">
        <v>247</v>
      </c>
    </row>
    <row r="92" spans="9:40" x14ac:dyDescent="0.45">
      <c r="I92" t="s">
        <v>180</v>
      </c>
      <c r="J92" t="s">
        <v>172</v>
      </c>
      <c r="K92">
        <v>1.9122052708198299E-2</v>
      </c>
      <c r="L92" t="s">
        <v>163</v>
      </c>
      <c r="N92" t="s">
        <v>196</v>
      </c>
      <c r="O92" t="s">
        <v>172</v>
      </c>
      <c r="P92">
        <v>3.3718295123501635E-2</v>
      </c>
      <c r="Q92" t="s">
        <v>163</v>
      </c>
      <c r="S92" t="s">
        <v>211</v>
      </c>
      <c r="T92" t="s">
        <v>172</v>
      </c>
      <c r="U92">
        <v>4.1676938671042225E-2</v>
      </c>
      <c r="V92" t="s">
        <v>163</v>
      </c>
      <c r="AK92">
        <v>2042</v>
      </c>
      <c r="AL92" t="s">
        <v>155</v>
      </c>
      <c r="AM92">
        <v>0.38800000000000001</v>
      </c>
      <c r="AN92" t="s">
        <v>247</v>
      </c>
    </row>
    <row r="93" spans="9:40" x14ac:dyDescent="0.45">
      <c r="I93" t="s">
        <v>180</v>
      </c>
      <c r="J93" t="s">
        <v>173</v>
      </c>
      <c r="K93">
        <v>0.22863698558329346</v>
      </c>
      <c r="L93" t="s">
        <v>163</v>
      </c>
      <c r="N93" t="s">
        <v>196</v>
      </c>
      <c r="O93" t="s">
        <v>173</v>
      </c>
      <c r="P93">
        <v>8.3343069300477773E-2</v>
      </c>
      <c r="Q93" t="s">
        <v>163</v>
      </c>
      <c r="S93" t="s">
        <v>211</v>
      </c>
      <c r="T93" t="s">
        <v>173</v>
      </c>
      <c r="U93">
        <v>6.791368334582934E-2</v>
      </c>
      <c r="V93" t="s">
        <v>163</v>
      </c>
      <c r="AK93">
        <v>2042</v>
      </c>
      <c r="AL93" t="s">
        <v>157</v>
      </c>
      <c r="AM93">
        <v>0.44379999999999997</v>
      </c>
      <c r="AN93" t="s">
        <v>247</v>
      </c>
    </row>
    <row r="94" spans="9:40" x14ac:dyDescent="0.45">
      <c r="I94" t="s">
        <v>180</v>
      </c>
      <c r="J94" t="s">
        <v>174</v>
      </c>
      <c r="K94">
        <v>7.4936914010323413E-3</v>
      </c>
      <c r="L94" t="s">
        <v>163</v>
      </c>
      <c r="N94" t="s">
        <v>196</v>
      </c>
      <c r="O94" t="s">
        <v>174</v>
      </c>
      <c r="P94">
        <v>2.8195457187299506E-2</v>
      </c>
      <c r="Q94" t="s">
        <v>163</v>
      </c>
      <c r="S94" t="s">
        <v>211</v>
      </c>
      <c r="T94" t="s">
        <v>174</v>
      </c>
      <c r="U94">
        <v>3.4514527790690787E-2</v>
      </c>
      <c r="V94" t="s">
        <v>163</v>
      </c>
      <c r="AK94">
        <v>2042</v>
      </c>
      <c r="AL94" t="s">
        <v>159</v>
      </c>
      <c r="AM94">
        <v>0.39600000000000002</v>
      </c>
      <c r="AN94" t="s">
        <v>247</v>
      </c>
    </row>
    <row r="95" spans="9:40" x14ac:dyDescent="0.45">
      <c r="I95" t="s">
        <v>181</v>
      </c>
      <c r="J95" t="s">
        <v>162</v>
      </c>
      <c r="K95">
        <v>1.2394774449933012E-2</v>
      </c>
      <c r="L95" t="s">
        <v>163</v>
      </c>
      <c r="N95" t="s">
        <v>197</v>
      </c>
      <c r="O95" t="s">
        <v>162</v>
      </c>
      <c r="P95">
        <v>3.9008043088329024E-2</v>
      </c>
      <c r="Q95" t="s">
        <v>163</v>
      </c>
      <c r="S95" t="s">
        <v>212</v>
      </c>
      <c r="T95" t="s">
        <v>162</v>
      </c>
      <c r="U95">
        <v>4.9635387031025324E-2</v>
      </c>
      <c r="V95" t="s">
        <v>163</v>
      </c>
      <c r="AK95">
        <v>2043</v>
      </c>
      <c r="AL95" t="s">
        <v>151</v>
      </c>
      <c r="AM95">
        <v>0.41600000000000004</v>
      </c>
      <c r="AN95" t="s">
        <v>247</v>
      </c>
    </row>
    <row r="96" spans="9:40" x14ac:dyDescent="0.45">
      <c r="I96" t="s">
        <v>181</v>
      </c>
      <c r="J96" t="s">
        <v>164</v>
      </c>
      <c r="K96">
        <v>0.24605298798797173</v>
      </c>
      <c r="L96" t="s">
        <v>163</v>
      </c>
      <c r="N96" t="s">
        <v>197</v>
      </c>
      <c r="O96" t="s">
        <v>164</v>
      </c>
      <c r="P96">
        <v>9.6938699532027828E-2</v>
      </c>
      <c r="Q96" t="s">
        <v>163</v>
      </c>
      <c r="S96" t="s">
        <v>212</v>
      </c>
      <c r="T96" t="s">
        <v>164</v>
      </c>
      <c r="U96">
        <v>8.0464397855380496E-2</v>
      </c>
      <c r="V96" t="s">
        <v>163</v>
      </c>
      <c r="AK96">
        <v>2043</v>
      </c>
      <c r="AL96" t="s">
        <v>155</v>
      </c>
      <c r="AM96">
        <v>0.40332500000000004</v>
      </c>
      <c r="AN96" t="s">
        <v>247</v>
      </c>
    </row>
    <row r="97" spans="9:40" x14ac:dyDescent="0.45">
      <c r="I97" t="s">
        <v>181</v>
      </c>
      <c r="J97" t="s">
        <v>165</v>
      </c>
      <c r="K97">
        <v>9.1358413059000974E-3</v>
      </c>
      <c r="L97" t="s">
        <v>163</v>
      </c>
      <c r="N97" t="s">
        <v>197</v>
      </c>
      <c r="O97" t="s">
        <v>165</v>
      </c>
      <c r="P97">
        <v>2.8802146460311488E-2</v>
      </c>
      <c r="Q97" t="s">
        <v>163</v>
      </c>
      <c r="S97" t="s">
        <v>212</v>
      </c>
      <c r="T97" t="s">
        <v>165</v>
      </c>
      <c r="U97">
        <v>3.6860441651758273E-2</v>
      </c>
      <c r="V97" t="s">
        <v>163</v>
      </c>
      <c r="AK97">
        <v>2043</v>
      </c>
      <c r="AL97" t="s">
        <v>157</v>
      </c>
      <c r="AM97">
        <v>0.45152499999999995</v>
      </c>
      <c r="AN97" t="s">
        <v>247</v>
      </c>
    </row>
    <row r="98" spans="9:40" x14ac:dyDescent="0.45">
      <c r="I98" t="s">
        <v>181</v>
      </c>
      <c r="J98" t="s">
        <v>166</v>
      </c>
      <c r="K98">
        <v>8.1649006898680605E-5</v>
      </c>
      <c r="L98" t="s">
        <v>163</v>
      </c>
      <c r="N98" t="s">
        <v>197</v>
      </c>
      <c r="O98" t="s">
        <v>166</v>
      </c>
      <c r="P98">
        <v>7.7098372331695711E-2</v>
      </c>
      <c r="Q98" t="s">
        <v>163</v>
      </c>
      <c r="S98" t="s">
        <v>212</v>
      </c>
      <c r="T98" t="s">
        <v>166</v>
      </c>
      <c r="U98">
        <v>9.5340918393966689E-2</v>
      </c>
      <c r="V98" t="s">
        <v>163</v>
      </c>
      <c r="AK98">
        <v>2043</v>
      </c>
      <c r="AL98" t="s">
        <v>159</v>
      </c>
      <c r="AM98">
        <v>0.43049999999999999</v>
      </c>
      <c r="AN98" t="s">
        <v>247</v>
      </c>
    </row>
    <row r="99" spans="9:40" x14ac:dyDescent="0.45">
      <c r="I99" t="s">
        <v>181</v>
      </c>
      <c r="J99" t="s">
        <v>167</v>
      </c>
      <c r="K99">
        <v>0.19147413510818831</v>
      </c>
      <c r="L99" t="s">
        <v>163</v>
      </c>
      <c r="N99" t="s">
        <v>197</v>
      </c>
      <c r="O99" t="s">
        <v>167</v>
      </c>
      <c r="P99">
        <v>0.15217372938892484</v>
      </c>
      <c r="Q99" t="s">
        <v>163</v>
      </c>
      <c r="S99" t="s">
        <v>212</v>
      </c>
      <c r="T99" t="s">
        <v>167</v>
      </c>
      <c r="U99">
        <v>0.15609871944930157</v>
      </c>
      <c r="V99" t="s">
        <v>163</v>
      </c>
      <c r="AK99">
        <v>2044</v>
      </c>
      <c r="AL99" t="s">
        <v>151</v>
      </c>
      <c r="AM99">
        <v>0.39854999999999996</v>
      </c>
      <c r="AN99" t="s">
        <v>247</v>
      </c>
    </row>
    <row r="100" spans="9:40" x14ac:dyDescent="0.45">
      <c r="I100" t="s">
        <v>181</v>
      </c>
      <c r="J100" t="s">
        <v>168</v>
      </c>
      <c r="K100">
        <v>0</v>
      </c>
      <c r="L100" t="s">
        <v>163</v>
      </c>
      <c r="N100" t="s">
        <v>197</v>
      </c>
      <c r="O100" t="s">
        <v>168</v>
      </c>
      <c r="P100">
        <v>5.4730402508004976E-2</v>
      </c>
      <c r="Q100" t="s">
        <v>163</v>
      </c>
      <c r="S100" t="s">
        <v>212</v>
      </c>
      <c r="T100" t="s">
        <v>168</v>
      </c>
      <c r="U100">
        <v>7.0259229204297349E-2</v>
      </c>
      <c r="V100" t="s">
        <v>163</v>
      </c>
      <c r="AK100">
        <v>2044</v>
      </c>
      <c r="AL100" t="s">
        <v>155</v>
      </c>
      <c r="AM100">
        <v>0.42235</v>
      </c>
      <c r="AN100" t="s">
        <v>247</v>
      </c>
    </row>
    <row r="101" spans="9:40" x14ac:dyDescent="0.45">
      <c r="I101" t="s">
        <v>181</v>
      </c>
      <c r="J101" t="s">
        <v>169</v>
      </c>
      <c r="K101">
        <v>6.2223292143683611E-3</v>
      </c>
      <c r="L101" t="s">
        <v>163</v>
      </c>
      <c r="N101" t="s">
        <v>197</v>
      </c>
      <c r="O101" t="s">
        <v>169</v>
      </c>
      <c r="P101">
        <v>0.11961079475875996</v>
      </c>
      <c r="Q101" t="s">
        <v>163</v>
      </c>
      <c r="S101" t="s">
        <v>212</v>
      </c>
      <c r="T101" t="s">
        <v>169</v>
      </c>
      <c r="U101">
        <v>0.11315265570994733</v>
      </c>
      <c r="V101" t="s">
        <v>163</v>
      </c>
      <c r="AK101">
        <v>2044</v>
      </c>
      <c r="AL101" t="s">
        <v>157</v>
      </c>
      <c r="AM101">
        <v>0.43564999999999998</v>
      </c>
      <c r="AN101" t="s">
        <v>247</v>
      </c>
    </row>
    <row r="102" spans="9:40" x14ac:dyDescent="0.45">
      <c r="I102" t="s">
        <v>181</v>
      </c>
      <c r="J102" t="s">
        <v>170</v>
      </c>
      <c r="K102">
        <v>0.27583713081922517</v>
      </c>
      <c r="L102" t="s">
        <v>163</v>
      </c>
      <c r="N102" t="s">
        <v>197</v>
      </c>
      <c r="O102" t="s">
        <v>170</v>
      </c>
      <c r="P102">
        <v>0.23223164924438133</v>
      </c>
      <c r="Q102" t="s">
        <v>163</v>
      </c>
      <c r="S102" t="s">
        <v>212</v>
      </c>
      <c r="T102" t="s">
        <v>170</v>
      </c>
      <c r="U102">
        <v>0.18886655433764629</v>
      </c>
      <c r="V102" t="s">
        <v>163</v>
      </c>
      <c r="AK102">
        <v>2044</v>
      </c>
      <c r="AL102" t="s">
        <v>159</v>
      </c>
      <c r="AM102">
        <v>0.39300000000000002</v>
      </c>
      <c r="AN102" t="s">
        <v>247</v>
      </c>
    </row>
    <row r="103" spans="9:40" x14ac:dyDescent="0.45">
      <c r="I103" t="s">
        <v>181</v>
      </c>
      <c r="J103" t="s">
        <v>171</v>
      </c>
      <c r="K103">
        <v>0</v>
      </c>
      <c r="L103" t="s">
        <v>163</v>
      </c>
      <c r="N103" t="s">
        <v>197</v>
      </c>
      <c r="O103" t="s">
        <v>171</v>
      </c>
      <c r="P103">
        <v>8.0104501369228212E-2</v>
      </c>
      <c r="Q103" t="s">
        <v>163</v>
      </c>
      <c r="S103" t="s">
        <v>212</v>
      </c>
      <c r="T103" t="s">
        <v>171</v>
      </c>
      <c r="U103">
        <v>8.0450820638630335E-2</v>
      </c>
      <c r="V103" t="s">
        <v>163</v>
      </c>
      <c r="AK103">
        <v>2045</v>
      </c>
      <c r="AL103" t="s">
        <v>151</v>
      </c>
      <c r="AM103">
        <v>0.56695000000000007</v>
      </c>
      <c r="AN103" t="s">
        <v>247</v>
      </c>
    </row>
    <row r="104" spans="9:40" x14ac:dyDescent="0.45">
      <c r="I104" t="s">
        <v>181</v>
      </c>
      <c r="J104" t="s">
        <v>172</v>
      </c>
      <c r="K104">
        <v>2.0494156987491491E-2</v>
      </c>
      <c r="L104" t="s">
        <v>163</v>
      </c>
      <c r="N104" t="s">
        <v>197</v>
      </c>
      <c r="O104" t="s">
        <v>172</v>
      </c>
      <c r="P104">
        <v>2.2996406081166737E-2</v>
      </c>
      <c r="Q104" t="s">
        <v>163</v>
      </c>
      <c r="S104" t="s">
        <v>212</v>
      </c>
      <c r="T104" t="s">
        <v>172</v>
      </c>
      <c r="U104">
        <v>3.9524144219753254E-2</v>
      </c>
      <c r="V104" t="s">
        <v>163</v>
      </c>
      <c r="AK104">
        <v>2045</v>
      </c>
      <c r="AL104" t="s">
        <v>155</v>
      </c>
      <c r="AM104">
        <v>0.56542499999999996</v>
      </c>
      <c r="AN104" t="s">
        <v>247</v>
      </c>
    </row>
    <row r="105" spans="9:40" x14ac:dyDescent="0.45">
      <c r="I105" t="s">
        <v>181</v>
      </c>
      <c r="J105" t="s">
        <v>173</v>
      </c>
      <c r="K105">
        <v>0.23159642108620951</v>
      </c>
      <c r="L105" t="s">
        <v>163</v>
      </c>
      <c r="N105" t="s">
        <v>197</v>
      </c>
      <c r="O105" t="s">
        <v>173</v>
      </c>
      <c r="P105">
        <v>7.8221395864680854E-2</v>
      </c>
      <c r="Q105" t="s">
        <v>163</v>
      </c>
      <c r="S105" t="s">
        <v>212</v>
      </c>
      <c r="T105" t="s">
        <v>173</v>
      </c>
      <c r="U105">
        <v>6.0267409816190561E-2</v>
      </c>
      <c r="V105" t="s">
        <v>163</v>
      </c>
      <c r="AK105">
        <v>2045</v>
      </c>
      <c r="AL105" t="s">
        <v>157</v>
      </c>
      <c r="AM105">
        <v>0.61150000000000004</v>
      </c>
      <c r="AN105" t="s">
        <v>247</v>
      </c>
    </row>
    <row r="106" spans="9:40" x14ac:dyDescent="0.45">
      <c r="I106" t="s">
        <v>181</v>
      </c>
      <c r="J106" t="s">
        <v>174</v>
      </c>
      <c r="K106">
        <v>6.7105740338128175E-3</v>
      </c>
      <c r="L106" t="s">
        <v>163</v>
      </c>
      <c r="N106" t="s">
        <v>197</v>
      </c>
      <c r="O106" t="s">
        <v>174</v>
      </c>
      <c r="P106">
        <v>1.8083859372486646E-2</v>
      </c>
      <c r="Q106" t="s">
        <v>163</v>
      </c>
      <c r="S106" t="s">
        <v>212</v>
      </c>
      <c r="T106" t="s">
        <v>174</v>
      </c>
      <c r="U106">
        <v>2.9079321692100611E-2</v>
      </c>
      <c r="V106" t="s">
        <v>163</v>
      </c>
      <c r="AK106">
        <v>2045</v>
      </c>
      <c r="AL106" t="s">
        <v>159</v>
      </c>
      <c r="AM106">
        <v>0.59870000000000001</v>
      </c>
      <c r="AN106" t="s">
        <v>247</v>
      </c>
    </row>
    <row r="107" spans="9:40" x14ac:dyDescent="0.45">
      <c r="I107" t="s">
        <v>182</v>
      </c>
      <c r="J107" t="s">
        <v>162</v>
      </c>
      <c r="K107">
        <v>8.8285823201118465E-3</v>
      </c>
      <c r="L107" t="s">
        <v>163</v>
      </c>
      <c r="N107" t="s">
        <v>198</v>
      </c>
      <c r="O107" t="s">
        <v>162</v>
      </c>
      <c r="P107">
        <v>4.3607505859863817E-2</v>
      </c>
      <c r="Q107" t="s">
        <v>163</v>
      </c>
      <c r="S107" t="s">
        <v>213</v>
      </c>
      <c r="T107" t="s">
        <v>162</v>
      </c>
      <c r="U107">
        <v>3.1441121881519853E-2</v>
      </c>
      <c r="V107" t="s">
        <v>163</v>
      </c>
      <c r="AK107">
        <v>2046</v>
      </c>
      <c r="AL107" t="s">
        <v>151</v>
      </c>
      <c r="AM107">
        <v>0.55425000000000002</v>
      </c>
      <c r="AN107" t="s">
        <v>247</v>
      </c>
    </row>
    <row r="108" spans="9:40" x14ac:dyDescent="0.45">
      <c r="I108" t="s">
        <v>182</v>
      </c>
      <c r="J108" t="s">
        <v>164</v>
      </c>
      <c r="K108">
        <v>0.25310675319629694</v>
      </c>
      <c r="L108" t="s">
        <v>163</v>
      </c>
      <c r="N108" t="s">
        <v>198</v>
      </c>
      <c r="O108" t="s">
        <v>164</v>
      </c>
      <c r="P108">
        <v>8.0552685431036844E-2</v>
      </c>
      <c r="Q108" t="s">
        <v>163</v>
      </c>
      <c r="S108" t="s">
        <v>213</v>
      </c>
      <c r="T108" t="s">
        <v>164</v>
      </c>
      <c r="U108">
        <v>7.3630341582970771E-2</v>
      </c>
      <c r="V108" t="s">
        <v>163</v>
      </c>
      <c r="AK108">
        <v>2046</v>
      </c>
      <c r="AL108" t="s">
        <v>155</v>
      </c>
      <c r="AM108">
        <v>0.54380000000000006</v>
      </c>
      <c r="AN108" t="s">
        <v>247</v>
      </c>
    </row>
    <row r="109" spans="9:40" x14ac:dyDescent="0.45">
      <c r="I109" t="s">
        <v>182</v>
      </c>
      <c r="J109" t="s">
        <v>165</v>
      </c>
      <c r="K109">
        <v>1.0900346864321999E-2</v>
      </c>
      <c r="L109" t="s">
        <v>163</v>
      </c>
      <c r="N109" t="s">
        <v>198</v>
      </c>
      <c r="O109" t="s">
        <v>165</v>
      </c>
      <c r="P109">
        <v>3.1745749997842548E-2</v>
      </c>
      <c r="Q109" t="s">
        <v>163</v>
      </c>
      <c r="S109" t="s">
        <v>213</v>
      </c>
      <c r="T109" t="s">
        <v>165</v>
      </c>
      <c r="U109">
        <v>2.8897636367055692E-2</v>
      </c>
      <c r="V109" t="s">
        <v>163</v>
      </c>
      <c r="AK109">
        <v>2046</v>
      </c>
      <c r="AL109" t="s">
        <v>157</v>
      </c>
      <c r="AM109">
        <v>0.61975000000000002</v>
      </c>
      <c r="AN109" t="s">
        <v>247</v>
      </c>
    </row>
    <row r="110" spans="9:40" x14ac:dyDescent="0.45">
      <c r="I110" t="s">
        <v>182</v>
      </c>
      <c r="J110" t="s">
        <v>166</v>
      </c>
      <c r="K110">
        <v>0</v>
      </c>
      <c r="L110" t="s">
        <v>163</v>
      </c>
      <c r="N110" t="s">
        <v>198</v>
      </c>
      <c r="O110" t="s">
        <v>166</v>
      </c>
      <c r="P110">
        <v>9.3177342110748643E-2</v>
      </c>
      <c r="Q110" t="s">
        <v>163</v>
      </c>
      <c r="S110" t="s">
        <v>213</v>
      </c>
      <c r="T110" t="s">
        <v>166</v>
      </c>
      <c r="U110">
        <v>8.1203719347827774E-2</v>
      </c>
      <c r="V110" t="s">
        <v>163</v>
      </c>
      <c r="AK110">
        <v>2046</v>
      </c>
      <c r="AL110" t="s">
        <v>159</v>
      </c>
      <c r="AM110">
        <v>0.58909999999999996</v>
      </c>
      <c r="AN110" t="s">
        <v>247</v>
      </c>
    </row>
    <row r="111" spans="9:40" x14ac:dyDescent="0.45">
      <c r="I111" t="s">
        <v>182</v>
      </c>
      <c r="J111" t="s">
        <v>167</v>
      </c>
      <c r="K111">
        <v>0.20186724739865949</v>
      </c>
      <c r="L111" t="s">
        <v>163</v>
      </c>
      <c r="N111" t="s">
        <v>198</v>
      </c>
      <c r="O111" t="s">
        <v>167</v>
      </c>
      <c r="P111">
        <v>0.16174482622788969</v>
      </c>
      <c r="Q111" t="s">
        <v>163</v>
      </c>
      <c r="S111" t="s">
        <v>213</v>
      </c>
      <c r="T111" t="s">
        <v>167</v>
      </c>
      <c r="U111">
        <v>0.15066347641901784</v>
      </c>
      <c r="V111" t="s">
        <v>163</v>
      </c>
      <c r="AK111">
        <v>2047</v>
      </c>
      <c r="AL111" t="s">
        <v>151</v>
      </c>
      <c r="AM111">
        <v>0.53685000000000005</v>
      </c>
      <c r="AN111" t="s">
        <v>247</v>
      </c>
    </row>
    <row r="112" spans="9:40" x14ac:dyDescent="0.45">
      <c r="I112" t="s">
        <v>182</v>
      </c>
      <c r="J112" t="s">
        <v>168</v>
      </c>
      <c r="K112">
        <v>0</v>
      </c>
      <c r="L112" t="s">
        <v>163</v>
      </c>
      <c r="N112" t="s">
        <v>198</v>
      </c>
      <c r="O112" t="s">
        <v>168</v>
      </c>
      <c r="P112">
        <v>6.9601046335434041E-2</v>
      </c>
      <c r="Q112" t="s">
        <v>163</v>
      </c>
      <c r="S112" t="s">
        <v>213</v>
      </c>
      <c r="T112" t="s">
        <v>168</v>
      </c>
      <c r="U112">
        <v>6.0163275841384561E-2</v>
      </c>
      <c r="V112" t="s">
        <v>163</v>
      </c>
      <c r="AK112">
        <v>2047</v>
      </c>
      <c r="AL112" t="s">
        <v>155</v>
      </c>
      <c r="AM112">
        <v>0.55617499999999997</v>
      </c>
      <c r="AN112" t="s">
        <v>247</v>
      </c>
    </row>
    <row r="113" spans="9:40" x14ac:dyDescent="0.45">
      <c r="I113" t="s">
        <v>182</v>
      </c>
      <c r="J113" t="s">
        <v>169</v>
      </c>
      <c r="K113">
        <v>2.609573389173986E-3</v>
      </c>
      <c r="L113" t="s">
        <v>163</v>
      </c>
      <c r="N113" t="s">
        <v>198</v>
      </c>
      <c r="O113" t="s">
        <v>169</v>
      </c>
      <c r="P113">
        <v>0.10999605833614086</v>
      </c>
      <c r="Q113" t="s">
        <v>163</v>
      </c>
      <c r="S113" t="s">
        <v>213</v>
      </c>
      <c r="T113" t="s">
        <v>169</v>
      </c>
      <c r="U113">
        <v>0.1208846081484307</v>
      </c>
      <c r="V113" t="s">
        <v>163</v>
      </c>
      <c r="AK113">
        <v>2047</v>
      </c>
      <c r="AL113" t="s">
        <v>157</v>
      </c>
      <c r="AM113">
        <v>0.59197500000000003</v>
      </c>
      <c r="AN113" t="s">
        <v>247</v>
      </c>
    </row>
    <row r="114" spans="9:40" x14ac:dyDescent="0.45">
      <c r="I114" t="s">
        <v>182</v>
      </c>
      <c r="J114" t="s">
        <v>170</v>
      </c>
      <c r="K114">
        <v>0.25246041245785933</v>
      </c>
      <c r="L114" t="s">
        <v>163</v>
      </c>
      <c r="N114" t="s">
        <v>198</v>
      </c>
      <c r="O114" t="s">
        <v>170</v>
      </c>
      <c r="P114">
        <v>0.19345564324732981</v>
      </c>
      <c r="Q114" t="s">
        <v>163</v>
      </c>
      <c r="S114" t="s">
        <v>213</v>
      </c>
      <c r="T114" t="s">
        <v>170</v>
      </c>
      <c r="U114">
        <v>0.22913998501444327</v>
      </c>
      <c r="V114" t="s">
        <v>163</v>
      </c>
      <c r="AK114">
        <v>2047</v>
      </c>
      <c r="AL114" t="s">
        <v>159</v>
      </c>
      <c r="AM114">
        <v>0.55204999999999993</v>
      </c>
      <c r="AN114" t="s">
        <v>247</v>
      </c>
    </row>
    <row r="115" spans="9:40" x14ac:dyDescent="0.45">
      <c r="I115" t="s">
        <v>182</v>
      </c>
      <c r="J115" t="s">
        <v>171</v>
      </c>
      <c r="K115">
        <v>0</v>
      </c>
      <c r="L115" t="s">
        <v>163</v>
      </c>
      <c r="N115" t="s">
        <v>198</v>
      </c>
      <c r="O115" t="s">
        <v>171</v>
      </c>
      <c r="P115">
        <v>7.735296213544153E-2</v>
      </c>
      <c r="Q115" t="s">
        <v>163</v>
      </c>
      <c r="S115" t="s">
        <v>213</v>
      </c>
      <c r="T115" t="s">
        <v>171</v>
      </c>
      <c r="U115">
        <v>8.7289969204019935E-2</v>
      </c>
      <c r="V115" t="s">
        <v>163</v>
      </c>
      <c r="AK115">
        <v>2048</v>
      </c>
      <c r="AL115" t="s">
        <v>151</v>
      </c>
      <c r="AM115">
        <v>0.58844999999999992</v>
      </c>
      <c r="AN115" t="s">
        <v>247</v>
      </c>
    </row>
    <row r="116" spans="9:40" x14ac:dyDescent="0.45">
      <c r="I116" t="s">
        <v>182</v>
      </c>
      <c r="J116" t="s">
        <v>172</v>
      </c>
      <c r="K116">
        <v>1.6726073556446456E-2</v>
      </c>
      <c r="L116" t="s">
        <v>163</v>
      </c>
      <c r="N116" t="s">
        <v>198</v>
      </c>
      <c r="O116" t="s">
        <v>172</v>
      </c>
      <c r="P116">
        <v>3.6384021890880296E-2</v>
      </c>
      <c r="Q116" t="s">
        <v>163</v>
      </c>
      <c r="S116" t="s">
        <v>213</v>
      </c>
      <c r="T116" t="s">
        <v>172</v>
      </c>
      <c r="U116">
        <v>3.4348310335693709E-2</v>
      </c>
      <c r="V116" t="s">
        <v>163</v>
      </c>
      <c r="AK116">
        <v>2048</v>
      </c>
      <c r="AL116" t="s">
        <v>155</v>
      </c>
      <c r="AM116">
        <v>0.51519999999999999</v>
      </c>
      <c r="AN116" t="s">
        <v>247</v>
      </c>
    </row>
    <row r="117" spans="9:40" x14ac:dyDescent="0.45">
      <c r="I117" t="s">
        <v>182</v>
      </c>
      <c r="J117" t="s">
        <v>173</v>
      </c>
      <c r="K117">
        <v>0.24444798004410567</v>
      </c>
      <c r="L117" t="s">
        <v>163</v>
      </c>
      <c r="N117" t="s">
        <v>198</v>
      </c>
      <c r="O117" t="s">
        <v>173</v>
      </c>
      <c r="P117">
        <v>7.57575609069501E-2</v>
      </c>
      <c r="Q117" t="s">
        <v>163</v>
      </c>
      <c r="S117" t="s">
        <v>213</v>
      </c>
      <c r="T117" t="s">
        <v>173</v>
      </c>
      <c r="U117">
        <v>7.4980617884080031E-2</v>
      </c>
      <c r="V117" t="s">
        <v>163</v>
      </c>
      <c r="AK117">
        <v>2048</v>
      </c>
      <c r="AL117" t="s">
        <v>157</v>
      </c>
      <c r="AM117">
        <v>0.597275</v>
      </c>
      <c r="AN117" t="s">
        <v>247</v>
      </c>
    </row>
    <row r="118" spans="9:40" x14ac:dyDescent="0.45">
      <c r="I118" t="s">
        <v>182</v>
      </c>
      <c r="J118" t="s">
        <v>174</v>
      </c>
      <c r="K118">
        <v>9.0530307730243859E-3</v>
      </c>
      <c r="L118" t="s">
        <v>163</v>
      </c>
      <c r="N118" t="s">
        <v>198</v>
      </c>
      <c r="O118" t="s">
        <v>174</v>
      </c>
      <c r="P118">
        <v>2.6624597520442141E-2</v>
      </c>
      <c r="Q118" t="s">
        <v>163</v>
      </c>
      <c r="S118" t="s">
        <v>213</v>
      </c>
      <c r="T118" t="s">
        <v>174</v>
      </c>
      <c r="U118">
        <v>2.7356937973557899E-2</v>
      </c>
      <c r="V118" t="s">
        <v>163</v>
      </c>
      <c r="AK118">
        <v>2048</v>
      </c>
      <c r="AL118" t="s">
        <v>159</v>
      </c>
      <c r="AM118">
        <v>0.60170000000000001</v>
      </c>
      <c r="AN118" t="s">
        <v>247</v>
      </c>
    </row>
    <row r="119" spans="9:40" x14ac:dyDescent="0.45">
      <c r="I119" t="s">
        <v>183</v>
      </c>
      <c r="J119" t="s">
        <v>162</v>
      </c>
      <c r="K119">
        <v>7.8757269201132161E-3</v>
      </c>
      <c r="L119" t="s">
        <v>163</v>
      </c>
      <c r="N119" t="s">
        <v>199</v>
      </c>
      <c r="O119" t="s">
        <v>162</v>
      </c>
      <c r="P119">
        <v>4.0632331246124281E-2</v>
      </c>
      <c r="Q119" t="s">
        <v>163</v>
      </c>
      <c r="S119" t="s">
        <v>214</v>
      </c>
      <c r="T119" t="s">
        <v>162</v>
      </c>
      <c r="U119">
        <v>3.8817986325917479E-2</v>
      </c>
      <c r="V119" t="s">
        <v>163</v>
      </c>
      <c r="AK119">
        <v>2049</v>
      </c>
      <c r="AL119" t="s">
        <v>151</v>
      </c>
      <c r="AM119">
        <v>0.49395</v>
      </c>
      <c r="AN119" t="s">
        <v>247</v>
      </c>
    </row>
    <row r="120" spans="9:40" x14ac:dyDescent="0.45">
      <c r="I120" t="s">
        <v>183</v>
      </c>
      <c r="J120" t="s">
        <v>164</v>
      </c>
      <c r="K120">
        <v>0.25430830548254518</v>
      </c>
      <c r="L120" t="s">
        <v>163</v>
      </c>
      <c r="N120" t="s">
        <v>199</v>
      </c>
      <c r="O120" t="s">
        <v>164</v>
      </c>
      <c r="P120">
        <v>8.4501198413458239E-2</v>
      </c>
      <c r="Q120" t="s">
        <v>163</v>
      </c>
      <c r="S120" t="s">
        <v>214</v>
      </c>
      <c r="T120" t="s">
        <v>164</v>
      </c>
      <c r="U120">
        <v>6.4706919318170936E-2</v>
      </c>
      <c r="V120" t="s">
        <v>163</v>
      </c>
      <c r="AK120">
        <v>2049</v>
      </c>
      <c r="AL120" t="s">
        <v>155</v>
      </c>
      <c r="AM120">
        <v>0.47725000000000001</v>
      </c>
      <c r="AN120" t="s">
        <v>247</v>
      </c>
    </row>
    <row r="121" spans="9:40" x14ac:dyDescent="0.45">
      <c r="I121" t="s">
        <v>183</v>
      </c>
      <c r="J121" t="s">
        <v>165</v>
      </c>
      <c r="K121">
        <v>1.1287174560673982E-2</v>
      </c>
      <c r="L121" t="s">
        <v>163</v>
      </c>
      <c r="N121" t="s">
        <v>199</v>
      </c>
      <c r="O121" t="s">
        <v>165</v>
      </c>
      <c r="P121">
        <v>3.0073102661735962E-2</v>
      </c>
      <c r="Q121" t="s">
        <v>163</v>
      </c>
      <c r="S121" t="s">
        <v>214</v>
      </c>
      <c r="T121" t="s">
        <v>165</v>
      </c>
      <c r="U121">
        <v>2.9535919970397707E-2</v>
      </c>
      <c r="V121" t="s">
        <v>163</v>
      </c>
      <c r="AK121">
        <v>2049</v>
      </c>
      <c r="AL121" t="s">
        <v>157</v>
      </c>
      <c r="AM121">
        <v>0.51102499999999995</v>
      </c>
      <c r="AN121" t="s">
        <v>247</v>
      </c>
    </row>
    <row r="122" spans="9:40" x14ac:dyDescent="0.45">
      <c r="I122" t="s">
        <v>183</v>
      </c>
      <c r="J122" t="s">
        <v>166</v>
      </c>
      <c r="K122">
        <v>0</v>
      </c>
      <c r="L122" t="s">
        <v>163</v>
      </c>
      <c r="N122" t="s">
        <v>199</v>
      </c>
      <c r="O122" t="s">
        <v>166</v>
      </c>
      <c r="P122">
        <v>8.9984325356923675E-2</v>
      </c>
      <c r="Q122" t="s">
        <v>163</v>
      </c>
      <c r="S122" t="s">
        <v>214</v>
      </c>
      <c r="T122" t="s">
        <v>166</v>
      </c>
      <c r="U122">
        <v>0.10024184143878476</v>
      </c>
      <c r="V122" t="s">
        <v>163</v>
      </c>
      <c r="AK122">
        <v>2049</v>
      </c>
      <c r="AL122" t="s">
        <v>159</v>
      </c>
      <c r="AM122">
        <v>0.50319999999999998</v>
      </c>
      <c r="AN122" t="s">
        <v>247</v>
      </c>
    </row>
    <row r="123" spans="9:40" x14ac:dyDescent="0.45">
      <c r="I123" t="s">
        <v>183</v>
      </c>
      <c r="J123" t="s">
        <v>167</v>
      </c>
      <c r="K123">
        <v>0.18968781328445611</v>
      </c>
      <c r="L123" t="s">
        <v>163</v>
      </c>
      <c r="N123" t="s">
        <v>199</v>
      </c>
      <c r="O123" t="s">
        <v>167</v>
      </c>
      <c r="P123">
        <v>0.16203001283891488</v>
      </c>
      <c r="Q123" t="s">
        <v>163</v>
      </c>
      <c r="S123" t="s">
        <v>214</v>
      </c>
      <c r="T123" t="s">
        <v>167</v>
      </c>
      <c r="U123">
        <v>0.16022753824140615</v>
      </c>
      <c r="V123" t="s">
        <v>163</v>
      </c>
      <c r="AK123">
        <v>2050</v>
      </c>
      <c r="AL123" t="s">
        <v>151</v>
      </c>
      <c r="AM123">
        <v>0.46675</v>
      </c>
      <c r="AN123" t="s">
        <v>247</v>
      </c>
    </row>
    <row r="124" spans="9:40" x14ac:dyDescent="0.45">
      <c r="I124" t="s">
        <v>183</v>
      </c>
      <c r="J124" t="s">
        <v>168</v>
      </c>
      <c r="K124">
        <v>4.8718751896851696E-7</v>
      </c>
      <c r="L124" t="s">
        <v>163</v>
      </c>
      <c r="N124" t="s">
        <v>199</v>
      </c>
      <c r="O124" t="s">
        <v>168</v>
      </c>
      <c r="P124">
        <v>6.2932101263311682E-2</v>
      </c>
      <c r="Q124" t="s">
        <v>163</v>
      </c>
      <c r="S124" t="s">
        <v>214</v>
      </c>
      <c r="T124" t="s">
        <v>168</v>
      </c>
      <c r="U124">
        <v>7.0683556472771109E-2</v>
      </c>
      <c r="V124" t="s">
        <v>163</v>
      </c>
      <c r="AK124">
        <v>2050</v>
      </c>
      <c r="AL124" t="s">
        <v>155</v>
      </c>
      <c r="AM124">
        <v>0.46010000000000001</v>
      </c>
      <c r="AN124" t="s">
        <v>247</v>
      </c>
    </row>
    <row r="125" spans="9:40" x14ac:dyDescent="0.45">
      <c r="I125" t="s">
        <v>183</v>
      </c>
      <c r="J125" t="s">
        <v>169</v>
      </c>
      <c r="K125">
        <v>3.1704906536423145E-3</v>
      </c>
      <c r="L125" t="s">
        <v>163</v>
      </c>
      <c r="N125" t="s">
        <v>199</v>
      </c>
      <c r="O125" t="s">
        <v>169</v>
      </c>
      <c r="P125">
        <v>0.10997739196810373</v>
      </c>
      <c r="Q125" t="s">
        <v>163</v>
      </c>
      <c r="S125" t="s">
        <v>214</v>
      </c>
      <c r="T125" t="s">
        <v>169</v>
      </c>
      <c r="U125">
        <v>0.12242639522893249</v>
      </c>
      <c r="V125" t="s">
        <v>163</v>
      </c>
      <c r="AK125">
        <v>2050</v>
      </c>
      <c r="AL125" t="s">
        <v>157</v>
      </c>
      <c r="AM125">
        <v>0.50842500000000002</v>
      </c>
      <c r="AN125" t="s">
        <v>247</v>
      </c>
    </row>
    <row r="126" spans="9:40" x14ac:dyDescent="0.45">
      <c r="I126" t="s">
        <v>183</v>
      </c>
      <c r="J126" t="s">
        <v>170</v>
      </c>
      <c r="K126">
        <v>0.24917439945193789</v>
      </c>
      <c r="L126" t="s">
        <v>163</v>
      </c>
      <c r="N126" t="s">
        <v>199</v>
      </c>
      <c r="O126" t="s">
        <v>170</v>
      </c>
      <c r="P126">
        <v>0.19972358371929452</v>
      </c>
      <c r="Q126" t="s">
        <v>163</v>
      </c>
      <c r="S126" t="s">
        <v>214</v>
      </c>
      <c r="T126" t="s">
        <v>170</v>
      </c>
      <c r="U126">
        <v>0.19765102805293877</v>
      </c>
      <c r="V126" t="s">
        <v>163</v>
      </c>
      <c r="AK126">
        <v>2050</v>
      </c>
      <c r="AL126" t="s">
        <v>159</v>
      </c>
      <c r="AM126">
        <v>0.49924999999999997</v>
      </c>
      <c r="AN126" t="s">
        <v>247</v>
      </c>
    </row>
    <row r="127" spans="9:40" x14ac:dyDescent="0.45">
      <c r="I127" t="s">
        <v>183</v>
      </c>
      <c r="J127" t="s">
        <v>171</v>
      </c>
      <c r="K127">
        <v>1.7116198804172192E-4</v>
      </c>
      <c r="L127" t="s">
        <v>163</v>
      </c>
      <c r="N127" t="s">
        <v>199</v>
      </c>
      <c r="O127" t="s">
        <v>171</v>
      </c>
      <c r="P127">
        <v>7.6189027685543212E-2</v>
      </c>
      <c r="Q127" t="s">
        <v>163</v>
      </c>
      <c r="S127" t="s">
        <v>214</v>
      </c>
      <c r="T127" t="s">
        <v>171</v>
      </c>
      <c r="U127">
        <v>8.6881012076894193E-2</v>
      </c>
      <c r="V127" t="s">
        <v>163</v>
      </c>
    </row>
    <row r="128" spans="9:40" x14ac:dyDescent="0.45">
      <c r="I128" t="s">
        <v>183</v>
      </c>
      <c r="J128" t="s">
        <v>172</v>
      </c>
      <c r="K128">
        <v>1.7273012569314846E-2</v>
      </c>
      <c r="L128" t="s">
        <v>163</v>
      </c>
      <c r="N128" t="s">
        <v>199</v>
      </c>
      <c r="O128" t="s">
        <v>172</v>
      </c>
      <c r="P128">
        <v>3.5449875092470391E-2</v>
      </c>
      <c r="Q128" t="s">
        <v>163</v>
      </c>
      <c r="S128" t="s">
        <v>214</v>
      </c>
      <c r="T128" t="s">
        <v>172</v>
      </c>
      <c r="U128">
        <v>3.8227705409135983E-2</v>
      </c>
      <c r="V128" t="s">
        <v>163</v>
      </c>
    </row>
    <row r="129" spans="9:22" x14ac:dyDescent="0.45">
      <c r="I129" t="s">
        <v>183</v>
      </c>
      <c r="J129" t="s">
        <v>173</v>
      </c>
      <c r="K129">
        <v>0.25685757129092723</v>
      </c>
      <c r="L129" t="s">
        <v>163</v>
      </c>
      <c r="N129" t="s">
        <v>199</v>
      </c>
      <c r="O129" t="s">
        <v>173</v>
      </c>
      <c r="P129">
        <v>8.100440489858847E-2</v>
      </c>
      <c r="Q129" t="s">
        <v>163</v>
      </c>
      <c r="S129" t="s">
        <v>214</v>
      </c>
      <c r="T129" t="s">
        <v>173</v>
      </c>
      <c r="U129">
        <v>6.1048528659540018E-2</v>
      </c>
      <c r="V129" t="s">
        <v>163</v>
      </c>
    </row>
    <row r="130" spans="9:22" x14ac:dyDescent="0.45">
      <c r="I130" t="s">
        <v>183</v>
      </c>
      <c r="J130" t="s">
        <v>174</v>
      </c>
      <c r="K130">
        <v>1.0193856610830677E-2</v>
      </c>
      <c r="L130" t="s">
        <v>163</v>
      </c>
      <c r="N130" t="s">
        <v>199</v>
      </c>
      <c r="O130" t="s">
        <v>174</v>
      </c>
      <c r="P130">
        <v>2.7502644855531829E-2</v>
      </c>
      <c r="Q130" t="s">
        <v>163</v>
      </c>
      <c r="S130" t="s">
        <v>214</v>
      </c>
      <c r="T130" t="s">
        <v>174</v>
      </c>
      <c r="U130">
        <v>2.9551568805111641E-2</v>
      </c>
      <c r="V130" t="s">
        <v>163</v>
      </c>
    </row>
    <row r="131" spans="9:22" x14ac:dyDescent="0.45">
      <c r="I131" t="s">
        <v>184</v>
      </c>
      <c r="J131" t="s">
        <v>162</v>
      </c>
      <c r="K131">
        <v>1.0547129449808042E-2</v>
      </c>
      <c r="L131" t="s">
        <v>163</v>
      </c>
      <c r="N131" t="s">
        <v>200</v>
      </c>
      <c r="O131" t="s">
        <v>162</v>
      </c>
      <c r="P131">
        <v>3.8695614163150718E-2</v>
      </c>
      <c r="Q131" t="s">
        <v>163</v>
      </c>
      <c r="S131" t="s">
        <v>215</v>
      </c>
      <c r="T131" t="s">
        <v>162</v>
      </c>
      <c r="U131">
        <v>4.0873032115682113E-2</v>
      </c>
      <c r="V131" t="s">
        <v>163</v>
      </c>
    </row>
    <row r="132" spans="9:22" x14ac:dyDescent="0.45">
      <c r="I132" t="s">
        <v>184</v>
      </c>
      <c r="J132" t="s">
        <v>164</v>
      </c>
      <c r="K132">
        <v>0.25199994615025095</v>
      </c>
      <c r="L132" t="s">
        <v>163</v>
      </c>
      <c r="N132" t="s">
        <v>200</v>
      </c>
      <c r="O132" t="s">
        <v>164</v>
      </c>
      <c r="P132">
        <v>8.1084353088181405E-2</v>
      </c>
      <c r="Q132" t="s">
        <v>163</v>
      </c>
      <c r="S132" t="s">
        <v>215</v>
      </c>
      <c r="T132" t="s">
        <v>164</v>
      </c>
      <c r="U132">
        <v>7.8601388998476962E-2</v>
      </c>
      <c r="V132" t="s">
        <v>163</v>
      </c>
    </row>
    <row r="133" spans="9:22" x14ac:dyDescent="0.45">
      <c r="I133" t="s">
        <v>184</v>
      </c>
      <c r="J133" t="s">
        <v>165</v>
      </c>
      <c r="K133">
        <v>1.0845510335911237E-2</v>
      </c>
      <c r="L133" t="s">
        <v>163</v>
      </c>
      <c r="N133" t="s">
        <v>200</v>
      </c>
      <c r="O133" t="s">
        <v>165</v>
      </c>
      <c r="P133">
        <v>3.6870829600755543E-2</v>
      </c>
      <c r="Q133" t="s">
        <v>163</v>
      </c>
      <c r="S133" t="s">
        <v>215</v>
      </c>
      <c r="T133" t="s">
        <v>165</v>
      </c>
      <c r="U133">
        <v>3.2310619478896054E-2</v>
      </c>
      <c r="V133" t="s">
        <v>163</v>
      </c>
    </row>
    <row r="134" spans="9:22" x14ac:dyDescent="0.45">
      <c r="I134" t="s">
        <v>184</v>
      </c>
      <c r="J134" t="s">
        <v>166</v>
      </c>
      <c r="K134">
        <v>8.3612627583293689E-7</v>
      </c>
      <c r="L134" t="s">
        <v>163</v>
      </c>
      <c r="N134" t="s">
        <v>200</v>
      </c>
      <c r="O134" t="s">
        <v>166</v>
      </c>
      <c r="P134">
        <v>8.6150066525649674E-2</v>
      </c>
      <c r="Q134" t="s">
        <v>163</v>
      </c>
      <c r="S134" t="s">
        <v>215</v>
      </c>
      <c r="T134" t="s">
        <v>166</v>
      </c>
      <c r="U134">
        <v>9.3916469177230122E-2</v>
      </c>
      <c r="V134" t="s">
        <v>163</v>
      </c>
    </row>
    <row r="135" spans="9:22" x14ac:dyDescent="0.45">
      <c r="I135" t="s">
        <v>184</v>
      </c>
      <c r="J135" t="s">
        <v>167</v>
      </c>
      <c r="K135">
        <v>0.18715305372984486</v>
      </c>
      <c r="L135" t="s">
        <v>163</v>
      </c>
      <c r="N135" t="s">
        <v>200</v>
      </c>
      <c r="O135" t="s">
        <v>167</v>
      </c>
      <c r="P135">
        <v>0.14460391272953757</v>
      </c>
      <c r="Q135" t="s">
        <v>163</v>
      </c>
      <c r="S135" t="s">
        <v>215</v>
      </c>
      <c r="T135" t="s">
        <v>167</v>
      </c>
      <c r="U135">
        <v>0.1631515161169344</v>
      </c>
      <c r="V135" t="s">
        <v>163</v>
      </c>
    </row>
    <row r="136" spans="9:22" x14ac:dyDescent="0.45">
      <c r="I136" t="s">
        <v>184</v>
      </c>
      <c r="J136" t="s">
        <v>168</v>
      </c>
      <c r="K136">
        <v>0</v>
      </c>
      <c r="L136" t="s">
        <v>163</v>
      </c>
      <c r="N136" t="s">
        <v>200</v>
      </c>
      <c r="O136" t="s">
        <v>168</v>
      </c>
      <c r="P136">
        <v>6.8951956248537949E-2</v>
      </c>
      <c r="Q136" t="s">
        <v>163</v>
      </c>
      <c r="S136" t="s">
        <v>215</v>
      </c>
      <c r="T136" t="s">
        <v>168</v>
      </c>
      <c r="U136">
        <v>6.7882936199019292E-2</v>
      </c>
      <c r="V136" t="s">
        <v>163</v>
      </c>
    </row>
    <row r="137" spans="9:22" x14ac:dyDescent="0.45">
      <c r="I137" t="s">
        <v>184</v>
      </c>
      <c r="J137" t="s">
        <v>169</v>
      </c>
      <c r="K137">
        <v>4.3419575874307555E-3</v>
      </c>
      <c r="L137" t="s">
        <v>163</v>
      </c>
      <c r="N137" t="s">
        <v>200</v>
      </c>
      <c r="O137" t="s">
        <v>169</v>
      </c>
      <c r="P137">
        <v>0.1231099777058309</v>
      </c>
      <c r="Q137" t="s">
        <v>163</v>
      </c>
      <c r="S137" t="s">
        <v>215</v>
      </c>
      <c r="T137" t="s">
        <v>169</v>
      </c>
      <c r="U137">
        <v>0.11792414903785918</v>
      </c>
      <c r="V137" t="s">
        <v>163</v>
      </c>
    </row>
    <row r="138" spans="9:22" x14ac:dyDescent="0.45">
      <c r="I138" t="s">
        <v>184</v>
      </c>
      <c r="J138" t="s">
        <v>170</v>
      </c>
      <c r="K138">
        <v>0.26278207788407104</v>
      </c>
      <c r="L138" t="s">
        <v>163</v>
      </c>
      <c r="N138" t="s">
        <v>200</v>
      </c>
      <c r="O138" t="s">
        <v>170</v>
      </c>
      <c r="P138">
        <v>0.18789111871870912</v>
      </c>
      <c r="Q138" t="s">
        <v>163</v>
      </c>
      <c r="S138" t="s">
        <v>215</v>
      </c>
      <c r="T138" t="s">
        <v>170</v>
      </c>
      <c r="U138">
        <v>0.2032924954276579</v>
      </c>
      <c r="V138" t="s">
        <v>163</v>
      </c>
    </row>
    <row r="139" spans="9:22" x14ac:dyDescent="0.45">
      <c r="I139" t="s">
        <v>184</v>
      </c>
      <c r="J139" t="s">
        <v>171</v>
      </c>
      <c r="K139">
        <v>2.9499727082831689E-5</v>
      </c>
      <c r="L139" t="s">
        <v>163</v>
      </c>
      <c r="N139" t="s">
        <v>200</v>
      </c>
      <c r="O139" t="s">
        <v>171</v>
      </c>
      <c r="P139">
        <v>9.3726958103487287E-2</v>
      </c>
      <c r="Q139" t="s">
        <v>163</v>
      </c>
      <c r="S139" t="s">
        <v>215</v>
      </c>
      <c r="T139" t="s">
        <v>171</v>
      </c>
      <c r="U139">
        <v>8.3626554946250611E-2</v>
      </c>
      <c r="V139" t="s">
        <v>163</v>
      </c>
    </row>
    <row r="140" spans="9:22" x14ac:dyDescent="0.45">
      <c r="I140" t="s">
        <v>184</v>
      </c>
      <c r="J140" t="s">
        <v>172</v>
      </c>
      <c r="K140">
        <v>1.8877185427288213E-2</v>
      </c>
      <c r="L140" t="s">
        <v>163</v>
      </c>
      <c r="N140" t="s">
        <v>200</v>
      </c>
      <c r="O140" t="s">
        <v>172</v>
      </c>
      <c r="P140">
        <v>3.7109024659178744E-2</v>
      </c>
      <c r="Q140" t="s">
        <v>163</v>
      </c>
      <c r="S140" t="s">
        <v>215</v>
      </c>
      <c r="T140" t="s">
        <v>172</v>
      </c>
      <c r="U140">
        <v>3.2591160643461098E-2</v>
      </c>
      <c r="V140" t="s">
        <v>163</v>
      </c>
    </row>
    <row r="141" spans="9:22" x14ac:dyDescent="0.45">
      <c r="I141" t="s">
        <v>184</v>
      </c>
      <c r="J141" t="s">
        <v>173</v>
      </c>
      <c r="K141">
        <v>0.24494946339568241</v>
      </c>
      <c r="L141" t="s">
        <v>163</v>
      </c>
      <c r="N141" t="s">
        <v>200</v>
      </c>
      <c r="O141" t="s">
        <v>173</v>
      </c>
      <c r="P141">
        <v>6.848655504843397E-2</v>
      </c>
      <c r="Q141" t="s">
        <v>163</v>
      </c>
      <c r="S141" t="s">
        <v>215</v>
      </c>
      <c r="T141" t="s">
        <v>173</v>
      </c>
      <c r="U141">
        <v>6.065369555362804E-2</v>
      </c>
      <c r="V141" t="s">
        <v>163</v>
      </c>
    </row>
    <row r="142" spans="9:22" x14ac:dyDescent="0.45">
      <c r="I142" t="s">
        <v>184</v>
      </c>
      <c r="J142" t="s">
        <v>174</v>
      </c>
      <c r="K142">
        <v>8.4733401863554721E-3</v>
      </c>
      <c r="L142" t="s">
        <v>163</v>
      </c>
      <c r="N142" t="s">
        <v>200</v>
      </c>
      <c r="O142" t="s">
        <v>174</v>
      </c>
      <c r="P142">
        <v>3.3319633408546413E-2</v>
      </c>
      <c r="Q142" t="s">
        <v>163</v>
      </c>
      <c r="S142" t="s">
        <v>215</v>
      </c>
      <c r="T142" t="s">
        <v>174</v>
      </c>
      <c r="U142">
        <v>2.5175982304905798E-2</v>
      </c>
      <c r="V142" t="s">
        <v>163</v>
      </c>
    </row>
    <row r="143" spans="9:22" x14ac:dyDescent="0.45">
      <c r="I143" t="s">
        <v>185</v>
      </c>
      <c r="J143" t="s">
        <v>162</v>
      </c>
      <c r="K143">
        <v>1.5659241293123072E-2</v>
      </c>
      <c r="L143" t="s">
        <v>163</v>
      </c>
      <c r="N143" t="s">
        <v>201</v>
      </c>
      <c r="O143" t="s">
        <v>162</v>
      </c>
      <c r="P143">
        <v>3.8127921626981601E-2</v>
      </c>
      <c r="Q143" t="s">
        <v>163</v>
      </c>
      <c r="S143" t="s">
        <v>216</v>
      </c>
      <c r="T143" t="s">
        <v>162</v>
      </c>
      <c r="U143">
        <v>4.2111509703712857E-2</v>
      </c>
      <c r="V143" t="s">
        <v>163</v>
      </c>
    </row>
    <row r="144" spans="9:22" x14ac:dyDescent="0.45">
      <c r="I144" t="s">
        <v>185</v>
      </c>
      <c r="J144" t="s">
        <v>164</v>
      </c>
      <c r="K144">
        <v>0.25185751084902941</v>
      </c>
      <c r="L144" t="s">
        <v>163</v>
      </c>
      <c r="N144" t="s">
        <v>201</v>
      </c>
      <c r="O144" t="s">
        <v>164</v>
      </c>
      <c r="P144">
        <v>9.8734513509267152E-2</v>
      </c>
      <c r="Q144" t="s">
        <v>163</v>
      </c>
      <c r="S144" t="s">
        <v>216</v>
      </c>
      <c r="T144" t="s">
        <v>164</v>
      </c>
      <c r="U144">
        <v>7.0982679787087249E-2</v>
      </c>
      <c r="V144" t="s">
        <v>163</v>
      </c>
    </row>
    <row r="145" spans="9:22" x14ac:dyDescent="0.45">
      <c r="I145" t="s">
        <v>185</v>
      </c>
      <c r="J145" t="s">
        <v>165</v>
      </c>
      <c r="K145">
        <v>7.5683106095167027E-3</v>
      </c>
      <c r="L145" t="s">
        <v>163</v>
      </c>
      <c r="N145" t="s">
        <v>201</v>
      </c>
      <c r="O145" t="s">
        <v>165</v>
      </c>
      <c r="P145">
        <v>3.1514284676790294E-2</v>
      </c>
      <c r="Q145" t="s">
        <v>163</v>
      </c>
      <c r="S145" t="s">
        <v>216</v>
      </c>
      <c r="T145" t="s">
        <v>165</v>
      </c>
      <c r="U145">
        <v>2.8676098572450737E-2</v>
      </c>
      <c r="V145" t="s">
        <v>163</v>
      </c>
    </row>
    <row r="146" spans="9:22" x14ac:dyDescent="0.45">
      <c r="I146" t="s">
        <v>185</v>
      </c>
      <c r="J146" t="s">
        <v>166</v>
      </c>
      <c r="K146">
        <v>1.2382428885157957E-3</v>
      </c>
      <c r="L146" t="s">
        <v>163</v>
      </c>
      <c r="N146" t="s">
        <v>201</v>
      </c>
      <c r="O146" t="s">
        <v>166</v>
      </c>
      <c r="P146">
        <v>8.4694873525903019E-2</v>
      </c>
      <c r="Q146" t="s">
        <v>163</v>
      </c>
      <c r="S146" t="s">
        <v>216</v>
      </c>
      <c r="T146" t="s">
        <v>166</v>
      </c>
      <c r="U146">
        <v>9.6313868785520299E-2</v>
      </c>
      <c r="V146" t="s">
        <v>163</v>
      </c>
    </row>
    <row r="147" spans="9:22" x14ac:dyDescent="0.45">
      <c r="I147" t="s">
        <v>185</v>
      </c>
      <c r="J147" t="s">
        <v>167</v>
      </c>
      <c r="K147">
        <v>0.20503961924721817</v>
      </c>
      <c r="L147" t="s">
        <v>163</v>
      </c>
      <c r="N147" t="s">
        <v>201</v>
      </c>
      <c r="O147" t="s">
        <v>167</v>
      </c>
      <c r="P147">
        <v>0.15316178030555846</v>
      </c>
      <c r="Q147" t="s">
        <v>163</v>
      </c>
      <c r="S147" t="s">
        <v>216</v>
      </c>
      <c r="T147" t="s">
        <v>167</v>
      </c>
      <c r="U147">
        <v>0.16456006880808643</v>
      </c>
      <c r="V147" t="s">
        <v>163</v>
      </c>
    </row>
    <row r="148" spans="9:22" x14ac:dyDescent="0.45">
      <c r="I148" t="s">
        <v>185</v>
      </c>
      <c r="J148" t="s">
        <v>168</v>
      </c>
      <c r="K148">
        <v>0</v>
      </c>
      <c r="L148" t="s">
        <v>163</v>
      </c>
      <c r="N148" t="s">
        <v>201</v>
      </c>
      <c r="O148" t="s">
        <v>168</v>
      </c>
      <c r="P148">
        <v>6.1475859560253317E-2</v>
      </c>
      <c r="Q148" t="s">
        <v>163</v>
      </c>
      <c r="S148" t="s">
        <v>216</v>
      </c>
      <c r="T148" t="s">
        <v>168</v>
      </c>
      <c r="U148">
        <v>7.1612532289267811E-2</v>
      </c>
      <c r="V148" t="s">
        <v>163</v>
      </c>
    </row>
    <row r="149" spans="9:22" x14ac:dyDescent="0.45">
      <c r="I149" t="s">
        <v>185</v>
      </c>
      <c r="J149" t="s">
        <v>169</v>
      </c>
      <c r="K149">
        <v>6.5686126647732093E-3</v>
      </c>
      <c r="L149" t="s">
        <v>163</v>
      </c>
      <c r="N149" t="s">
        <v>201</v>
      </c>
      <c r="O149" t="s">
        <v>169</v>
      </c>
      <c r="P149">
        <v>0.10542391365028361</v>
      </c>
      <c r="Q149" t="s">
        <v>163</v>
      </c>
      <c r="S149" t="s">
        <v>216</v>
      </c>
      <c r="T149" t="s">
        <v>169</v>
      </c>
      <c r="U149">
        <v>0.11177273821025789</v>
      </c>
      <c r="V149" t="s">
        <v>163</v>
      </c>
    </row>
    <row r="150" spans="9:22" x14ac:dyDescent="0.45">
      <c r="I150" t="s">
        <v>185</v>
      </c>
      <c r="J150" t="s">
        <v>170</v>
      </c>
      <c r="K150">
        <v>0.26220980746335298</v>
      </c>
      <c r="L150" t="s">
        <v>163</v>
      </c>
      <c r="N150" t="s">
        <v>201</v>
      </c>
      <c r="O150" t="s">
        <v>170</v>
      </c>
      <c r="P150">
        <v>0.20845710026858483</v>
      </c>
      <c r="Q150" t="s">
        <v>163</v>
      </c>
      <c r="S150" t="s">
        <v>216</v>
      </c>
      <c r="T150" t="s">
        <v>170</v>
      </c>
      <c r="U150">
        <v>0.19372979870865556</v>
      </c>
      <c r="V150" t="s">
        <v>163</v>
      </c>
    </row>
    <row r="151" spans="9:22" x14ac:dyDescent="0.45">
      <c r="I151" t="s">
        <v>185</v>
      </c>
      <c r="J151" t="s">
        <v>171</v>
      </c>
      <c r="K151">
        <v>0</v>
      </c>
      <c r="L151" t="s">
        <v>163</v>
      </c>
      <c r="N151" t="s">
        <v>201</v>
      </c>
      <c r="O151" t="s">
        <v>171</v>
      </c>
      <c r="P151">
        <v>7.6478594180589332E-2</v>
      </c>
      <c r="Q151" t="s">
        <v>163</v>
      </c>
      <c r="S151" t="s">
        <v>216</v>
      </c>
      <c r="T151" t="s">
        <v>171</v>
      </c>
      <c r="U151">
        <v>7.9628435472653719E-2</v>
      </c>
      <c r="V151" t="s">
        <v>163</v>
      </c>
    </row>
    <row r="152" spans="9:22" x14ac:dyDescent="0.45">
      <c r="I152" t="s">
        <v>185</v>
      </c>
      <c r="J152" t="s">
        <v>172</v>
      </c>
      <c r="K152">
        <v>1.9808088774423815E-2</v>
      </c>
      <c r="L152" t="s">
        <v>163</v>
      </c>
      <c r="N152" t="s">
        <v>201</v>
      </c>
      <c r="O152" t="s">
        <v>172</v>
      </c>
      <c r="P152">
        <v>3.4472999382024083E-2</v>
      </c>
      <c r="Q152" t="s">
        <v>163</v>
      </c>
      <c r="S152" t="s">
        <v>216</v>
      </c>
      <c r="T152" t="s">
        <v>172</v>
      </c>
      <c r="U152">
        <v>3.7923115182970799E-2</v>
      </c>
      <c r="V152" t="s">
        <v>163</v>
      </c>
    </row>
    <row r="153" spans="9:22" x14ac:dyDescent="0.45">
      <c r="I153" t="s">
        <v>185</v>
      </c>
      <c r="J153" t="s">
        <v>173</v>
      </c>
      <c r="K153">
        <v>0.22594824342206304</v>
      </c>
      <c r="L153" t="s">
        <v>163</v>
      </c>
      <c r="N153" t="s">
        <v>201</v>
      </c>
      <c r="O153" t="s">
        <v>173</v>
      </c>
      <c r="P153">
        <v>8.3058573039136954E-2</v>
      </c>
      <c r="Q153" t="s">
        <v>163</v>
      </c>
      <c r="S153" t="s">
        <v>216</v>
      </c>
      <c r="T153" t="s">
        <v>173</v>
      </c>
      <c r="U153">
        <v>7.4748051635982179E-2</v>
      </c>
      <c r="V153" t="s">
        <v>163</v>
      </c>
    </row>
    <row r="154" spans="9:22" x14ac:dyDescent="0.45">
      <c r="I154" t="s">
        <v>185</v>
      </c>
      <c r="J154" t="s">
        <v>174</v>
      </c>
      <c r="K154">
        <v>4.1023227879827973E-3</v>
      </c>
      <c r="L154" t="s">
        <v>163</v>
      </c>
      <c r="N154" t="s">
        <v>201</v>
      </c>
      <c r="O154" t="s">
        <v>174</v>
      </c>
      <c r="P154">
        <v>2.439958627462583E-2</v>
      </c>
      <c r="Q154" t="s">
        <v>163</v>
      </c>
      <c r="S154" t="s">
        <v>216</v>
      </c>
      <c r="T154" t="s">
        <v>174</v>
      </c>
      <c r="U154">
        <v>2.7941102843352775E-2</v>
      </c>
      <c r="V154" t="s">
        <v>163</v>
      </c>
    </row>
    <row r="155" spans="9:22" x14ac:dyDescent="0.45">
      <c r="I155" t="s">
        <v>186</v>
      </c>
      <c r="J155" t="s">
        <v>162</v>
      </c>
      <c r="K155">
        <v>1.4762668377254365E-2</v>
      </c>
      <c r="L155" t="s">
        <v>163</v>
      </c>
      <c r="N155" t="s">
        <v>202</v>
      </c>
      <c r="O155" t="s">
        <v>162</v>
      </c>
      <c r="P155">
        <v>3.91230512776213E-2</v>
      </c>
      <c r="Q155" t="s">
        <v>163</v>
      </c>
      <c r="S155" t="s">
        <v>217</v>
      </c>
      <c r="T155" t="s">
        <v>162</v>
      </c>
      <c r="U155">
        <v>4.3878857727994373E-2</v>
      </c>
      <c r="V155" t="s">
        <v>163</v>
      </c>
    </row>
    <row r="156" spans="9:22" x14ac:dyDescent="0.45">
      <c r="I156" t="s">
        <v>186</v>
      </c>
      <c r="J156" t="s">
        <v>164</v>
      </c>
      <c r="K156">
        <v>0.25000152558983169</v>
      </c>
      <c r="L156" t="s">
        <v>163</v>
      </c>
      <c r="N156" t="s">
        <v>202</v>
      </c>
      <c r="O156" t="s">
        <v>164</v>
      </c>
      <c r="P156">
        <v>8.3639741515645794E-2</v>
      </c>
      <c r="Q156" t="s">
        <v>163</v>
      </c>
      <c r="S156" t="s">
        <v>217</v>
      </c>
      <c r="T156" t="s">
        <v>164</v>
      </c>
      <c r="U156">
        <v>7.232346601201621E-2</v>
      </c>
      <c r="V156" t="s">
        <v>163</v>
      </c>
    </row>
    <row r="157" spans="9:22" x14ac:dyDescent="0.45">
      <c r="I157" t="s">
        <v>186</v>
      </c>
      <c r="J157" t="s">
        <v>165</v>
      </c>
      <c r="K157">
        <v>8.1679362196757383E-3</v>
      </c>
      <c r="L157" t="s">
        <v>163</v>
      </c>
      <c r="N157" t="s">
        <v>202</v>
      </c>
      <c r="O157" t="s">
        <v>165</v>
      </c>
      <c r="P157">
        <v>2.6416031423414053E-2</v>
      </c>
      <c r="Q157" t="s">
        <v>163</v>
      </c>
      <c r="S157" t="s">
        <v>217</v>
      </c>
      <c r="T157" t="s">
        <v>165</v>
      </c>
      <c r="U157">
        <v>3.0195142014867473E-2</v>
      </c>
      <c r="V157" t="s">
        <v>163</v>
      </c>
    </row>
    <row r="158" spans="9:22" x14ac:dyDescent="0.45">
      <c r="I158" t="s">
        <v>186</v>
      </c>
      <c r="J158" t="s">
        <v>166</v>
      </c>
      <c r="K158">
        <v>4.8590255878886313E-4</v>
      </c>
      <c r="L158" t="s">
        <v>163</v>
      </c>
      <c r="N158" t="s">
        <v>202</v>
      </c>
      <c r="O158" t="s">
        <v>166</v>
      </c>
      <c r="P158">
        <v>7.9445400515675516E-2</v>
      </c>
      <c r="Q158" t="s">
        <v>163</v>
      </c>
      <c r="S158" t="s">
        <v>217</v>
      </c>
      <c r="T158" t="s">
        <v>166</v>
      </c>
      <c r="U158">
        <v>9.858788722980745E-2</v>
      </c>
      <c r="V158" t="s">
        <v>163</v>
      </c>
    </row>
    <row r="159" spans="9:22" x14ac:dyDescent="0.45">
      <c r="I159" t="s">
        <v>186</v>
      </c>
      <c r="J159" t="s">
        <v>167</v>
      </c>
      <c r="K159">
        <v>0.19854434164836671</v>
      </c>
      <c r="L159" t="s">
        <v>163</v>
      </c>
      <c r="N159" t="s">
        <v>202</v>
      </c>
      <c r="O159" t="s">
        <v>167</v>
      </c>
      <c r="P159">
        <v>0.13385293543834456</v>
      </c>
      <c r="Q159" t="s">
        <v>163</v>
      </c>
      <c r="S159" t="s">
        <v>217</v>
      </c>
      <c r="T159" t="s">
        <v>167</v>
      </c>
      <c r="U159">
        <v>0.16650423363658251</v>
      </c>
      <c r="V159" t="s">
        <v>163</v>
      </c>
    </row>
    <row r="160" spans="9:22" x14ac:dyDescent="0.45">
      <c r="I160" t="s">
        <v>186</v>
      </c>
      <c r="J160" t="s">
        <v>168</v>
      </c>
      <c r="K160">
        <v>0</v>
      </c>
      <c r="L160" t="s">
        <v>163</v>
      </c>
      <c r="N160" t="s">
        <v>202</v>
      </c>
      <c r="O160" t="s">
        <v>168</v>
      </c>
      <c r="P160">
        <v>5.3824054327949809E-2</v>
      </c>
      <c r="Q160" t="s">
        <v>163</v>
      </c>
      <c r="S160" t="s">
        <v>217</v>
      </c>
      <c r="T160" t="s">
        <v>168</v>
      </c>
      <c r="U160">
        <v>7.0901389501972348E-2</v>
      </c>
      <c r="V160" t="s">
        <v>163</v>
      </c>
    </row>
    <row r="161" spans="9:22" x14ac:dyDescent="0.45">
      <c r="I161" t="s">
        <v>186</v>
      </c>
      <c r="J161" t="s">
        <v>169</v>
      </c>
      <c r="K161">
        <v>6.3806951251091405E-3</v>
      </c>
      <c r="L161" t="s">
        <v>163</v>
      </c>
      <c r="N161" t="s">
        <v>202</v>
      </c>
      <c r="O161" t="s">
        <v>169</v>
      </c>
      <c r="P161">
        <v>0.13414907338120699</v>
      </c>
      <c r="Q161" t="s">
        <v>163</v>
      </c>
      <c r="S161" t="s">
        <v>217</v>
      </c>
      <c r="T161" t="s">
        <v>169</v>
      </c>
      <c r="U161">
        <v>0.11130251387761056</v>
      </c>
      <c r="V161" t="s">
        <v>163</v>
      </c>
    </row>
    <row r="162" spans="9:22" x14ac:dyDescent="0.45">
      <c r="I162" t="s">
        <v>186</v>
      </c>
      <c r="J162" t="s">
        <v>170</v>
      </c>
      <c r="K162">
        <v>0.27168094148156524</v>
      </c>
      <c r="L162" t="s">
        <v>163</v>
      </c>
      <c r="N162" t="s">
        <v>202</v>
      </c>
      <c r="O162" t="s">
        <v>170</v>
      </c>
      <c r="P162">
        <v>0.23593366811937277</v>
      </c>
      <c r="Q162" t="s">
        <v>163</v>
      </c>
      <c r="S162" t="s">
        <v>217</v>
      </c>
      <c r="T162" t="s">
        <v>170</v>
      </c>
      <c r="U162">
        <v>0.18281280379501702</v>
      </c>
      <c r="V162" t="s">
        <v>163</v>
      </c>
    </row>
    <row r="163" spans="9:22" x14ac:dyDescent="0.45">
      <c r="I163" t="s">
        <v>186</v>
      </c>
      <c r="J163" t="s">
        <v>171</v>
      </c>
      <c r="K163">
        <v>0</v>
      </c>
      <c r="L163" t="s">
        <v>163</v>
      </c>
      <c r="N163" t="s">
        <v>202</v>
      </c>
      <c r="O163" t="s">
        <v>171</v>
      </c>
      <c r="P163">
        <v>9.1705647278972041E-2</v>
      </c>
      <c r="Q163" t="s">
        <v>163</v>
      </c>
      <c r="S163" t="s">
        <v>217</v>
      </c>
      <c r="T163" t="s">
        <v>171</v>
      </c>
      <c r="U163">
        <v>7.5223970182377448E-2</v>
      </c>
      <c r="V163" t="s">
        <v>163</v>
      </c>
    </row>
    <row r="164" spans="9:22" x14ac:dyDescent="0.45">
      <c r="I164" t="s">
        <v>186</v>
      </c>
      <c r="J164" t="s">
        <v>172</v>
      </c>
      <c r="K164">
        <v>1.8985846721786874E-2</v>
      </c>
      <c r="L164" t="s">
        <v>163</v>
      </c>
      <c r="N164" t="s">
        <v>202</v>
      </c>
      <c r="O164" t="s">
        <v>172</v>
      </c>
      <c r="P164">
        <v>2.9387869774383332E-2</v>
      </c>
      <c r="Q164" t="s">
        <v>163</v>
      </c>
      <c r="S164" t="s">
        <v>217</v>
      </c>
      <c r="T164" t="s">
        <v>172</v>
      </c>
      <c r="U164">
        <v>4.1785871737382053E-2</v>
      </c>
      <c r="V164" t="s">
        <v>163</v>
      </c>
    </row>
    <row r="165" spans="9:22" x14ac:dyDescent="0.45">
      <c r="I165" t="s">
        <v>186</v>
      </c>
      <c r="J165" t="s">
        <v>173</v>
      </c>
      <c r="K165">
        <v>0.22561776594636418</v>
      </c>
      <c r="L165" t="s">
        <v>163</v>
      </c>
      <c r="N165" t="s">
        <v>202</v>
      </c>
      <c r="O165" t="s">
        <v>173</v>
      </c>
      <c r="P165">
        <v>7.1543601157305667E-2</v>
      </c>
      <c r="Q165" t="s">
        <v>163</v>
      </c>
      <c r="S165" t="s">
        <v>217</v>
      </c>
      <c r="T165" t="s">
        <v>173</v>
      </c>
      <c r="U165">
        <v>7.6210773815258537E-2</v>
      </c>
      <c r="V165" t="s">
        <v>163</v>
      </c>
    </row>
    <row r="166" spans="9:22" x14ac:dyDescent="0.45">
      <c r="I166" t="s">
        <v>186</v>
      </c>
      <c r="J166" t="s">
        <v>174</v>
      </c>
      <c r="K166">
        <v>5.3723763312593306E-3</v>
      </c>
      <c r="L166" t="s">
        <v>163</v>
      </c>
      <c r="N166" t="s">
        <v>202</v>
      </c>
      <c r="O166" t="s">
        <v>174</v>
      </c>
      <c r="P166">
        <v>2.0978925790106663E-2</v>
      </c>
      <c r="Q166" t="s">
        <v>163</v>
      </c>
      <c r="S166" t="s">
        <v>217</v>
      </c>
      <c r="T166" t="s">
        <v>174</v>
      </c>
      <c r="U166">
        <v>3.0273090469109358E-2</v>
      </c>
      <c r="V166" t="s">
        <v>163</v>
      </c>
    </row>
    <row r="167" spans="9:22" x14ac:dyDescent="0.45">
      <c r="I167" t="s">
        <v>187</v>
      </c>
      <c r="J167" t="s">
        <v>162</v>
      </c>
      <c r="K167">
        <v>1.269591294138471E-2</v>
      </c>
      <c r="L167" t="s">
        <v>163</v>
      </c>
      <c r="N167" t="s">
        <v>203</v>
      </c>
      <c r="O167" t="s">
        <v>162</v>
      </c>
      <c r="P167">
        <v>3.8162921057989005E-2</v>
      </c>
      <c r="Q167" t="s">
        <v>163</v>
      </c>
      <c r="S167" t="s">
        <v>218</v>
      </c>
      <c r="T167" t="s">
        <v>162</v>
      </c>
      <c r="U167">
        <v>4.8385861909298271E-2</v>
      </c>
      <c r="V167" t="s">
        <v>163</v>
      </c>
    </row>
    <row r="168" spans="9:22" x14ac:dyDescent="0.45">
      <c r="I168" t="s">
        <v>187</v>
      </c>
      <c r="J168" t="s">
        <v>164</v>
      </c>
      <c r="K168">
        <v>0.25522468531221243</v>
      </c>
      <c r="L168" t="s">
        <v>163</v>
      </c>
      <c r="N168" t="s">
        <v>203</v>
      </c>
      <c r="O168" t="s">
        <v>164</v>
      </c>
      <c r="P168">
        <v>0.10216850188560879</v>
      </c>
      <c r="Q168" t="s">
        <v>163</v>
      </c>
      <c r="S168" t="s">
        <v>218</v>
      </c>
      <c r="T168" t="s">
        <v>164</v>
      </c>
      <c r="U168">
        <v>8.5468626635869419E-2</v>
      </c>
      <c r="V168" t="s">
        <v>163</v>
      </c>
    </row>
    <row r="169" spans="9:22" x14ac:dyDescent="0.45">
      <c r="I169" t="s">
        <v>187</v>
      </c>
      <c r="J169" t="s">
        <v>165</v>
      </c>
      <c r="K169">
        <v>7.0153684853649567E-3</v>
      </c>
      <c r="L169" t="s">
        <v>163</v>
      </c>
      <c r="N169" t="s">
        <v>203</v>
      </c>
      <c r="O169" t="s">
        <v>165</v>
      </c>
      <c r="P169">
        <v>2.7088490075067605E-2</v>
      </c>
      <c r="Q169" t="s">
        <v>163</v>
      </c>
      <c r="S169" t="s">
        <v>218</v>
      </c>
      <c r="T169" t="s">
        <v>165</v>
      </c>
      <c r="U169">
        <v>3.4679027892348398E-2</v>
      </c>
      <c r="V169" t="s">
        <v>163</v>
      </c>
    </row>
    <row r="170" spans="9:22" x14ac:dyDescent="0.45">
      <c r="I170" t="s">
        <v>187</v>
      </c>
      <c r="J170" t="s">
        <v>166</v>
      </c>
      <c r="K170">
        <v>1.4619897285317383E-3</v>
      </c>
      <c r="L170" t="s">
        <v>163</v>
      </c>
      <c r="N170" t="s">
        <v>203</v>
      </c>
      <c r="O170" t="s">
        <v>166</v>
      </c>
      <c r="P170">
        <v>8.072927505179707E-2</v>
      </c>
      <c r="Q170" t="s">
        <v>163</v>
      </c>
      <c r="S170" t="s">
        <v>218</v>
      </c>
      <c r="T170" t="s">
        <v>166</v>
      </c>
      <c r="U170">
        <v>9.5908163259834076E-2</v>
      </c>
      <c r="V170" t="s">
        <v>163</v>
      </c>
    </row>
    <row r="171" spans="9:22" x14ac:dyDescent="0.45">
      <c r="I171" t="s">
        <v>187</v>
      </c>
      <c r="J171" t="s">
        <v>167</v>
      </c>
      <c r="K171">
        <v>0.21476593617067194</v>
      </c>
      <c r="L171" t="s">
        <v>163</v>
      </c>
      <c r="N171" t="s">
        <v>203</v>
      </c>
      <c r="O171" t="s">
        <v>167</v>
      </c>
      <c r="P171">
        <v>0.14185055219252135</v>
      </c>
      <c r="Q171" t="s">
        <v>163</v>
      </c>
      <c r="S171" t="s">
        <v>218</v>
      </c>
      <c r="T171" t="s">
        <v>167</v>
      </c>
      <c r="U171">
        <v>0.16565566429356557</v>
      </c>
      <c r="V171" t="s">
        <v>163</v>
      </c>
    </row>
    <row r="172" spans="9:22" x14ac:dyDescent="0.45">
      <c r="I172" t="s">
        <v>187</v>
      </c>
      <c r="J172" t="s">
        <v>168</v>
      </c>
      <c r="K172">
        <v>0</v>
      </c>
      <c r="L172" t="s">
        <v>163</v>
      </c>
      <c r="N172" t="s">
        <v>203</v>
      </c>
      <c r="O172" t="s">
        <v>168</v>
      </c>
      <c r="P172">
        <v>5.1741483600845635E-2</v>
      </c>
      <c r="Q172" t="s">
        <v>163</v>
      </c>
      <c r="S172" t="s">
        <v>218</v>
      </c>
      <c r="T172" t="s">
        <v>168</v>
      </c>
      <c r="U172">
        <v>6.984026909836516E-2</v>
      </c>
      <c r="V172" t="s">
        <v>163</v>
      </c>
    </row>
    <row r="173" spans="9:22" x14ac:dyDescent="0.45">
      <c r="I173" t="s">
        <v>187</v>
      </c>
      <c r="J173" t="s">
        <v>169</v>
      </c>
      <c r="K173">
        <v>4.4430231817822168E-3</v>
      </c>
      <c r="L173" t="s">
        <v>163</v>
      </c>
      <c r="N173" t="s">
        <v>203</v>
      </c>
      <c r="O173" t="s">
        <v>169</v>
      </c>
      <c r="P173">
        <v>0.11263056989627053</v>
      </c>
      <c r="Q173" t="s">
        <v>163</v>
      </c>
      <c r="S173" t="s">
        <v>218</v>
      </c>
      <c r="T173" t="s">
        <v>169</v>
      </c>
      <c r="U173">
        <v>0.10102248309897315</v>
      </c>
      <c r="V173" t="s">
        <v>163</v>
      </c>
    </row>
    <row r="174" spans="9:22" x14ac:dyDescent="0.45">
      <c r="I174" t="s">
        <v>187</v>
      </c>
      <c r="J174" t="s">
        <v>170</v>
      </c>
      <c r="K174">
        <v>0.24523883799838547</v>
      </c>
      <c r="L174" t="s">
        <v>163</v>
      </c>
      <c r="N174" t="s">
        <v>203</v>
      </c>
      <c r="O174" t="s">
        <v>170</v>
      </c>
      <c r="P174">
        <v>0.226859529197734</v>
      </c>
      <c r="Q174" t="s">
        <v>163</v>
      </c>
      <c r="S174" t="s">
        <v>218</v>
      </c>
      <c r="T174" t="s">
        <v>170</v>
      </c>
      <c r="U174">
        <v>0.17490300538559686</v>
      </c>
      <c r="V174" t="s">
        <v>163</v>
      </c>
    </row>
    <row r="175" spans="9:22" x14ac:dyDescent="0.45">
      <c r="I175" t="s">
        <v>187</v>
      </c>
      <c r="J175" t="s">
        <v>171</v>
      </c>
      <c r="K175">
        <v>0</v>
      </c>
      <c r="L175" t="s">
        <v>163</v>
      </c>
      <c r="N175" t="s">
        <v>203</v>
      </c>
      <c r="O175" t="s">
        <v>171</v>
      </c>
      <c r="P175">
        <v>7.9368303762034451E-2</v>
      </c>
      <c r="Q175" t="s">
        <v>163</v>
      </c>
      <c r="S175" t="s">
        <v>218</v>
      </c>
      <c r="T175" t="s">
        <v>171</v>
      </c>
      <c r="U175">
        <v>7.0782327736588047E-2</v>
      </c>
      <c r="V175" t="s">
        <v>163</v>
      </c>
    </row>
    <row r="176" spans="9:22" x14ac:dyDescent="0.45">
      <c r="I176" t="s">
        <v>187</v>
      </c>
      <c r="J176" t="s">
        <v>172</v>
      </c>
      <c r="K176">
        <v>1.9668344742704812E-2</v>
      </c>
      <c r="L176" t="s">
        <v>163</v>
      </c>
      <c r="N176" t="s">
        <v>203</v>
      </c>
      <c r="O176" t="s">
        <v>172</v>
      </c>
      <c r="P176">
        <v>3.0183045257418613E-2</v>
      </c>
      <c r="Q176" t="s">
        <v>163</v>
      </c>
      <c r="S176" t="s">
        <v>218</v>
      </c>
      <c r="T176" t="s">
        <v>172</v>
      </c>
      <c r="U176">
        <v>4.4795528367682191E-2</v>
      </c>
      <c r="V176" t="s">
        <v>163</v>
      </c>
    </row>
    <row r="177" spans="9:22" x14ac:dyDescent="0.45">
      <c r="I177" t="s">
        <v>187</v>
      </c>
      <c r="J177" t="s">
        <v>173</v>
      </c>
      <c r="K177">
        <v>0.23552837396679699</v>
      </c>
      <c r="L177" t="s">
        <v>163</v>
      </c>
      <c r="N177" t="s">
        <v>203</v>
      </c>
      <c r="O177" t="s">
        <v>173</v>
      </c>
      <c r="P177">
        <v>8.3398985037874629E-2</v>
      </c>
      <c r="Q177" t="s">
        <v>163</v>
      </c>
      <c r="S177" t="s">
        <v>218</v>
      </c>
      <c r="T177" t="s">
        <v>173</v>
      </c>
      <c r="U177">
        <v>7.7196306273606158E-2</v>
      </c>
      <c r="V177" t="s">
        <v>163</v>
      </c>
    </row>
    <row r="178" spans="9:22" x14ac:dyDescent="0.45">
      <c r="I178" t="s">
        <v>187</v>
      </c>
      <c r="J178" t="s">
        <v>174</v>
      </c>
      <c r="K178">
        <v>3.9575274721653604E-3</v>
      </c>
      <c r="L178" t="s">
        <v>163</v>
      </c>
      <c r="N178" t="s">
        <v>203</v>
      </c>
      <c r="O178" t="s">
        <v>174</v>
      </c>
      <c r="P178">
        <v>2.5818342984832949E-2</v>
      </c>
      <c r="Q178" t="s">
        <v>163</v>
      </c>
      <c r="S178" t="s">
        <v>218</v>
      </c>
      <c r="T178" t="s">
        <v>174</v>
      </c>
      <c r="U178">
        <v>3.1362736048274151E-2</v>
      </c>
      <c r="V178" t="s">
        <v>163</v>
      </c>
    </row>
    <row r="179" spans="9:22" x14ac:dyDescent="0.45">
      <c r="I179" t="s">
        <v>188</v>
      </c>
      <c r="J179" t="s">
        <v>162</v>
      </c>
      <c r="K179">
        <v>1.1283444807366285E-2</v>
      </c>
      <c r="L179" t="s">
        <v>163</v>
      </c>
      <c r="N179" t="s">
        <v>204</v>
      </c>
      <c r="O179" t="s">
        <v>162</v>
      </c>
      <c r="P179">
        <v>3.7317766557931377E-2</v>
      </c>
      <c r="Q179" t="s">
        <v>163</v>
      </c>
      <c r="S179" t="s">
        <v>219</v>
      </c>
      <c r="T179" t="s">
        <v>162</v>
      </c>
      <c r="U179">
        <v>4.9399140203958948E-2</v>
      </c>
      <c r="V179" t="s">
        <v>163</v>
      </c>
    </row>
    <row r="180" spans="9:22" x14ac:dyDescent="0.45">
      <c r="I180" t="s">
        <v>188</v>
      </c>
      <c r="J180" t="s">
        <v>164</v>
      </c>
      <c r="K180">
        <v>0.2562294465687886</v>
      </c>
      <c r="L180" t="s">
        <v>163</v>
      </c>
      <c r="N180" t="s">
        <v>204</v>
      </c>
      <c r="O180" t="s">
        <v>164</v>
      </c>
      <c r="P180">
        <v>9.2340674191350086E-2</v>
      </c>
      <c r="Q180" t="s">
        <v>163</v>
      </c>
      <c r="S180" t="s">
        <v>219</v>
      </c>
      <c r="T180" t="s">
        <v>164</v>
      </c>
      <c r="U180">
        <v>8.4290616761816692E-2</v>
      </c>
      <c r="V180" t="s">
        <v>163</v>
      </c>
    </row>
    <row r="181" spans="9:22" x14ac:dyDescent="0.45">
      <c r="I181" t="s">
        <v>188</v>
      </c>
      <c r="J181" t="s">
        <v>165</v>
      </c>
      <c r="K181">
        <v>9.7172257229466118E-3</v>
      </c>
      <c r="L181" t="s">
        <v>163</v>
      </c>
      <c r="N181" t="s">
        <v>204</v>
      </c>
      <c r="O181" t="s">
        <v>165</v>
      </c>
      <c r="P181">
        <v>2.7333443117596994E-2</v>
      </c>
      <c r="Q181" t="s">
        <v>163</v>
      </c>
      <c r="S181" t="s">
        <v>219</v>
      </c>
      <c r="T181" t="s">
        <v>165</v>
      </c>
      <c r="U181">
        <v>3.4511427726592901E-2</v>
      </c>
      <c r="V181" t="s">
        <v>163</v>
      </c>
    </row>
    <row r="182" spans="9:22" x14ac:dyDescent="0.45">
      <c r="I182" t="s">
        <v>188</v>
      </c>
      <c r="J182" t="s">
        <v>166</v>
      </c>
      <c r="K182">
        <v>1.4619111061697998E-4</v>
      </c>
      <c r="L182" t="s">
        <v>163</v>
      </c>
      <c r="N182" t="s">
        <v>204</v>
      </c>
      <c r="O182" t="s">
        <v>166</v>
      </c>
      <c r="P182">
        <v>6.6451423148156344E-2</v>
      </c>
      <c r="Q182" t="s">
        <v>163</v>
      </c>
      <c r="S182" t="s">
        <v>219</v>
      </c>
      <c r="T182" t="s">
        <v>166</v>
      </c>
      <c r="U182">
        <v>9.2452520312879288E-2</v>
      </c>
      <c r="V182" t="s">
        <v>163</v>
      </c>
    </row>
    <row r="183" spans="9:22" x14ac:dyDescent="0.45">
      <c r="I183" t="s">
        <v>188</v>
      </c>
      <c r="J183" t="s">
        <v>167</v>
      </c>
      <c r="K183">
        <v>0.20555754716793687</v>
      </c>
      <c r="L183" t="s">
        <v>163</v>
      </c>
      <c r="N183" t="s">
        <v>204</v>
      </c>
      <c r="O183" t="s">
        <v>167</v>
      </c>
      <c r="P183">
        <v>0.1330629940969878</v>
      </c>
      <c r="Q183" t="s">
        <v>163</v>
      </c>
      <c r="S183" t="s">
        <v>219</v>
      </c>
      <c r="T183" t="s">
        <v>167</v>
      </c>
      <c r="U183">
        <v>0.1620352212492297</v>
      </c>
      <c r="V183" t="s">
        <v>163</v>
      </c>
    </row>
    <row r="184" spans="9:22" x14ac:dyDescent="0.45">
      <c r="I184" t="s">
        <v>188</v>
      </c>
      <c r="J184" t="s">
        <v>168</v>
      </c>
      <c r="K184">
        <v>0</v>
      </c>
      <c r="L184" t="s">
        <v>163</v>
      </c>
      <c r="N184" t="s">
        <v>204</v>
      </c>
      <c r="O184" t="s">
        <v>168</v>
      </c>
      <c r="P184">
        <v>4.9932608531903767E-2</v>
      </c>
      <c r="Q184" t="s">
        <v>163</v>
      </c>
      <c r="S184" t="s">
        <v>219</v>
      </c>
      <c r="T184" t="s">
        <v>168</v>
      </c>
      <c r="U184">
        <v>6.6482050033429468E-2</v>
      </c>
      <c r="V184" t="s">
        <v>163</v>
      </c>
    </row>
    <row r="185" spans="9:22" x14ac:dyDescent="0.45">
      <c r="I185" t="s">
        <v>188</v>
      </c>
      <c r="J185" t="s">
        <v>169</v>
      </c>
      <c r="K185">
        <v>3.0012302829334524E-3</v>
      </c>
      <c r="L185" t="s">
        <v>163</v>
      </c>
      <c r="N185" t="s">
        <v>204</v>
      </c>
      <c r="O185" t="s">
        <v>169</v>
      </c>
      <c r="P185">
        <v>0.11724446937395648</v>
      </c>
      <c r="Q185" t="s">
        <v>163</v>
      </c>
      <c r="S185" t="s">
        <v>219</v>
      </c>
      <c r="T185" t="s">
        <v>169</v>
      </c>
      <c r="U185">
        <v>0.1060706123495853</v>
      </c>
      <c r="V185" t="s">
        <v>163</v>
      </c>
    </row>
    <row r="186" spans="9:22" x14ac:dyDescent="0.45">
      <c r="I186" t="s">
        <v>188</v>
      </c>
      <c r="J186" t="s">
        <v>170</v>
      </c>
      <c r="K186">
        <v>0.24512458806180082</v>
      </c>
      <c r="L186" t="s">
        <v>163</v>
      </c>
      <c r="N186" t="s">
        <v>204</v>
      </c>
      <c r="O186" t="s">
        <v>170</v>
      </c>
      <c r="P186">
        <v>0.24040346388793327</v>
      </c>
      <c r="Q186" t="s">
        <v>163</v>
      </c>
      <c r="S186" t="s">
        <v>219</v>
      </c>
      <c r="T186" t="s">
        <v>170</v>
      </c>
      <c r="U186">
        <v>0.17648736929897005</v>
      </c>
      <c r="V186" t="s">
        <v>163</v>
      </c>
    </row>
    <row r="187" spans="9:22" x14ac:dyDescent="0.45">
      <c r="I187" t="s">
        <v>188</v>
      </c>
      <c r="J187" t="s">
        <v>171</v>
      </c>
      <c r="K187">
        <v>0</v>
      </c>
      <c r="L187" t="s">
        <v>163</v>
      </c>
      <c r="N187" t="s">
        <v>204</v>
      </c>
      <c r="O187" t="s">
        <v>171</v>
      </c>
      <c r="P187">
        <v>8.8497800601999646E-2</v>
      </c>
      <c r="Q187" t="s">
        <v>163</v>
      </c>
      <c r="S187" t="s">
        <v>219</v>
      </c>
      <c r="T187" t="s">
        <v>171</v>
      </c>
      <c r="U187">
        <v>7.2336378849569241E-2</v>
      </c>
      <c r="V187" t="s">
        <v>163</v>
      </c>
    </row>
    <row r="188" spans="9:22" x14ac:dyDescent="0.45">
      <c r="I188" t="s">
        <v>188</v>
      </c>
      <c r="J188" t="s">
        <v>172</v>
      </c>
      <c r="K188">
        <v>1.8188394800587114E-2</v>
      </c>
      <c r="L188" t="s">
        <v>163</v>
      </c>
      <c r="N188" t="s">
        <v>204</v>
      </c>
      <c r="O188" t="s">
        <v>172</v>
      </c>
      <c r="P188">
        <v>3.3770963527989438E-2</v>
      </c>
      <c r="Q188" t="s">
        <v>163</v>
      </c>
      <c r="S188" t="s">
        <v>219</v>
      </c>
      <c r="T188" t="s">
        <v>172</v>
      </c>
      <c r="U188">
        <v>4.5487047697644403E-2</v>
      </c>
      <c r="V188" t="s">
        <v>163</v>
      </c>
    </row>
    <row r="189" spans="9:22" x14ac:dyDescent="0.45">
      <c r="I189" t="s">
        <v>188</v>
      </c>
      <c r="J189" t="s">
        <v>173</v>
      </c>
      <c r="K189">
        <v>0.24262382874887917</v>
      </c>
      <c r="L189" t="s">
        <v>163</v>
      </c>
      <c r="N189" t="s">
        <v>204</v>
      </c>
      <c r="O189" t="s">
        <v>173</v>
      </c>
      <c r="P189">
        <v>8.7529616565662646E-2</v>
      </c>
      <c r="Q189" t="s">
        <v>163</v>
      </c>
      <c r="S189" t="s">
        <v>219</v>
      </c>
      <c r="T189" t="s">
        <v>173</v>
      </c>
      <c r="U189">
        <v>7.8618250719435886E-2</v>
      </c>
      <c r="V189" t="s">
        <v>163</v>
      </c>
    </row>
    <row r="190" spans="9:22" x14ac:dyDescent="0.45">
      <c r="I190" t="s">
        <v>188</v>
      </c>
      <c r="J190" t="s">
        <v>174</v>
      </c>
      <c r="K190">
        <v>8.1281027281435974E-3</v>
      </c>
      <c r="L190" t="s">
        <v>163</v>
      </c>
      <c r="N190" t="s">
        <v>204</v>
      </c>
      <c r="O190" t="s">
        <v>174</v>
      </c>
      <c r="P190">
        <v>2.6114776398533754E-2</v>
      </c>
      <c r="Q190" t="s">
        <v>163</v>
      </c>
      <c r="S190" t="s">
        <v>219</v>
      </c>
      <c r="T190" t="s">
        <v>174</v>
      </c>
      <c r="U190">
        <v>3.1829364796889609E-2</v>
      </c>
      <c r="V190" t="s">
        <v>163</v>
      </c>
    </row>
    <row r="191" spans="9:22" x14ac:dyDescent="0.45">
      <c r="I191" t="s">
        <v>189</v>
      </c>
      <c r="J191" t="s">
        <v>162</v>
      </c>
      <c r="K191">
        <v>1.132210356249686E-2</v>
      </c>
      <c r="L191" t="s">
        <v>163</v>
      </c>
      <c r="S191" t="s">
        <v>220</v>
      </c>
      <c r="T191" t="s">
        <v>162</v>
      </c>
      <c r="U191">
        <v>4.4140868047100518E-2</v>
      </c>
      <c r="V191" t="s">
        <v>163</v>
      </c>
    </row>
    <row r="192" spans="9:22" x14ac:dyDescent="0.45">
      <c r="I192" t="s">
        <v>189</v>
      </c>
      <c r="J192" t="s">
        <v>164</v>
      </c>
      <c r="K192">
        <v>0.25742572150473503</v>
      </c>
      <c r="L192" t="s">
        <v>163</v>
      </c>
      <c r="S192" t="s">
        <v>220</v>
      </c>
      <c r="T192" t="s">
        <v>164</v>
      </c>
      <c r="U192">
        <v>7.783992439856835E-2</v>
      </c>
      <c r="V192" t="s">
        <v>163</v>
      </c>
    </row>
    <row r="193" spans="9:22" x14ac:dyDescent="0.45">
      <c r="I193" t="s">
        <v>189</v>
      </c>
      <c r="J193" t="s">
        <v>165</v>
      </c>
      <c r="K193">
        <v>8.0577535387607868E-3</v>
      </c>
      <c r="L193" t="s">
        <v>163</v>
      </c>
      <c r="S193" t="s">
        <v>220</v>
      </c>
      <c r="T193" t="s">
        <v>165</v>
      </c>
      <c r="U193">
        <v>3.1080256047825001E-2</v>
      </c>
      <c r="V193" t="s">
        <v>163</v>
      </c>
    </row>
    <row r="194" spans="9:22" x14ac:dyDescent="0.45">
      <c r="I194" t="s">
        <v>189</v>
      </c>
      <c r="J194" t="s">
        <v>166</v>
      </c>
      <c r="K194">
        <v>6.1671144346517011E-4</v>
      </c>
      <c r="L194" t="s">
        <v>163</v>
      </c>
      <c r="S194" t="s">
        <v>220</v>
      </c>
      <c r="T194" t="s">
        <v>166</v>
      </c>
      <c r="U194">
        <v>0.10259464219135385</v>
      </c>
      <c r="V194" t="s">
        <v>163</v>
      </c>
    </row>
    <row r="195" spans="9:22" x14ac:dyDescent="0.45">
      <c r="I195" t="s">
        <v>189</v>
      </c>
      <c r="J195" t="s">
        <v>167</v>
      </c>
      <c r="K195">
        <v>0.21057173917125199</v>
      </c>
      <c r="L195" t="s">
        <v>163</v>
      </c>
      <c r="S195" t="s">
        <v>220</v>
      </c>
      <c r="T195" t="s">
        <v>167</v>
      </c>
      <c r="U195">
        <v>0.17257760865017807</v>
      </c>
      <c r="V195" t="s">
        <v>163</v>
      </c>
    </row>
    <row r="196" spans="9:22" x14ac:dyDescent="0.45">
      <c r="I196" t="s">
        <v>189</v>
      </c>
      <c r="J196" t="s">
        <v>168</v>
      </c>
      <c r="K196">
        <v>0</v>
      </c>
      <c r="L196" t="s">
        <v>163</v>
      </c>
      <c r="S196" t="s">
        <v>220</v>
      </c>
      <c r="T196" t="s">
        <v>168</v>
      </c>
      <c r="U196">
        <v>6.9954322311064868E-2</v>
      </c>
      <c r="V196" t="s">
        <v>163</v>
      </c>
    </row>
    <row r="197" spans="9:22" x14ac:dyDescent="0.45">
      <c r="I197" t="s">
        <v>189</v>
      </c>
      <c r="J197" t="s">
        <v>169</v>
      </c>
      <c r="K197">
        <v>3.3866700319800784E-3</v>
      </c>
      <c r="L197" t="s">
        <v>163</v>
      </c>
      <c r="S197" t="s">
        <v>220</v>
      </c>
      <c r="T197" t="s">
        <v>169</v>
      </c>
      <c r="U197">
        <v>0.10220047700857646</v>
      </c>
      <c r="V197" t="s">
        <v>163</v>
      </c>
    </row>
    <row r="198" spans="9:22" x14ac:dyDescent="0.45">
      <c r="I198" t="s">
        <v>189</v>
      </c>
      <c r="J198" t="s">
        <v>170</v>
      </c>
      <c r="K198">
        <v>0.24273485632662917</v>
      </c>
      <c r="L198" t="s">
        <v>163</v>
      </c>
      <c r="S198" t="s">
        <v>220</v>
      </c>
      <c r="T198" t="s">
        <v>170</v>
      </c>
      <c r="U198">
        <v>0.17818262504640736</v>
      </c>
      <c r="V198" t="s">
        <v>163</v>
      </c>
    </row>
    <row r="199" spans="9:22" x14ac:dyDescent="0.45">
      <c r="I199" t="s">
        <v>189</v>
      </c>
      <c r="J199" t="s">
        <v>171</v>
      </c>
      <c r="K199">
        <v>0</v>
      </c>
      <c r="L199" t="s">
        <v>163</v>
      </c>
      <c r="S199" t="s">
        <v>220</v>
      </c>
      <c r="T199" t="s">
        <v>171</v>
      </c>
      <c r="U199">
        <v>7.1658218816553529E-2</v>
      </c>
      <c r="V199" t="s">
        <v>163</v>
      </c>
    </row>
    <row r="200" spans="9:22" x14ac:dyDescent="0.45">
      <c r="I200" t="s">
        <v>189</v>
      </c>
      <c r="J200" t="s">
        <v>172</v>
      </c>
      <c r="K200">
        <v>1.807425184029721E-2</v>
      </c>
      <c r="L200" t="s">
        <v>163</v>
      </c>
      <c r="S200" t="s">
        <v>220</v>
      </c>
      <c r="T200" t="s">
        <v>172</v>
      </c>
      <c r="U200">
        <v>4.5313382338302649E-2</v>
      </c>
      <c r="V200" t="s">
        <v>163</v>
      </c>
    </row>
    <row r="201" spans="9:22" x14ac:dyDescent="0.45">
      <c r="I201" t="s">
        <v>189</v>
      </c>
      <c r="J201" t="s">
        <v>173</v>
      </c>
      <c r="K201">
        <v>0.24256061655931199</v>
      </c>
      <c r="L201" t="s">
        <v>163</v>
      </c>
      <c r="S201" t="s">
        <v>220</v>
      </c>
      <c r="T201" t="s">
        <v>173</v>
      </c>
      <c r="U201">
        <v>7.3995492254984988E-2</v>
      </c>
      <c r="V201" t="s">
        <v>163</v>
      </c>
    </row>
    <row r="202" spans="9:22" x14ac:dyDescent="0.45">
      <c r="I202" t="s">
        <v>189</v>
      </c>
      <c r="J202" t="s">
        <v>174</v>
      </c>
      <c r="K202">
        <v>5.2495760210720917E-3</v>
      </c>
      <c r="L202" t="s">
        <v>163</v>
      </c>
      <c r="S202" t="s">
        <v>220</v>
      </c>
      <c r="T202" t="s">
        <v>174</v>
      </c>
      <c r="U202">
        <v>3.04621828890838E-2</v>
      </c>
      <c r="V202" t="s">
        <v>163</v>
      </c>
    </row>
    <row r="203" spans="9:22" x14ac:dyDescent="0.45">
      <c r="S203" t="s">
        <v>221</v>
      </c>
      <c r="T203" t="s">
        <v>162</v>
      </c>
      <c r="U203">
        <v>4.9590834770101136E-2</v>
      </c>
      <c r="V203" t="s">
        <v>163</v>
      </c>
    </row>
    <row r="204" spans="9:22" x14ac:dyDescent="0.45">
      <c r="S204" t="s">
        <v>221</v>
      </c>
      <c r="T204" t="s">
        <v>164</v>
      </c>
      <c r="U204">
        <v>8.4539059944664458E-2</v>
      </c>
      <c r="V204" t="s">
        <v>163</v>
      </c>
    </row>
    <row r="205" spans="9:22" x14ac:dyDescent="0.45">
      <c r="S205" t="s">
        <v>221</v>
      </c>
      <c r="T205" t="s">
        <v>165</v>
      </c>
      <c r="U205">
        <v>3.5226357783051353E-2</v>
      </c>
      <c r="V205" t="s">
        <v>163</v>
      </c>
    </row>
    <row r="206" spans="9:22" x14ac:dyDescent="0.45">
      <c r="S206" t="s">
        <v>221</v>
      </c>
      <c r="T206" t="s">
        <v>166</v>
      </c>
      <c r="U206">
        <v>9.2090600577230522E-2</v>
      </c>
      <c r="V206" t="s">
        <v>163</v>
      </c>
    </row>
    <row r="207" spans="9:22" x14ac:dyDescent="0.45">
      <c r="S207" t="s">
        <v>221</v>
      </c>
      <c r="T207" t="s">
        <v>167</v>
      </c>
      <c r="U207">
        <v>0.15981722876618254</v>
      </c>
      <c r="V207" t="s">
        <v>163</v>
      </c>
    </row>
    <row r="208" spans="9:22" x14ac:dyDescent="0.45">
      <c r="S208" t="s">
        <v>221</v>
      </c>
      <c r="T208" t="s">
        <v>168</v>
      </c>
      <c r="U208">
        <v>6.5239280597806912E-2</v>
      </c>
      <c r="V208" t="s">
        <v>163</v>
      </c>
    </row>
    <row r="209" spans="19:22" x14ac:dyDescent="0.45">
      <c r="S209" t="s">
        <v>221</v>
      </c>
      <c r="T209" t="s">
        <v>169</v>
      </c>
      <c r="U209">
        <v>0.10624413355854975</v>
      </c>
      <c r="V209" t="s">
        <v>163</v>
      </c>
    </row>
    <row r="210" spans="19:22" x14ac:dyDescent="0.45">
      <c r="S210" t="s">
        <v>221</v>
      </c>
      <c r="T210" t="s">
        <v>170</v>
      </c>
      <c r="U210">
        <v>0.17830924260477415</v>
      </c>
      <c r="V210" t="s">
        <v>163</v>
      </c>
    </row>
    <row r="211" spans="19:22" x14ac:dyDescent="0.45">
      <c r="S211" t="s">
        <v>221</v>
      </c>
      <c r="T211" t="s">
        <v>171</v>
      </c>
      <c r="U211">
        <v>7.3080524414926906E-2</v>
      </c>
      <c r="V211" t="s">
        <v>163</v>
      </c>
    </row>
    <row r="212" spans="19:22" x14ac:dyDescent="0.45">
      <c r="S212" t="s">
        <v>221</v>
      </c>
      <c r="T212" t="s">
        <v>172</v>
      </c>
      <c r="U212">
        <v>4.5546417605074524E-2</v>
      </c>
      <c r="V212" t="s">
        <v>163</v>
      </c>
    </row>
    <row r="213" spans="19:22" x14ac:dyDescent="0.45">
      <c r="S213" t="s">
        <v>221</v>
      </c>
      <c r="T213" t="s">
        <v>173</v>
      </c>
      <c r="U213">
        <v>7.9126295246468692E-2</v>
      </c>
      <c r="V213" t="s">
        <v>163</v>
      </c>
    </row>
    <row r="214" spans="19:22" x14ac:dyDescent="0.45">
      <c r="S214" t="s">
        <v>221</v>
      </c>
      <c r="T214" t="s">
        <v>174</v>
      </c>
      <c r="U214">
        <v>3.1190024131170658E-2</v>
      </c>
      <c r="V214" t="s">
        <v>163</v>
      </c>
    </row>
    <row r="215" spans="19:22" x14ac:dyDescent="0.45">
      <c r="S215" t="s">
        <v>222</v>
      </c>
      <c r="T215" t="s">
        <v>162</v>
      </c>
      <c r="U215">
        <v>4.8474794683367295E-2</v>
      </c>
      <c r="V215" t="s">
        <v>163</v>
      </c>
    </row>
    <row r="216" spans="19:22" x14ac:dyDescent="0.45">
      <c r="S216" t="s">
        <v>222</v>
      </c>
      <c r="T216" t="s">
        <v>164</v>
      </c>
      <c r="U216">
        <v>8.3673408890011486E-2</v>
      </c>
      <c r="V216" t="s">
        <v>163</v>
      </c>
    </row>
    <row r="217" spans="19:22" x14ac:dyDescent="0.45">
      <c r="S217" t="s">
        <v>222</v>
      </c>
      <c r="T217" t="s">
        <v>165</v>
      </c>
      <c r="U217">
        <v>3.5344833768554906E-2</v>
      </c>
      <c r="V217" t="s">
        <v>163</v>
      </c>
    </row>
    <row r="218" spans="19:22" x14ac:dyDescent="0.45">
      <c r="S218" t="s">
        <v>222</v>
      </c>
      <c r="T218" t="s">
        <v>166</v>
      </c>
      <c r="U218">
        <v>9.5452828104875223E-2</v>
      </c>
      <c r="V218" t="s">
        <v>163</v>
      </c>
    </row>
    <row r="219" spans="19:22" x14ac:dyDescent="0.45">
      <c r="S219" t="s">
        <v>222</v>
      </c>
      <c r="T219" t="s">
        <v>167</v>
      </c>
      <c r="U219">
        <v>0.16540892190569467</v>
      </c>
      <c r="V219" t="s">
        <v>163</v>
      </c>
    </row>
    <row r="220" spans="19:22" x14ac:dyDescent="0.45">
      <c r="S220" t="s">
        <v>222</v>
      </c>
      <c r="T220" t="s">
        <v>168</v>
      </c>
      <c r="U220">
        <v>6.8097220695606933E-2</v>
      </c>
      <c r="V220" t="s">
        <v>163</v>
      </c>
    </row>
    <row r="221" spans="19:22" x14ac:dyDescent="0.45">
      <c r="S221" t="s">
        <v>222</v>
      </c>
      <c r="T221" t="s">
        <v>169</v>
      </c>
      <c r="U221">
        <v>0.10071812710570528</v>
      </c>
      <c r="V221" t="s">
        <v>163</v>
      </c>
    </row>
    <row r="222" spans="19:22" x14ac:dyDescent="0.45">
      <c r="S222" t="s">
        <v>222</v>
      </c>
      <c r="T222" t="s">
        <v>170</v>
      </c>
      <c r="U222">
        <v>0.17736215353256263</v>
      </c>
      <c r="V222" t="s">
        <v>163</v>
      </c>
    </row>
    <row r="223" spans="19:22" x14ac:dyDescent="0.45">
      <c r="S223" t="s">
        <v>222</v>
      </c>
      <c r="T223" t="s">
        <v>171</v>
      </c>
      <c r="U223">
        <v>7.2252838807534692E-2</v>
      </c>
      <c r="V223" t="s">
        <v>163</v>
      </c>
    </row>
    <row r="224" spans="19:22" x14ac:dyDescent="0.45">
      <c r="S224" t="s">
        <v>222</v>
      </c>
      <c r="T224" t="s">
        <v>172</v>
      </c>
      <c r="U224">
        <v>4.2942925342579236E-2</v>
      </c>
      <c r="V224" t="s">
        <v>163</v>
      </c>
    </row>
    <row r="225" spans="19:22" x14ac:dyDescent="0.45">
      <c r="S225" t="s">
        <v>222</v>
      </c>
      <c r="T225" t="s">
        <v>173</v>
      </c>
      <c r="U225">
        <v>7.918984256566515E-2</v>
      </c>
      <c r="V225" t="s">
        <v>163</v>
      </c>
    </row>
    <row r="226" spans="19:22" x14ac:dyDescent="0.45">
      <c r="S226" t="s">
        <v>222</v>
      </c>
      <c r="T226" t="s">
        <v>174</v>
      </c>
      <c r="U226">
        <v>3.108210459784164E-2</v>
      </c>
      <c r="V226" t="s">
        <v>163</v>
      </c>
    </row>
    <row r="227" spans="19:22" x14ac:dyDescent="0.45">
      <c r="S227" t="s">
        <v>223</v>
      </c>
      <c r="T227" t="s">
        <v>162</v>
      </c>
      <c r="U227">
        <v>4.7573097686372717E-2</v>
      </c>
      <c r="V227" t="s">
        <v>163</v>
      </c>
    </row>
    <row r="228" spans="19:22" x14ac:dyDescent="0.45">
      <c r="S228" t="s">
        <v>223</v>
      </c>
      <c r="T228" t="s">
        <v>164</v>
      </c>
      <c r="U228">
        <v>8.443062707662137E-2</v>
      </c>
      <c r="V228" t="s">
        <v>163</v>
      </c>
    </row>
    <row r="229" spans="19:22" x14ac:dyDescent="0.45">
      <c r="S229" t="s">
        <v>223</v>
      </c>
      <c r="T229" t="s">
        <v>165</v>
      </c>
      <c r="U229">
        <v>3.4701268427047016E-2</v>
      </c>
      <c r="V229" t="s">
        <v>163</v>
      </c>
    </row>
    <row r="230" spans="19:22" x14ac:dyDescent="0.45">
      <c r="S230" t="s">
        <v>223</v>
      </c>
      <c r="T230" t="s">
        <v>166</v>
      </c>
      <c r="U230">
        <v>9.6457503457718141E-2</v>
      </c>
      <c r="V230" t="s">
        <v>163</v>
      </c>
    </row>
    <row r="231" spans="19:22" x14ac:dyDescent="0.45">
      <c r="S231" t="s">
        <v>223</v>
      </c>
      <c r="T231" t="s">
        <v>167</v>
      </c>
      <c r="U231">
        <v>0.16590034800085132</v>
      </c>
      <c r="V231" t="s">
        <v>163</v>
      </c>
    </row>
    <row r="232" spans="19:22" x14ac:dyDescent="0.45">
      <c r="S232" t="s">
        <v>223</v>
      </c>
      <c r="T232" t="s">
        <v>168</v>
      </c>
      <c r="U232">
        <v>6.7867105141225542E-2</v>
      </c>
      <c r="V232" t="s">
        <v>163</v>
      </c>
    </row>
    <row r="233" spans="19:22" x14ac:dyDescent="0.45">
      <c r="S233" t="s">
        <v>223</v>
      </c>
      <c r="T233" t="s">
        <v>169</v>
      </c>
      <c r="U233">
        <v>0.10070965276091741</v>
      </c>
      <c r="V233" t="s">
        <v>163</v>
      </c>
    </row>
    <row r="234" spans="19:22" x14ac:dyDescent="0.45">
      <c r="S234" t="s">
        <v>223</v>
      </c>
      <c r="T234" t="s">
        <v>170</v>
      </c>
      <c r="U234">
        <v>0.1761409010781651</v>
      </c>
      <c r="V234" t="s">
        <v>163</v>
      </c>
    </row>
    <row r="235" spans="19:22" x14ac:dyDescent="0.45">
      <c r="S235" t="s">
        <v>223</v>
      </c>
      <c r="T235" t="s">
        <v>171</v>
      </c>
      <c r="U235">
        <v>7.2007756461349992E-2</v>
      </c>
      <c r="V235" t="s">
        <v>163</v>
      </c>
    </row>
    <row r="236" spans="19:22" x14ac:dyDescent="0.45">
      <c r="S236" t="s">
        <v>223</v>
      </c>
      <c r="T236" t="s">
        <v>172</v>
      </c>
      <c r="U236">
        <v>4.6064824452167315E-2</v>
      </c>
      <c r="V236" t="s">
        <v>163</v>
      </c>
    </row>
    <row r="237" spans="19:22" x14ac:dyDescent="0.45">
      <c r="S237" t="s">
        <v>223</v>
      </c>
      <c r="T237" t="s">
        <v>173</v>
      </c>
      <c r="U237">
        <v>7.7476497522695101E-2</v>
      </c>
      <c r="V237" t="s">
        <v>163</v>
      </c>
    </row>
    <row r="238" spans="19:22" x14ac:dyDescent="0.45">
      <c r="S238" t="s">
        <v>223</v>
      </c>
      <c r="T238" t="s">
        <v>174</v>
      </c>
      <c r="U238">
        <v>3.0670417934868435E-2</v>
      </c>
      <c r="V238" t="s">
        <v>163</v>
      </c>
    </row>
    <row r="239" spans="19:22" x14ac:dyDescent="0.45">
      <c r="S239" t="s">
        <v>224</v>
      </c>
      <c r="T239" t="s">
        <v>162</v>
      </c>
      <c r="U239">
        <v>4.1492678639605152E-2</v>
      </c>
      <c r="V239" t="s">
        <v>163</v>
      </c>
    </row>
    <row r="240" spans="19:22" x14ac:dyDescent="0.45">
      <c r="S240" t="s">
        <v>224</v>
      </c>
      <c r="T240" t="s">
        <v>164</v>
      </c>
      <c r="U240">
        <v>6.8497695664419753E-2</v>
      </c>
      <c r="V240" t="s">
        <v>163</v>
      </c>
    </row>
    <row r="241" spans="19:22" x14ac:dyDescent="0.45">
      <c r="S241" t="s">
        <v>224</v>
      </c>
      <c r="T241" t="s">
        <v>165</v>
      </c>
      <c r="U241">
        <v>3.0317158962235091E-2</v>
      </c>
      <c r="V241" t="s">
        <v>163</v>
      </c>
    </row>
    <row r="242" spans="19:22" x14ac:dyDescent="0.45">
      <c r="S242" t="s">
        <v>224</v>
      </c>
      <c r="T242" t="s">
        <v>166</v>
      </c>
      <c r="U242">
        <v>9.2122677408900996E-2</v>
      </c>
      <c r="V242" t="s">
        <v>163</v>
      </c>
    </row>
    <row r="243" spans="19:22" x14ac:dyDescent="0.45">
      <c r="S243" t="s">
        <v>224</v>
      </c>
      <c r="T243" t="s">
        <v>167</v>
      </c>
      <c r="U243">
        <v>0.15744631779226573</v>
      </c>
      <c r="V243" t="s">
        <v>163</v>
      </c>
    </row>
    <row r="244" spans="19:22" x14ac:dyDescent="0.45">
      <c r="S244" t="s">
        <v>224</v>
      </c>
      <c r="T244" t="s">
        <v>168</v>
      </c>
      <c r="U244">
        <v>6.4590595983541291E-2</v>
      </c>
      <c r="V244" t="s">
        <v>163</v>
      </c>
    </row>
    <row r="245" spans="19:22" x14ac:dyDescent="0.45">
      <c r="S245" t="s">
        <v>224</v>
      </c>
      <c r="T245" t="s">
        <v>169</v>
      </c>
      <c r="U245">
        <v>0.11686770566361619</v>
      </c>
      <c r="V245" t="s">
        <v>163</v>
      </c>
    </row>
    <row r="246" spans="19:22" x14ac:dyDescent="0.45">
      <c r="S246" t="s">
        <v>224</v>
      </c>
      <c r="T246" t="s">
        <v>170</v>
      </c>
      <c r="U246">
        <v>0.20094135692825205</v>
      </c>
      <c r="V246" t="s">
        <v>163</v>
      </c>
    </row>
    <row r="247" spans="19:22" x14ac:dyDescent="0.45">
      <c r="S247" t="s">
        <v>224</v>
      </c>
      <c r="T247" t="s">
        <v>171</v>
      </c>
      <c r="U247">
        <v>8.718013548836015E-2</v>
      </c>
      <c r="V247" t="s">
        <v>163</v>
      </c>
    </row>
    <row r="248" spans="19:22" x14ac:dyDescent="0.45">
      <c r="S248" t="s">
        <v>224</v>
      </c>
      <c r="T248" t="s">
        <v>172</v>
      </c>
      <c r="U248">
        <v>4.1539019652968349E-2</v>
      </c>
      <c r="V248" t="s">
        <v>163</v>
      </c>
    </row>
    <row r="249" spans="19:22" x14ac:dyDescent="0.45">
      <c r="S249" t="s">
        <v>224</v>
      </c>
      <c r="T249" t="s">
        <v>173</v>
      </c>
      <c r="U249">
        <v>6.841125114004841E-2</v>
      </c>
      <c r="V249" t="s">
        <v>163</v>
      </c>
    </row>
    <row r="250" spans="19:22" x14ac:dyDescent="0.45">
      <c r="S250" t="s">
        <v>224</v>
      </c>
      <c r="T250" t="s">
        <v>174</v>
      </c>
      <c r="U250">
        <v>3.0593406675783759E-2</v>
      </c>
      <c r="V250" t="s">
        <v>163</v>
      </c>
    </row>
    <row r="251" spans="19:22" x14ac:dyDescent="0.45">
      <c r="S251" t="s">
        <v>225</v>
      </c>
      <c r="T251" t="s">
        <v>162</v>
      </c>
      <c r="U251">
        <v>4.2589050299830233E-2</v>
      </c>
      <c r="V251" t="s">
        <v>163</v>
      </c>
    </row>
    <row r="252" spans="19:22" x14ac:dyDescent="0.45">
      <c r="S252" t="s">
        <v>225</v>
      </c>
      <c r="T252" t="s">
        <v>164</v>
      </c>
      <c r="U252">
        <v>6.9344465672578334E-2</v>
      </c>
      <c r="V252" t="s">
        <v>163</v>
      </c>
    </row>
    <row r="253" spans="19:22" x14ac:dyDescent="0.45">
      <c r="S253" t="s">
        <v>225</v>
      </c>
      <c r="T253" t="s">
        <v>165</v>
      </c>
      <c r="U253">
        <v>2.8895058171389064E-2</v>
      </c>
      <c r="V253" t="s">
        <v>163</v>
      </c>
    </row>
    <row r="254" spans="19:22" x14ac:dyDescent="0.45">
      <c r="S254" t="s">
        <v>225</v>
      </c>
      <c r="T254" t="s">
        <v>166</v>
      </c>
      <c r="U254">
        <v>8.9092990453282728E-2</v>
      </c>
      <c r="V254" t="s">
        <v>163</v>
      </c>
    </row>
    <row r="255" spans="19:22" x14ac:dyDescent="0.45">
      <c r="S255" t="s">
        <v>225</v>
      </c>
      <c r="T255" t="s">
        <v>167</v>
      </c>
      <c r="U255">
        <v>0.14976772607699218</v>
      </c>
      <c r="V255" t="s">
        <v>163</v>
      </c>
    </row>
    <row r="256" spans="19:22" x14ac:dyDescent="0.45">
      <c r="S256" t="s">
        <v>225</v>
      </c>
      <c r="T256" t="s">
        <v>168</v>
      </c>
      <c r="U256">
        <v>6.1025526928697116E-2</v>
      </c>
      <c r="V256" t="s">
        <v>163</v>
      </c>
    </row>
    <row r="257" spans="19:22" x14ac:dyDescent="0.45">
      <c r="S257" t="s">
        <v>225</v>
      </c>
      <c r="T257" t="s">
        <v>169</v>
      </c>
      <c r="U257">
        <v>0.11601925516593056</v>
      </c>
      <c r="V257" t="s">
        <v>163</v>
      </c>
    </row>
    <row r="258" spans="19:22" x14ac:dyDescent="0.45">
      <c r="S258" t="s">
        <v>225</v>
      </c>
      <c r="T258" t="s">
        <v>170</v>
      </c>
      <c r="U258">
        <v>0.20098443056494969</v>
      </c>
      <c r="V258" t="s">
        <v>163</v>
      </c>
    </row>
    <row r="259" spans="19:22" x14ac:dyDescent="0.45">
      <c r="S259" t="s">
        <v>225</v>
      </c>
      <c r="T259" t="s">
        <v>171</v>
      </c>
      <c r="U259">
        <v>8.4570987399256795E-2</v>
      </c>
      <c r="V259" t="s">
        <v>163</v>
      </c>
    </row>
    <row r="260" spans="19:22" x14ac:dyDescent="0.45">
      <c r="S260" t="s">
        <v>225</v>
      </c>
      <c r="T260" t="s">
        <v>172</v>
      </c>
      <c r="U260">
        <v>4.537371758405391E-2</v>
      </c>
      <c r="V260" t="s">
        <v>163</v>
      </c>
    </row>
    <row r="261" spans="19:22" x14ac:dyDescent="0.45">
      <c r="S261" t="s">
        <v>225</v>
      </c>
      <c r="T261" t="s">
        <v>173</v>
      </c>
      <c r="U261">
        <v>7.9135034425266176E-2</v>
      </c>
      <c r="V261" t="s">
        <v>163</v>
      </c>
    </row>
    <row r="262" spans="19:22" x14ac:dyDescent="0.45">
      <c r="S262" t="s">
        <v>225</v>
      </c>
      <c r="T262" t="s">
        <v>174</v>
      </c>
      <c r="U262">
        <v>3.3201757257771088E-2</v>
      </c>
      <c r="V262" t="s">
        <v>163</v>
      </c>
    </row>
    <row r="263" spans="19:22" x14ac:dyDescent="0.45">
      <c r="S263" t="s">
        <v>226</v>
      </c>
      <c r="T263" t="s">
        <v>162</v>
      </c>
      <c r="U263">
        <v>3.8269022719528326E-2</v>
      </c>
      <c r="V263" t="s">
        <v>163</v>
      </c>
    </row>
    <row r="264" spans="19:22" x14ac:dyDescent="0.45">
      <c r="S264" t="s">
        <v>226</v>
      </c>
      <c r="T264" t="s">
        <v>164</v>
      </c>
      <c r="U264">
        <v>5.9175395030247172E-2</v>
      </c>
      <c r="V264" t="s">
        <v>163</v>
      </c>
    </row>
    <row r="265" spans="19:22" x14ac:dyDescent="0.45">
      <c r="S265" t="s">
        <v>226</v>
      </c>
      <c r="T265" t="s">
        <v>165</v>
      </c>
      <c r="U265">
        <v>2.364714515031793E-2</v>
      </c>
      <c r="V265" t="s">
        <v>163</v>
      </c>
    </row>
    <row r="266" spans="19:22" x14ac:dyDescent="0.45">
      <c r="S266" t="s">
        <v>226</v>
      </c>
      <c r="T266" t="s">
        <v>166</v>
      </c>
      <c r="U266">
        <v>9.2694102775231754E-2</v>
      </c>
      <c r="V266" t="s">
        <v>163</v>
      </c>
    </row>
    <row r="267" spans="19:22" x14ac:dyDescent="0.45">
      <c r="S267" t="s">
        <v>226</v>
      </c>
      <c r="T267" t="s">
        <v>167</v>
      </c>
      <c r="U267">
        <v>0.15845085082506435</v>
      </c>
      <c r="V267" t="s">
        <v>163</v>
      </c>
    </row>
    <row r="268" spans="19:22" x14ac:dyDescent="0.45">
      <c r="S268" t="s">
        <v>226</v>
      </c>
      <c r="T268" t="s">
        <v>168</v>
      </c>
      <c r="U268">
        <v>6.4796113767907976E-2</v>
      </c>
      <c r="V268" t="s">
        <v>163</v>
      </c>
    </row>
    <row r="269" spans="19:22" x14ac:dyDescent="0.45">
      <c r="S269" t="s">
        <v>226</v>
      </c>
      <c r="T269" t="s">
        <v>169</v>
      </c>
      <c r="U269">
        <v>0.11878987170570067</v>
      </c>
      <c r="V269" t="s">
        <v>163</v>
      </c>
    </row>
    <row r="270" spans="19:22" x14ac:dyDescent="0.45">
      <c r="S270" t="s">
        <v>226</v>
      </c>
      <c r="T270" t="s">
        <v>170</v>
      </c>
      <c r="U270">
        <v>0.2053919483754382</v>
      </c>
      <c r="V270" t="s">
        <v>163</v>
      </c>
    </row>
    <row r="271" spans="19:22" x14ac:dyDescent="0.45">
      <c r="S271" t="s">
        <v>226</v>
      </c>
      <c r="T271" t="s">
        <v>171</v>
      </c>
      <c r="U271">
        <v>8.4063049435688764E-2</v>
      </c>
      <c r="V271" t="s">
        <v>163</v>
      </c>
    </row>
    <row r="272" spans="19:22" x14ac:dyDescent="0.45">
      <c r="S272" t="s">
        <v>226</v>
      </c>
      <c r="T272" t="s">
        <v>172</v>
      </c>
      <c r="U272">
        <v>4.3389673111405937E-2</v>
      </c>
      <c r="V272" t="s">
        <v>163</v>
      </c>
    </row>
    <row r="273" spans="19:22" x14ac:dyDescent="0.45">
      <c r="S273" t="s">
        <v>226</v>
      </c>
      <c r="T273" t="s">
        <v>173</v>
      </c>
      <c r="U273">
        <v>7.8463368333309275E-2</v>
      </c>
      <c r="V273" t="s">
        <v>163</v>
      </c>
    </row>
    <row r="274" spans="19:22" x14ac:dyDescent="0.45">
      <c r="S274" t="s">
        <v>226</v>
      </c>
      <c r="T274" t="s">
        <v>174</v>
      </c>
      <c r="U274">
        <v>3.2869458770159829E-2</v>
      </c>
      <c r="V274" t="s">
        <v>163</v>
      </c>
    </row>
    <row r="275" spans="19:22" x14ac:dyDescent="0.45">
      <c r="S275" t="s">
        <v>227</v>
      </c>
      <c r="T275" t="s">
        <v>162</v>
      </c>
      <c r="U275">
        <v>4.1834293430366258E-2</v>
      </c>
      <c r="V275" t="s">
        <v>163</v>
      </c>
    </row>
    <row r="276" spans="19:22" x14ac:dyDescent="0.45">
      <c r="S276" t="s">
        <v>227</v>
      </c>
      <c r="T276" t="s">
        <v>164</v>
      </c>
      <c r="U276">
        <v>6.9541684761318306E-2</v>
      </c>
      <c r="V276" t="s">
        <v>163</v>
      </c>
    </row>
    <row r="277" spans="19:22" x14ac:dyDescent="0.45">
      <c r="S277" t="s">
        <v>227</v>
      </c>
      <c r="T277" t="s">
        <v>165</v>
      </c>
      <c r="U277">
        <v>2.7910901383560848E-2</v>
      </c>
      <c r="V277" t="s">
        <v>163</v>
      </c>
    </row>
    <row r="278" spans="19:22" x14ac:dyDescent="0.45">
      <c r="S278" t="s">
        <v>227</v>
      </c>
      <c r="T278" t="s">
        <v>166</v>
      </c>
      <c r="U278">
        <v>8.7699504003396572E-2</v>
      </c>
      <c r="V278" t="s">
        <v>163</v>
      </c>
    </row>
    <row r="279" spans="19:22" x14ac:dyDescent="0.45">
      <c r="S279" t="s">
        <v>227</v>
      </c>
      <c r="T279" t="s">
        <v>167</v>
      </c>
      <c r="U279">
        <v>0.15790475280983493</v>
      </c>
      <c r="V279" t="s">
        <v>163</v>
      </c>
    </row>
    <row r="280" spans="19:22" x14ac:dyDescent="0.45">
      <c r="S280" t="s">
        <v>227</v>
      </c>
      <c r="T280" t="s">
        <v>168</v>
      </c>
      <c r="U280">
        <v>6.0908483083741458E-2</v>
      </c>
      <c r="V280" t="s">
        <v>163</v>
      </c>
    </row>
    <row r="281" spans="19:22" x14ac:dyDescent="0.45">
      <c r="S281" t="s">
        <v>227</v>
      </c>
      <c r="T281" t="s">
        <v>169</v>
      </c>
      <c r="U281">
        <v>0.11035368829261626</v>
      </c>
      <c r="V281" t="s">
        <v>163</v>
      </c>
    </row>
    <row r="282" spans="19:22" x14ac:dyDescent="0.45">
      <c r="S282" t="s">
        <v>227</v>
      </c>
      <c r="T282" t="s">
        <v>170</v>
      </c>
      <c r="U282">
        <v>0.19667665271196594</v>
      </c>
      <c r="V282" t="s">
        <v>163</v>
      </c>
    </row>
    <row r="283" spans="19:22" x14ac:dyDescent="0.45">
      <c r="S283" t="s">
        <v>227</v>
      </c>
      <c r="T283" t="s">
        <v>171</v>
      </c>
      <c r="U283">
        <v>7.9743800789737793E-2</v>
      </c>
      <c r="V283" t="s">
        <v>163</v>
      </c>
    </row>
    <row r="284" spans="19:22" x14ac:dyDescent="0.45">
      <c r="S284" t="s">
        <v>227</v>
      </c>
      <c r="T284" t="s">
        <v>172</v>
      </c>
      <c r="U284">
        <v>4.5087983044651787E-2</v>
      </c>
      <c r="V284" t="s">
        <v>163</v>
      </c>
    </row>
    <row r="285" spans="19:22" x14ac:dyDescent="0.45">
      <c r="S285" t="s">
        <v>227</v>
      </c>
      <c r="T285" t="s">
        <v>173</v>
      </c>
      <c r="U285">
        <v>8.649971759309702E-2</v>
      </c>
      <c r="V285" t="s">
        <v>163</v>
      </c>
    </row>
    <row r="286" spans="19:22" x14ac:dyDescent="0.45">
      <c r="S286" t="s">
        <v>227</v>
      </c>
      <c r="T286" t="s">
        <v>174</v>
      </c>
      <c r="U286">
        <v>3.5838538095709666E-2</v>
      </c>
      <c r="V286" t="s">
        <v>163</v>
      </c>
    </row>
    <row r="287" spans="19:22" x14ac:dyDescent="0.45">
      <c r="S287" t="s">
        <v>228</v>
      </c>
      <c r="T287" t="s">
        <v>162</v>
      </c>
      <c r="U287">
        <v>4.2236915982469932E-2</v>
      </c>
      <c r="V287" t="s">
        <v>163</v>
      </c>
    </row>
    <row r="288" spans="19:22" x14ac:dyDescent="0.45">
      <c r="S288" t="s">
        <v>228</v>
      </c>
      <c r="T288" t="s">
        <v>164</v>
      </c>
      <c r="U288">
        <v>7.1974373825580723E-2</v>
      </c>
      <c r="V288" t="s">
        <v>163</v>
      </c>
    </row>
    <row r="289" spans="19:22" x14ac:dyDescent="0.45">
      <c r="S289" t="s">
        <v>228</v>
      </c>
      <c r="T289" t="s">
        <v>165</v>
      </c>
      <c r="U289">
        <v>2.8535739076018092E-2</v>
      </c>
      <c r="V289" t="s">
        <v>163</v>
      </c>
    </row>
    <row r="290" spans="19:22" x14ac:dyDescent="0.45">
      <c r="S290" t="s">
        <v>228</v>
      </c>
      <c r="T290" t="s">
        <v>166</v>
      </c>
      <c r="U290">
        <v>8.3814502594720258E-2</v>
      </c>
      <c r="V290" t="s">
        <v>163</v>
      </c>
    </row>
    <row r="291" spans="19:22" x14ac:dyDescent="0.45">
      <c r="S291" t="s">
        <v>228</v>
      </c>
      <c r="T291" t="s">
        <v>167</v>
      </c>
      <c r="U291">
        <v>0.15156687033375488</v>
      </c>
      <c r="V291" t="s">
        <v>163</v>
      </c>
    </row>
    <row r="292" spans="19:22" x14ac:dyDescent="0.45">
      <c r="S292" t="s">
        <v>228</v>
      </c>
      <c r="T292" t="s">
        <v>168</v>
      </c>
      <c r="U292">
        <v>6.0488147255109467E-2</v>
      </c>
      <c r="V292" t="s">
        <v>163</v>
      </c>
    </row>
    <row r="293" spans="19:22" x14ac:dyDescent="0.45">
      <c r="S293" t="s">
        <v>228</v>
      </c>
      <c r="T293" t="s">
        <v>169</v>
      </c>
      <c r="U293">
        <v>0.11829327116257286</v>
      </c>
      <c r="V293" t="s">
        <v>163</v>
      </c>
    </row>
    <row r="294" spans="19:22" x14ac:dyDescent="0.45">
      <c r="S294" t="s">
        <v>228</v>
      </c>
      <c r="T294" t="s">
        <v>170</v>
      </c>
      <c r="U294">
        <v>0.20585160985812329</v>
      </c>
      <c r="V294" t="s">
        <v>163</v>
      </c>
    </row>
    <row r="295" spans="19:22" x14ac:dyDescent="0.45">
      <c r="S295" t="s">
        <v>228</v>
      </c>
      <c r="T295" t="s">
        <v>171</v>
      </c>
      <c r="U295">
        <v>8.7105812696200768E-2</v>
      </c>
      <c r="V295" t="s">
        <v>163</v>
      </c>
    </row>
    <row r="296" spans="19:22" x14ac:dyDescent="0.45">
      <c r="S296" t="s">
        <v>228</v>
      </c>
      <c r="T296" t="s">
        <v>172</v>
      </c>
      <c r="U296">
        <v>4.1801583521848068E-2</v>
      </c>
      <c r="V296" t="s">
        <v>163</v>
      </c>
    </row>
    <row r="297" spans="19:22" x14ac:dyDescent="0.45">
      <c r="S297" t="s">
        <v>228</v>
      </c>
      <c r="T297" t="s">
        <v>173</v>
      </c>
      <c r="U297">
        <v>7.638397833207769E-2</v>
      </c>
      <c r="V297" t="s">
        <v>163</v>
      </c>
    </row>
    <row r="298" spans="19:22" x14ac:dyDescent="0.45">
      <c r="S298" t="s">
        <v>228</v>
      </c>
      <c r="T298" t="s">
        <v>174</v>
      </c>
      <c r="U298">
        <v>3.1947195361524634E-2</v>
      </c>
      <c r="V298" t="s">
        <v>163</v>
      </c>
    </row>
    <row r="299" spans="19:22" x14ac:dyDescent="0.45">
      <c r="S299" t="s">
        <v>229</v>
      </c>
      <c r="T299" t="s">
        <v>162</v>
      </c>
      <c r="U299">
        <v>4.7345309788132235E-2</v>
      </c>
      <c r="V299" t="s">
        <v>163</v>
      </c>
    </row>
    <row r="300" spans="19:22" x14ac:dyDescent="0.45">
      <c r="S300" t="s">
        <v>229</v>
      </c>
      <c r="T300" t="s">
        <v>164</v>
      </c>
      <c r="U300">
        <v>8.3670366102128413E-2</v>
      </c>
      <c r="V300" t="s">
        <v>163</v>
      </c>
    </row>
    <row r="301" spans="19:22" x14ac:dyDescent="0.45">
      <c r="S301" t="s">
        <v>229</v>
      </c>
      <c r="T301" t="s">
        <v>165</v>
      </c>
      <c r="U301">
        <v>3.8245374843081902E-2</v>
      </c>
      <c r="V301" t="s">
        <v>163</v>
      </c>
    </row>
    <row r="302" spans="19:22" x14ac:dyDescent="0.45">
      <c r="S302" t="s">
        <v>229</v>
      </c>
      <c r="T302" t="s">
        <v>166</v>
      </c>
      <c r="U302">
        <v>9.3150845517725261E-2</v>
      </c>
      <c r="V302" t="s">
        <v>163</v>
      </c>
    </row>
    <row r="303" spans="19:22" x14ac:dyDescent="0.45">
      <c r="S303" t="s">
        <v>229</v>
      </c>
      <c r="T303" t="s">
        <v>167</v>
      </c>
      <c r="U303">
        <v>0.15057954370197749</v>
      </c>
      <c r="V303" t="s">
        <v>163</v>
      </c>
    </row>
    <row r="304" spans="19:22" x14ac:dyDescent="0.45">
      <c r="S304" t="s">
        <v>229</v>
      </c>
      <c r="T304" t="s">
        <v>168</v>
      </c>
      <c r="U304">
        <v>6.9038165018176445E-2</v>
      </c>
      <c r="V304" t="s">
        <v>163</v>
      </c>
    </row>
    <row r="305" spans="19:22" x14ac:dyDescent="0.45">
      <c r="S305" t="s">
        <v>229</v>
      </c>
      <c r="T305" t="s">
        <v>169</v>
      </c>
      <c r="U305">
        <v>0.11368199426789687</v>
      </c>
      <c r="V305" t="s">
        <v>163</v>
      </c>
    </row>
    <row r="306" spans="19:22" x14ac:dyDescent="0.45">
      <c r="S306" t="s">
        <v>229</v>
      </c>
      <c r="T306" t="s">
        <v>170</v>
      </c>
      <c r="U306">
        <v>0.17786305598089869</v>
      </c>
      <c r="V306" t="s">
        <v>163</v>
      </c>
    </row>
    <row r="307" spans="19:22" x14ac:dyDescent="0.45">
      <c r="S307" t="s">
        <v>229</v>
      </c>
      <c r="T307" t="s">
        <v>171</v>
      </c>
      <c r="U307">
        <v>8.4233991820990117E-2</v>
      </c>
      <c r="V307" t="s">
        <v>163</v>
      </c>
    </row>
    <row r="308" spans="19:22" x14ac:dyDescent="0.45">
      <c r="S308" t="s">
        <v>229</v>
      </c>
      <c r="T308" t="s">
        <v>172</v>
      </c>
      <c r="U308">
        <v>4.1790452286898573E-2</v>
      </c>
      <c r="V308" t="s">
        <v>163</v>
      </c>
    </row>
    <row r="309" spans="19:22" x14ac:dyDescent="0.45">
      <c r="S309" t="s">
        <v>229</v>
      </c>
      <c r="T309" t="s">
        <v>173</v>
      </c>
      <c r="U309">
        <v>6.9455901444150411E-2</v>
      </c>
      <c r="V309" t="s">
        <v>163</v>
      </c>
    </row>
    <row r="310" spans="19:22" x14ac:dyDescent="0.45">
      <c r="S310" t="s">
        <v>229</v>
      </c>
      <c r="T310" t="s">
        <v>174</v>
      </c>
      <c r="U310">
        <v>3.0944999227942718E-2</v>
      </c>
      <c r="V310" t="s">
        <v>163</v>
      </c>
    </row>
    <row r="311" spans="19:22" x14ac:dyDescent="0.45">
      <c r="S311" t="s">
        <v>230</v>
      </c>
      <c r="T311" t="s">
        <v>162</v>
      </c>
      <c r="U311">
        <v>4.3142704175547636E-2</v>
      </c>
      <c r="V311" t="s">
        <v>163</v>
      </c>
    </row>
    <row r="312" spans="19:22" x14ac:dyDescent="0.45">
      <c r="S312" t="s">
        <v>230</v>
      </c>
      <c r="T312" t="s">
        <v>164</v>
      </c>
      <c r="U312">
        <v>8.0958911864565442E-2</v>
      </c>
      <c r="V312" t="s">
        <v>163</v>
      </c>
    </row>
    <row r="313" spans="19:22" x14ac:dyDescent="0.45">
      <c r="S313" t="s">
        <v>230</v>
      </c>
      <c r="T313" t="s">
        <v>165</v>
      </c>
      <c r="U313">
        <v>3.8916410772642678E-2</v>
      </c>
      <c r="V313" t="s">
        <v>163</v>
      </c>
    </row>
    <row r="314" spans="19:22" x14ac:dyDescent="0.45">
      <c r="S314" t="s">
        <v>230</v>
      </c>
      <c r="T314" t="s">
        <v>166</v>
      </c>
      <c r="U314">
        <v>9.0996073112762713E-2</v>
      </c>
      <c r="V314" t="s">
        <v>163</v>
      </c>
    </row>
    <row r="315" spans="19:22" x14ac:dyDescent="0.45">
      <c r="S315" t="s">
        <v>230</v>
      </c>
      <c r="T315" t="s">
        <v>167</v>
      </c>
      <c r="U315">
        <v>0.15211061030988682</v>
      </c>
      <c r="V315" t="s">
        <v>163</v>
      </c>
    </row>
    <row r="316" spans="19:22" x14ac:dyDescent="0.45">
      <c r="S316" t="s">
        <v>230</v>
      </c>
      <c r="T316" t="s">
        <v>168</v>
      </c>
      <c r="U316">
        <v>7.1491431066295616E-2</v>
      </c>
      <c r="V316" t="s">
        <v>163</v>
      </c>
    </row>
    <row r="317" spans="19:22" x14ac:dyDescent="0.45">
      <c r="S317" t="s">
        <v>230</v>
      </c>
      <c r="T317" t="s">
        <v>169</v>
      </c>
      <c r="U317">
        <v>0.11344821931011488</v>
      </c>
      <c r="V317" t="s">
        <v>163</v>
      </c>
    </row>
    <row r="318" spans="19:22" x14ac:dyDescent="0.45">
      <c r="S318" t="s">
        <v>230</v>
      </c>
      <c r="T318" t="s">
        <v>170</v>
      </c>
      <c r="U318">
        <v>0.1767012333437572</v>
      </c>
      <c r="V318" t="s">
        <v>163</v>
      </c>
    </row>
    <row r="319" spans="19:22" x14ac:dyDescent="0.45">
      <c r="S319" t="s">
        <v>230</v>
      </c>
      <c r="T319" t="s">
        <v>171</v>
      </c>
      <c r="U319">
        <v>8.7709745274209786E-2</v>
      </c>
      <c r="V319" t="s">
        <v>163</v>
      </c>
    </row>
    <row r="320" spans="19:22" x14ac:dyDescent="0.45">
      <c r="S320" t="s">
        <v>230</v>
      </c>
      <c r="T320" t="s">
        <v>172</v>
      </c>
      <c r="U320">
        <v>4.0710779445219267E-2</v>
      </c>
      <c r="V320" t="s">
        <v>163</v>
      </c>
    </row>
    <row r="321" spans="19:22" x14ac:dyDescent="0.45">
      <c r="S321" t="s">
        <v>230</v>
      </c>
      <c r="T321" t="s">
        <v>173</v>
      </c>
      <c r="U321">
        <v>6.9611131556978526E-2</v>
      </c>
      <c r="V321" t="s">
        <v>163</v>
      </c>
    </row>
    <row r="322" spans="19:22" x14ac:dyDescent="0.45">
      <c r="S322" t="s">
        <v>230</v>
      </c>
      <c r="T322" t="s">
        <v>174</v>
      </c>
      <c r="U322">
        <v>3.4202749768021151E-2</v>
      </c>
      <c r="V322" t="s">
        <v>163</v>
      </c>
    </row>
    <row r="323" spans="19:22" x14ac:dyDescent="0.45">
      <c r="S323" t="s">
        <v>231</v>
      </c>
      <c r="T323" t="s">
        <v>162</v>
      </c>
      <c r="U323">
        <v>4.2946161855498849E-2</v>
      </c>
      <c r="V323" t="s">
        <v>163</v>
      </c>
    </row>
    <row r="324" spans="19:22" x14ac:dyDescent="0.45">
      <c r="S324" t="s">
        <v>231</v>
      </c>
      <c r="T324" t="s">
        <v>164</v>
      </c>
      <c r="U324">
        <v>7.8991570589029253E-2</v>
      </c>
      <c r="V324" t="s">
        <v>163</v>
      </c>
    </row>
    <row r="325" spans="19:22" x14ac:dyDescent="0.45">
      <c r="S325" t="s">
        <v>231</v>
      </c>
      <c r="T325" t="s">
        <v>165</v>
      </c>
      <c r="U325">
        <v>3.1780196558471939E-2</v>
      </c>
      <c r="V325" t="s">
        <v>163</v>
      </c>
    </row>
    <row r="326" spans="19:22" x14ac:dyDescent="0.45">
      <c r="S326" t="s">
        <v>231</v>
      </c>
      <c r="T326" t="s">
        <v>166</v>
      </c>
      <c r="U326">
        <v>9.4848916991780219E-2</v>
      </c>
      <c r="V326" t="s">
        <v>163</v>
      </c>
    </row>
    <row r="327" spans="19:22" x14ac:dyDescent="0.45">
      <c r="S327" t="s">
        <v>231</v>
      </c>
      <c r="T327" t="s">
        <v>167</v>
      </c>
      <c r="U327">
        <v>0.16197245000472116</v>
      </c>
      <c r="V327" t="s">
        <v>163</v>
      </c>
    </row>
    <row r="328" spans="19:22" x14ac:dyDescent="0.45">
      <c r="S328" t="s">
        <v>231</v>
      </c>
      <c r="T328" t="s">
        <v>168</v>
      </c>
      <c r="U328">
        <v>6.5910822316807088E-2</v>
      </c>
      <c r="V328" t="s">
        <v>163</v>
      </c>
    </row>
    <row r="329" spans="19:22" x14ac:dyDescent="0.45">
      <c r="S329" t="s">
        <v>231</v>
      </c>
      <c r="T329" t="s">
        <v>169</v>
      </c>
      <c r="U329">
        <v>0.10899240437659803</v>
      </c>
      <c r="V329" t="s">
        <v>163</v>
      </c>
    </row>
    <row r="330" spans="19:22" x14ac:dyDescent="0.45">
      <c r="S330" t="s">
        <v>231</v>
      </c>
      <c r="T330" t="s">
        <v>170</v>
      </c>
      <c r="U330">
        <v>0.19053130209638267</v>
      </c>
      <c r="V330" t="s">
        <v>163</v>
      </c>
    </row>
    <row r="331" spans="19:22" x14ac:dyDescent="0.45">
      <c r="S331" t="s">
        <v>231</v>
      </c>
      <c r="T331" t="s">
        <v>171</v>
      </c>
      <c r="U331">
        <v>7.6284115912977971E-2</v>
      </c>
      <c r="V331" t="s">
        <v>163</v>
      </c>
    </row>
    <row r="332" spans="19:22" x14ac:dyDescent="0.45">
      <c r="S332" t="s">
        <v>231</v>
      </c>
      <c r="T332" t="s">
        <v>172</v>
      </c>
      <c r="U332">
        <v>3.9194261768879003E-2</v>
      </c>
      <c r="V332" t="s">
        <v>163</v>
      </c>
    </row>
    <row r="333" spans="19:22" x14ac:dyDescent="0.45">
      <c r="S333" t="s">
        <v>231</v>
      </c>
      <c r="T333" t="s">
        <v>173</v>
      </c>
      <c r="U333">
        <v>7.8079354251042149E-2</v>
      </c>
      <c r="V333" t="s">
        <v>163</v>
      </c>
    </row>
    <row r="334" spans="19:22" x14ac:dyDescent="0.45">
      <c r="S334" t="s">
        <v>231</v>
      </c>
      <c r="T334" t="s">
        <v>174</v>
      </c>
      <c r="U334">
        <v>3.046844327780919E-2</v>
      </c>
      <c r="V334" t="s">
        <v>163</v>
      </c>
    </row>
    <row r="335" spans="19:22" x14ac:dyDescent="0.45">
      <c r="S335" t="s">
        <v>232</v>
      </c>
      <c r="T335" t="s">
        <v>162</v>
      </c>
      <c r="U335">
        <v>3.9913943881054167E-2</v>
      </c>
      <c r="V335" t="s">
        <v>163</v>
      </c>
    </row>
    <row r="336" spans="19:22" x14ac:dyDescent="0.45">
      <c r="S336" t="s">
        <v>232</v>
      </c>
      <c r="T336" t="s">
        <v>164</v>
      </c>
      <c r="U336">
        <v>7.3467538327186582E-2</v>
      </c>
      <c r="V336" t="s">
        <v>163</v>
      </c>
    </row>
    <row r="337" spans="19:22" x14ac:dyDescent="0.45">
      <c r="S337" t="s">
        <v>232</v>
      </c>
      <c r="T337" t="s">
        <v>165</v>
      </c>
      <c r="U337">
        <v>3.1058637819030357E-2</v>
      </c>
      <c r="V337" t="s">
        <v>163</v>
      </c>
    </row>
    <row r="338" spans="19:22" x14ac:dyDescent="0.45">
      <c r="S338" t="s">
        <v>232</v>
      </c>
      <c r="T338" t="s">
        <v>166</v>
      </c>
      <c r="U338">
        <v>9.363756192383095E-2</v>
      </c>
      <c r="V338" t="s">
        <v>163</v>
      </c>
    </row>
    <row r="339" spans="19:22" x14ac:dyDescent="0.45">
      <c r="S339" t="s">
        <v>232</v>
      </c>
      <c r="T339" t="s">
        <v>167</v>
      </c>
      <c r="U339">
        <v>0.1666329779436998</v>
      </c>
      <c r="V339" t="s">
        <v>163</v>
      </c>
    </row>
    <row r="340" spans="19:22" x14ac:dyDescent="0.45">
      <c r="S340" t="s">
        <v>232</v>
      </c>
      <c r="T340" t="s">
        <v>168</v>
      </c>
      <c r="U340">
        <v>7.3330341355658607E-2</v>
      </c>
      <c r="V340" t="s">
        <v>163</v>
      </c>
    </row>
    <row r="341" spans="19:22" x14ac:dyDescent="0.45">
      <c r="S341" t="s">
        <v>232</v>
      </c>
      <c r="T341" t="s">
        <v>169</v>
      </c>
      <c r="U341">
        <v>0.10292579255398225</v>
      </c>
      <c r="V341" t="s">
        <v>163</v>
      </c>
    </row>
    <row r="342" spans="19:22" x14ac:dyDescent="0.45">
      <c r="S342" t="s">
        <v>232</v>
      </c>
      <c r="T342" t="s">
        <v>170</v>
      </c>
      <c r="U342">
        <v>0.18150026361568558</v>
      </c>
      <c r="V342" t="s">
        <v>163</v>
      </c>
    </row>
    <row r="343" spans="19:22" x14ac:dyDescent="0.45">
      <c r="S343" t="s">
        <v>232</v>
      </c>
      <c r="T343" t="s">
        <v>171</v>
      </c>
      <c r="U343">
        <v>7.8680097124854381E-2</v>
      </c>
      <c r="V343" t="s">
        <v>163</v>
      </c>
    </row>
    <row r="344" spans="19:22" x14ac:dyDescent="0.45">
      <c r="S344" t="s">
        <v>232</v>
      </c>
      <c r="T344" t="s">
        <v>172</v>
      </c>
      <c r="U344">
        <v>4.2178863062442652E-2</v>
      </c>
      <c r="V344" t="s">
        <v>163</v>
      </c>
    </row>
    <row r="345" spans="19:22" x14ac:dyDescent="0.45">
      <c r="S345" t="s">
        <v>232</v>
      </c>
      <c r="T345" t="s">
        <v>173</v>
      </c>
      <c r="U345">
        <v>8.2175077830498197E-2</v>
      </c>
      <c r="V345" t="s">
        <v>163</v>
      </c>
    </row>
    <row r="346" spans="19:22" x14ac:dyDescent="0.45">
      <c r="S346" t="s">
        <v>232</v>
      </c>
      <c r="T346" t="s">
        <v>174</v>
      </c>
      <c r="U346">
        <v>3.449890456207845E-2</v>
      </c>
      <c r="V346" t="s">
        <v>163</v>
      </c>
    </row>
    <row r="347" spans="19:22" x14ac:dyDescent="0.45">
      <c r="S347" t="s">
        <v>233</v>
      </c>
      <c r="T347" t="s">
        <v>162</v>
      </c>
      <c r="U347">
        <v>4.5349515983275419E-2</v>
      </c>
      <c r="V347" t="s">
        <v>163</v>
      </c>
    </row>
    <row r="348" spans="19:22" x14ac:dyDescent="0.45">
      <c r="S348" t="s">
        <v>233</v>
      </c>
      <c r="T348" t="s">
        <v>164</v>
      </c>
      <c r="U348">
        <v>7.9605960192303982E-2</v>
      </c>
      <c r="V348" t="s">
        <v>163</v>
      </c>
    </row>
    <row r="349" spans="19:22" x14ac:dyDescent="0.45">
      <c r="S349" t="s">
        <v>233</v>
      </c>
      <c r="T349" t="s">
        <v>165</v>
      </c>
      <c r="U349">
        <v>3.1986414206495249E-2</v>
      </c>
      <c r="V349" t="s">
        <v>163</v>
      </c>
    </row>
    <row r="350" spans="19:22" x14ac:dyDescent="0.45">
      <c r="S350" t="s">
        <v>233</v>
      </c>
      <c r="T350" t="s">
        <v>166</v>
      </c>
      <c r="U350">
        <v>9.9375040323021163E-2</v>
      </c>
      <c r="V350" t="s">
        <v>163</v>
      </c>
    </row>
    <row r="351" spans="19:22" x14ac:dyDescent="0.45">
      <c r="S351" t="s">
        <v>233</v>
      </c>
      <c r="T351" t="s">
        <v>167</v>
      </c>
      <c r="U351">
        <v>0.16630223417862083</v>
      </c>
      <c r="V351" t="s">
        <v>163</v>
      </c>
    </row>
    <row r="352" spans="19:22" x14ac:dyDescent="0.45">
      <c r="S352" t="s">
        <v>233</v>
      </c>
      <c r="T352" t="s">
        <v>168</v>
      </c>
      <c r="U352">
        <v>7.0552222042288837E-2</v>
      </c>
      <c r="V352" t="s">
        <v>163</v>
      </c>
    </row>
    <row r="353" spans="19:22" x14ac:dyDescent="0.45">
      <c r="S353" t="s">
        <v>233</v>
      </c>
      <c r="T353" t="s">
        <v>169</v>
      </c>
      <c r="U353">
        <v>0.1081823507051899</v>
      </c>
      <c r="V353" t="s">
        <v>163</v>
      </c>
    </row>
    <row r="354" spans="19:22" x14ac:dyDescent="0.45">
      <c r="S354" t="s">
        <v>233</v>
      </c>
      <c r="T354" t="s">
        <v>170</v>
      </c>
      <c r="U354">
        <v>0.17107583186286221</v>
      </c>
      <c r="V354" t="s">
        <v>163</v>
      </c>
    </row>
    <row r="355" spans="19:22" x14ac:dyDescent="0.45">
      <c r="S355" t="s">
        <v>233</v>
      </c>
      <c r="T355" t="s">
        <v>171</v>
      </c>
      <c r="U355">
        <v>8.0566597230040907E-2</v>
      </c>
      <c r="V355" t="s">
        <v>163</v>
      </c>
    </row>
    <row r="356" spans="19:22" x14ac:dyDescent="0.45">
      <c r="S356" t="s">
        <v>233</v>
      </c>
      <c r="T356" t="s">
        <v>172</v>
      </c>
      <c r="U356">
        <v>4.4240292174878154E-2</v>
      </c>
      <c r="V356" t="s">
        <v>163</v>
      </c>
    </row>
    <row r="357" spans="19:22" x14ac:dyDescent="0.45">
      <c r="S357" t="s">
        <v>233</v>
      </c>
      <c r="T357" t="s">
        <v>173</v>
      </c>
      <c r="U357">
        <v>7.1508888635214748E-2</v>
      </c>
      <c r="V357" t="s">
        <v>163</v>
      </c>
    </row>
    <row r="358" spans="19:22" x14ac:dyDescent="0.45">
      <c r="S358" t="s">
        <v>233</v>
      </c>
      <c r="T358" t="s">
        <v>174</v>
      </c>
      <c r="U358">
        <v>3.1254652465807616E-2</v>
      </c>
      <c r="V358" t="s">
        <v>163</v>
      </c>
    </row>
    <row r="359" spans="19:22" x14ac:dyDescent="0.45">
      <c r="S359" t="s">
        <v>234</v>
      </c>
      <c r="T359" t="s">
        <v>162</v>
      </c>
      <c r="U359">
        <v>4.3875013013897478E-2</v>
      </c>
      <c r="V359" t="s">
        <v>163</v>
      </c>
    </row>
    <row r="360" spans="19:22" x14ac:dyDescent="0.45">
      <c r="S360" t="s">
        <v>234</v>
      </c>
      <c r="T360" t="s">
        <v>164</v>
      </c>
      <c r="U360">
        <v>7.3812678846213911E-2</v>
      </c>
      <c r="V360" t="s">
        <v>163</v>
      </c>
    </row>
    <row r="361" spans="19:22" x14ac:dyDescent="0.45">
      <c r="S361" t="s">
        <v>234</v>
      </c>
      <c r="T361" t="s">
        <v>165</v>
      </c>
      <c r="U361">
        <v>3.1448721324280074E-2</v>
      </c>
      <c r="V361" t="s">
        <v>163</v>
      </c>
    </row>
    <row r="362" spans="19:22" x14ac:dyDescent="0.45">
      <c r="S362" t="s">
        <v>234</v>
      </c>
      <c r="T362" t="s">
        <v>166</v>
      </c>
      <c r="U362">
        <v>9.924166218339335E-2</v>
      </c>
      <c r="V362" t="s">
        <v>163</v>
      </c>
    </row>
    <row r="363" spans="19:22" x14ac:dyDescent="0.45">
      <c r="S363" t="s">
        <v>234</v>
      </c>
      <c r="T363" t="s">
        <v>167</v>
      </c>
      <c r="U363">
        <v>0.16155327600975494</v>
      </c>
      <c r="V363" t="s">
        <v>163</v>
      </c>
    </row>
    <row r="364" spans="19:22" x14ac:dyDescent="0.45">
      <c r="S364" t="s">
        <v>234</v>
      </c>
      <c r="T364" t="s">
        <v>168</v>
      </c>
      <c r="U364">
        <v>6.9449755607819449E-2</v>
      </c>
      <c r="V364" t="s">
        <v>163</v>
      </c>
    </row>
    <row r="365" spans="19:22" x14ac:dyDescent="0.45">
      <c r="S365" t="s">
        <v>234</v>
      </c>
      <c r="T365" t="s">
        <v>169</v>
      </c>
      <c r="U365">
        <v>0.110121512005713</v>
      </c>
      <c r="V365" t="s">
        <v>163</v>
      </c>
    </row>
    <row r="366" spans="19:22" x14ac:dyDescent="0.45">
      <c r="S366" t="s">
        <v>234</v>
      </c>
      <c r="T366" t="s">
        <v>170</v>
      </c>
      <c r="U366">
        <v>0.17744847364952529</v>
      </c>
      <c r="V366" t="s">
        <v>163</v>
      </c>
    </row>
    <row r="367" spans="19:22" x14ac:dyDescent="0.45">
      <c r="S367" t="s">
        <v>234</v>
      </c>
      <c r="T367" t="s">
        <v>171</v>
      </c>
      <c r="U367">
        <v>7.8946186707612123E-2</v>
      </c>
      <c r="V367" t="s">
        <v>163</v>
      </c>
    </row>
    <row r="368" spans="19:22" x14ac:dyDescent="0.45">
      <c r="S368" t="s">
        <v>234</v>
      </c>
      <c r="T368" t="s">
        <v>172</v>
      </c>
      <c r="U368">
        <v>4.5048723786864316E-2</v>
      </c>
      <c r="V368" t="s">
        <v>163</v>
      </c>
    </row>
    <row r="369" spans="19:22" x14ac:dyDescent="0.45">
      <c r="S369" t="s">
        <v>234</v>
      </c>
      <c r="T369" t="s">
        <v>173</v>
      </c>
      <c r="U369">
        <v>7.722073484605918E-2</v>
      </c>
      <c r="V369" t="s">
        <v>163</v>
      </c>
    </row>
    <row r="370" spans="19:22" x14ac:dyDescent="0.45">
      <c r="S370" t="s">
        <v>234</v>
      </c>
      <c r="T370" t="s">
        <v>174</v>
      </c>
      <c r="U370">
        <v>3.1833262018863447E-2</v>
      </c>
      <c r="V370" t="s">
        <v>163</v>
      </c>
    </row>
    <row r="371" spans="19:22" x14ac:dyDescent="0.45">
      <c r="S371" t="s">
        <v>235</v>
      </c>
      <c r="T371" t="s">
        <v>162</v>
      </c>
      <c r="U371">
        <v>4.0396313354428504E-2</v>
      </c>
      <c r="V371" t="s">
        <v>163</v>
      </c>
    </row>
    <row r="372" spans="19:22" x14ac:dyDescent="0.45">
      <c r="S372" t="s">
        <v>235</v>
      </c>
      <c r="T372" t="s">
        <v>164</v>
      </c>
      <c r="U372">
        <v>6.7135739172795639E-2</v>
      </c>
      <c r="V372" t="s">
        <v>163</v>
      </c>
    </row>
    <row r="373" spans="19:22" x14ac:dyDescent="0.45">
      <c r="S373" t="s">
        <v>235</v>
      </c>
      <c r="T373" t="s">
        <v>165</v>
      </c>
      <c r="U373">
        <v>3.1302828528524014E-2</v>
      </c>
      <c r="V373" t="s">
        <v>163</v>
      </c>
    </row>
    <row r="374" spans="19:22" x14ac:dyDescent="0.45">
      <c r="S374" t="s">
        <v>235</v>
      </c>
      <c r="T374" t="s">
        <v>166</v>
      </c>
      <c r="U374">
        <v>8.9752570434207077E-2</v>
      </c>
      <c r="V374" t="s">
        <v>163</v>
      </c>
    </row>
    <row r="375" spans="19:22" x14ac:dyDescent="0.45">
      <c r="S375" t="s">
        <v>235</v>
      </c>
      <c r="T375" t="s">
        <v>167</v>
      </c>
      <c r="U375">
        <v>0.15543814987113325</v>
      </c>
      <c r="V375" t="s">
        <v>163</v>
      </c>
    </row>
    <row r="376" spans="19:22" x14ac:dyDescent="0.45">
      <c r="S376" t="s">
        <v>235</v>
      </c>
      <c r="T376" t="s">
        <v>168</v>
      </c>
      <c r="U376">
        <v>6.6392034452965612E-2</v>
      </c>
      <c r="V376" t="s">
        <v>163</v>
      </c>
    </row>
    <row r="377" spans="19:22" x14ac:dyDescent="0.45">
      <c r="S377" t="s">
        <v>235</v>
      </c>
      <c r="T377" t="s">
        <v>169</v>
      </c>
      <c r="U377">
        <v>0.12176422577938688</v>
      </c>
      <c r="V377" t="s">
        <v>163</v>
      </c>
    </row>
    <row r="378" spans="19:22" x14ac:dyDescent="0.45">
      <c r="S378" t="s">
        <v>235</v>
      </c>
      <c r="T378" t="s">
        <v>170</v>
      </c>
      <c r="U378">
        <v>0.19594625946955965</v>
      </c>
      <c r="V378" t="s">
        <v>163</v>
      </c>
    </row>
    <row r="379" spans="19:22" x14ac:dyDescent="0.45">
      <c r="S379" t="s">
        <v>235</v>
      </c>
      <c r="T379" t="s">
        <v>171</v>
      </c>
      <c r="U379">
        <v>8.2149058809660974E-2</v>
      </c>
      <c r="V379" t="s">
        <v>163</v>
      </c>
    </row>
    <row r="380" spans="19:22" x14ac:dyDescent="0.45">
      <c r="S380" t="s">
        <v>235</v>
      </c>
      <c r="T380" t="s">
        <v>172</v>
      </c>
      <c r="U380">
        <v>4.4129224031063799E-2</v>
      </c>
      <c r="V380" t="s">
        <v>163</v>
      </c>
    </row>
    <row r="381" spans="19:22" x14ac:dyDescent="0.45">
      <c r="S381" t="s">
        <v>235</v>
      </c>
      <c r="T381" t="s">
        <v>173</v>
      </c>
      <c r="U381">
        <v>7.3284566235071527E-2</v>
      </c>
      <c r="V381" t="s">
        <v>163</v>
      </c>
    </row>
    <row r="382" spans="19:22" x14ac:dyDescent="0.45">
      <c r="S382" t="s">
        <v>235</v>
      </c>
      <c r="T382" t="s">
        <v>174</v>
      </c>
      <c r="U382">
        <v>3.2309029861200121E-2</v>
      </c>
      <c r="V382" t="s">
        <v>163</v>
      </c>
    </row>
    <row r="383" spans="19:22" x14ac:dyDescent="0.45">
      <c r="S383" t="s">
        <v>236</v>
      </c>
      <c r="T383" t="s">
        <v>162</v>
      </c>
      <c r="U383">
        <v>3.8490040886964567E-2</v>
      </c>
      <c r="V383" t="s">
        <v>163</v>
      </c>
    </row>
    <row r="384" spans="19:22" x14ac:dyDescent="0.45">
      <c r="S384" t="s">
        <v>236</v>
      </c>
      <c r="T384" t="s">
        <v>164</v>
      </c>
      <c r="U384">
        <v>6.8079369880570784E-2</v>
      </c>
      <c r="V384" t="s">
        <v>163</v>
      </c>
    </row>
    <row r="385" spans="19:22" x14ac:dyDescent="0.45">
      <c r="S385" t="s">
        <v>236</v>
      </c>
      <c r="T385" t="s">
        <v>165</v>
      </c>
      <c r="U385">
        <v>3.0629717198251402E-2</v>
      </c>
      <c r="V385" t="s">
        <v>163</v>
      </c>
    </row>
    <row r="386" spans="19:22" x14ac:dyDescent="0.45">
      <c r="S386" t="s">
        <v>236</v>
      </c>
      <c r="T386" t="s">
        <v>166</v>
      </c>
      <c r="U386">
        <v>8.4080218261159897E-2</v>
      </c>
      <c r="V386" t="s">
        <v>163</v>
      </c>
    </row>
    <row r="387" spans="19:22" x14ac:dyDescent="0.45">
      <c r="S387" t="s">
        <v>236</v>
      </c>
      <c r="T387" t="s">
        <v>167</v>
      </c>
      <c r="U387">
        <v>0.14521631226787035</v>
      </c>
      <c r="V387" t="s">
        <v>163</v>
      </c>
    </row>
    <row r="388" spans="19:22" x14ac:dyDescent="0.45">
      <c r="S388" t="s">
        <v>236</v>
      </c>
      <c r="T388" t="s">
        <v>168</v>
      </c>
      <c r="U388">
        <v>5.9263343700377391E-2</v>
      </c>
      <c r="V388" t="s">
        <v>163</v>
      </c>
    </row>
    <row r="389" spans="19:22" x14ac:dyDescent="0.45">
      <c r="S389" t="s">
        <v>236</v>
      </c>
      <c r="T389" t="s">
        <v>169</v>
      </c>
      <c r="U389">
        <v>0.11528182832764403</v>
      </c>
      <c r="V389" t="s">
        <v>163</v>
      </c>
    </row>
    <row r="390" spans="19:22" x14ac:dyDescent="0.45">
      <c r="S390" t="s">
        <v>236</v>
      </c>
      <c r="T390" t="s">
        <v>170</v>
      </c>
      <c r="U390">
        <v>0.2084938440703715</v>
      </c>
      <c r="V390" t="s">
        <v>163</v>
      </c>
    </row>
    <row r="391" spans="19:22" x14ac:dyDescent="0.45">
      <c r="S391" t="s">
        <v>236</v>
      </c>
      <c r="T391" t="s">
        <v>171</v>
      </c>
      <c r="U391">
        <v>8.9707501075632329E-2</v>
      </c>
      <c r="V391" t="s">
        <v>163</v>
      </c>
    </row>
    <row r="392" spans="19:22" x14ac:dyDescent="0.45">
      <c r="S392" t="s">
        <v>236</v>
      </c>
      <c r="T392" t="s">
        <v>172</v>
      </c>
      <c r="U392">
        <v>4.2613179035052406E-2</v>
      </c>
      <c r="V392" t="s">
        <v>163</v>
      </c>
    </row>
    <row r="393" spans="19:22" x14ac:dyDescent="0.45">
      <c r="S393" t="s">
        <v>236</v>
      </c>
      <c r="T393" t="s">
        <v>173</v>
      </c>
      <c r="U393">
        <v>8.2794047334913232E-2</v>
      </c>
      <c r="V393" t="s">
        <v>163</v>
      </c>
    </row>
    <row r="394" spans="19:22" x14ac:dyDescent="0.45">
      <c r="S394" t="s">
        <v>236</v>
      </c>
      <c r="T394" t="s">
        <v>174</v>
      </c>
      <c r="U394">
        <v>3.535059796119093E-2</v>
      </c>
      <c r="V394" t="s">
        <v>163</v>
      </c>
    </row>
    <row r="395" spans="19:22" x14ac:dyDescent="0.45">
      <c r="S395" t="s">
        <v>237</v>
      </c>
      <c r="T395" t="s">
        <v>162</v>
      </c>
      <c r="U395">
        <v>4.3388058293715712E-2</v>
      </c>
      <c r="V395" t="s">
        <v>163</v>
      </c>
    </row>
    <row r="396" spans="19:22" x14ac:dyDescent="0.45">
      <c r="S396" t="s">
        <v>237</v>
      </c>
      <c r="T396" t="s">
        <v>164</v>
      </c>
      <c r="U396">
        <v>7.7545099036965798E-2</v>
      </c>
      <c r="V396" t="s">
        <v>163</v>
      </c>
    </row>
    <row r="397" spans="19:22" x14ac:dyDescent="0.45">
      <c r="S397" t="s">
        <v>237</v>
      </c>
      <c r="T397" t="s">
        <v>165</v>
      </c>
      <c r="U397">
        <v>3.3098257758359187E-2</v>
      </c>
      <c r="V397" t="s">
        <v>163</v>
      </c>
    </row>
    <row r="398" spans="19:22" x14ac:dyDescent="0.45">
      <c r="S398" t="s">
        <v>237</v>
      </c>
      <c r="T398" t="s">
        <v>166</v>
      </c>
      <c r="U398">
        <v>8.9190979535033993E-2</v>
      </c>
      <c r="V398" t="s">
        <v>163</v>
      </c>
    </row>
    <row r="399" spans="19:22" x14ac:dyDescent="0.45">
      <c r="S399" t="s">
        <v>237</v>
      </c>
      <c r="T399" t="s">
        <v>167</v>
      </c>
      <c r="U399">
        <v>0.15304566132603462</v>
      </c>
      <c r="V399" t="s">
        <v>163</v>
      </c>
    </row>
    <row r="400" spans="19:22" x14ac:dyDescent="0.45">
      <c r="S400" t="s">
        <v>237</v>
      </c>
      <c r="T400" t="s">
        <v>168</v>
      </c>
      <c r="U400">
        <v>6.4594414546685491E-2</v>
      </c>
      <c r="V400" t="s">
        <v>163</v>
      </c>
    </row>
    <row r="401" spans="19:22" x14ac:dyDescent="0.45">
      <c r="S401" t="s">
        <v>237</v>
      </c>
      <c r="T401" t="s">
        <v>169</v>
      </c>
      <c r="U401">
        <v>0.10753571614031303</v>
      </c>
      <c r="V401" t="s">
        <v>163</v>
      </c>
    </row>
    <row r="402" spans="19:22" x14ac:dyDescent="0.45">
      <c r="S402" t="s">
        <v>237</v>
      </c>
      <c r="T402" t="s">
        <v>170</v>
      </c>
      <c r="U402">
        <v>0.18926538287155928</v>
      </c>
      <c r="V402" t="s">
        <v>163</v>
      </c>
    </row>
    <row r="403" spans="19:22" x14ac:dyDescent="0.45">
      <c r="S403" t="s">
        <v>237</v>
      </c>
      <c r="T403" t="s">
        <v>171</v>
      </c>
      <c r="U403">
        <v>8.0056017253144457E-2</v>
      </c>
      <c r="V403" t="s">
        <v>163</v>
      </c>
    </row>
    <row r="404" spans="19:22" x14ac:dyDescent="0.45">
      <c r="S404" t="s">
        <v>237</v>
      </c>
      <c r="T404" t="s">
        <v>172</v>
      </c>
      <c r="U404">
        <v>4.4419579474073032E-2</v>
      </c>
      <c r="V404" t="s">
        <v>163</v>
      </c>
    </row>
    <row r="405" spans="19:22" x14ac:dyDescent="0.45">
      <c r="S405" t="s">
        <v>237</v>
      </c>
      <c r="T405" t="s">
        <v>173</v>
      </c>
      <c r="U405">
        <v>8.4150993969249369E-2</v>
      </c>
      <c r="V405" t="s">
        <v>163</v>
      </c>
    </row>
    <row r="406" spans="19:22" x14ac:dyDescent="0.45">
      <c r="S406" t="s">
        <v>237</v>
      </c>
      <c r="T406" t="s">
        <v>174</v>
      </c>
      <c r="U406">
        <v>3.3709839794860245E-2</v>
      </c>
      <c r="V406" t="s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A0319-3D7B-4C8F-881B-D89CBCC329EC}">
  <dimension ref="A9:AN159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128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123</v>
      </c>
      <c r="K10" t="s">
        <v>160</v>
      </c>
      <c r="L10" t="s">
        <v>30</v>
      </c>
      <c r="N10" t="s">
        <v>13</v>
      </c>
      <c r="O10" t="s">
        <v>123</v>
      </c>
      <c r="P10" t="s">
        <v>160</v>
      </c>
      <c r="Q10" t="s">
        <v>30</v>
      </c>
      <c r="S10" t="s">
        <v>13</v>
      </c>
      <c r="T10" t="s">
        <v>123</v>
      </c>
      <c r="U10" t="s">
        <v>160</v>
      </c>
      <c r="V10" t="s">
        <v>30</v>
      </c>
      <c r="X10" t="s">
        <v>238</v>
      </c>
      <c r="Y10" t="s">
        <v>160</v>
      </c>
      <c r="Z10" t="s">
        <v>123</v>
      </c>
      <c r="AA10" t="s">
        <v>13</v>
      </c>
      <c r="AC10" t="s">
        <v>13</v>
      </c>
      <c r="AD10" t="s">
        <v>123</v>
      </c>
      <c r="AE10" t="s">
        <v>160</v>
      </c>
      <c r="AG10" t="s">
        <v>13</v>
      </c>
      <c r="AH10" t="s">
        <v>123</v>
      </c>
      <c r="AI10" t="s">
        <v>244</v>
      </c>
      <c r="AK10" t="s">
        <v>47</v>
      </c>
      <c r="AL10" t="s">
        <v>123</v>
      </c>
      <c r="AM10" t="s">
        <v>245</v>
      </c>
      <c r="AN10" t="s">
        <v>246</v>
      </c>
    </row>
    <row r="11" spans="1:40" x14ac:dyDescent="0.45">
      <c r="A11" t="str">
        <f>IFERROR(IF(Veda!D5=A10,"ok","x"),"")</f>
        <v>x</v>
      </c>
      <c r="C11" t="s">
        <v>151</v>
      </c>
      <c r="D11" t="s">
        <v>152</v>
      </c>
      <c r="E11" t="s">
        <v>153</v>
      </c>
      <c r="F11" t="s">
        <v>248</v>
      </c>
      <c r="G11" t="s">
        <v>152</v>
      </c>
      <c r="I11" t="s">
        <v>161</v>
      </c>
      <c r="J11" t="s">
        <v>162</v>
      </c>
      <c r="K11">
        <v>4.1842274295740582E-3</v>
      </c>
      <c r="L11" t="s">
        <v>163</v>
      </c>
      <c r="N11" t="s">
        <v>190</v>
      </c>
      <c r="O11" t="s">
        <v>162</v>
      </c>
      <c r="P11">
        <v>2.5936807398782877E-2</v>
      </c>
      <c r="Q11" t="s">
        <v>163</v>
      </c>
      <c r="S11" t="s">
        <v>205</v>
      </c>
      <c r="T11" t="s">
        <v>162</v>
      </c>
      <c r="U11">
        <v>2.3217639751077563E-2</v>
      </c>
      <c r="V11" t="s">
        <v>163</v>
      </c>
      <c r="X11">
        <v>2.4771689497716895E-2</v>
      </c>
      <c r="Y11">
        <v>9.7827942553597048E-3</v>
      </c>
      <c r="Z11" t="s">
        <v>162</v>
      </c>
      <c r="AA11" t="s">
        <v>25</v>
      </c>
      <c r="AC11" t="s">
        <v>22</v>
      </c>
      <c r="AD11" t="s">
        <v>162</v>
      </c>
      <c r="AE11">
        <v>2.6948593496835788E-2</v>
      </c>
      <c r="AG11" t="s">
        <v>98</v>
      </c>
      <c r="AH11" t="s">
        <v>162</v>
      </c>
      <c r="AI11">
        <v>5.4264398046266926E-2</v>
      </c>
      <c r="AK11">
        <v>2020</v>
      </c>
      <c r="AL11" t="s">
        <v>151</v>
      </c>
      <c r="AM11">
        <v>0.48179554079696391</v>
      </c>
      <c r="AN11" t="s">
        <v>247</v>
      </c>
    </row>
    <row r="12" spans="1:40" x14ac:dyDescent="0.45">
      <c r="C12" t="s">
        <v>155</v>
      </c>
      <c r="E12" t="s">
        <v>156</v>
      </c>
      <c r="G12" t="s">
        <v>152</v>
      </c>
      <c r="I12" t="s">
        <v>161</v>
      </c>
      <c r="J12" t="s">
        <v>164</v>
      </c>
      <c r="K12">
        <v>3.9939233176185591E-2</v>
      </c>
      <c r="L12" t="s">
        <v>163</v>
      </c>
      <c r="N12" t="s">
        <v>190</v>
      </c>
      <c r="O12" t="s">
        <v>164</v>
      </c>
      <c r="P12">
        <v>1.4587779726022801E-2</v>
      </c>
      <c r="Q12" t="s">
        <v>163</v>
      </c>
      <c r="S12" t="s">
        <v>205</v>
      </c>
      <c r="T12" t="s">
        <v>164</v>
      </c>
      <c r="U12">
        <v>1.4011286775350327E-2</v>
      </c>
      <c r="V12" t="s">
        <v>163</v>
      </c>
      <c r="X12">
        <v>1.4155251141552512E-2</v>
      </c>
      <c r="Y12">
        <v>1.9277859267914713E-2</v>
      </c>
      <c r="Z12" t="s">
        <v>164</v>
      </c>
      <c r="AA12" t="s">
        <v>25</v>
      </c>
      <c r="AC12" t="s">
        <v>22</v>
      </c>
      <c r="AD12" t="s">
        <v>164</v>
      </c>
      <c r="AE12">
        <v>1.3843155219920246E-2</v>
      </c>
      <c r="AG12" t="s">
        <v>98</v>
      </c>
      <c r="AH12" t="s">
        <v>164</v>
      </c>
      <c r="AI12">
        <v>9.633220260893971E-2</v>
      </c>
      <c r="AK12">
        <v>2020</v>
      </c>
      <c r="AL12" t="s">
        <v>155</v>
      </c>
      <c r="AM12">
        <v>0.4938936781609195</v>
      </c>
      <c r="AN12" t="s">
        <v>247</v>
      </c>
    </row>
    <row r="13" spans="1:40" x14ac:dyDescent="0.45">
      <c r="C13" t="s">
        <v>157</v>
      </c>
      <c r="E13" t="s">
        <v>158</v>
      </c>
      <c r="G13" t="s">
        <v>152</v>
      </c>
      <c r="I13" t="s">
        <v>161</v>
      </c>
      <c r="J13" t="s">
        <v>165</v>
      </c>
      <c r="K13">
        <v>7.3477667041835976E-2</v>
      </c>
      <c r="L13" t="s">
        <v>163</v>
      </c>
      <c r="N13" t="s">
        <v>190</v>
      </c>
      <c r="O13" t="s">
        <v>165</v>
      </c>
      <c r="P13">
        <v>2.5110526590042564E-2</v>
      </c>
      <c r="Q13" t="s">
        <v>163</v>
      </c>
      <c r="S13" t="s">
        <v>205</v>
      </c>
      <c r="T13" t="s">
        <v>165</v>
      </c>
      <c r="U13">
        <v>2.2880024463189829E-2</v>
      </c>
      <c r="V13" t="s">
        <v>163</v>
      </c>
      <c r="X13">
        <v>2.1232876712328767E-2</v>
      </c>
      <c r="Y13">
        <v>3.0283502805194377E-2</v>
      </c>
      <c r="Z13" t="s">
        <v>165</v>
      </c>
      <c r="AA13" t="s">
        <v>25</v>
      </c>
      <c r="AC13" t="s">
        <v>22</v>
      </c>
      <c r="AD13" t="s">
        <v>165</v>
      </c>
      <c r="AE13">
        <v>1.4709479401875421E-2</v>
      </c>
      <c r="AG13" t="s">
        <v>98</v>
      </c>
      <c r="AH13" t="s">
        <v>165</v>
      </c>
      <c r="AI13">
        <v>8.2587404804680631E-2</v>
      </c>
      <c r="AK13">
        <v>2020</v>
      </c>
      <c r="AL13" t="s">
        <v>157</v>
      </c>
      <c r="AM13">
        <v>0.4694418089816571</v>
      </c>
      <c r="AN13" t="s">
        <v>247</v>
      </c>
    </row>
    <row r="14" spans="1:40" x14ac:dyDescent="0.45">
      <c r="C14" t="s">
        <v>159</v>
      </c>
      <c r="E14" t="s">
        <v>249</v>
      </c>
      <c r="G14" t="s">
        <v>152</v>
      </c>
      <c r="I14" t="s">
        <v>161</v>
      </c>
      <c r="J14" t="s">
        <v>256</v>
      </c>
      <c r="K14">
        <v>1.0567856299783294E-2</v>
      </c>
      <c r="L14" t="s">
        <v>163</v>
      </c>
      <c r="N14" t="s">
        <v>190</v>
      </c>
      <c r="O14" t="s">
        <v>256</v>
      </c>
      <c r="P14">
        <v>4.3965162491487351E-3</v>
      </c>
      <c r="Q14" t="s">
        <v>163</v>
      </c>
      <c r="S14" t="s">
        <v>205</v>
      </c>
      <c r="T14" t="s">
        <v>256</v>
      </c>
      <c r="U14">
        <v>3.9554147195334406E-3</v>
      </c>
      <c r="V14" t="s">
        <v>163</v>
      </c>
      <c r="X14">
        <v>3.5388127853881279E-3</v>
      </c>
      <c r="Y14">
        <v>6.8849497385409693E-3</v>
      </c>
      <c r="Z14" t="s">
        <v>256</v>
      </c>
      <c r="AA14" t="s">
        <v>25</v>
      </c>
      <c r="AC14" t="s">
        <v>22</v>
      </c>
      <c r="AD14" t="s">
        <v>256</v>
      </c>
      <c r="AE14">
        <v>2.8888684085137343E-3</v>
      </c>
      <c r="AG14" t="s">
        <v>98</v>
      </c>
      <c r="AH14" t="s">
        <v>256</v>
      </c>
      <c r="AI14">
        <v>4.769630815364212E-2</v>
      </c>
      <c r="AK14">
        <v>2020</v>
      </c>
      <c r="AL14" t="s">
        <v>159</v>
      </c>
      <c r="AM14">
        <v>0.46384145055871806</v>
      </c>
      <c r="AN14" t="s">
        <v>247</v>
      </c>
    </row>
    <row r="15" spans="1:40" x14ac:dyDescent="0.45">
      <c r="C15" t="s">
        <v>250</v>
      </c>
      <c r="E15" t="s">
        <v>251</v>
      </c>
      <c r="G15" t="s">
        <v>152</v>
      </c>
      <c r="I15" t="s">
        <v>161</v>
      </c>
      <c r="J15" t="s">
        <v>257</v>
      </c>
      <c r="K15">
        <v>9.4078835258249623E-3</v>
      </c>
      <c r="L15" t="s">
        <v>163</v>
      </c>
      <c r="N15" t="s">
        <v>190</v>
      </c>
      <c r="O15" t="s">
        <v>257</v>
      </c>
      <c r="P15">
        <v>4.3080541988071578E-3</v>
      </c>
      <c r="Q15" t="s">
        <v>163</v>
      </c>
      <c r="S15" t="s">
        <v>205</v>
      </c>
      <c r="T15" t="s">
        <v>257</v>
      </c>
      <c r="U15">
        <v>3.911441428243791E-3</v>
      </c>
      <c r="V15" t="s">
        <v>163</v>
      </c>
      <c r="X15">
        <v>3.5388127853881279E-3</v>
      </c>
      <c r="Y15">
        <v>5.3435430806586613E-3</v>
      </c>
      <c r="Z15" t="s">
        <v>257</v>
      </c>
      <c r="AA15" t="s">
        <v>25</v>
      </c>
      <c r="AC15" t="s">
        <v>22</v>
      </c>
      <c r="AD15" t="s">
        <v>257</v>
      </c>
      <c r="AE15">
        <v>3.3517518583378253E-3</v>
      </c>
      <c r="AG15" t="s">
        <v>98</v>
      </c>
      <c r="AH15" t="s">
        <v>257</v>
      </c>
      <c r="AI15">
        <v>8.9389987156230699E-2</v>
      </c>
      <c r="AK15">
        <v>2020</v>
      </c>
      <c r="AL15" t="s">
        <v>250</v>
      </c>
      <c r="AM15">
        <v>0.46211192810457508</v>
      </c>
      <c r="AN15" t="s">
        <v>247</v>
      </c>
    </row>
    <row r="16" spans="1:40" x14ac:dyDescent="0.45">
      <c r="C16" t="s">
        <v>252</v>
      </c>
      <c r="E16" t="s">
        <v>253</v>
      </c>
      <c r="G16" t="s">
        <v>152</v>
      </c>
      <c r="I16" t="s">
        <v>161</v>
      </c>
      <c r="J16" t="s">
        <v>258</v>
      </c>
      <c r="K16">
        <v>7.7347369509369627E-3</v>
      </c>
      <c r="L16" t="s">
        <v>163</v>
      </c>
      <c r="N16" t="s">
        <v>190</v>
      </c>
      <c r="O16" t="s">
        <v>258</v>
      </c>
      <c r="P16">
        <v>1.9443493126073737E-2</v>
      </c>
      <c r="Q16" t="s">
        <v>163</v>
      </c>
      <c r="S16" t="s">
        <v>205</v>
      </c>
      <c r="T16" t="s">
        <v>258</v>
      </c>
      <c r="U16">
        <v>1.8575418220902827E-2</v>
      </c>
      <c r="V16" t="s">
        <v>163</v>
      </c>
      <c r="X16">
        <v>1.7694063926940638E-2</v>
      </c>
      <c r="Y16">
        <v>1.3358857701646654E-2</v>
      </c>
      <c r="Z16" t="s">
        <v>258</v>
      </c>
      <c r="AA16" t="s">
        <v>25</v>
      </c>
      <c r="AC16" t="s">
        <v>22</v>
      </c>
      <c r="AD16" t="s">
        <v>258</v>
      </c>
      <c r="AE16">
        <v>1.8772667685821743E-2</v>
      </c>
      <c r="AG16" t="s">
        <v>98</v>
      </c>
      <c r="AH16" t="s">
        <v>258</v>
      </c>
      <c r="AI16">
        <v>7.3528596507437927E-2</v>
      </c>
      <c r="AK16">
        <v>2020</v>
      </c>
      <c r="AL16" t="s">
        <v>252</v>
      </c>
      <c r="AM16">
        <v>0.50502055660974055</v>
      </c>
      <c r="AN16" t="s">
        <v>247</v>
      </c>
    </row>
    <row r="17" spans="3:40" x14ac:dyDescent="0.45">
      <c r="C17" t="s">
        <v>254</v>
      </c>
      <c r="I17" t="s">
        <v>161</v>
      </c>
      <c r="J17" t="s">
        <v>166</v>
      </c>
      <c r="K17">
        <v>1.9521225503249217E-5</v>
      </c>
      <c r="L17" t="s">
        <v>163</v>
      </c>
      <c r="N17" t="s">
        <v>190</v>
      </c>
      <c r="O17" t="s">
        <v>166</v>
      </c>
      <c r="P17">
        <v>1.4985970773167757E-2</v>
      </c>
      <c r="Q17" t="s">
        <v>163</v>
      </c>
      <c r="S17" t="s">
        <v>205</v>
      </c>
      <c r="T17" t="s">
        <v>166</v>
      </c>
      <c r="U17">
        <v>3.0125242507421254E-2</v>
      </c>
      <c r="V17" t="s">
        <v>163</v>
      </c>
      <c r="X17">
        <v>2.2374429223744292E-2</v>
      </c>
      <c r="Y17">
        <v>8.8360722306474754E-3</v>
      </c>
      <c r="Z17" t="s">
        <v>166</v>
      </c>
      <c r="AA17" t="s">
        <v>25</v>
      </c>
      <c r="AC17" t="s">
        <v>22</v>
      </c>
      <c r="AD17" t="s">
        <v>166</v>
      </c>
      <c r="AE17">
        <v>2.4320456878082115E-2</v>
      </c>
      <c r="AG17" t="s">
        <v>98</v>
      </c>
      <c r="AH17" t="s">
        <v>166</v>
      </c>
      <c r="AI17">
        <v>4.9179699037579905E-2</v>
      </c>
      <c r="AK17">
        <v>2020</v>
      </c>
      <c r="AL17" t="s">
        <v>254</v>
      </c>
      <c r="AM17">
        <v>0.50403225806451613</v>
      </c>
      <c r="AN17" t="s">
        <v>247</v>
      </c>
    </row>
    <row r="18" spans="3:40" x14ac:dyDescent="0.45">
      <c r="C18" t="s">
        <v>255</v>
      </c>
      <c r="I18" t="s">
        <v>161</v>
      </c>
      <c r="J18" t="s">
        <v>167</v>
      </c>
      <c r="K18">
        <v>3.066475789032768E-2</v>
      </c>
      <c r="L18" t="s">
        <v>163</v>
      </c>
      <c r="N18" t="s">
        <v>190</v>
      </c>
      <c r="O18" t="s">
        <v>167</v>
      </c>
      <c r="P18">
        <v>7.6013200465799647E-3</v>
      </c>
      <c r="Q18" t="s">
        <v>163</v>
      </c>
      <c r="S18" t="s">
        <v>205</v>
      </c>
      <c r="T18" t="s">
        <v>167</v>
      </c>
      <c r="U18">
        <v>1.7599311911380141E-2</v>
      </c>
      <c r="V18" t="s">
        <v>163</v>
      </c>
      <c r="X18">
        <v>1.2785388127853882E-2</v>
      </c>
      <c r="Y18">
        <v>1.7412259983922967E-2</v>
      </c>
      <c r="Z18" t="s">
        <v>167</v>
      </c>
      <c r="AA18" t="s">
        <v>25</v>
      </c>
      <c r="AC18" t="s">
        <v>22</v>
      </c>
      <c r="AD18" t="s">
        <v>167</v>
      </c>
      <c r="AE18">
        <v>1.2526760686626118E-2</v>
      </c>
      <c r="AG18" t="s">
        <v>98</v>
      </c>
      <c r="AH18" t="s">
        <v>167</v>
      </c>
      <c r="AI18">
        <v>9.4022736527880513E-2</v>
      </c>
      <c r="AK18">
        <v>2020</v>
      </c>
      <c r="AL18" t="s">
        <v>255</v>
      </c>
      <c r="AM18">
        <v>0.50868549704828159</v>
      </c>
      <c r="AN18" t="s">
        <v>247</v>
      </c>
    </row>
    <row r="19" spans="3:40" x14ac:dyDescent="0.45">
      <c r="I19" t="s">
        <v>161</v>
      </c>
      <c r="J19" t="s">
        <v>168</v>
      </c>
      <c r="K19">
        <v>6.0385454142001832E-2</v>
      </c>
      <c r="L19" t="s">
        <v>163</v>
      </c>
      <c r="N19" t="s">
        <v>190</v>
      </c>
      <c r="O19" t="s">
        <v>168</v>
      </c>
      <c r="P19">
        <v>1.2823580404344044E-2</v>
      </c>
      <c r="Q19" t="s">
        <v>163</v>
      </c>
      <c r="S19" t="s">
        <v>205</v>
      </c>
      <c r="T19" t="s">
        <v>168</v>
      </c>
      <c r="U19">
        <v>2.6873653520120493E-2</v>
      </c>
      <c r="V19" t="s">
        <v>163</v>
      </c>
      <c r="X19">
        <v>1.9178082191780823E-2</v>
      </c>
      <c r="Y19">
        <v>2.7352841243401378E-2</v>
      </c>
      <c r="Z19" t="s">
        <v>168</v>
      </c>
      <c r="AA19" t="s">
        <v>25</v>
      </c>
      <c r="AC19" t="s">
        <v>22</v>
      </c>
      <c r="AD19" t="s">
        <v>168</v>
      </c>
      <c r="AE19">
        <v>1.3278655344992885E-2</v>
      </c>
      <c r="AG19" t="s">
        <v>98</v>
      </c>
      <c r="AH19" t="s">
        <v>168</v>
      </c>
      <c r="AI19">
        <v>7.0809483913471416E-2</v>
      </c>
      <c r="AK19">
        <v>2021</v>
      </c>
      <c r="AL19" t="s">
        <v>151</v>
      </c>
      <c r="AM19">
        <v>0.43732210626185958</v>
      </c>
      <c r="AN19" t="s">
        <v>247</v>
      </c>
    </row>
    <row r="20" spans="3:40" x14ac:dyDescent="0.45">
      <c r="I20" t="s">
        <v>161</v>
      </c>
      <c r="J20" t="s">
        <v>259</v>
      </c>
      <c r="K20">
        <v>9.0524913644038432E-3</v>
      </c>
      <c r="L20" t="s">
        <v>163</v>
      </c>
      <c r="N20" t="s">
        <v>190</v>
      </c>
      <c r="O20" t="s">
        <v>259</v>
      </c>
      <c r="P20">
        <v>2.3089262048028325E-3</v>
      </c>
      <c r="Q20" t="s">
        <v>163</v>
      </c>
      <c r="S20" t="s">
        <v>205</v>
      </c>
      <c r="T20" t="s">
        <v>259</v>
      </c>
      <c r="U20">
        <v>4.5180671039036944E-3</v>
      </c>
      <c r="V20" t="s">
        <v>163</v>
      </c>
      <c r="X20">
        <v>3.1963470319634705E-3</v>
      </c>
      <c r="Y20">
        <v>6.2186642799724884E-3</v>
      </c>
      <c r="Z20" t="s">
        <v>259</v>
      </c>
      <c r="AA20" t="s">
        <v>25</v>
      </c>
      <c r="AC20" t="s">
        <v>22</v>
      </c>
      <c r="AD20" t="s">
        <v>259</v>
      </c>
      <c r="AE20">
        <v>2.6016734713987673E-3</v>
      </c>
      <c r="AG20" t="s">
        <v>98</v>
      </c>
      <c r="AH20" t="s">
        <v>259</v>
      </c>
      <c r="AI20">
        <v>4.295158608391092E-2</v>
      </c>
      <c r="AK20">
        <v>2021</v>
      </c>
      <c r="AL20" t="s">
        <v>155</v>
      </c>
      <c r="AM20">
        <v>0.45135241596638648</v>
      </c>
      <c r="AN20" t="s">
        <v>247</v>
      </c>
    </row>
    <row r="21" spans="3:40" x14ac:dyDescent="0.45">
      <c r="I21" t="s">
        <v>161</v>
      </c>
      <c r="J21" t="s">
        <v>260</v>
      </c>
      <c r="K21">
        <v>7.9014363452491951E-3</v>
      </c>
      <c r="L21" t="s">
        <v>163</v>
      </c>
      <c r="N21" t="s">
        <v>190</v>
      </c>
      <c r="O21" t="s">
        <v>260</v>
      </c>
      <c r="P21">
        <v>2.2886932599637979E-3</v>
      </c>
      <c r="Q21" t="s">
        <v>163</v>
      </c>
      <c r="S21" t="s">
        <v>205</v>
      </c>
      <c r="T21" t="s">
        <v>260</v>
      </c>
      <c r="U21">
        <v>4.490616737257095E-3</v>
      </c>
      <c r="V21" t="s">
        <v>163</v>
      </c>
      <c r="X21">
        <v>3.1963470319634705E-3</v>
      </c>
      <c r="Y21">
        <v>4.8264260083368555E-3</v>
      </c>
      <c r="Z21" t="s">
        <v>260</v>
      </c>
      <c r="AA21" t="s">
        <v>25</v>
      </c>
      <c r="AC21" t="s">
        <v>22</v>
      </c>
      <c r="AD21" t="s">
        <v>260</v>
      </c>
      <c r="AE21">
        <v>3.019177588791124E-3</v>
      </c>
      <c r="AG21" t="s">
        <v>98</v>
      </c>
      <c r="AH21" t="s">
        <v>260</v>
      </c>
      <c r="AI21">
        <v>8.5249006982327513E-2</v>
      </c>
      <c r="AK21">
        <v>2021</v>
      </c>
      <c r="AL21" t="s">
        <v>157</v>
      </c>
      <c r="AM21">
        <v>0.43238061353573681</v>
      </c>
      <c r="AN21" t="s">
        <v>247</v>
      </c>
    </row>
    <row r="22" spans="3:40" x14ac:dyDescent="0.45">
      <c r="I22" t="s">
        <v>161</v>
      </c>
      <c r="J22" t="s">
        <v>261</v>
      </c>
      <c r="K22">
        <v>5.3435736687804788E-3</v>
      </c>
      <c r="L22" t="s">
        <v>163</v>
      </c>
      <c r="N22" t="s">
        <v>190</v>
      </c>
      <c r="O22" t="s">
        <v>261</v>
      </c>
      <c r="P22">
        <v>1.133466010121335E-2</v>
      </c>
      <c r="Q22" t="s">
        <v>163</v>
      </c>
      <c r="S22" t="s">
        <v>205</v>
      </c>
      <c r="T22" t="s">
        <v>261</v>
      </c>
      <c r="U22">
        <v>2.2147978440995576E-2</v>
      </c>
      <c r="V22" t="s">
        <v>163</v>
      </c>
      <c r="X22">
        <v>1.5981735159817351E-2</v>
      </c>
      <c r="Y22">
        <v>1.2066065020842141E-2</v>
      </c>
      <c r="Z22" t="s">
        <v>261</v>
      </c>
      <c r="AA22" t="s">
        <v>25</v>
      </c>
      <c r="AC22" t="s">
        <v>22</v>
      </c>
      <c r="AD22" t="s">
        <v>261</v>
      </c>
      <c r="AE22">
        <v>1.6910348290204848E-2</v>
      </c>
      <c r="AG22" t="s">
        <v>98</v>
      </c>
      <c r="AH22" t="s">
        <v>261</v>
      </c>
      <c r="AI22">
        <v>7.3855213449832924E-2</v>
      </c>
      <c r="AK22">
        <v>2021</v>
      </c>
      <c r="AL22" t="s">
        <v>159</v>
      </c>
      <c r="AM22">
        <v>0.42295059825005266</v>
      </c>
      <c r="AN22" t="s">
        <v>247</v>
      </c>
    </row>
    <row r="23" spans="3:40" x14ac:dyDescent="0.45">
      <c r="I23" t="s">
        <v>161</v>
      </c>
      <c r="J23" t="s">
        <v>169</v>
      </c>
      <c r="K23">
        <v>0</v>
      </c>
      <c r="L23" t="s">
        <v>163</v>
      </c>
      <c r="N23" t="s">
        <v>190</v>
      </c>
      <c r="O23" t="s">
        <v>169</v>
      </c>
      <c r="P23">
        <v>1.739423116940355E-2</v>
      </c>
      <c r="Q23" t="s">
        <v>163</v>
      </c>
      <c r="S23" t="s">
        <v>205</v>
      </c>
      <c r="T23" t="s">
        <v>169</v>
      </c>
      <c r="U23">
        <v>2.3754199588401127E-2</v>
      </c>
      <c r="V23" t="s">
        <v>163</v>
      </c>
      <c r="X23">
        <v>2.4771689497716895E-2</v>
      </c>
      <c r="Y23">
        <v>9.7827942553597048E-3</v>
      </c>
      <c r="Z23" t="s">
        <v>169</v>
      </c>
      <c r="AA23" t="s">
        <v>25</v>
      </c>
      <c r="AC23" t="s">
        <v>22</v>
      </c>
      <c r="AD23" t="s">
        <v>169</v>
      </c>
      <c r="AE23">
        <v>2.657636522791464E-2</v>
      </c>
      <c r="AG23" t="s">
        <v>98</v>
      </c>
      <c r="AH23" t="s">
        <v>169</v>
      </c>
      <c r="AI23">
        <v>6.3245169905943976E-2</v>
      </c>
      <c r="AK23">
        <v>2021</v>
      </c>
      <c r="AL23" t="s">
        <v>250</v>
      </c>
      <c r="AM23">
        <v>0.4697712418300653</v>
      </c>
      <c r="AN23" t="s">
        <v>247</v>
      </c>
    </row>
    <row r="24" spans="3:40" x14ac:dyDescent="0.45">
      <c r="I24" t="s">
        <v>161</v>
      </c>
      <c r="J24" t="s">
        <v>170</v>
      </c>
      <c r="K24">
        <v>2.5419241560188842E-2</v>
      </c>
      <c r="L24" t="s">
        <v>163</v>
      </c>
      <c r="N24" t="s">
        <v>190</v>
      </c>
      <c r="O24" t="s">
        <v>170</v>
      </c>
      <c r="P24">
        <v>9.9353289733509799E-3</v>
      </c>
      <c r="Q24" t="s">
        <v>163</v>
      </c>
      <c r="S24" t="s">
        <v>205</v>
      </c>
      <c r="T24" t="s">
        <v>170</v>
      </c>
      <c r="U24">
        <v>1.3764118276652781E-2</v>
      </c>
      <c r="V24" t="s">
        <v>163</v>
      </c>
      <c r="X24">
        <v>1.4155251141552512E-2</v>
      </c>
      <c r="Y24">
        <v>1.9277859267914713E-2</v>
      </c>
      <c r="Z24" t="s">
        <v>170</v>
      </c>
      <c r="AA24" t="s">
        <v>25</v>
      </c>
      <c r="AC24" t="s">
        <v>22</v>
      </c>
      <c r="AD24" t="s">
        <v>170</v>
      </c>
      <c r="AE24">
        <v>1.3719200476450526E-2</v>
      </c>
      <c r="AG24" t="s">
        <v>98</v>
      </c>
      <c r="AH24" t="s">
        <v>170</v>
      </c>
      <c r="AI24">
        <v>0.10125591257543642</v>
      </c>
      <c r="AK24">
        <v>2021</v>
      </c>
      <c r="AL24" t="s">
        <v>252</v>
      </c>
      <c r="AM24">
        <v>0.54537608053974285</v>
      </c>
      <c r="AN24" t="s">
        <v>247</v>
      </c>
    </row>
    <row r="25" spans="3:40" x14ac:dyDescent="0.45">
      <c r="I25" t="s">
        <v>161</v>
      </c>
      <c r="J25" t="s">
        <v>171</v>
      </c>
      <c r="K25">
        <v>5.3746392741990792E-2</v>
      </c>
      <c r="L25" t="s">
        <v>163</v>
      </c>
      <c r="N25" t="s">
        <v>190</v>
      </c>
      <c r="O25" t="s">
        <v>171</v>
      </c>
      <c r="P25">
        <v>1.5840702473148675E-2</v>
      </c>
      <c r="Q25" t="s">
        <v>163</v>
      </c>
      <c r="S25" t="s">
        <v>205</v>
      </c>
      <c r="T25" t="s">
        <v>171</v>
      </c>
      <c r="U25">
        <v>2.2001134687296163E-2</v>
      </c>
      <c r="V25" t="s">
        <v>163</v>
      </c>
      <c r="X25">
        <v>2.1232876712328767E-2</v>
      </c>
      <c r="Y25">
        <v>3.0283502805194377E-2</v>
      </c>
      <c r="Z25" t="s">
        <v>171</v>
      </c>
      <c r="AA25" t="s">
        <v>25</v>
      </c>
      <c r="AC25" t="s">
        <v>22</v>
      </c>
      <c r="AD25" t="s">
        <v>171</v>
      </c>
      <c r="AE25">
        <v>1.4603486919803727E-2</v>
      </c>
      <c r="AG25" t="s">
        <v>98</v>
      </c>
      <c r="AH25" t="s">
        <v>171</v>
      </c>
      <c r="AI25">
        <v>6.7234198726643157E-2</v>
      </c>
      <c r="AK25">
        <v>2021</v>
      </c>
      <c r="AL25" t="s">
        <v>254</v>
      </c>
      <c r="AM25">
        <v>0.53862270714737503</v>
      </c>
      <c r="AN25" t="s">
        <v>247</v>
      </c>
    </row>
    <row r="26" spans="3:40" x14ac:dyDescent="0.45">
      <c r="I26" t="s">
        <v>161</v>
      </c>
      <c r="J26" t="s">
        <v>262</v>
      </c>
      <c r="K26">
        <v>7.6232417221596994E-3</v>
      </c>
      <c r="L26" t="s">
        <v>163</v>
      </c>
      <c r="N26" t="s">
        <v>190</v>
      </c>
      <c r="O26" t="s">
        <v>262</v>
      </c>
      <c r="P26">
        <v>2.648894608935747E-3</v>
      </c>
      <c r="Q26" t="s">
        <v>163</v>
      </c>
      <c r="S26" t="s">
        <v>205</v>
      </c>
      <c r="T26" t="s">
        <v>262</v>
      </c>
      <c r="U26">
        <v>3.8209577525813278E-3</v>
      </c>
      <c r="V26" t="s">
        <v>163</v>
      </c>
      <c r="X26">
        <v>3.5388127853881279E-3</v>
      </c>
      <c r="Y26">
        <v>6.8849497385409693E-3</v>
      </c>
      <c r="Z26" t="s">
        <v>262</v>
      </c>
      <c r="AA26" t="s">
        <v>25</v>
      </c>
      <c r="AC26" t="s">
        <v>22</v>
      </c>
      <c r="AD26" t="s">
        <v>262</v>
      </c>
      <c r="AE26">
        <v>2.8599027211659439E-3</v>
      </c>
      <c r="AG26" t="s">
        <v>98</v>
      </c>
      <c r="AH26" t="s">
        <v>262</v>
      </c>
      <c r="AI26">
        <v>5.4724375036419692E-2</v>
      </c>
      <c r="AK26">
        <v>2021</v>
      </c>
      <c r="AL26" t="s">
        <v>255</v>
      </c>
      <c r="AM26">
        <v>0.52120394528779257</v>
      </c>
      <c r="AN26" t="s">
        <v>247</v>
      </c>
    </row>
    <row r="27" spans="3:40" x14ac:dyDescent="0.45">
      <c r="I27" t="s">
        <v>161</v>
      </c>
      <c r="J27" t="s">
        <v>263</v>
      </c>
      <c r="K27">
        <v>6.1286985763506184E-3</v>
      </c>
      <c r="L27" t="s">
        <v>163</v>
      </c>
      <c r="N27" t="s">
        <v>190</v>
      </c>
      <c r="O27" t="s">
        <v>263</v>
      </c>
      <c r="P27">
        <v>2.6421816970874762E-3</v>
      </c>
      <c r="Q27" t="s">
        <v>163</v>
      </c>
      <c r="S27" t="s">
        <v>205</v>
      </c>
      <c r="T27" t="s">
        <v>263</v>
      </c>
      <c r="U27">
        <v>3.8358859577114959E-3</v>
      </c>
      <c r="V27" t="s">
        <v>163</v>
      </c>
      <c r="X27">
        <v>3.5388127853881279E-3</v>
      </c>
      <c r="Y27">
        <v>5.3435430806586613E-3</v>
      </c>
      <c r="Z27" t="s">
        <v>263</v>
      </c>
      <c r="AA27" t="s">
        <v>25</v>
      </c>
      <c r="AC27" t="s">
        <v>22</v>
      </c>
      <c r="AD27" t="s">
        <v>263</v>
      </c>
      <c r="AE27">
        <v>3.3137316930342922E-3</v>
      </c>
      <c r="AG27" t="s">
        <v>98</v>
      </c>
      <c r="AH27" t="s">
        <v>263</v>
      </c>
      <c r="AI27">
        <v>9.8500856558169314E-2</v>
      </c>
      <c r="AK27">
        <v>2022</v>
      </c>
      <c r="AL27" t="s">
        <v>151</v>
      </c>
      <c r="AM27">
        <v>0.45670528547629868</v>
      </c>
      <c r="AN27" t="s">
        <v>247</v>
      </c>
    </row>
    <row r="28" spans="3:40" x14ac:dyDescent="0.45">
      <c r="I28" t="s">
        <v>161</v>
      </c>
      <c r="J28" t="s">
        <v>264</v>
      </c>
      <c r="K28">
        <v>1.3351280726390463E-3</v>
      </c>
      <c r="L28" t="s">
        <v>163</v>
      </c>
      <c r="N28" t="s">
        <v>190</v>
      </c>
      <c r="O28" t="s">
        <v>264</v>
      </c>
      <c r="P28">
        <v>1.2578828596512064E-2</v>
      </c>
      <c r="Q28" t="s">
        <v>163</v>
      </c>
      <c r="S28" t="s">
        <v>205</v>
      </c>
      <c r="T28" t="s">
        <v>264</v>
      </c>
      <c r="U28">
        <v>1.8359008357708387E-2</v>
      </c>
      <c r="V28" t="s">
        <v>163</v>
      </c>
      <c r="X28">
        <v>1.7694063926940638E-2</v>
      </c>
      <c r="Y28">
        <v>1.3358857701646654E-2</v>
      </c>
      <c r="Z28" t="s">
        <v>264</v>
      </c>
      <c r="AA28" t="s">
        <v>25</v>
      </c>
      <c r="AC28" t="s">
        <v>22</v>
      </c>
      <c r="AD28" t="s">
        <v>264</v>
      </c>
      <c r="AE28">
        <v>1.8478476010364044E-2</v>
      </c>
      <c r="AG28" t="s">
        <v>98</v>
      </c>
      <c r="AH28" t="s">
        <v>264</v>
      </c>
      <c r="AI28">
        <v>8.5831249144549426E-2</v>
      </c>
      <c r="AK28">
        <v>2022</v>
      </c>
      <c r="AL28" t="s">
        <v>155</v>
      </c>
      <c r="AM28">
        <v>0.44276073105298458</v>
      </c>
      <c r="AN28" t="s">
        <v>247</v>
      </c>
    </row>
    <row r="29" spans="3:40" x14ac:dyDescent="0.45">
      <c r="I29" t="s">
        <v>161</v>
      </c>
      <c r="J29" t="s">
        <v>172</v>
      </c>
      <c r="K29">
        <v>0</v>
      </c>
      <c r="L29" t="s">
        <v>163</v>
      </c>
      <c r="N29" t="s">
        <v>190</v>
      </c>
      <c r="O29" t="s">
        <v>172</v>
      </c>
      <c r="P29">
        <v>4.6108664583707999E-2</v>
      </c>
      <c r="Q29" t="s">
        <v>163</v>
      </c>
      <c r="S29" t="s">
        <v>205</v>
      </c>
      <c r="T29" t="s">
        <v>172</v>
      </c>
      <c r="U29">
        <v>4.6980910795041964E-2</v>
      </c>
      <c r="V29" t="s">
        <v>163</v>
      </c>
      <c r="X29">
        <v>4.8744292237442921E-2</v>
      </c>
      <c r="Y29">
        <v>1.9250014502482003E-2</v>
      </c>
      <c r="Z29" t="s">
        <v>172</v>
      </c>
      <c r="AA29" t="s">
        <v>25</v>
      </c>
      <c r="AC29" t="s">
        <v>22</v>
      </c>
      <c r="AD29" t="s">
        <v>172</v>
      </c>
      <c r="AE29">
        <v>5.4699967707002035E-2</v>
      </c>
      <c r="AG29" t="s">
        <v>98</v>
      </c>
      <c r="AH29" t="s">
        <v>172</v>
      </c>
      <c r="AI29">
        <v>0.19001068869164039</v>
      </c>
      <c r="AK29">
        <v>2022</v>
      </c>
      <c r="AL29" t="s">
        <v>157</v>
      </c>
      <c r="AM29">
        <v>0.42594275329395731</v>
      </c>
      <c r="AN29" t="s">
        <v>247</v>
      </c>
    </row>
    <row r="30" spans="3:40" x14ac:dyDescent="0.45">
      <c r="I30" t="s">
        <v>161</v>
      </c>
      <c r="J30" t="s">
        <v>173</v>
      </c>
      <c r="K30">
        <v>2.7554230834063987E-2</v>
      </c>
      <c r="L30" t="s">
        <v>163</v>
      </c>
      <c r="N30" t="s">
        <v>190</v>
      </c>
      <c r="O30" t="s">
        <v>173</v>
      </c>
      <c r="P30">
        <v>2.6855774217183662E-2</v>
      </c>
      <c r="Q30" t="s">
        <v>163</v>
      </c>
      <c r="S30" t="s">
        <v>205</v>
      </c>
      <c r="T30" t="s">
        <v>173</v>
      </c>
      <c r="U30">
        <v>2.7335634228864817E-2</v>
      </c>
      <c r="V30" t="s">
        <v>163</v>
      </c>
      <c r="X30">
        <v>2.7853881278538814E-2</v>
      </c>
      <c r="Y30">
        <v>3.7933852107832171E-2</v>
      </c>
      <c r="Z30" t="s">
        <v>173</v>
      </c>
      <c r="AA30" t="s">
        <v>25</v>
      </c>
      <c r="AC30" t="s">
        <v>22</v>
      </c>
      <c r="AD30" t="s">
        <v>173</v>
      </c>
      <c r="AE30">
        <v>3.0267741903327598E-2</v>
      </c>
      <c r="AG30" t="s">
        <v>98</v>
      </c>
      <c r="AH30" t="s">
        <v>173</v>
      </c>
      <c r="AI30">
        <v>0.21001996900563613</v>
      </c>
      <c r="AK30">
        <v>2022</v>
      </c>
      <c r="AL30" t="s">
        <v>159</v>
      </c>
      <c r="AM30">
        <v>0.42298481750719374</v>
      </c>
      <c r="AN30" t="s">
        <v>247</v>
      </c>
    </row>
    <row r="31" spans="3:40" x14ac:dyDescent="0.45">
      <c r="I31" t="s">
        <v>161</v>
      </c>
      <c r="J31" t="s">
        <v>174</v>
      </c>
      <c r="K31">
        <v>6.6179354257908884E-2</v>
      </c>
      <c r="L31" t="s">
        <v>163</v>
      </c>
      <c r="N31" t="s">
        <v>190</v>
      </c>
      <c r="O31" t="s">
        <v>174</v>
      </c>
      <c r="P31">
        <v>4.243663025707882E-2</v>
      </c>
      <c r="Q31" t="s">
        <v>163</v>
      </c>
      <c r="S31" t="s">
        <v>205</v>
      </c>
      <c r="T31" t="s">
        <v>174</v>
      </c>
      <c r="U31">
        <v>4.0516112795727886E-2</v>
      </c>
      <c r="V31" t="s">
        <v>163</v>
      </c>
      <c r="X31">
        <v>4.1780821917808221E-2</v>
      </c>
      <c r="Y31">
        <v>5.9590118423124429E-2</v>
      </c>
      <c r="Z31" t="s">
        <v>174</v>
      </c>
      <c r="AA31" t="s">
        <v>25</v>
      </c>
      <c r="AC31" t="s">
        <v>22</v>
      </c>
      <c r="AD31" t="s">
        <v>174</v>
      </c>
      <c r="AE31">
        <v>3.026085027809227E-2</v>
      </c>
      <c r="AG31" t="s">
        <v>98</v>
      </c>
      <c r="AH31" t="s">
        <v>174</v>
      </c>
      <c r="AI31">
        <v>0.24496508370704495</v>
      </c>
      <c r="AK31">
        <v>2022</v>
      </c>
      <c r="AL31" t="s">
        <v>250</v>
      </c>
      <c r="AM31">
        <v>0.51594287949921747</v>
      </c>
      <c r="AN31" t="s">
        <v>247</v>
      </c>
    </row>
    <row r="32" spans="3:40" x14ac:dyDescent="0.45">
      <c r="I32" t="s">
        <v>161</v>
      </c>
      <c r="J32" t="s">
        <v>265</v>
      </c>
      <c r="K32">
        <v>7.9950934940566966E-3</v>
      </c>
      <c r="L32" t="s">
        <v>163</v>
      </c>
      <c r="N32" t="s">
        <v>190</v>
      </c>
      <c r="O32" t="s">
        <v>265</v>
      </c>
      <c r="P32">
        <v>7.0155457536233701E-3</v>
      </c>
      <c r="Q32" t="s">
        <v>163</v>
      </c>
      <c r="S32" t="s">
        <v>205</v>
      </c>
      <c r="T32" t="s">
        <v>265</v>
      </c>
      <c r="U32">
        <v>6.6093236617444208E-3</v>
      </c>
      <c r="V32" t="s">
        <v>163</v>
      </c>
      <c r="X32">
        <v>6.9634703196347035E-3</v>
      </c>
      <c r="Y32">
        <v>1.354780432422577E-2</v>
      </c>
      <c r="Z32" t="s">
        <v>265</v>
      </c>
      <c r="AA32" t="s">
        <v>25</v>
      </c>
      <c r="AC32" t="s">
        <v>22</v>
      </c>
      <c r="AD32" t="s">
        <v>265</v>
      </c>
      <c r="AE32">
        <v>5.1845918182678715E-3</v>
      </c>
      <c r="AG32" t="s">
        <v>98</v>
      </c>
      <c r="AH32" t="s">
        <v>265</v>
      </c>
      <c r="AI32">
        <v>0.10567861332753226</v>
      </c>
      <c r="AK32">
        <v>2022</v>
      </c>
      <c r="AL32" t="s">
        <v>252</v>
      </c>
      <c r="AM32">
        <v>0.57586408534841071</v>
      </c>
      <c r="AN32" t="s">
        <v>247</v>
      </c>
    </row>
    <row r="33" spans="9:40" x14ac:dyDescent="0.45">
      <c r="I33" t="s">
        <v>161</v>
      </c>
      <c r="J33" t="s">
        <v>266</v>
      </c>
      <c r="K33">
        <v>2.0066492634273191E-3</v>
      </c>
      <c r="L33" t="s">
        <v>163</v>
      </c>
      <c r="N33" t="s">
        <v>190</v>
      </c>
      <c r="O33" t="s">
        <v>266</v>
      </c>
      <c r="P33">
        <v>7.0363125166566102E-3</v>
      </c>
      <c r="Q33" t="s">
        <v>163</v>
      </c>
      <c r="S33" t="s">
        <v>205</v>
      </c>
      <c r="T33" t="s">
        <v>266</v>
      </c>
      <c r="U33">
        <v>6.5145178675228097E-3</v>
      </c>
      <c r="V33" t="s">
        <v>163</v>
      </c>
      <c r="X33">
        <v>6.9634703196347035E-3</v>
      </c>
      <c r="Y33">
        <v>1.0514713803876726E-2</v>
      </c>
      <c r="Z33" t="s">
        <v>266</v>
      </c>
      <c r="AA33" t="s">
        <v>25</v>
      </c>
      <c r="AC33" t="s">
        <v>22</v>
      </c>
      <c r="AD33" t="s">
        <v>266</v>
      </c>
      <c r="AE33">
        <v>6.0119358295861094E-3</v>
      </c>
      <c r="AG33" t="s">
        <v>98</v>
      </c>
      <c r="AH33" t="s">
        <v>266</v>
      </c>
      <c r="AI33">
        <v>0.15356820878662725</v>
      </c>
      <c r="AK33">
        <v>2022</v>
      </c>
      <c r="AL33" t="s">
        <v>254</v>
      </c>
      <c r="AM33">
        <v>0.544260184764501</v>
      </c>
      <c r="AN33" t="s">
        <v>247</v>
      </c>
    </row>
    <row r="34" spans="9:40" x14ac:dyDescent="0.45">
      <c r="I34" t="s">
        <v>161</v>
      </c>
      <c r="J34" t="s">
        <v>267</v>
      </c>
      <c r="K34">
        <v>0</v>
      </c>
      <c r="L34" t="s">
        <v>163</v>
      </c>
      <c r="N34" t="s">
        <v>190</v>
      </c>
      <c r="O34" t="s">
        <v>267</v>
      </c>
      <c r="P34">
        <v>3.3157604925628401E-2</v>
      </c>
      <c r="Q34" t="s">
        <v>163</v>
      </c>
      <c r="S34" t="s">
        <v>205</v>
      </c>
      <c r="T34" t="s">
        <v>267</v>
      </c>
      <c r="U34">
        <v>3.2005904830511391E-2</v>
      </c>
      <c r="V34" t="s">
        <v>163</v>
      </c>
      <c r="X34">
        <v>3.4817351598173514E-2</v>
      </c>
      <c r="Y34">
        <v>2.6286784509691803E-2</v>
      </c>
      <c r="Z34" t="s">
        <v>267</v>
      </c>
      <c r="AA34" t="s">
        <v>25</v>
      </c>
      <c r="AC34" t="s">
        <v>22</v>
      </c>
      <c r="AD34" t="s">
        <v>267</v>
      </c>
      <c r="AE34">
        <v>3.7399795080651291E-2</v>
      </c>
      <c r="AG34" t="s">
        <v>98</v>
      </c>
      <c r="AH34" t="s">
        <v>267</v>
      </c>
      <c r="AI34">
        <v>0.16953158453087291</v>
      </c>
      <c r="AK34">
        <v>2022</v>
      </c>
      <c r="AL34" t="s">
        <v>255</v>
      </c>
      <c r="AM34">
        <v>0.55699902821949621</v>
      </c>
      <c r="AN34" t="s">
        <v>247</v>
      </c>
    </row>
    <row r="35" spans="9:40" x14ac:dyDescent="0.45">
      <c r="I35" t="s">
        <v>161</v>
      </c>
      <c r="J35" t="s">
        <v>268</v>
      </c>
      <c r="K35">
        <v>0</v>
      </c>
      <c r="L35" t="s">
        <v>163</v>
      </c>
      <c r="N35" t="s">
        <v>190</v>
      </c>
      <c r="O35" t="s">
        <v>268</v>
      </c>
      <c r="P35">
        <v>2.2333703766040672E-2</v>
      </c>
      <c r="Q35" t="s">
        <v>163</v>
      </c>
      <c r="S35" t="s">
        <v>205</v>
      </c>
      <c r="T35" t="s">
        <v>268</v>
      </c>
      <c r="U35">
        <v>3.3925078717178599E-2</v>
      </c>
      <c r="V35" t="s">
        <v>163</v>
      </c>
      <c r="X35">
        <v>2.3972602739726026E-2</v>
      </c>
      <c r="Y35">
        <v>9.4672202471222967E-3</v>
      </c>
      <c r="Z35" t="s">
        <v>268</v>
      </c>
      <c r="AA35" t="s">
        <v>25</v>
      </c>
      <c r="AC35" t="s">
        <v>22</v>
      </c>
      <c r="AD35" t="s">
        <v>268</v>
      </c>
      <c r="AE35">
        <v>2.9262689938114154E-2</v>
      </c>
      <c r="AG35" t="s">
        <v>98</v>
      </c>
      <c r="AH35" t="s">
        <v>268</v>
      </c>
      <c r="AI35">
        <v>0.13649484604592166</v>
      </c>
      <c r="AK35">
        <v>2025</v>
      </c>
      <c r="AL35" t="s">
        <v>151</v>
      </c>
      <c r="AM35">
        <v>0.47420000000000001</v>
      </c>
      <c r="AN35" t="s">
        <v>247</v>
      </c>
    </row>
    <row r="36" spans="9:40" x14ac:dyDescent="0.45">
      <c r="I36" t="s">
        <v>161</v>
      </c>
      <c r="J36" t="s">
        <v>269</v>
      </c>
      <c r="K36">
        <v>6.4733097878018862E-3</v>
      </c>
      <c r="L36" t="s">
        <v>163</v>
      </c>
      <c r="N36" t="s">
        <v>190</v>
      </c>
      <c r="O36" t="s">
        <v>269</v>
      </c>
      <c r="P36">
        <v>1.218070814491445E-2</v>
      </c>
      <c r="Q36" t="s">
        <v>163</v>
      </c>
      <c r="S36" t="s">
        <v>205</v>
      </c>
      <c r="T36" t="s">
        <v>269</v>
      </c>
      <c r="U36">
        <v>1.9247126832521062E-2</v>
      </c>
      <c r="V36" t="s">
        <v>163</v>
      </c>
      <c r="X36">
        <v>1.3698630136986301E-2</v>
      </c>
      <c r="Y36">
        <v>1.8655992839917462E-2</v>
      </c>
      <c r="Z36" t="s">
        <v>269</v>
      </c>
      <c r="AA36" t="s">
        <v>25</v>
      </c>
      <c r="AC36" t="s">
        <v>22</v>
      </c>
      <c r="AD36" t="s">
        <v>269</v>
      </c>
      <c r="AE36">
        <v>1.6594860988737279E-2</v>
      </c>
      <c r="AG36" t="s">
        <v>98</v>
      </c>
      <c r="AH36" t="s">
        <v>269</v>
      </c>
      <c r="AI36">
        <v>0.14011669450325925</v>
      </c>
      <c r="AK36">
        <v>2025</v>
      </c>
      <c r="AL36" t="s">
        <v>155</v>
      </c>
      <c r="AM36">
        <v>0.50629999999999997</v>
      </c>
      <c r="AN36" t="s">
        <v>247</v>
      </c>
    </row>
    <row r="37" spans="9:40" x14ac:dyDescent="0.45">
      <c r="I37" t="s">
        <v>161</v>
      </c>
      <c r="J37" t="s">
        <v>270</v>
      </c>
      <c r="K37">
        <v>2.0585180275666467E-2</v>
      </c>
      <c r="L37" t="s">
        <v>163</v>
      </c>
      <c r="N37" t="s">
        <v>190</v>
      </c>
      <c r="O37" t="s">
        <v>270</v>
      </c>
      <c r="P37">
        <v>1.7566220209362965E-2</v>
      </c>
      <c r="Q37" t="s">
        <v>163</v>
      </c>
      <c r="S37" t="s">
        <v>205</v>
      </c>
      <c r="T37" t="s">
        <v>270</v>
      </c>
      <c r="U37">
        <v>2.8999591132722068E-2</v>
      </c>
      <c r="V37" t="s">
        <v>163</v>
      </c>
      <c r="X37">
        <v>2.0547945205479451E-2</v>
      </c>
      <c r="Y37">
        <v>2.9306615617930045E-2</v>
      </c>
      <c r="Z37" t="s">
        <v>270</v>
      </c>
      <c r="AA37" t="s">
        <v>25</v>
      </c>
      <c r="AC37" t="s">
        <v>22</v>
      </c>
      <c r="AD37" t="s">
        <v>270</v>
      </c>
      <c r="AE37">
        <v>1.6415535562755903E-2</v>
      </c>
      <c r="AG37" t="s">
        <v>98</v>
      </c>
      <c r="AH37" t="s">
        <v>270</v>
      </c>
      <c r="AI37">
        <v>0.25061332542191073</v>
      </c>
      <c r="AK37">
        <v>2025</v>
      </c>
      <c r="AL37" t="s">
        <v>157</v>
      </c>
      <c r="AM37">
        <v>0.4834</v>
      </c>
      <c r="AN37" t="s">
        <v>247</v>
      </c>
    </row>
    <row r="38" spans="9:40" x14ac:dyDescent="0.45">
      <c r="I38" t="s">
        <v>161</v>
      </c>
      <c r="J38" t="s">
        <v>271</v>
      </c>
      <c r="K38">
        <v>2.450114261021645E-3</v>
      </c>
      <c r="L38" t="s">
        <v>163</v>
      </c>
      <c r="N38" t="s">
        <v>190</v>
      </c>
      <c r="O38" t="s">
        <v>271</v>
      </c>
      <c r="P38">
        <v>3.0514463773639996E-3</v>
      </c>
      <c r="Q38" t="s">
        <v>163</v>
      </c>
      <c r="S38" t="s">
        <v>205</v>
      </c>
      <c r="T38" t="s">
        <v>271</v>
      </c>
      <c r="U38">
        <v>4.80417276534441E-3</v>
      </c>
      <c r="V38" t="s">
        <v>163</v>
      </c>
      <c r="X38">
        <v>3.4246575342465752E-3</v>
      </c>
      <c r="Y38">
        <v>6.662854585684809E-3</v>
      </c>
      <c r="Z38" t="s">
        <v>271</v>
      </c>
      <c r="AA38" t="s">
        <v>25</v>
      </c>
      <c r="AC38" t="s">
        <v>22</v>
      </c>
      <c r="AD38" t="s">
        <v>271</v>
      </c>
      <c r="AE38">
        <v>2.8707238079250961E-3</v>
      </c>
      <c r="AG38" t="s">
        <v>98</v>
      </c>
      <c r="AH38" t="s">
        <v>271</v>
      </c>
      <c r="AI38">
        <v>5.3483883848355118E-2</v>
      </c>
      <c r="AK38">
        <v>2025</v>
      </c>
      <c r="AL38" t="s">
        <v>159</v>
      </c>
      <c r="AM38">
        <v>0.49914999999999998</v>
      </c>
      <c r="AN38" t="s">
        <v>247</v>
      </c>
    </row>
    <row r="39" spans="9:40" x14ac:dyDescent="0.45">
      <c r="I39" t="s">
        <v>161</v>
      </c>
      <c r="J39" t="s">
        <v>272</v>
      </c>
      <c r="K39">
        <v>0</v>
      </c>
      <c r="L39" t="s">
        <v>163</v>
      </c>
      <c r="N39" t="s">
        <v>190</v>
      </c>
      <c r="O39" t="s">
        <v>272</v>
      </c>
      <c r="P39">
        <v>3.0757181953937366E-3</v>
      </c>
      <c r="Q39" t="s">
        <v>163</v>
      </c>
      <c r="S39" t="s">
        <v>205</v>
      </c>
      <c r="T39" t="s">
        <v>272</v>
      </c>
      <c r="U39">
        <v>4.7407935020689421E-3</v>
      </c>
      <c r="V39" t="s">
        <v>163</v>
      </c>
      <c r="X39">
        <v>3.4246575342465752E-3</v>
      </c>
      <c r="Y39">
        <v>5.1711707232180593E-3</v>
      </c>
      <c r="Z39" t="s">
        <v>272</v>
      </c>
      <c r="AA39" t="s">
        <v>25</v>
      </c>
      <c r="AC39" t="s">
        <v>22</v>
      </c>
      <c r="AD39" t="s">
        <v>272</v>
      </c>
      <c r="AE39">
        <v>3.4975146972787332E-3</v>
      </c>
      <c r="AG39" t="s">
        <v>98</v>
      </c>
      <c r="AH39" t="s">
        <v>272</v>
      </c>
      <c r="AI39">
        <v>0.13447192775814676</v>
      </c>
      <c r="AK39">
        <v>2025</v>
      </c>
      <c r="AL39" t="s">
        <v>250</v>
      </c>
      <c r="AM39">
        <v>0.51870000000000005</v>
      </c>
      <c r="AN39" t="s">
        <v>247</v>
      </c>
    </row>
    <row r="40" spans="9:40" x14ac:dyDescent="0.45">
      <c r="I40" t="s">
        <v>161</v>
      </c>
      <c r="J40" t="s">
        <v>273</v>
      </c>
      <c r="K40">
        <v>0</v>
      </c>
      <c r="L40" t="s">
        <v>163</v>
      </c>
      <c r="N40" t="s">
        <v>190</v>
      </c>
      <c r="O40" t="s">
        <v>273</v>
      </c>
      <c r="P40">
        <v>1.5722070607830294E-2</v>
      </c>
      <c r="Q40" t="s">
        <v>163</v>
      </c>
      <c r="S40" t="s">
        <v>205</v>
      </c>
      <c r="T40" t="s">
        <v>273</v>
      </c>
      <c r="U40">
        <v>2.2841141414312118E-2</v>
      </c>
      <c r="V40" t="s">
        <v>163</v>
      </c>
      <c r="X40">
        <v>1.7123287671232876E-2</v>
      </c>
      <c r="Y40">
        <v>1.2927926808045149E-2</v>
      </c>
      <c r="Z40" t="s">
        <v>273</v>
      </c>
      <c r="AA40" t="s">
        <v>25</v>
      </c>
      <c r="AC40" t="s">
        <v>22</v>
      </c>
      <c r="AD40" t="s">
        <v>273</v>
      </c>
      <c r="AE40">
        <v>2.0858441557153454E-2</v>
      </c>
      <c r="AG40" t="s">
        <v>98</v>
      </c>
      <c r="AH40" t="s">
        <v>273</v>
      </c>
      <c r="AI40">
        <v>0.16518626093417543</v>
      </c>
      <c r="AK40">
        <v>2025</v>
      </c>
      <c r="AL40" t="s">
        <v>252</v>
      </c>
      <c r="AM40">
        <v>0.52516666666666667</v>
      </c>
      <c r="AN40" t="s">
        <v>247</v>
      </c>
    </row>
    <row r="41" spans="9:40" x14ac:dyDescent="0.45">
      <c r="I41" t="s">
        <v>161</v>
      </c>
      <c r="J41" t="s">
        <v>274</v>
      </c>
      <c r="K41">
        <v>0</v>
      </c>
      <c r="L41" t="s">
        <v>163</v>
      </c>
      <c r="N41" t="s">
        <v>190</v>
      </c>
      <c r="O41" t="s">
        <v>274</v>
      </c>
      <c r="P41">
        <v>8.2351135530327468E-2</v>
      </c>
      <c r="Q41" t="s">
        <v>163</v>
      </c>
      <c r="S41" t="s">
        <v>205</v>
      </c>
      <c r="T41" t="s">
        <v>274</v>
      </c>
      <c r="U41">
        <v>8.1576795158282756E-2</v>
      </c>
      <c r="V41" t="s">
        <v>163</v>
      </c>
      <c r="X41">
        <v>7.3515981735159816E-2</v>
      </c>
      <c r="Y41">
        <v>2.9032808757841703E-2</v>
      </c>
      <c r="Z41" t="s">
        <v>274</v>
      </c>
      <c r="AA41" t="s">
        <v>25</v>
      </c>
      <c r="AC41" t="s">
        <v>22</v>
      </c>
      <c r="AD41" t="s">
        <v>274</v>
      </c>
      <c r="AE41">
        <v>8.9347711205685326E-2</v>
      </c>
      <c r="AG41" t="s">
        <v>98</v>
      </c>
      <c r="AH41" t="s">
        <v>274</v>
      </c>
      <c r="AI41">
        <v>0.16554389641884248</v>
      </c>
      <c r="AK41">
        <v>2025</v>
      </c>
      <c r="AL41" t="s">
        <v>254</v>
      </c>
      <c r="AM41">
        <v>0.52439999999999998</v>
      </c>
      <c r="AN41" t="s">
        <v>247</v>
      </c>
    </row>
    <row r="42" spans="9:40" x14ac:dyDescent="0.45">
      <c r="I42" t="s">
        <v>161</v>
      </c>
      <c r="J42" t="s">
        <v>275</v>
      </c>
      <c r="K42">
        <v>4.0327636738248268E-2</v>
      </c>
      <c r="L42" t="s">
        <v>163</v>
      </c>
      <c r="N42" t="s">
        <v>190</v>
      </c>
      <c r="O42" t="s">
        <v>275</v>
      </c>
      <c r="P42">
        <v>4.7583527367179308E-2</v>
      </c>
      <c r="Q42" t="s">
        <v>163</v>
      </c>
      <c r="S42" t="s">
        <v>205</v>
      </c>
      <c r="T42" t="s">
        <v>275</v>
      </c>
      <c r="U42">
        <v>4.7363487690845966E-2</v>
      </c>
      <c r="V42" t="s">
        <v>163</v>
      </c>
      <c r="X42">
        <v>4.2009132420091327E-2</v>
      </c>
      <c r="Y42">
        <v>5.721171137574689E-2</v>
      </c>
      <c r="Z42" t="s">
        <v>275</v>
      </c>
      <c r="AA42" t="s">
        <v>25</v>
      </c>
      <c r="AC42" t="s">
        <v>22</v>
      </c>
      <c r="AD42" t="s">
        <v>275</v>
      </c>
      <c r="AE42">
        <v>5.0748904468000976E-2</v>
      </c>
      <c r="AG42" t="s">
        <v>98</v>
      </c>
      <c r="AH42" t="s">
        <v>275</v>
      </c>
      <c r="AI42">
        <v>0.17138772811993608</v>
      </c>
      <c r="AK42">
        <v>2025</v>
      </c>
      <c r="AL42" t="s">
        <v>255</v>
      </c>
      <c r="AM42">
        <v>0.50445000000000007</v>
      </c>
      <c r="AN42" t="s">
        <v>247</v>
      </c>
    </row>
    <row r="43" spans="9:40" x14ac:dyDescent="0.45">
      <c r="I43" t="s">
        <v>161</v>
      </c>
      <c r="J43" t="s">
        <v>276</v>
      </c>
      <c r="K43">
        <v>0.10172351018781468</v>
      </c>
      <c r="L43" t="s">
        <v>163</v>
      </c>
      <c r="N43" t="s">
        <v>190</v>
      </c>
      <c r="O43" t="s">
        <v>276</v>
      </c>
      <c r="P43">
        <v>7.5202290354931922E-2</v>
      </c>
      <c r="Q43" t="s">
        <v>163</v>
      </c>
      <c r="S43" t="s">
        <v>205</v>
      </c>
      <c r="T43" t="s">
        <v>276</v>
      </c>
      <c r="U43">
        <v>7.1596241175866021E-2</v>
      </c>
      <c r="V43" t="s">
        <v>163</v>
      </c>
      <c r="X43">
        <v>6.3013698630136991E-2</v>
      </c>
      <c r="Y43">
        <v>8.9873621228318795E-2</v>
      </c>
      <c r="Z43" t="s">
        <v>276</v>
      </c>
      <c r="AA43" t="s">
        <v>25</v>
      </c>
      <c r="AC43" t="s">
        <v>22</v>
      </c>
      <c r="AD43" t="s">
        <v>276</v>
      </c>
      <c r="AE43">
        <v>4.9842324488621678E-2</v>
      </c>
      <c r="AG43" t="s">
        <v>98</v>
      </c>
      <c r="AH43" t="s">
        <v>276</v>
      </c>
      <c r="AI43">
        <v>0.29679815550343269</v>
      </c>
      <c r="AK43">
        <v>2026</v>
      </c>
      <c r="AL43" t="s">
        <v>151</v>
      </c>
      <c r="AM43">
        <v>0.44090000000000001</v>
      </c>
      <c r="AN43" t="s">
        <v>247</v>
      </c>
    </row>
    <row r="44" spans="9:40" x14ac:dyDescent="0.45">
      <c r="I44" t="s">
        <v>161</v>
      </c>
      <c r="J44" t="s">
        <v>277</v>
      </c>
      <c r="K44">
        <v>1.3329150491422007E-2</v>
      </c>
      <c r="L44" t="s">
        <v>163</v>
      </c>
      <c r="N44" t="s">
        <v>190</v>
      </c>
      <c r="O44" t="s">
        <v>277</v>
      </c>
      <c r="P44">
        <v>1.2111588318617911E-2</v>
      </c>
      <c r="Q44" t="s">
        <v>163</v>
      </c>
      <c r="S44" t="s">
        <v>205</v>
      </c>
      <c r="T44" t="s">
        <v>277</v>
      </c>
      <c r="U44">
        <v>1.1662432248625702E-2</v>
      </c>
      <c r="V44" t="s">
        <v>163</v>
      </c>
      <c r="X44">
        <v>1.0502283105022832E-2</v>
      </c>
      <c r="Y44">
        <v>2.0432754062766744E-2</v>
      </c>
      <c r="Z44" t="s">
        <v>277</v>
      </c>
      <c r="AA44" t="s">
        <v>25</v>
      </c>
      <c r="AC44" t="s">
        <v>22</v>
      </c>
      <c r="AD44" t="s">
        <v>277</v>
      </c>
      <c r="AE44">
        <v>8.6422361210374589E-3</v>
      </c>
      <c r="AG44" t="s">
        <v>98</v>
      </c>
      <c r="AH44" t="s">
        <v>277</v>
      </c>
      <c r="AI44">
        <v>9.6447294343016354E-2</v>
      </c>
      <c r="AK44">
        <v>2026</v>
      </c>
      <c r="AL44" t="s">
        <v>155</v>
      </c>
      <c r="AM44">
        <v>0.52190000000000003</v>
      </c>
      <c r="AN44" t="s">
        <v>247</v>
      </c>
    </row>
    <row r="45" spans="9:40" x14ac:dyDescent="0.45">
      <c r="I45" t="s">
        <v>161</v>
      </c>
      <c r="J45" t="s">
        <v>278</v>
      </c>
      <c r="K45">
        <v>5.3043927842254066E-3</v>
      </c>
      <c r="L45" t="s">
        <v>163</v>
      </c>
      <c r="N45" t="s">
        <v>190</v>
      </c>
      <c r="O45" t="s">
        <v>278</v>
      </c>
      <c r="P45">
        <v>1.2005859634772622E-2</v>
      </c>
      <c r="Q45" t="s">
        <v>163</v>
      </c>
      <c r="S45" t="s">
        <v>205</v>
      </c>
      <c r="T45" t="s">
        <v>278</v>
      </c>
      <c r="U45">
        <v>1.1522787252311709E-2</v>
      </c>
      <c r="V45" t="s">
        <v>163</v>
      </c>
      <c r="X45">
        <v>1.0502283105022832E-2</v>
      </c>
      <c r="Y45">
        <v>1.585825688453538E-2</v>
      </c>
      <c r="Z45" t="s">
        <v>278</v>
      </c>
      <c r="AA45" t="s">
        <v>25</v>
      </c>
      <c r="AC45" t="s">
        <v>22</v>
      </c>
      <c r="AD45" t="s">
        <v>278</v>
      </c>
      <c r="AE45">
        <v>1.0438979634436277E-2</v>
      </c>
      <c r="AG45" t="s">
        <v>98</v>
      </c>
      <c r="AH45" t="s">
        <v>278</v>
      </c>
      <c r="AI45">
        <v>0.16140739293698858</v>
      </c>
      <c r="AK45">
        <v>2026</v>
      </c>
      <c r="AL45" t="s">
        <v>157</v>
      </c>
      <c r="AM45">
        <v>0.40870000000000001</v>
      </c>
      <c r="AN45" t="s">
        <v>247</v>
      </c>
    </row>
    <row r="46" spans="9:40" x14ac:dyDescent="0.45">
      <c r="I46" t="s">
        <v>161</v>
      </c>
      <c r="J46" t="s">
        <v>279</v>
      </c>
      <c r="K46">
        <v>0</v>
      </c>
      <c r="L46" t="s">
        <v>163</v>
      </c>
      <c r="N46" t="s">
        <v>190</v>
      </c>
      <c r="O46" t="s">
        <v>279</v>
      </c>
      <c r="P46">
        <v>5.9431953987398638E-2</v>
      </c>
      <c r="Q46" t="s">
        <v>163</v>
      </c>
      <c r="S46" t="s">
        <v>205</v>
      </c>
      <c r="T46" t="s">
        <v>279</v>
      </c>
      <c r="U46">
        <v>5.7456466648824978E-2</v>
      </c>
      <c r="V46" t="s">
        <v>163</v>
      </c>
      <c r="X46">
        <v>5.2511415525114152E-2</v>
      </c>
      <c r="Y46">
        <v>3.9645642211338455E-2</v>
      </c>
      <c r="Z46" t="s">
        <v>279</v>
      </c>
      <c r="AA46" t="s">
        <v>25</v>
      </c>
      <c r="AC46" t="s">
        <v>22</v>
      </c>
      <c r="AD46" t="s">
        <v>279</v>
      </c>
      <c r="AE46">
        <v>6.2875831290163123E-2</v>
      </c>
      <c r="AG46" t="s">
        <v>98</v>
      </c>
      <c r="AH46" t="s">
        <v>279</v>
      </c>
      <c r="AI46">
        <v>0.22458105022480224</v>
      </c>
      <c r="AK46">
        <v>2026</v>
      </c>
      <c r="AL46" t="s">
        <v>159</v>
      </c>
      <c r="AM46">
        <v>0.4446</v>
      </c>
      <c r="AN46" t="s">
        <v>247</v>
      </c>
    </row>
    <row r="47" spans="9:40" x14ac:dyDescent="0.45">
      <c r="I47" t="s">
        <v>161</v>
      </c>
      <c r="J47" t="s">
        <v>280</v>
      </c>
      <c r="K47">
        <v>2.0006380832013108E-3</v>
      </c>
      <c r="L47" t="s">
        <v>163</v>
      </c>
      <c r="N47" t="s">
        <v>190</v>
      </c>
      <c r="O47" t="s">
        <v>280</v>
      </c>
      <c r="P47">
        <v>3.0534403276551065E-2</v>
      </c>
      <c r="Q47" t="s">
        <v>163</v>
      </c>
      <c r="S47" t="s">
        <v>205</v>
      </c>
      <c r="T47" t="s">
        <v>280</v>
      </c>
      <c r="U47">
        <v>1.5152803122201883E-2</v>
      </c>
      <c r="V47" t="s">
        <v>163</v>
      </c>
      <c r="X47">
        <v>2.4771689497716895E-2</v>
      </c>
      <c r="Y47">
        <v>9.7827942553597048E-3</v>
      </c>
      <c r="Z47" t="s">
        <v>280</v>
      </c>
      <c r="AA47" t="s">
        <v>25</v>
      </c>
      <c r="AC47" t="s">
        <v>22</v>
      </c>
      <c r="AD47" t="s">
        <v>280</v>
      </c>
      <c r="AE47">
        <v>2.8314003582872626E-2</v>
      </c>
      <c r="AG47" t="s">
        <v>98</v>
      </c>
      <c r="AH47" t="s">
        <v>280</v>
      </c>
      <c r="AI47">
        <v>0.13096952490386093</v>
      </c>
      <c r="AK47">
        <v>2026</v>
      </c>
      <c r="AL47" t="s">
        <v>250</v>
      </c>
      <c r="AM47">
        <v>0.55740000000000001</v>
      </c>
      <c r="AN47" t="s">
        <v>247</v>
      </c>
    </row>
    <row r="48" spans="9:40" x14ac:dyDescent="0.45">
      <c r="I48" t="s">
        <v>161</v>
      </c>
      <c r="J48" t="s">
        <v>281</v>
      </c>
      <c r="K48">
        <v>3.4055407361702324E-2</v>
      </c>
      <c r="L48" t="s">
        <v>163</v>
      </c>
      <c r="N48" t="s">
        <v>190</v>
      </c>
      <c r="O48" t="s">
        <v>281</v>
      </c>
      <c r="P48">
        <v>1.7072556389608334E-2</v>
      </c>
      <c r="Q48" t="s">
        <v>163</v>
      </c>
      <c r="S48" t="s">
        <v>205</v>
      </c>
      <c r="T48" t="s">
        <v>281</v>
      </c>
      <c r="U48">
        <v>9.0962652096434268E-3</v>
      </c>
      <c r="V48" t="s">
        <v>163</v>
      </c>
      <c r="X48">
        <v>1.4155251141552512E-2</v>
      </c>
      <c r="Y48">
        <v>1.9277859267914713E-2</v>
      </c>
      <c r="Z48" t="s">
        <v>281</v>
      </c>
      <c r="AA48" t="s">
        <v>25</v>
      </c>
      <c r="AC48" t="s">
        <v>22</v>
      </c>
      <c r="AD48" t="s">
        <v>281</v>
      </c>
      <c r="AE48">
        <v>1.4818060830846908E-2</v>
      </c>
      <c r="AG48" t="s">
        <v>98</v>
      </c>
      <c r="AH48" t="s">
        <v>281</v>
      </c>
      <c r="AI48">
        <v>0.16843617636631669</v>
      </c>
      <c r="AK48">
        <v>2026</v>
      </c>
      <c r="AL48" t="s">
        <v>252</v>
      </c>
      <c r="AM48">
        <v>0.54216666666666669</v>
      </c>
      <c r="AN48" t="s">
        <v>247</v>
      </c>
    </row>
    <row r="49" spans="9:40" x14ac:dyDescent="0.45">
      <c r="I49" t="s">
        <v>161</v>
      </c>
      <c r="J49" t="s">
        <v>282</v>
      </c>
      <c r="K49">
        <v>6.05767054327477E-2</v>
      </c>
      <c r="L49" t="s">
        <v>163</v>
      </c>
      <c r="N49" t="s">
        <v>190</v>
      </c>
      <c r="O49" t="s">
        <v>282</v>
      </c>
      <c r="P49">
        <v>2.875549337847335E-2</v>
      </c>
      <c r="Q49" t="s">
        <v>163</v>
      </c>
      <c r="S49" t="s">
        <v>205</v>
      </c>
      <c r="T49" t="s">
        <v>282</v>
      </c>
      <c r="U49">
        <v>1.4186505819508298E-2</v>
      </c>
      <c r="V49" t="s">
        <v>163</v>
      </c>
      <c r="X49">
        <v>2.1232876712328767E-2</v>
      </c>
      <c r="Y49">
        <v>3.0283502805194377E-2</v>
      </c>
      <c r="Z49" t="s">
        <v>282</v>
      </c>
      <c r="AA49" t="s">
        <v>25</v>
      </c>
      <c r="AC49" t="s">
        <v>22</v>
      </c>
      <c r="AD49" t="s">
        <v>282</v>
      </c>
      <c r="AE49">
        <v>1.4966255466988876E-2</v>
      </c>
      <c r="AG49" t="s">
        <v>98</v>
      </c>
      <c r="AH49" t="s">
        <v>282</v>
      </c>
      <c r="AI49">
        <v>7.7152130777014216E-2</v>
      </c>
      <c r="AK49">
        <v>2026</v>
      </c>
      <c r="AL49" t="s">
        <v>254</v>
      </c>
      <c r="AM49">
        <v>0.55249999999999999</v>
      </c>
      <c r="AN49" t="s">
        <v>247</v>
      </c>
    </row>
    <row r="50" spans="9:40" x14ac:dyDescent="0.45">
      <c r="I50" t="s">
        <v>161</v>
      </c>
      <c r="J50" t="s">
        <v>283</v>
      </c>
      <c r="K50">
        <v>8.1878257839807546E-3</v>
      </c>
      <c r="L50" t="s">
        <v>163</v>
      </c>
      <c r="N50" t="s">
        <v>190</v>
      </c>
      <c r="O50" t="s">
        <v>283</v>
      </c>
      <c r="P50">
        <v>4.7096517698128693E-3</v>
      </c>
      <c r="Q50" t="s">
        <v>163</v>
      </c>
      <c r="S50" t="s">
        <v>205</v>
      </c>
      <c r="T50" t="s">
        <v>283</v>
      </c>
      <c r="U50">
        <v>2.2999689373796044E-3</v>
      </c>
      <c r="V50" t="s">
        <v>163</v>
      </c>
      <c r="X50">
        <v>3.5388127853881279E-3</v>
      </c>
      <c r="Y50">
        <v>6.8849497385409693E-3</v>
      </c>
      <c r="Z50" t="s">
        <v>283</v>
      </c>
      <c r="AA50" t="s">
        <v>25</v>
      </c>
      <c r="AC50" t="s">
        <v>22</v>
      </c>
      <c r="AD50" t="s">
        <v>283</v>
      </c>
      <c r="AE50">
        <v>3.0611125595888921E-3</v>
      </c>
      <c r="AG50" t="s">
        <v>98</v>
      </c>
      <c r="AH50" t="s">
        <v>283</v>
      </c>
      <c r="AI50">
        <v>0.1241925313529042</v>
      </c>
      <c r="AK50">
        <v>2026</v>
      </c>
      <c r="AL50" t="s">
        <v>255</v>
      </c>
      <c r="AM50">
        <v>0.53075000000000006</v>
      </c>
      <c r="AN50" t="s">
        <v>247</v>
      </c>
    </row>
    <row r="51" spans="9:40" x14ac:dyDescent="0.45">
      <c r="I51" t="s">
        <v>161</v>
      </c>
      <c r="J51" t="s">
        <v>284</v>
      </c>
      <c r="K51">
        <v>6.0994303032090883E-3</v>
      </c>
      <c r="L51" t="s">
        <v>163</v>
      </c>
      <c r="N51" t="s">
        <v>190</v>
      </c>
      <c r="O51" t="s">
        <v>284</v>
      </c>
      <c r="P51">
        <v>4.7379416014815675E-3</v>
      </c>
      <c r="Q51" t="s">
        <v>163</v>
      </c>
      <c r="S51" t="s">
        <v>205</v>
      </c>
      <c r="T51" t="s">
        <v>284</v>
      </c>
      <c r="U51">
        <v>2.2090350543717994E-3</v>
      </c>
      <c r="V51" t="s">
        <v>163</v>
      </c>
      <c r="X51">
        <v>3.5388127853881279E-3</v>
      </c>
      <c r="Y51">
        <v>5.3435430806586613E-3</v>
      </c>
      <c r="Z51" t="s">
        <v>284</v>
      </c>
      <c r="AA51" t="s">
        <v>25</v>
      </c>
      <c r="AC51" t="s">
        <v>22</v>
      </c>
      <c r="AD51" t="s">
        <v>284</v>
      </c>
      <c r="AE51">
        <v>3.6574247928316634E-3</v>
      </c>
      <c r="AG51" t="s">
        <v>98</v>
      </c>
      <c r="AH51" t="s">
        <v>284</v>
      </c>
      <c r="AI51">
        <v>0.1429279183233203</v>
      </c>
      <c r="AK51">
        <v>2027</v>
      </c>
      <c r="AL51" t="s">
        <v>151</v>
      </c>
      <c r="AM51">
        <v>0.49230000000000002</v>
      </c>
      <c r="AN51" t="s">
        <v>247</v>
      </c>
    </row>
    <row r="52" spans="9:40" x14ac:dyDescent="0.45">
      <c r="I52" t="s">
        <v>161</v>
      </c>
      <c r="J52" t="s">
        <v>285</v>
      </c>
      <c r="K52">
        <v>8.9412695927761153E-4</v>
      </c>
      <c r="L52" t="s">
        <v>163</v>
      </c>
      <c r="N52" t="s">
        <v>190</v>
      </c>
      <c r="O52" t="s">
        <v>285</v>
      </c>
      <c r="P52">
        <v>2.3884268428013389E-2</v>
      </c>
      <c r="Q52" t="s">
        <v>163</v>
      </c>
      <c r="S52" t="s">
        <v>205</v>
      </c>
      <c r="T52" t="s">
        <v>285</v>
      </c>
      <c r="U52">
        <v>1.0047725128211334E-2</v>
      </c>
      <c r="V52" t="s">
        <v>163</v>
      </c>
      <c r="X52">
        <v>1.7694063926940638E-2</v>
      </c>
      <c r="Y52">
        <v>1.3358857701646654E-2</v>
      </c>
      <c r="Z52" t="s">
        <v>285</v>
      </c>
      <c r="AA52" t="s">
        <v>25</v>
      </c>
      <c r="AC52" t="s">
        <v>22</v>
      </c>
      <c r="AD52" t="s">
        <v>285</v>
      </c>
      <c r="AE52">
        <v>1.9663939326696311E-2</v>
      </c>
      <c r="AG52" t="s">
        <v>98</v>
      </c>
      <c r="AH52" t="s">
        <v>285</v>
      </c>
      <c r="AI52">
        <v>0.1361050731356015</v>
      </c>
      <c r="AK52">
        <v>2027</v>
      </c>
      <c r="AL52" t="s">
        <v>155</v>
      </c>
      <c r="AM52">
        <v>0.47570000000000001</v>
      </c>
      <c r="AN52" t="s">
        <v>247</v>
      </c>
    </row>
    <row r="53" spans="9:40" x14ac:dyDescent="0.45">
      <c r="I53" t="s">
        <v>161</v>
      </c>
      <c r="J53" t="s">
        <v>286</v>
      </c>
      <c r="K53">
        <v>7.4078848212524922E-3</v>
      </c>
      <c r="L53" t="s">
        <v>163</v>
      </c>
      <c r="N53" t="s">
        <v>190</v>
      </c>
      <c r="O53" t="s">
        <v>286</v>
      </c>
      <c r="P53">
        <v>4.2008123891141565E-2</v>
      </c>
      <c r="Q53" t="s">
        <v>163</v>
      </c>
      <c r="S53" t="s">
        <v>205</v>
      </c>
      <c r="T53" t="s">
        <v>286</v>
      </c>
      <c r="U53">
        <v>3.336468105807603E-2</v>
      </c>
      <c r="V53" t="s">
        <v>163</v>
      </c>
      <c r="X53">
        <v>4.8744292237442921E-2</v>
      </c>
      <c r="Y53">
        <v>1.9250014502482003E-2</v>
      </c>
      <c r="Z53" t="s">
        <v>286</v>
      </c>
      <c r="AA53" t="s">
        <v>25</v>
      </c>
      <c r="AC53" t="s">
        <v>22</v>
      </c>
      <c r="AD53" t="s">
        <v>286</v>
      </c>
      <c r="AE53">
        <v>5.2561570545679032E-2</v>
      </c>
      <c r="AG53" t="s">
        <v>98</v>
      </c>
      <c r="AH53" t="s">
        <v>286</v>
      </c>
      <c r="AI53">
        <v>7.8199338361619963E-2</v>
      </c>
      <c r="AK53">
        <v>2027</v>
      </c>
      <c r="AL53" t="s">
        <v>157</v>
      </c>
      <c r="AM53">
        <v>0.48230000000000001</v>
      </c>
      <c r="AN53" t="s">
        <v>247</v>
      </c>
    </row>
    <row r="54" spans="9:40" x14ac:dyDescent="0.45">
      <c r="I54" t="s">
        <v>161</v>
      </c>
      <c r="J54" t="s">
        <v>287</v>
      </c>
      <c r="K54">
        <v>7.1514676059219781E-2</v>
      </c>
      <c r="L54" t="s">
        <v>163</v>
      </c>
      <c r="N54" t="s">
        <v>190</v>
      </c>
      <c r="O54" t="s">
        <v>287</v>
      </c>
      <c r="P54">
        <v>2.5776406569542228E-2</v>
      </c>
      <c r="Q54" t="s">
        <v>163</v>
      </c>
      <c r="S54" t="s">
        <v>205</v>
      </c>
      <c r="T54" t="s">
        <v>287</v>
      </c>
      <c r="U54">
        <v>1.9072133142126975E-2</v>
      </c>
      <c r="V54" t="s">
        <v>163</v>
      </c>
      <c r="X54">
        <v>2.7853881278538814E-2</v>
      </c>
      <c r="Y54">
        <v>3.7933852107832171E-2</v>
      </c>
      <c r="Z54" t="s">
        <v>287</v>
      </c>
      <c r="AA54" t="s">
        <v>25</v>
      </c>
      <c r="AC54" t="s">
        <v>22</v>
      </c>
      <c r="AD54" t="s">
        <v>287</v>
      </c>
      <c r="AE54">
        <v>2.7357603947702952E-2</v>
      </c>
      <c r="AG54" t="s">
        <v>98</v>
      </c>
      <c r="AH54" t="s">
        <v>287</v>
      </c>
      <c r="AI54">
        <v>0.12010522854324246</v>
      </c>
      <c r="AK54">
        <v>2027</v>
      </c>
      <c r="AL54" t="s">
        <v>159</v>
      </c>
      <c r="AM54">
        <v>0.4355</v>
      </c>
      <c r="AN54" t="s">
        <v>247</v>
      </c>
    </row>
    <row r="55" spans="9:40" x14ac:dyDescent="0.45">
      <c r="I55" t="s">
        <v>161</v>
      </c>
      <c r="J55" t="s">
        <v>288</v>
      </c>
      <c r="K55">
        <v>0.12420596735607171</v>
      </c>
      <c r="L55" t="s">
        <v>163</v>
      </c>
      <c r="N55" t="s">
        <v>190</v>
      </c>
      <c r="O55" t="s">
        <v>288</v>
      </c>
      <c r="P55">
        <v>4.3959922383678574E-2</v>
      </c>
      <c r="Q55" t="s">
        <v>163</v>
      </c>
      <c r="S55" t="s">
        <v>205</v>
      </c>
      <c r="T55" t="s">
        <v>288</v>
      </c>
      <c r="U55">
        <v>2.7563334539383786E-2</v>
      </c>
      <c r="V55" t="s">
        <v>163</v>
      </c>
      <c r="X55">
        <v>4.1780821917808221E-2</v>
      </c>
      <c r="Y55">
        <v>5.9590118423124429E-2</v>
      </c>
      <c r="Z55" t="s">
        <v>288</v>
      </c>
      <c r="AA55" t="s">
        <v>25</v>
      </c>
      <c r="AC55" t="s">
        <v>22</v>
      </c>
      <c r="AD55" t="s">
        <v>288</v>
      </c>
      <c r="AE55">
        <v>2.8681535103392497E-2</v>
      </c>
      <c r="AG55" t="s">
        <v>98</v>
      </c>
      <c r="AH55" t="s">
        <v>288</v>
      </c>
      <c r="AI55">
        <v>5.9605579371265316E-2</v>
      </c>
      <c r="AK55">
        <v>2027</v>
      </c>
      <c r="AL55" t="s">
        <v>250</v>
      </c>
      <c r="AM55">
        <v>0.49099999999999999</v>
      </c>
      <c r="AN55" t="s">
        <v>247</v>
      </c>
    </row>
    <row r="56" spans="9:40" x14ac:dyDescent="0.45">
      <c r="I56" t="s">
        <v>161</v>
      </c>
      <c r="J56" t="s">
        <v>289</v>
      </c>
      <c r="K56">
        <v>1.6037170489253658E-2</v>
      </c>
      <c r="L56" t="s">
        <v>163</v>
      </c>
      <c r="N56" t="s">
        <v>190</v>
      </c>
      <c r="O56" t="s">
        <v>289</v>
      </c>
      <c r="P56">
        <v>7.1140787583909198E-3</v>
      </c>
      <c r="Q56" t="s">
        <v>163</v>
      </c>
      <c r="S56" t="s">
        <v>205</v>
      </c>
      <c r="T56" t="s">
        <v>289</v>
      </c>
      <c r="U56">
        <v>4.7713109685604905E-3</v>
      </c>
      <c r="V56" t="s">
        <v>163</v>
      </c>
      <c r="X56">
        <v>6.9634703196347035E-3</v>
      </c>
      <c r="Y56">
        <v>1.354780432422577E-2</v>
      </c>
      <c r="Z56" t="s">
        <v>289</v>
      </c>
      <c r="AA56" t="s">
        <v>25</v>
      </c>
      <c r="AC56" t="s">
        <v>22</v>
      </c>
      <c r="AD56" t="s">
        <v>289</v>
      </c>
      <c r="AE56">
        <v>5.6920132626679014E-3</v>
      </c>
      <c r="AG56" t="s">
        <v>98</v>
      </c>
      <c r="AH56" t="s">
        <v>289</v>
      </c>
      <c r="AI56">
        <v>6.2906150128901439E-2</v>
      </c>
      <c r="AK56">
        <v>2027</v>
      </c>
      <c r="AL56" t="s">
        <v>252</v>
      </c>
      <c r="AM56">
        <v>0.54346666666666665</v>
      </c>
      <c r="AN56" t="s">
        <v>247</v>
      </c>
    </row>
    <row r="57" spans="9:40" x14ac:dyDescent="0.45">
      <c r="I57" t="s">
        <v>161</v>
      </c>
      <c r="J57" t="s">
        <v>290</v>
      </c>
      <c r="K57">
        <v>1.328244919390386E-2</v>
      </c>
      <c r="L57" t="s">
        <v>163</v>
      </c>
      <c r="N57" t="s">
        <v>190</v>
      </c>
      <c r="O57" t="s">
        <v>290</v>
      </c>
      <c r="P57">
        <v>6.9675303450956226E-3</v>
      </c>
      <c r="Q57" t="s">
        <v>163</v>
      </c>
      <c r="S57" t="s">
        <v>205</v>
      </c>
      <c r="T57" t="s">
        <v>290</v>
      </c>
      <c r="U57">
        <v>4.8336229884877752E-3</v>
      </c>
      <c r="V57" t="s">
        <v>163</v>
      </c>
      <c r="X57">
        <v>6.9634703196347035E-3</v>
      </c>
      <c r="Y57">
        <v>1.0514713803876726E-2</v>
      </c>
      <c r="Z57" t="s">
        <v>290</v>
      </c>
      <c r="AA57" t="s">
        <v>25</v>
      </c>
      <c r="AC57" t="s">
        <v>22</v>
      </c>
      <c r="AD57" t="s">
        <v>290</v>
      </c>
      <c r="AE57">
        <v>6.6306489282295595E-3</v>
      </c>
      <c r="AG57" t="s">
        <v>98</v>
      </c>
      <c r="AH57" t="s">
        <v>290</v>
      </c>
      <c r="AI57">
        <v>0.10201043440940971</v>
      </c>
      <c r="AK57">
        <v>2027</v>
      </c>
      <c r="AL57" t="s">
        <v>254</v>
      </c>
      <c r="AM57">
        <v>0.51329999999999998</v>
      </c>
      <c r="AN57" t="s">
        <v>247</v>
      </c>
    </row>
    <row r="58" spans="9:40" x14ac:dyDescent="0.45">
      <c r="I58" t="s">
        <v>161</v>
      </c>
      <c r="J58" t="s">
        <v>291</v>
      </c>
      <c r="K58">
        <v>8.8775540467846258E-3</v>
      </c>
      <c r="L58" t="s">
        <v>163</v>
      </c>
      <c r="N58" t="s">
        <v>190</v>
      </c>
      <c r="O58" t="s">
        <v>291</v>
      </c>
      <c r="P58">
        <v>3.3086372862809667E-2</v>
      </c>
      <c r="Q58" t="s">
        <v>163</v>
      </c>
      <c r="S58" t="s">
        <v>205</v>
      </c>
      <c r="T58" t="s">
        <v>291</v>
      </c>
      <c r="U58">
        <v>2.3862695114008129E-2</v>
      </c>
      <c r="V58" t="s">
        <v>163</v>
      </c>
      <c r="X58">
        <v>3.4817351598173514E-2</v>
      </c>
      <c r="Y58">
        <v>2.6286784509691803E-2</v>
      </c>
      <c r="Z58" t="s">
        <v>291</v>
      </c>
      <c r="AA58" t="s">
        <v>25</v>
      </c>
      <c r="AC58" t="s">
        <v>22</v>
      </c>
      <c r="AD58" t="s">
        <v>291</v>
      </c>
      <c r="AE58">
        <v>3.6652443895532287E-2</v>
      </c>
      <c r="AG58" t="s">
        <v>98</v>
      </c>
      <c r="AH58" t="s">
        <v>291</v>
      </c>
      <c r="AI58">
        <v>0.10188180178320994</v>
      </c>
      <c r="AK58">
        <v>2027</v>
      </c>
      <c r="AL58" t="s">
        <v>255</v>
      </c>
      <c r="AM58">
        <v>0.52049999999999996</v>
      </c>
      <c r="AN58" t="s">
        <v>247</v>
      </c>
    </row>
    <row r="59" spans="9:40" x14ac:dyDescent="0.45">
      <c r="I59" t="s">
        <v>175</v>
      </c>
      <c r="J59" t="s">
        <v>162</v>
      </c>
      <c r="K59">
        <v>6.9219745079349797E-3</v>
      </c>
      <c r="L59" t="s">
        <v>163</v>
      </c>
      <c r="N59" t="s">
        <v>191</v>
      </c>
      <c r="O59" t="s">
        <v>162</v>
      </c>
      <c r="P59">
        <v>2.4946850305775467E-2</v>
      </c>
      <c r="Q59" t="s">
        <v>163</v>
      </c>
      <c r="S59" t="s">
        <v>206</v>
      </c>
      <c r="T59" t="s">
        <v>162</v>
      </c>
      <c r="U59">
        <v>2.7752226989257795E-2</v>
      </c>
      <c r="V59" t="s">
        <v>163</v>
      </c>
      <c r="AC59" t="s">
        <v>19</v>
      </c>
      <c r="AD59" t="s">
        <v>162</v>
      </c>
      <c r="AE59">
        <v>2.4984137855619697E-2</v>
      </c>
      <c r="AK59">
        <v>2028</v>
      </c>
      <c r="AL59" t="s">
        <v>151</v>
      </c>
      <c r="AM59">
        <v>0.47770000000000001</v>
      </c>
      <c r="AN59" t="s">
        <v>247</v>
      </c>
    </row>
    <row r="60" spans="9:40" x14ac:dyDescent="0.45">
      <c r="I60" t="s">
        <v>175</v>
      </c>
      <c r="J60" t="s">
        <v>164</v>
      </c>
      <c r="K60">
        <v>3.9238986507721216E-2</v>
      </c>
      <c r="L60" t="s">
        <v>163</v>
      </c>
      <c r="N60" t="s">
        <v>191</v>
      </c>
      <c r="O60" t="s">
        <v>164</v>
      </c>
      <c r="P60">
        <v>1.493433216301625E-2</v>
      </c>
      <c r="Q60" t="s">
        <v>163</v>
      </c>
      <c r="S60" t="s">
        <v>206</v>
      </c>
      <c r="T60" t="s">
        <v>164</v>
      </c>
      <c r="U60">
        <v>1.5934955719087724E-2</v>
      </c>
      <c r="V60" t="s">
        <v>163</v>
      </c>
      <c r="AC60" t="s">
        <v>19</v>
      </c>
      <c r="AD60" t="s">
        <v>164</v>
      </c>
      <c r="AE60">
        <v>1.41777010076897E-2</v>
      </c>
      <c r="AK60">
        <v>2028</v>
      </c>
      <c r="AL60" t="s">
        <v>155</v>
      </c>
      <c r="AM60">
        <v>0.44159999999999999</v>
      </c>
      <c r="AN60" t="s">
        <v>247</v>
      </c>
    </row>
    <row r="61" spans="9:40" x14ac:dyDescent="0.45">
      <c r="I61" t="s">
        <v>175</v>
      </c>
      <c r="J61" t="s">
        <v>165</v>
      </c>
      <c r="K61">
        <v>6.9974949651261095E-2</v>
      </c>
      <c r="L61" t="s">
        <v>163</v>
      </c>
      <c r="N61" t="s">
        <v>191</v>
      </c>
      <c r="O61" t="s">
        <v>165</v>
      </c>
      <c r="P61">
        <v>2.5092017743232862E-2</v>
      </c>
      <c r="Q61" t="s">
        <v>163</v>
      </c>
      <c r="S61" t="s">
        <v>206</v>
      </c>
      <c r="T61" t="s">
        <v>165</v>
      </c>
      <c r="U61">
        <v>2.3843764581817618E-2</v>
      </c>
      <c r="V61" t="s">
        <v>163</v>
      </c>
      <c r="AC61" t="s">
        <v>19</v>
      </c>
      <c r="AD61" t="s">
        <v>165</v>
      </c>
      <c r="AE61">
        <v>2.0881495828077575E-2</v>
      </c>
      <c r="AK61">
        <v>2028</v>
      </c>
      <c r="AL61" t="s">
        <v>157</v>
      </c>
      <c r="AM61">
        <v>0.44979999999999998</v>
      </c>
      <c r="AN61" t="s">
        <v>247</v>
      </c>
    </row>
    <row r="62" spans="9:40" x14ac:dyDescent="0.45">
      <c r="I62" t="s">
        <v>175</v>
      </c>
      <c r="J62" t="s">
        <v>256</v>
      </c>
      <c r="K62">
        <v>8.8912196111583849E-3</v>
      </c>
      <c r="L62" t="s">
        <v>163</v>
      </c>
      <c r="N62" t="s">
        <v>191</v>
      </c>
      <c r="O62" t="s">
        <v>256</v>
      </c>
      <c r="P62">
        <v>4.1736202292116656E-3</v>
      </c>
      <c r="Q62" t="s">
        <v>163</v>
      </c>
      <c r="S62" t="s">
        <v>206</v>
      </c>
      <c r="T62" t="s">
        <v>256</v>
      </c>
      <c r="U62">
        <v>4.2263185759843632E-3</v>
      </c>
      <c r="V62" t="s">
        <v>163</v>
      </c>
      <c r="AC62" t="s">
        <v>19</v>
      </c>
      <c r="AD62" t="s">
        <v>256</v>
      </c>
      <c r="AE62">
        <v>3.5080566338682533E-3</v>
      </c>
      <c r="AK62">
        <v>2028</v>
      </c>
      <c r="AL62" t="s">
        <v>159</v>
      </c>
      <c r="AM62">
        <v>0.46335000000000004</v>
      </c>
      <c r="AN62" t="s">
        <v>247</v>
      </c>
    </row>
    <row r="63" spans="9:40" x14ac:dyDescent="0.45">
      <c r="I63" t="s">
        <v>175</v>
      </c>
      <c r="J63" t="s">
        <v>257</v>
      </c>
      <c r="K63">
        <v>6.4664385476032463E-3</v>
      </c>
      <c r="L63" t="s">
        <v>163</v>
      </c>
      <c r="N63" t="s">
        <v>191</v>
      </c>
      <c r="O63" t="s">
        <v>257</v>
      </c>
      <c r="P63">
        <v>4.0339894527872105E-3</v>
      </c>
      <c r="Q63" t="s">
        <v>163</v>
      </c>
      <c r="S63" t="s">
        <v>206</v>
      </c>
      <c r="T63" t="s">
        <v>257</v>
      </c>
      <c r="U63">
        <v>4.2606251015598366E-3</v>
      </c>
      <c r="V63" t="s">
        <v>163</v>
      </c>
      <c r="AC63" t="s">
        <v>19</v>
      </c>
      <c r="AD63" t="s">
        <v>257</v>
      </c>
      <c r="AE63">
        <v>3.5374915543471578E-3</v>
      </c>
      <c r="AK63">
        <v>2028</v>
      </c>
      <c r="AL63" t="s">
        <v>250</v>
      </c>
      <c r="AM63">
        <v>0.4874</v>
      </c>
      <c r="AN63" t="s">
        <v>247</v>
      </c>
    </row>
    <row r="64" spans="9:40" x14ac:dyDescent="0.45">
      <c r="I64" t="s">
        <v>175</v>
      </c>
      <c r="J64" t="s">
        <v>258</v>
      </c>
      <c r="K64">
        <v>2.9512368234676047E-3</v>
      </c>
      <c r="L64" t="s">
        <v>163</v>
      </c>
      <c r="N64" t="s">
        <v>191</v>
      </c>
      <c r="O64" t="s">
        <v>258</v>
      </c>
      <c r="P64">
        <v>1.876750700753866E-2</v>
      </c>
      <c r="Q64" t="s">
        <v>163</v>
      </c>
      <c r="S64" t="s">
        <v>206</v>
      </c>
      <c r="T64" t="s">
        <v>258</v>
      </c>
      <c r="U64">
        <v>2.1567870696797279E-2</v>
      </c>
      <c r="V64" t="s">
        <v>163</v>
      </c>
      <c r="AC64" t="s">
        <v>19</v>
      </c>
      <c r="AD64" t="s">
        <v>258</v>
      </c>
      <c r="AE64">
        <v>1.7815522910931452E-2</v>
      </c>
      <c r="AK64">
        <v>2028</v>
      </c>
      <c r="AL64" t="s">
        <v>252</v>
      </c>
      <c r="AM64">
        <v>0.55059999999999998</v>
      </c>
      <c r="AN64" t="s">
        <v>247</v>
      </c>
    </row>
    <row r="65" spans="9:40" x14ac:dyDescent="0.45">
      <c r="I65" t="s">
        <v>175</v>
      </c>
      <c r="J65" t="s">
        <v>166</v>
      </c>
      <c r="K65">
        <v>4.3861475808091776E-3</v>
      </c>
      <c r="L65" t="s">
        <v>163</v>
      </c>
      <c r="N65" t="s">
        <v>191</v>
      </c>
      <c r="O65" t="s">
        <v>166</v>
      </c>
      <c r="P65">
        <v>1.2187610918374388E-2</v>
      </c>
      <c r="Q65" t="s">
        <v>163</v>
      </c>
      <c r="S65" t="s">
        <v>206</v>
      </c>
      <c r="T65" t="s">
        <v>166</v>
      </c>
      <c r="U65">
        <v>2.4453926296403288E-2</v>
      </c>
      <c r="V65" t="s">
        <v>163</v>
      </c>
      <c r="AC65" t="s">
        <v>19</v>
      </c>
      <c r="AD65" t="s">
        <v>166</v>
      </c>
      <c r="AE65">
        <v>2.2566134267185518E-2</v>
      </c>
      <c r="AK65">
        <v>2028</v>
      </c>
      <c r="AL65" t="s">
        <v>254</v>
      </c>
      <c r="AM65">
        <v>0.46960000000000002</v>
      </c>
      <c r="AN65" t="s">
        <v>247</v>
      </c>
    </row>
    <row r="66" spans="9:40" x14ac:dyDescent="0.45">
      <c r="I66" t="s">
        <v>175</v>
      </c>
      <c r="J66" t="s">
        <v>167</v>
      </c>
      <c r="K66">
        <v>3.2324256329938884E-2</v>
      </c>
      <c r="L66" t="s">
        <v>163</v>
      </c>
      <c r="N66" t="s">
        <v>191</v>
      </c>
      <c r="O66" t="s">
        <v>167</v>
      </c>
      <c r="P66">
        <v>6.6050792112240034E-3</v>
      </c>
      <c r="Q66" t="s">
        <v>163</v>
      </c>
      <c r="S66" t="s">
        <v>206</v>
      </c>
      <c r="T66" t="s">
        <v>167</v>
      </c>
      <c r="U66">
        <v>1.4606829460743237E-2</v>
      </c>
      <c r="V66" t="s">
        <v>163</v>
      </c>
      <c r="AC66" t="s">
        <v>19</v>
      </c>
      <c r="AD66" t="s">
        <v>167</v>
      </c>
      <c r="AE66">
        <v>1.2807774183680501E-2</v>
      </c>
      <c r="AK66">
        <v>2028</v>
      </c>
      <c r="AL66" t="s">
        <v>255</v>
      </c>
      <c r="AM66">
        <v>0.46905000000000002</v>
      </c>
      <c r="AN66" t="s">
        <v>247</v>
      </c>
    </row>
    <row r="67" spans="9:40" x14ac:dyDescent="0.45">
      <c r="I67" t="s">
        <v>175</v>
      </c>
      <c r="J67" t="s">
        <v>168</v>
      </c>
      <c r="K67">
        <v>5.5196523323726605E-2</v>
      </c>
      <c r="L67" t="s">
        <v>163</v>
      </c>
      <c r="N67" t="s">
        <v>191</v>
      </c>
      <c r="O67" t="s">
        <v>168</v>
      </c>
      <c r="P67">
        <v>1.2117109041099727E-2</v>
      </c>
      <c r="Q67" t="s">
        <v>163</v>
      </c>
      <c r="S67" t="s">
        <v>206</v>
      </c>
      <c r="T67" t="s">
        <v>168</v>
      </c>
      <c r="U67">
        <v>2.068465548134053E-2</v>
      </c>
      <c r="V67" t="s">
        <v>163</v>
      </c>
      <c r="AC67" t="s">
        <v>19</v>
      </c>
      <c r="AD67" t="s">
        <v>168</v>
      </c>
      <c r="AE67">
        <v>1.8861183973040686E-2</v>
      </c>
      <c r="AK67">
        <v>2029</v>
      </c>
      <c r="AL67" t="s">
        <v>151</v>
      </c>
      <c r="AM67">
        <v>0.50739999999999996</v>
      </c>
      <c r="AN67" t="s">
        <v>247</v>
      </c>
    </row>
    <row r="68" spans="9:40" x14ac:dyDescent="0.45">
      <c r="I68" t="s">
        <v>175</v>
      </c>
      <c r="J68" t="s">
        <v>259</v>
      </c>
      <c r="K68">
        <v>6.8005047787672145E-3</v>
      </c>
      <c r="L68" t="s">
        <v>163</v>
      </c>
      <c r="N68" t="s">
        <v>191</v>
      </c>
      <c r="O68" t="s">
        <v>259</v>
      </c>
      <c r="P68">
        <v>2.2974707075910069E-3</v>
      </c>
      <c r="Q68" t="s">
        <v>163</v>
      </c>
      <c r="S68" t="s">
        <v>206</v>
      </c>
      <c r="T68" t="s">
        <v>259</v>
      </c>
      <c r="U68">
        <v>3.4246628408206958E-3</v>
      </c>
      <c r="V68" t="s">
        <v>163</v>
      </c>
      <c r="AC68" t="s">
        <v>19</v>
      </c>
      <c r="AD68" t="s">
        <v>259</v>
      </c>
      <c r="AE68">
        <v>3.1682395985646789E-3</v>
      </c>
      <c r="AK68">
        <v>2029</v>
      </c>
      <c r="AL68" t="s">
        <v>155</v>
      </c>
      <c r="AM68">
        <v>0.53039999999999998</v>
      </c>
      <c r="AN68" t="s">
        <v>247</v>
      </c>
    </row>
    <row r="69" spans="9:40" x14ac:dyDescent="0.45">
      <c r="I69" t="s">
        <v>175</v>
      </c>
      <c r="J69" t="s">
        <v>260</v>
      </c>
      <c r="K69">
        <v>4.8577268531349227E-3</v>
      </c>
      <c r="L69" t="s">
        <v>163</v>
      </c>
      <c r="N69" t="s">
        <v>191</v>
      </c>
      <c r="O69" t="s">
        <v>260</v>
      </c>
      <c r="P69">
        <v>2.2293837873190434E-3</v>
      </c>
      <c r="Q69" t="s">
        <v>163</v>
      </c>
      <c r="S69" t="s">
        <v>206</v>
      </c>
      <c r="T69" t="s">
        <v>260</v>
      </c>
      <c r="U69">
        <v>3.3772045122079579E-3</v>
      </c>
      <c r="V69" t="s">
        <v>163</v>
      </c>
      <c r="AC69" t="s">
        <v>19</v>
      </c>
      <c r="AD69" t="s">
        <v>260</v>
      </c>
      <c r="AE69">
        <v>3.1947888314217392E-3</v>
      </c>
      <c r="AK69">
        <v>2029</v>
      </c>
      <c r="AL69" t="s">
        <v>157</v>
      </c>
      <c r="AM69">
        <v>0.50580000000000003</v>
      </c>
      <c r="AN69" t="s">
        <v>247</v>
      </c>
    </row>
    <row r="70" spans="9:40" x14ac:dyDescent="0.45">
      <c r="I70" t="s">
        <v>175</v>
      </c>
      <c r="J70" t="s">
        <v>261</v>
      </c>
      <c r="K70">
        <v>0</v>
      </c>
      <c r="L70" t="s">
        <v>163</v>
      </c>
      <c r="N70" t="s">
        <v>191</v>
      </c>
      <c r="O70" t="s">
        <v>261</v>
      </c>
      <c r="P70">
        <v>9.9134726091444653E-3</v>
      </c>
      <c r="Q70" t="s">
        <v>163</v>
      </c>
      <c r="S70" t="s">
        <v>206</v>
      </c>
      <c r="T70" t="s">
        <v>261</v>
      </c>
      <c r="U70">
        <v>1.5685610164785379E-2</v>
      </c>
      <c r="V70" t="s">
        <v>163</v>
      </c>
      <c r="AC70" t="s">
        <v>19</v>
      </c>
      <c r="AD70" t="s">
        <v>261</v>
      </c>
      <c r="AE70">
        <v>1.6089326325177719E-2</v>
      </c>
      <c r="AK70">
        <v>2029</v>
      </c>
      <c r="AL70" t="s">
        <v>159</v>
      </c>
      <c r="AM70">
        <v>0.53634999999999999</v>
      </c>
      <c r="AN70" t="s">
        <v>247</v>
      </c>
    </row>
    <row r="71" spans="9:40" x14ac:dyDescent="0.45">
      <c r="I71" t="s">
        <v>175</v>
      </c>
      <c r="J71" t="s">
        <v>169</v>
      </c>
      <c r="K71">
        <v>1.9474199826339808E-3</v>
      </c>
      <c r="L71" t="s">
        <v>163</v>
      </c>
      <c r="N71" t="s">
        <v>191</v>
      </c>
      <c r="O71" t="s">
        <v>169</v>
      </c>
      <c r="P71">
        <v>1.1559772947138548E-2</v>
      </c>
      <c r="Q71" t="s">
        <v>163</v>
      </c>
      <c r="S71" t="s">
        <v>206</v>
      </c>
      <c r="T71" t="s">
        <v>169</v>
      </c>
      <c r="U71">
        <v>2.3793868851271202E-2</v>
      </c>
      <c r="V71" t="s">
        <v>163</v>
      </c>
      <c r="AC71" t="s">
        <v>19</v>
      </c>
      <c r="AD71" t="s">
        <v>169</v>
      </c>
      <c r="AE71">
        <v>2.497661123764491E-2</v>
      </c>
      <c r="AK71">
        <v>2029</v>
      </c>
      <c r="AL71" t="s">
        <v>250</v>
      </c>
      <c r="AM71">
        <v>0.55200000000000005</v>
      </c>
      <c r="AN71" t="s">
        <v>247</v>
      </c>
    </row>
    <row r="72" spans="9:40" x14ac:dyDescent="0.45">
      <c r="I72" t="s">
        <v>175</v>
      </c>
      <c r="J72" t="s">
        <v>170</v>
      </c>
      <c r="K72">
        <v>3.0683717964864667E-2</v>
      </c>
      <c r="L72" t="s">
        <v>163</v>
      </c>
      <c r="N72" t="s">
        <v>191</v>
      </c>
      <c r="O72" t="s">
        <v>170</v>
      </c>
      <c r="P72">
        <v>8.2456140008480838E-3</v>
      </c>
      <c r="Q72" t="s">
        <v>163</v>
      </c>
      <c r="S72" t="s">
        <v>206</v>
      </c>
      <c r="T72" t="s">
        <v>170</v>
      </c>
      <c r="U72">
        <v>1.396357565508225E-2</v>
      </c>
      <c r="V72" t="s">
        <v>163</v>
      </c>
      <c r="AC72" t="s">
        <v>19</v>
      </c>
      <c r="AD72" t="s">
        <v>170</v>
      </c>
      <c r="AE72">
        <v>1.417904354382013E-2</v>
      </c>
      <c r="AK72">
        <v>2029</v>
      </c>
      <c r="AL72" t="s">
        <v>252</v>
      </c>
      <c r="AM72">
        <v>0.62453333333333338</v>
      </c>
      <c r="AN72" t="s">
        <v>247</v>
      </c>
    </row>
    <row r="73" spans="9:40" x14ac:dyDescent="0.45">
      <c r="I73" t="s">
        <v>175</v>
      </c>
      <c r="J73" t="s">
        <v>171</v>
      </c>
      <c r="K73">
        <v>5.3215741207007644E-2</v>
      </c>
      <c r="L73" t="s">
        <v>163</v>
      </c>
      <c r="N73" t="s">
        <v>191</v>
      </c>
      <c r="O73" t="s">
        <v>171</v>
      </c>
      <c r="P73">
        <v>1.3466531147174865E-2</v>
      </c>
      <c r="Q73" t="s">
        <v>163</v>
      </c>
      <c r="S73" t="s">
        <v>206</v>
      </c>
      <c r="T73" t="s">
        <v>171</v>
      </c>
      <c r="U73">
        <v>1.9908130930329587E-2</v>
      </c>
      <c r="V73" t="s">
        <v>163</v>
      </c>
      <c r="AC73" t="s">
        <v>19</v>
      </c>
      <c r="AD73" t="s">
        <v>171</v>
      </c>
      <c r="AE73">
        <v>2.0888593021504944E-2</v>
      </c>
      <c r="AK73">
        <v>2029</v>
      </c>
      <c r="AL73" t="s">
        <v>254</v>
      </c>
      <c r="AM73">
        <v>0.58279999999999998</v>
      </c>
      <c r="AN73" t="s">
        <v>247</v>
      </c>
    </row>
    <row r="74" spans="9:40" x14ac:dyDescent="0.45">
      <c r="I74" t="s">
        <v>175</v>
      </c>
      <c r="J74" t="s">
        <v>262</v>
      </c>
      <c r="K74">
        <v>6.2378250565083976E-3</v>
      </c>
      <c r="L74" t="s">
        <v>163</v>
      </c>
      <c r="N74" t="s">
        <v>191</v>
      </c>
      <c r="O74" t="s">
        <v>262</v>
      </c>
      <c r="P74">
        <v>2.1649568152047188E-3</v>
      </c>
      <c r="Q74" t="s">
        <v>163</v>
      </c>
      <c r="S74" t="s">
        <v>206</v>
      </c>
      <c r="T74" t="s">
        <v>262</v>
      </c>
      <c r="U74">
        <v>3.551234813782056E-3</v>
      </c>
      <c r="V74" t="s">
        <v>163</v>
      </c>
      <c r="AC74" t="s">
        <v>19</v>
      </c>
      <c r="AD74" t="s">
        <v>262</v>
      </c>
      <c r="AE74">
        <v>3.5085209110843167E-3</v>
      </c>
      <c r="AK74">
        <v>2029</v>
      </c>
      <c r="AL74" t="s">
        <v>255</v>
      </c>
      <c r="AM74">
        <v>0.54269999999999996</v>
      </c>
      <c r="AN74" t="s">
        <v>247</v>
      </c>
    </row>
    <row r="75" spans="9:40" x14ac:dyDescent="0.45">
      <c r="I75" t="s">
        <v>175</v>
      </c>
      <c r="J75" t="s">
        <v>263</v>
      </c>
      <c r="K75">
        <v>2.8681199608725488E-3</v>
      </c>
      <c r="L75" t="s">
        <v>163</v>
      </c>
      <c r="N75" t="s">
        <v>191</v>
      </c>
      <c r="O75" t="s">
        <v>263</v>
      </c>
      <c r="P75">
        <v>2.0348034359959203E-3</v>
      </c>
      <c r="Q75" t="s">
        <v>163</v>
      </c>
      <c r="S75" t="s">
        <v>206</v>
      </c>
      <c r="T75" t="s">
        <v>263</v>
      </c>
      <c r="U75">
        <v>3.6340153066660684E-3</v>
      </c>
      <c r="V75" t="s">
        <v>163</v>
      </c>
      <c r="AC75" t="s">
        <v>19</v>
      </c>
      <c r="AD75" t="s">
        <v>263</v>
      </c>
      <c r="AE75">
        <v>3.5373800541429949E-3</v>
      </c>
      <c r="AK75">
        <v>2030</v>
      </c>
      <c r="AL75" t="s">
        <v>151</v>
      </c>
      <c r="AM75">
        <v>0.56659999999999999</v>
      </c>
      <c r="AN75" t="s">
        <v>247</v>
      </c>
    </row>
    <row r="76" spans="9:40" x14ac:dyDescent="0.45">
      <c r="I76" t="s">
        <v>175</v>
      </c>
      <c r="J76" t="s">
        <v>264</v>
      </c>
      <c r="K76">
        <v>0</v>
      </c>
      <c r="L76" t="s">
        <v>163</v>
      </c>
      <c r="N76" t="s">
        <v>191</v>
      </c>
      <c r="O76" t="s">
        <v>264</v>
      </c>
      <c r="P76">
        <v>8.2567637139011572E-3</v>
      </c>
      <c r="Q76" t="s">
        <v>163</v>
      </c>
      <c r="S76" t="s">
        <v>206</v>
      </c>
      <c r="T76" t="s">
        <v>264</v>
      </c>
      <c r="U76">
        <v>1.7544191122849367E-2</v>
      </c>
      <c r="V76" t="s">
        <v>163</v>
      </c>
      <c r="AC76" t="s">
        <v>19</v>
      </c>
      <c r="AD76" t="s">
        <v>264</v>
      </c>
      <c r="AE76">
        <v>1.780834623641827E-2</v>
      </c>
      <c r="AK76">
        <v>2030</v>
      </c>
      <c r="AL76" t="s">
        <v>155</v>
      </c>
      <c r="AM76">
        <v>0.57250000000000001</v>
      </c>
      <c r="AN76" t="s">
        <v>247</v>
      </c>
    </row>
    <row r="77" spans="9:40" x14ac:dyDescent="0.45">
      <c r="I77" t="s">
        <v>175</v>
      </c>
      <c r="J77" t="s">
        <v>172</v>
      </c>
      <c r="K77">
        <v>0</v>
      </c>
      <c r="L77" t="s">
        <v>163</v>
      </c>
      <c r="N77" t="s">
        <v>191</v>
      </c>
      <c r="O77" t="s">
        <v>172</v>
      </c>
      <c r="P77">
        <v>4.6595477694152773E-2</v>
      </c>
      <c r="Q77" t="s">
        <v>163</v>
      </c>
      <c r="S77" t="s">
        <v>206</v>
      </c>
      <c r="T77" t="s">
        <v>172</v>
      </c>
      <c r="U77">
        <v>4.253969926083899E-2</v>
      </c>
      <c r="V77" t="s">
        <v>163</v>
      </c>
      <c r="AC77" t="s">
        <v>19</v>
      </c>
      <c r="AD77" t="s">
        <v>172</v>
      </c>
      <c r="AE77">
        <v>4.9178289155769474E-2</v>
      </c>
      <c r="AK77">
        <v>2030</v>
      </c>
      <c r="AL77" t="s">
        <v>157</v>
      </c>
      <c r="AM77">
        <v>0.53820000000000001</v>
      </c>
      <c r="AN77" t="s">
        <v>247</v>
      </c>
    </row>
    <row r="78" spans="9:40" x14ac:dyDescent="0.45">
      <c r="I78" t="s">
        <v>175</v>
      </c>
      <c r="J78" t="s">
        <v>173</v>
      </c>
      <c r="K78">
        <v>3.8346595497577469E-2</v>
      </c>
      <c r="L78" t="s">
        <v>163</v>
      </c>
      <c r="N78" t="s">
        <v>191</v>
      </c>
      <c r="O78" t="s">
        <v>173</v>
      </c>
      <c r="P78">
        <v>2.5401891762551223E-2</v>
      </c>
      <c r="Q78" t="s">
        <v>163</v>
      </c>
      <c r="S78" t="s">
        <v>206</v>
      </c>
      <c r="T78" t="s">
        <v>173</v>
      </c>
      <c r="U78">
        <v>2.3345369164968235E-2</v>
      </c>
      <c r="V78" t="s">
        <v>163</v>
      </c>
      <c r="AC78" t="s">
        <v>19</v>
      </c>
      <c r="AD78" t="s">
        <v>173</v>
      </c>
      <c r="AE78">
        <v>2.8038964338304457E-2</v>
      </c>
      <c r="AK78">
        <v>2030</v>
      </c>
      <c r="AL78" t="s">
        <v>159</v>
      </c>
      <c r="AM78">
        <v>0.50849999999999995</v>
      </c>
      <c r="AN78" t="s">
        <v>247</v>
      </c>
    </row>
    <row r="79" spans="9:40" x14ac:dyDescent="0.45">
      <c r="I79" t="s">
        <v>175</v>
      </c>
      <c r="J79" t="s">
        <v>174</v>
      </c>
      <c r="K79">
        <v>6.55829334742319E-2</v>
      </c>
      <c r="L79" t="s">
        <v>163</v>
      </c>
      <c r="N79" t="s">
        <v>191</v>
      </c>
      <c r="O79" t="s">
        <v>174</v>
      </c>
      <c r="P79">
        <v>4.1494214019041638E-2</v>
      </c>
      <c r="Q79" t="s">
        <v>163</v>
      </c>
      <c r="S79" t="s">
        <v>206</v>
      </c>
      <c r="T79" t="s">
        <v>174</v>
      </c>
      <c r="U79">
        <v>3.800001452443226E-2</v>
      </c>
      <c r="V79" t="s">
        <v>163</v>
      </c>
      <c r="AC79" t="s">
        <v>19</v>
      </c>
      <c r="AD79" t="s">
        <v>174</v>
      </c>
      <c r="AE79">
        <v>4.1095640119346757E-2</v>
      </c>
      <c r="AK79">
        <v>2030</v>
      </c>
      <c r="AL79" t="s">
        <v>250</v>
      </c>
      <c r="AM79">
        <v>0.57920000000000005</v>
      </c>
      <c r="AN79" t="s">
        <v>247</v>
      </c>
    </row>
    <row r="80" spans="9:40" x14ac:dyDescent="0.45">
      <c r="I80" t="s">
        <v>175</v>
      </c>
      <c r="J80" t="s">
        <v>265</v>
      </c>
      <c r="K80">
        <v>4.4319212206143151E-3</v>
      </c>
      <c r="L80" t="s">
        <v>163</v>
      </c>
      <c r="N80" t="s">
        <v>191</v>
      </c>
      <c r="O80" t="s">
        <v>265</v>
      </c>
      <c r="P80">
        <v>6.9091299697947896E-3</v>
      </c>
      <c r="Q80" t="s">
        <v>163</v>
      </c>
      <c r="S80" t="s">
        <v>206</v>
      </c>
      <c r="T80" t="s">
        <v>265</v>
      </c>
      <c r="U80">
        <v>6.3817841649166486E-3</v>
      </c>
      <c r="V80" t="s">
        <v>163</v>
      </c>
      <c r="AC80" t="s">
        <v>19</v>
      </c>
      <c r="AD80" t="s">
        <v>265</v>
      </c>
      <c r="AE80">
        <v>6.8582470181097746E-3</v>
      </c>
      <c r="AK80">
        <v>2030</v>
      </c>
      <c r="AL80" t="s">
        <v>252</v>
      </c>
      <c r="AM80">
        <v>0.58360000000000001</v>
      </c>
      <c r="AN80" t="s">
        <v>247</v>
      </c>
    </row>
    <row r="81" spans="9:40" x14ac:dyDescent="0.45">
      <c r="I81" t="s">
        <v>175</v>
      </c>
      <c r="J81" t="s">
        <v>266</v>
      </c>
      <c r="K81">
        <v>0</v>
      </c>
      <c r="L81" t="s">
        <v>163</v>
      </c>
      <c r="N81" t="s">
        <v>191</v>
      </c>
      <c r="O81" t="s">
        <v>266</v>
      </c>
      <c r="P81">
        <v>6.9301866225709415E-3</v>
      </c>
      <c r="Q81" t="s">
        <v>163</v>
      </c>
      <c r="S81" t="s">
        <v>206</v>
      </c>
      <c r="T81" t="s">
        <v>266</v>
      </c>
      <c r="U81">
        <v>6.3878509570138046E-3</v>
      </c>
      <c r="V81" t="s">
        <v>163</v>
      </c>
      <c r="AC81" t="s">
        <v>19</v>
      </c>
      <c r="AD81" t="s">
        <v>266</v>
      </c>
      <c r="AE81">
        <v>6.910858113172917E-3</v>
      </c>
      <c r="AK81">
        <v>2030</v>
      </c>
      <c r="AL81" t="s">
        <v>254</v>
      </c>
      <c r="AM81">
        <v>0.56559999999999999</v>
      </c>
      <c r="AN81" t="s">
        <v>247</v>
      </c>
    </row>
    <row r="82" spans="9:40" x14ac:dyDescent="0.45">
      <c r="I82" t="s">
        <v>175</v>
      </c>
      <c r="J82" t="s">
        <v>267</v>
      </c>
      <c r="K82">
        <v>0</v>
      </c>
      <c r="L82" t="s">
        <v>163</v>
      </c>
      <c r="N82" t="s">
        <v>191</v>
      </c>
      <c r="O82" t="s">
        <v>267</v>
      </c>
      <c r="P82">
        <v>3.3810008022765688E-2</v>
      </c>
      <c r="Q82" t="s">
        <v>163</v>
      </c>
      <c r="S82" t="s">
        <v>206</v>
      </c>
      <c r="T82" t="s">
        <v>267</v>
      </c>
      <c r="U82">
        <v>3.1403163712110348E-2</v>
      </c>
      <c r="V82" t="s">
        <v>163</v>
      </c>
      <c r="AC82" t="s">
        <v>19</v>
      </c>
      <c r="AD82" t="s">
        <v>267</v>
      </c>
      <c r="AE82">
        <v>3.5021051105407923E-2</v>
      </c>
      <c r="AK82">
        <v>2030</v>
      </c>
      <c r="AL82" t="s">
        <v>255</v>
      </c>
      <c r="AM82">
        <v>0.58745000000000003</v>
      </c>
      <c r="AN82" t="s">
        <v>247</v>
      </c>
    </row>
    <row r="83" spans="9:40" x14ac:dyDescent="0.45">
      <c r="I83" t="s">
        <v>175</v>
      </c>
      <c r="J83" t="s">
        <v>268</v>
      </c>
      <c r="K83">
        <v>0</v>
      </c>
      <c r="L83" t="s">
        <v>163</v>
      </c>
      <c r="N83" t="s">
        <v>191</v>
      </c>
      <c r="O83" t="s">
        <v>268</v>
      </c>
      <c r="P83">
        <v>2.3507056447395914E-2</v>
      </c>
      <c r="Q83" t="s">
        <v>163</v>
      </c>
      <c r="S83" t="s">
        <v>206</v>
      </c>
      <c r="T83" t="s">
        <v>268</v>
      </c>
      <c r="U83">
        <v>2.8551803080699663E-2</v>
      </c>
      <c r="V83" t="s">
        <v>163</v>
      </c>
      <c r="AC83" t="s">
        <v>19</v>
      </c>
      <c r="AD83" t="s">
        <v>268</v>
      </c>
      <c r="AE83">
        <v>2.418653675710929E-2</v>
      </c>
      <c r="AK83">
        <v>2031</v>
      </c>
      <c r="AL83" t="s">
        <v>151</v>
      </c>
      <c r="AM83">
        <v>0.53369999999999995</v>
      </c>
      <c r="AN83" t="s">
        <v>247</v>
      </c>
    </row>
    <row r="84" spans="9:40" x14ac:dyDescent="0.45">
      <c r="I84" t="s">
        <v>175</v>
      </c>
      <c r="J84" t="s">
        <v>269</v>
      </c>
      <c r="K84">
        <v>9.8029398944459636E-3</v>
      </c>
      <c r="L84" t="s">
        <v>163</v>
      </c>
      <c r="N84" t="s">
        <v>191</v>
      </c>
      <c r="O84" t="s">
        <v>269</v>
      </c>
      <c r="P84">
        <v>1.3263865204001595E-2</v>
      </c>
      <c r="Q84" t="s">
        <v>163</v>
      </c>
      <c r="S84" t="s">
        <v>206</v>
      </c>
      <c r="T84" t="s">
        <v>269</v>
      </c>
      <c r="U84">
        <v>1.5778690502046867E-2</v>
      </c>
      <c r="V84" t="s">
        <v>163</v>
      </c>
      <c r="AC84" t="s">
        <v>19</v>
      </c>
      <c r="AD84" t="s">
        <v>269</v>
      </c>
      <c r="AE84">
        <v>1.3812822768219856E-2</v>
      </c>
      <c r="AK84">
        <v>2031</v>
      </c>
      <c r="AL84" t="s">
        <v>155</v>
      </c>
      <c r="AM84">
        <v>0.53539999999999999</v>
      </c>
      <c r="AN84" t="s">
        <v>247</v>
      </c>
    </row>
    <row r="85" spans="9:40" x14ac:dyDescent="0.45">
      <c r="I85" t="s">
        <v>175</v>
      </c>
      <c r="J85" t="s">
        <v>270</v>
      </c>
      <c r="K85">
        <v>2.3146303187918257E-2</v>
      </c>
      <c r="L85" t="s">
        <v>163</v>
      </c>
      <c r="N85" t="s">
        <v>191</v>
      </c>
      <c r="O85" t="s">
        <v>270</v>
      </c>
      <c r="P85">
        <v>2.1589514455806091E-2</v>
      </c>
      <c r="Q85" t="s">
        <v>163</v>
      </c>
      <c r="S85" t="s">
        <v>206</v>
      </c>
      <c r="T85" t="s">
        <v>270</v>
      </c>
      <c r="U85">
        <v>2.3618781714178364E-2</v>
      </c>
      <c r="V85" t="s">
        <v>163</v>
      </c>
      <c r="AC85" t="s">
        <v>19</v>
      </c>
      <c r="AD85" t="s">
        <v>270</v>
      </c>
      <c r="AE85">
        <v>2.0180194278405998E-2</v>
      </c>
      <c r="AK85">
        <v>2031</v>
      </c>
      <c r="AL85" t="s">
        <v>157</v>
      </c>
      <c r="AM85">
        <v>0.46600000000000003</v>
      </c>
      <c r="AN85" t="s">
        <v>247</v>
      </c>
    </row>
    <row r="86" spans="9:40" x14ac:dyDescent="0.45">
      <c r="I86" t="s">
        <v>175</v>
      </c>
      <c r="J86" t="s">
        <v>271</v>
      </c>
      <c r="K86">
        <v>0</v>
      </c>
      <c r="L86" t="s">
        <v>163</v>
      </c>
      <c r="N86" t="s">
        <v>191</v>
      </c>
      <c r="O86" t="s">
        <v>271</v>
      </c>
      <c r="P86">
        <v>3.3198903663611357E-3</v>
      </c>
      <c r="Q86" t="s">
        <v>163</v>
      </c>
      <c r="S86" t="s">
        <v>206</v>
      </c>
      <c r="T86" t="s">
        <v>271</v>
      </c>
      <c r="U86">
        <v>3.740249304390585E-3</v>
      </c>
      <c r="V86" t="s">
        <v>163</v>
      </c>
      <c r="AC86" t="s">
        <v>19</v>
      </c>
      <c r="AD86" t="s">
        <v>271</v>
      </c>
      <c r="AE86">
        <v>3.3719377694243066E-3</v>
      </c>
      <c r="AK86">
        <v>2031</v>
      </c>
      <c r="AL86" t="s">
        <v>159</v>
      </c>
      <c r="AM86">
        <v>0.55759999999999998</v>
      </c>
      <c r="AN86" t="s">
        <v>247</v>
      </c>
    </row>
    <row r="87" spans="9:40" x14ac:dyDescent="0.45">
      <c r="I87" t="s">
        <v>175</v>
      </c>
      <c r="J87" t="s">
        <v>272</v>
      </c>
      <c r="K87">
        <v>0</v>
      </c>
      <c r="L87" t="s">
        <v>163</v>
      </c>
      <c r="N87" t="s">
        <v>191</v>
      </c>
      <c r="O87" t="s">
        <v>272</v>
      </c>
      <c r="P87">
        <v>3.2849922380741008E-3</v>
      </c>
      <c r="Q87" t="s">
        <v>163</v>
      </c>
      <c r="S87" t="s">
        <v>206</v>
      </c>
      <c r="T87" t="s">
        <v>272</v>
      </c>
      <c r="U87">
        <v>3.686710823219282E-3</v>
      </c>
      <c r="V87" t="s">
        <v>163</v>
      </c>
      <c r="AC87" t="s">
        <v>19</v>
      </c>
      <c r="AD87" t="s">
        <v>272</v>
      </c>
      <c r="AE87">
        <v>3.4117956213134538E-3</v>
      </c>
      <c r="AK87">
        <v>2031</v>
      </c>
      <c r="AL87" t="s">
        <v>250</v>
      </c>
      <c r="AM87">
        <v>0.64780000000000004</v>
      </c>
      <c r="AN87" t="s">
        <v>247</v>
      </c>
    </row>
    <row r="88" spans="9:40" x14ac:dyDescent="0.45">
      <c r="I88" t="s">
        <v>175</v>
      </c>
      <c r="J88" t="s">
        <v>273</v>
      </c>
      <c r="K88">
        <v>0</v>
      </c>
      <c r="L88" t="s">
        <v>163</v>
      </c>
      <c r="N88" t="s">
        <v>191</v>
      </c>
      <c r="O88" t="s">
        <v>273</v>
      </c>
      <c r="P88">
        <v>1.614879111639287E-2</v>
      </c>
      <c r="Q88" t="s">
        <v>163</v>
      </c>
      <c r="S88" t="s">
        <v>206</v>
      </c>
      <c r="T88" t="s">
        <v>273</v>
      </c>
      <c r="U88">
        <v>1.9385865860013531E-2</v>
      </c>
      <c r="V88" t="s">
        <v>163</v>
      </c>
      <c r="AC88" t="s">
        <v>19</v>
      </c>
      <c r="AD88" t="s">
        <v>273</v>
      </c>
      <c r="AE88">
        <v>1.7273332786228855E-2</v>
      </c>
      <c r="AK88">
        <v>2031</v>
      </c>
      <c r="AL88" t="s">
        <v>252</v>
      </c>
      <c r="AM88">
        <v>0.63496666666666668</v>
      </c>
      <c r="AN88" t="s">
        <v>247</v>
      </c>
    </row>
    <row r="89" spans="9:40" x14ac:dyDescent="0.45">
      <c r="I89" t="s">
        <v>175</v>
      </c>
      <c r="J89" t="s">
        <v>274</v>
      </c>
      <c r="K89">
        <v>1.3136516814202422E-3</v>
      </c>
      <c r="L89" t="s">
        <v>163</v>
      </c>
      <c r="N89" t="s">
        <v>191</v>
      </c>
      <c r="O89" t="s">
        <v>274</v>
      </c>
      <c r="P89">
        <v>8.6900087204080712E-2</v>
      </c>
      <c r="Q89" t="s">
        <v>163</v>
      </c>
      <c r="S89" t="s">
        <v>206</v>
      </c>
      <c r="T89" t="s">
        <v>274</v>
      </c>
      <c r="U89">
        <v>8.7877772678790267E-2</v>
      </c>
      <c r="V89" t="s">
        <v>163</v>
      </c>
      <c r="AC89" t="s">
        <v>19</v>
      </c>
      <c r="AD89" t="s">
        <v>274</v>
      </c>
      <c r="AE89">
        <v>7.4190235700681978E-2</v>
      </c>
      <c r="AK89">
        <v>2031</v>
      </c>
      <c r="AL89" t="s">
        <v>254</v>
      </c>
      <c r="AM89">
        <v>0.63090000000000002</v>
      </c>
      <c r="AN89" t="s">
        <v>247</v>
      </c>
    </row>
    <row r="90" spans="9:40" x14ac:dyDescent="0.45">
      <c r="I90" t="s">
        <v>175</v>
      </c>
      <c r="J90" t="s">
        <v>275</v>
      </c>
      <c r="K90">
        <v>5.406992861982951E-2</v>
      </c>
      <c r="L90" t="s">
        <v>163</v>
      </c>
      <c r="N90" t="s">
        <v>191</v>
      </c>
      <c r="O90" t="s">
        <v>275</v>
      </c>
      <c r="P90">
        <v>4.847962021359567E-2</v>
      </c>
      <c r="Q90" t="s">
        <v>163</v>
      </c>
      <c r="S90" t="s">
        <v>206</v>
      </c>
      <c r="T90" t="s">
        <v>275</v>
      </c>
      <c r="U90">
        <v>4.7581990841570956E-2</v>
      </c>
      <c r="V90" t="s">
        <v>163</v>
      </c>
      <c r="AC90" t="s">
        <v>19</v>
      </c>
      <c r="AD90" t="s">
        <v>275</v>
      </c>
      <c r="AE90">
        <v>4.2374902582113842E-2</v>
      </c>
      <c r="AK90">
        <v>2031</v>
      </c>
      <c r="AL90" t="s">
        <v>255</v>
      </c>
      <c r="AM90">
        <v>0.55754999999999999</v>
      </c>
      <c r="AN90" t="s">
        <v>247</v>
      </c>
    </row>
    <row r="91" spans="9:40" x14ac:dyDescent="0.45">
      <c r="I91" t="s">
        <v>175</v>
      </c>
      <c r="J91" t="s">
        <v>276</v>
      </c>
      <c r="K91">
        <v>9.9195330745736096E-2</v>
      </c>
      <c r="L91" t="s">
        <v>163</v>
      </c>
      <c r="N91" t="s">
        <v>191</v>
      </c>
      <c r="O91" t="s">
        <v>276</v>
      </c>
      <c r="P91">
        <v>8.1483656742213195E-2</v>
      </c>
      <c r="Q91" t="s">
        <v>163</v>
      </c>
      <c r="S91" t="s">
        <v>206</v>
      </c>
      <c r="T91" t="s">
        <v>276</v>
      </c>
      <c r="U91">
        <v>7.5566882491156576E-2</v>
      </c>
      <c r="V91" t="s">
        <v>163</v>
      </c>
      <c r="AC91" t="s">
        <v>19</v>
      </c>
      <c r="AD91" t="s">
        <v>276</v>
      </c>
      <c r="AE91">
        <v>6.1891133842300473E-2</v>
      </c>
      <c r="AK91">
        <v>2032</v>
      </c>
      <c r="AL91" t="s">
        <v>151</v>
      </c>
      <c r="AM91">
        <v>0.52590000000000003</v>
      </c>
      <c r="AN91" t="s">
        <v>247</v>
      </c>
    </row>
    <row r="92" spans="9:40" x14ac:dyDescent="0.45">
      <c r="I92" t="s">
        <v>175</v>
      </c>
      <c r="J92" t="s">
        <v>277</v>
      </c>
      <c r="K92">
        <v>7.2209578877565003E-3</v>
      </c>
      <c r="L92" t="s">
        <v>163</v>
      </c>
      <c r="N92" t="s">
        <v>191</v>
      </c>
      <c r="O92" t="s">
        <v>277</v>
      </c>
      <c r="P92">
        <v>1.2936079298975965E-2</v>
      </c>
      <c r="Q92" t="s">
        <v>163</v>
      </c>
      <c r="S92" t="s">
        <v>206</v>
      </c>
      <c r="T92" t="s">
        <v>277</v>
      </c>
      <c r="U92">
        <v>1.2857960492500568E-2</v>
      </c>
      <c r="V92" t="s">
        <v>163</v>
      </c>
      <c r="AC92" t="s">
        <v>19</v>
      </c>
      <c r="AD92" t="s">
        <v>277</v>
      </c>
      <c r="AE92">
        <v>1.0336503316852902E-2</v>
      </c>
      <c r="AK92">
        <v>2032</v>
      </c>
      <c r="AL92" t="s">
        <v>155</v>
      </c>
      <c r="AM92">
        <v>0.54579999999999995</v>
      </c>
      <c r="AN92" t="s">
        <v>247</v>
      </c>
    </row>
    <row r="93" spans="9:40" x14ac:dyDescent="0.45">
      <c r="I93" t="s">
        <v>175</v>
      </c>
      <c r="J93" t="s">
        <v>278</v>
      </c>
      <c r="K93">
        <v>0</v>
      </c>
      <c r="L93" t="s">
        <v>163</v>
      </c>
      <c r="N93" t="s">
        <v>191</v>
      </c>
      <c r="O93" t="s">
        <v>278</v>
      </c>
      <c r="P93">
        <v>1.2801309751284056E-2</v>
      </c>
      <c r="Q93" t="s">
        <v>163</v>
      </c>
      <c r="S93" t="s">
        <v>206</v>
      </c>
      <c r="T93" t="s">
        <v>278</v>
      </c>
      <c r="U93">
        <v>1.2795415303213382E-2</v>
      </c>
      <c r="V93" t="s">
        <v>163</v>
      </c>
      <c r="AC93" t="s">
        <v>19</v>
      </c>
      <c r="AD93" t="s">
        <v>278</v>
      </c>
      <c r="AE93">
        <v>1.0450758865324077E-2</v>
      </c>
      <c r="AK93">
        <v>2032</v>
      </c>
      <c r="AL93" t="s">
        <v>157</v>
      </c>
      <c r="AM93">
        <v>0.50609999999999999</v>
      </c>
      <c r="AN93" t="s">
        <v>247</v>
      </c>
    </row>
    <row r="94" spans="9:40" x14ac:dyDescent="0.45">
      <c r="I94" t="s">
        <v>175</v>
      </c>
      <c r="J94" t="s">
        <v>279</v>
      </c>
      <c r="K94">
        <v>0</v>
      </c>
      <c r="L94" t="s">
        <v>163</v>
      </c>
      <c r="N94" t="s">
        <v>191</v>
      </c>
      <c r="O94" t="s">
        <v>279</v>
      </c>
      <c r="P94">
        <v>6.3820815100491701E-2</v>
      </c>
      <c r="Q94" t="s">
        <v>163</v>
      </c>
      <c r="S94" t="s">
        <v>206</v>
      </c>
      <c r="T94" t="s">
        <v>279</v>
      </c>
      <c r="U94">
        <v>6.4831871917996442E-2</v>
      </c>
      <c r="V94" t="s">
        <v>163</v>
      </c>
      <c r="AC94" t="s">
        <v>19</v>
      </c>
      <c r="AD94" t="s">
        <v>279</v>
      </c>
      <c r="AE94">
        <v>5.2932998599505426E-2</v>
      </c>
      <c r="AK94">
        <v>2032</v>
      </c>
      <c r="AL94" t="s">
        <v>159</v>
      </c>
      <c r="AM94">
        <v>0.52315</v>
      </c>
      <c r="AN94" t="s">
        <v>247</v>
      </c>
    </row>
    <row r="95" spans="9:40" x14ac:dyDescent="0.45">
      <c r="I95" t="s">
        <v>175</v>
      </c>
      <c r="J95" t="s">
        <v>280</v>
      </c>
      <c r="K95">
        <v>5.9895939949357394E-3</v>
      </c>
      <c r="L95" t="s">
        <v>163</v>
      </c>
      <c r="N95" t="s">
        <v>191</v>
      </c>
      <c r="O95" t="s">
        <v>280</v>
      </c>
      <c r="P95">
        <v>3.2769439619879367E-2</v>
      </c>
      <c r="Q95" t="s">
        <v>163</v>
      </c>
      <c r="S95" t="s">
        <v>206</v>
      </c>
      <c r="T95" t="s">
        <v>280</v>
      </c>
      <c r="U95">
        <v>2.1186064460481283E-2</v>
      </c>
      <c r="V95" t="s">
        <v>163</v>
      </c>
      <c r="AC95" t="s">
        <v>19</v>
      </c>
      <c r="AD95" t="s">
        <v>280</v>
      </c>
      <c r="AE95">
        <v>2.5004499323017015E-2</v>
      </c>
      <c r="AK95">
        <v>2032</v>
      </c>
      <c r="AL95" t="s">
        <v>250</v>
      </c>
      <c r="AM95">
        <v>0.56499999999999995</v>
      </c>
      <c r="AN95" t="s">
        <v>247</v>
      </c>
    </row>
    <row r="96" spans="9:40" x14ac:dyDescent="0.45">
      <c r="I96" t="s">
        <v>175</v>
      </c>
      <c r="J96" t="s">
        <v>281</v>
      </c>
      <c r="K96">
        <v>3.8101832438477388E-2</v>
      </c>
      <c r="L96" t="s">
        <v>163</v>
      </c>
      <c r="N96" t="s">
        <v>191</v>
      </c>
      <c r="O96" t="s">
        <v>281</v>
      </c>
      <c r="P96">
        <v>1.9330334453392571E-2</v>
      </c>
      <c r="Q96" t="s">
        <v>163</v>
      </c>
      <c r="S96" t="s">
        <v>206</v>
      </c>
      <c r="T96" t="s">
        <v>281</v>
      </c>
      <c r="U96">
        <v>1.2538351493556648E-2</v>
      </c>
      <c r="V96" t="s">
        <v>163</v>
      </c>
      <c r="AC96" t="s">
        <v>19</v>
      </c>
      <c r="AD96" t="s">
        <v>281</v>
      </c>
      <c r="AE96">
        <v>1.4201715346451611E-2</v>
      </c>
      <c r="AK96">
        <v>2032</v>
      </c>
      <c r="AL96" t="s">
        <v>252</v>
      </c>
      <c r="AM96">
        <v>0.6277666666666667</v>
      </c>
      <c r="AN96" t="s">
        <v>247</v>
      </c>
    </row>
    <row r="97" spans="9:40" x14ac:dyDescent="0.45">
      <c r="I97" t="s">
        <v>175</v>
      </c>
      <c r="J97" t="s">
        <v>282</v>
      </c>
      <c r="K97">
        <v>6.1016267139762444E-2</v>
      </c>
      <c r="L97" t="s">
        <v>163</v>
      </c>
      <c r="N97" t="s">
        <v>191</v>
      </c>
      <c r="O97" t="s">
        <v>282</v>
      </c>
      <c r="P97">
        <v>3.3444802859639217E-2</v>
      </c>
      <c r="Q97" t="s">
        <v>163</v>
      </c>
      <c r="S97" t="s">
        <v>206</v>
      </c>
      <c r="T97" t="s">
        <v>282</v>
      </c>
      <c r="U97">
        <v>1.9815104805632595E-2</v>
      </c>
      <c r="V97" t="s">
        <v>163</v>
      </c>
      <c r="AC97" t="s">
        <v>19</v>
      </c>
      <c r="AD97" t="s">
        <v>282</v>
      </c>
      <c r="AE97">
        <v>2.0840853932821417E-2</v>
      </c>
      <c r="AK97">
        <v>2032</v>
      </c>
      <c r="AL97" t="s">
        <v>254</v>
      </c>
      <c r="AM97">
        <v>0.62039999999999995</v>
      </c>
      <c r="AN97" t="s">
        <v>247</v>
      </c>
    </row>
    <row r="98" spans="9:40" x14ac:dyDescent="0.45">
      <c r="I98" t="s">
        <v>175</v>
      </c>
      <c r="J98" t="s">
        <v>283</v>
      </c>
      <c r="K98">
        <v>6.5988569812469519E-3</v>
      </c>
      <c r="L98" t="s">
        <v>163</v>
      </c>
      <c r="N98" t="s">
        <v>191</v>
      </c>
      <c r="O98" t="s">
        <v>283</v>
      </c>
      <c r="P98">
        <v>5.340448820433585E-3</v>
      </c>
      <c r="Q98" t="s">
        <v>163</v>
      </c>
      <c r="S98" t="s">
        <v>206</v>
      </c>
      <c r="T98" t="s">
        <v>283</v>
      </c>
      <c r="U98">
        <v>3.3028108952673696E-3</v>
      </c>
      <c r="V98" t="s">
        <v>163</v>
      </c>
      <c r="AC98" t="s">
        <v>19</v>
      </c>
      <c r="AD98" t="s">
        <v>283</v>
      </c>
      <c r="AE98">
        <v>3.5095146371732612E-3</v>
      </c>
      <c r="AK98">
        <v>2032</v>
      </c>
      <c r="AL98" t="s">
        <v>255</v>
      </c>
      <c r="AM98">
        <v>0.59775</v>
      </c>
      <c r="AN98" t="s">
        <v>247</v>
      </c>
    </row>
    <row r="99" spans="9:40" x14ac:dyDescent="0.45">
      <c r="I99" t="s">
        <v>175</v>
      </c>
      <c r="J99" t="s">
        <v>284</v>
      </c>
      <c r="K99">
        <v>2.8425094941337643E-3</v>
      </c>
      <c r="L99" t="s">
        <v>163</v>
      </c>
      <c r="N99" t="s">
        <v>191</v>
      </c>
      <c r="O99" t="s">
        <v>284</v>
      </c>
      <c r="P99">
        <v>5.2605031345742993E-3</v>
      </c>
      <c r="Q99" t="s">
        <v>163</v>
      </c>
      <c r="S99" t="s">
        <v>206</v>
      </c>
      <c r="T99" t="s">
        <v>284</v>
      </c>
      <c r="U99">
        <v>3.2166197035459932E-3</v>
      </c>
      <c r="V99" t="s">
        <v>163</v>
      </c>
      <c r="AC99" t="s">
        <v>19</v>
      </c>
      <c r="AD99" t="s">
        <v>284</v>
      </c>
      <c r="AE99">
        <v>3.5474343406596775E-3</v>
      </c>
      <c r="AK99">
        <v>2033</v>
      </c>
      <c r="AL99" t="s">
        <v>151</v>
      </c>
      <c r="AM99">
        <v>0.59909999999999997</v>
      </c>
      <c r="AN99" t="s">
        <v>247</v>
      </c>
    </row>
    <row r="100" spans="9:40" x14ac:dyDescent="0.45">
      <c r="I100" t="s">
        <v>175</v>
      </c>
      <c r="J100" t="s">
        <v>285</v>
      </c>
      <c r="K100">
        <v>0</v>
      </c>
      <c r="L100" t="s">
        <v>163</v>
      </c>
      <c r="N100" t="s">
        <v>191</v>
      </c>
      <c r="O100" t="s">
        <v>285</v>
      </c>
      <c r="P100">
        <v>2.5742839356830246E-2</v>
      </c>
      <c r="Q100" t="s">
        <v>163</v>
      </c>
      <c r="S100" t="s">
        <v>206</v>
      </c>
      <c r="T100" t="s">
        <v>285</v>
      </c>
      <c r="U100">
        <v>1.5243894648657566E-2</v>
      </c>
      <c r="V100" t="s">
        <v>163</v>
      </c>
      <c r="AC100" t="s">
        <v>19</v>
      </c>
      <c r="AD100" t="s">
        <v>285</v>
      </c>
      <c r="AE100">
        <v>1.7824723873776378E-2</v>
      </c>
      <c r="AK100">
        <v>2033</v>
      </c>
      <c r="AL100" t="s">
        <v>155</v>
      </c>
      <c r="AM100">
        <v>0.60589999999999999</v>
      </c>
      <c r="AN100" t="s">
        <v>247</v>
      </c>
    </row>
    <row r="101" spans="9:40" x14ac:dyDescent="0.45">
      <c r="I101" t="s">
        <v>175</v>
      </c>
      <c r="J101" t="s">
        <v>286</v>
      </c>
      <c r="K101">
        <v>2.0455698100443696E-2</v>
      </c>
      <c r="L101" t="s">
        <v>163</v>
      </c>
      <c r="N101" t="s">
        <v>191</v>
      </c>
      <c r="O101" t="s">
        <v>286</v>
      </c>
      <c r="P101">
        <v>3.8940275456274077E-2</v>
      </c>
      <c r="Q101" t="s">
        <v>163</v>
      </c>
      <c r="S101" t="s">
        <v>206</v>
      </c>
      <c r="T101" t="s">
        <v>286</v>
      </c>
      <c r="U101">
        <v>3.5353436442136656E-2</v>
      </c>
      <c r="V101" t="s">
        <v>163</v>
      </c>
      <c r="AC101" t="s">
        <v>19</v>
      </c>
      <c r="AD101" t="s">
        <v>286</v>
      </c>
      <c r="AE101">
        <v>4.9147027247065968E-2</v>
      </c>
      <c r="AK101">
        <v>2033</v>
      </c>
      <c r="AL101" t="s">
        <v>157</v>
      </c>
      <c r="AM101">
        <v>0.50019999999999998</v>
      </c>
      <c r="AN101" t="s">
        <v>247</v>
      </c>
    </row>
    <row r="102" spans="9:40" x14ac:dyDescent="0.45">
      <c r="I102" t="s">
        <v>175</v>
      </c>
      <c r="J102" t="s">
        <v>287</v>
      </c>
      <c r="K102">
        <v>7.8638188947176432E-2</v>
      </c>
      <c r="L102" t="s">
        <v>163</v>
      </c>
      <c r="N102" t="s">
        <v>191</v>
      </c>
      <c r="O102" t="s">
        <v>287</v>
      </c>
      <c r="P102">
        <v>2.3635906581980181E-2</v>
      </c>
      <c r="Q102" t="s">
        <v>163</v>
      </c>
      <c r="S102" t="s">
        <v>206</v>
      </c>
      <c r="T102" t="s">
        <v>287</v>
      </c>
      <c r="U102">
        <v>1.845294745733677E-2</v>
      </c>
      <c r="V102" t="s">
        <v>163</v>
      </c>
      <c r="AC102" t="s">
        <v>19</v>
      </c>
      <c r="AD102" t="s">
        <v>287</v>
      </c>
      <c r="AE102">
        <v>2.7913747370524718E-2</v>
      </c>
      <c r="AK102">
        <v>2033</v>
      </c>
      <c r="AL102" t="s">
        <v>159</v>
      </c>
      <c r="AM102">
        <v>0.56074999999999997</v>
      </c>
      <c r="AN102" t="s">
        <v>247</v>
      </c>
    </row>
    <row r="103" spans="9:40" x14ac:dyDescent="0.45">
      <c r="I103" t="s">
        <v>175</v>
      </c>
      <c r="J103" t="s">
        <v>288</v>
      </c>
      <c r="K103">
        <v>0.12518989736932068</v>
      </c>
      <c r="L103" t="s">
        <v>163</v>
      </c>
      <c r="N103" t="s">
        <v>191</v>
      </c>
      <c r="O103" t="s">
        <v>288</v>
      </c>
      <c r="P103">
        <v>4.1177772702990972E-2</v>
      </c>
      <c r="Q103" t="s">
        <v>163</v>
      </c>
      <c r="S103" t="s">
        <v>206</v>
      </c>
      <c r="T103" t="s">
        <v>288</v>
      </c>
      <c r="U103">
        <v>2.8644721512792536E-2</v>
      </c>
      <c r="V103" t="s">
        <v>163</v>
      </c>
      <c r="AC103" t="s">
        <v>19</v>
      </c>
      <c r="AD103" t="s">
        <v>288</v>
      </c>
      <c r="AE103">
        <v>4.1084970499047711E-2</v>
      </c>
      <c r="AK103">
        <v>2033</v>
      </c>
      <c r="AL103" t="s">
        <v>250</v>
      </c>
      <c r="AM103">
        <v>0.67030000000000001</v>
      </c>
      <c r="AN103" t="s">
        <v>247</v>
      </c>
    </row>
    <row r="104" spans="9:40" x14ac:dyDescent="0.45">
      <c r="I104" t="s">
        <v>175</v>
      </c>
      <c r="J104" t="s">
        <v>289</v>
      </c>
      <c r="K104">
        <v>1.4548872721168338E-2</v>
      </c>
      <c r="L104" t="s">
        <v>163</v>
      </c>
      <c r="N104" t="s">
        <v>191</v>
      </c>
      <c r="O104" t="s">
        <v>289</v>
      </c>
      <c r="P104">
        <v>6.6459339742910156E-3</v>
      </c>
      <c r="Q104" t="s">
        <v>163</v>
      </c>
      <c r="S104" t="s">
        <v>206</v>
      </c>
      <c r="T104" t="s">
        <v>289</v>
      </c>
      <c r="U104">
        <v>5.2467123944751354E-3</v>
      </c>
      <c r="V104" t="s">
        <v>163</v>
      </c>
      <c r="AC104" t="s">
        <v>19</v>
      </c>
      <c r="AD104" t="s">
        <v>289</v>
      </c>
      <c r="AE104">
        <v>6.9054740559192432E-3</v>
      </c>
      <c r="AK104">
        <v>2033</v>
      </c>
      <c r="AL104" t="s">
        <v>252</v>
      </c>
      <c r="AM104">
        <v>0.64216666666666666</v>
      </c>
      <c r="AN104" t="s">
        <v>247</v>
      </c>
    </row>
    <row r="105" spans="9:40" x14ac:dyDescent="0.45">
      <c r="I105" t="s">
        <v>175</v>
      </c>
      <c r="J105" t="s">
        <v>290</v>
      </c>
      <c r="K105">
        <v>9.4630248387863446E-3</v>
      </c>
      <c r="L105" t="s">
        <v>163</v>
      </c>
      <c r="N105" t="s">
        <v>191</v>
      </c>
      <c r="O105" t="s">
        <v>290</v>
      </c>
      <c r="P105">
        <v>6.4116229874192918E-3</v>
      </c>
      <c r="Q105" t="s">
        <v>163</v>
      </c>
      <c r="S105" t="s">
        <v>206</v>
      </c>
      <c r="T105" t="s">
        <v>290</v>
      </c>
      <c r="U105">
        <v>5.3045576678170349E-3</v>
      </c>
      <c r="V105" t="s">
        <v>163</v>
      </c>
      <c r="AC105" t="s">
        <v>19</v>
      </c>
      <c r="AD105" t="s">
        <v>290</v>
      </c>
      <c r="AE105">
        <v>6.9651622262026491E-3</v>
      </c>
      <c r="AK105">
        <v>2033</v>
      </c>
      <c r="AL105" t="s">
        <v>254</v>
      </c>
      <c r="AM105">
        <v>0.62680000000000002</v>
      </c>
      <c r="AN105" t="s">
        <v>247</v>
      </c>
    </row>
    <row r="106" spans="9:40" x14ac:dyDescent="0.45">
      <c r="I106" t="s">
        <v>175</v>
      </c>
      <c r="J106" t="s">
        <v>291</v>
      </c>
      <c r="K106">
        <v>1.0819070776113837E-3</v>
      </c>
      <c r="L106" t="s">
        <v>163</v>
      </c>
      <c r="N106" t="s">
        <v>191</v>
      </c>
      <c r="O106" t="s">
        <v>291</v>
      </c>
      <c r="P106">
        <v>2.9596648586167736E-2</v>
      </c>
      <c r="Q106" t="s">
        <v>163</v>
      </c>
      <c r="S106" t="s">
        <v>206</v>
      </c>
      <c r="T106" t="s">
        <v>291</v>
      </c>
      <c r="U106">
        <v>2.5149234623461438E-2</v>
      </c>
      <c r="V106" t="s">
        <v>163</v>
      </c>
      <c r="AC106" t="s">
        <v>19</v>
      </c>
      <c r="AD106" t="s">
        <v>291</v>
      </c>
      <c r="AE106">
        <v>3.504832643552843E-2</v>
      </c>
      <c r="AK106">
        <v>2033</v>
      </c>
      <c r="AL106" t="s">
        <v>255</v>
      </c>
      <c r="AM106">
        <v>0.56835000000000002</v>
      </c>
      <c r="AN106" t="s">
        <v>247</v>
      </c>
    </row>
    <row r="107" spans="9:40" x14ac:dyDescent="0.45">
      <c r="I107" t="s">
        <v>176</v>
      </c>
      <c r="J107" t="s">
        <v>162</v>
      </c>
      <c r="K107">
        <v>9.2102711924524801E-3</v>
      </c>
      <c r="L107" t="s">
        <v>163</v>
      </c>
      <c r="N107" t="s">
        <v>192</v>
      </c>
      <c r="O107" t="s">
        <v>162</v>
      </c>
      <c r="P107">
        <v>2.7252826537809218E-2</v>
      </c>
      <c r="Q107" t="s">
        <v>163</v>
      </c>
      <c r="S107" t="s">
        <v>207</v>
      </c>
      <c r="T107" t="s">
        <v>162</v>
      </c>
      <c r="U107">
        <v>2.7072834220921597E-2</v>
      </c>
      <c r="V107" t="s">
        <v>163</v>
      </c>
      <c r="AK107">
        <v>2034</v>
      </c>
      <c r="AL107" t="s">
        <v>151</v>
      </c>
      <c r="AM107">
        <v>0.50349999999999995</v>
      </c>
      <c r="AN107" t="s">
        <v>247</v>
      </c>
    </row>
    <row r="108" spans="9:40" x14ac:dyDescent="0.45">
      <c r="I108" t="s">
        <v>176</v>
      </c>
      <c r="J108" t="s">
        <v>164</v>
      </c>
      <c r="K108">
        <v>4.1050953519614665E-2</v>
      </c>
      <c r="L108" t="s">
        <v>163</v>
      </c>
      <c r="N108" t="s">
        <v>192</v>
      </c>
      <c r="O108" t="s">
        <v>164</v>
      </c>
      <c r="P108">
        <v>1.6614597730509124E-2</v>
      </c>
      <c r="Q108" t="s">
        <v>163</v>
      </c>
      <c r="S108" t="s">
        <v>207</v>
      </c>
      <c r="T108" t="s">
        <v>164</v>
      </c>
      <c r="U108">
        <v>1.5266328368976642E-2</v>
      </c>
      <c r="V108" t="s">
        <v>163</v>
      </c>
      <c r="AK108">
        <v>2034</v>
      </c>
      <c r="AL108" t="s">
        <v>155</v>
      </c>
      <c r="AM108">
        <v>0.49840000000000001</v>
      </c>
      <c r="AN108" t="s">
        <v>247</v>
      </c>
    </row>
    <row r="109" spans="9:40" x14ac:dyDescent="0.45">
      <c r="I109" t="s">
        <v>176</v>
      </c>
      <c r="J109" t="s">
        <v>165</v>
      </c>
      <c r="K109">
        <v>6.9934590785569489E-2</v>
      </c>
      <c r="L109" t="s">
        <v>163</v>
      </c>
      <c r="N109" t="s">
        <v>192</v>
      </c>
      <c r="O109" t="s">
        <v>165</v>
      </c>
      <c r="P109">
        <v>2.6702116918147421E-2</v>
      </c>
      <c r="Q109" t="s">
        <v>163</v>
      </c>
      <c r="S109" t="s">
        <v>207</v>
      </c>
      <c r="T109" t="s">
        <v>165</v>
      </c>
      <c r="U109">
        <v>2.3446196801703914E-2</v>
      </c>
      <c r="V109" t="s">
        <v>163</v>
      </c>
      <c r="AK109">
        <v>2034</v>
      </c>
      <c r="AL109" t="s">
        <v>157</v>
      </c>
      <c r="AM109">
        <v>0.42399999999999999</v>
      </c>
      <c r="AN109" t="s">
        <v>247</v>
      </c>
    </row>
    <row r="110" spans="9:40" x14ac:dyDescent="0.45">
      <c r="I110" t="s">
        <v>176</v>
      </c>
      <c r="J110" t="s">
        <v>256</v>
      </c>
      <c r="K110">
        <v>8.8407027381123358E-3</v>
      </c>
      <c r="L110" t="s">
        <v>163</v>
      </c>
      <c r="N110" t="s">
        <v>192</v>
      </c>
      <c r="O110" t="s">
        <v>256</v>
      </c>
      <c r="P110">
        <v>4.6957658843603967E-3</v>
      </c>
      <c r="Q110" t="s">
        <v>163</v>
      </c>
      <c r="S110" t="s">
        <v>207</v>
      </c>
      <c r="T110" t="s">
        <v>256</v>
      </c>
      <c r="U110">
        <v>4.1387526357263499E-3</v>
      </c>
      <c r="V110" t="s">
        <v>163</v>
      </c>
      <c r="AK110">
        <v>2034</v>
      </c>
      <c r="AL110" t="s">
        <v>159</v>
      </c>
      <c r="AM110">
        <v>0.4763</v>
      </c>
      <c r="AN110" t="s">
        <v>247</v>
      </c>
    </row>
    <row r="111" spans="9:40" x14ac:dyDescent="0.45">
      <c r="I111" t="s">
        <v>176</v>
      </c>
      <c r="J111" t="s">
        <v>257</v>
      </c>
      <c r="K111">
        <v>6.578719552439322E-3</v>
      </c>
      <c r="L111" t="s">
        <v>163</v>
      </c>
      <c r="N111" t="s">
        <v>192</v>
      </c>
      <c r="O111" t="s">
        <v>257</v>
      </c>
      <c r="P111">
        <v>4.6544077180409316E-3</v>
      </c>
      <c r="Q111" t="s">
        <v>163</v>
      </c>
      <c r="S111" t="s">
        <v>207</v>
      </c>
      <c r="T111" t="s">
        <v>257</v>
      </c>
      <c r="U111">
        <v>4.2149223076914178E-3</v>
      </c>
      <c r="V111" t="s">
        <v>163</v>
      </c>
      <c r="AK111">
        <v>2034</v>
      </c>
      <c r="AL111" t="s">
        <v>250</v>
      </c>
      <c r="AM111">
        <v>0.495</v>
      </c>
      <c r="AN111" t="s">
        <v>247</v>
      </c>
    </row>
    <row r="112" spans="9:40" x14ac:dyDescent="0.45">
      <c r="I112" t="s">
        <v>176</v>
      </c>
      <c r="J112" t="s">
        <v>258</v>
      </c>
      <c r="K112">
        <v>1.9026290578419258E-3</v>
      </c>
      <c r="L112" t="s">
        <v>163</v>
      </c>
      <c r="N112" t="s">
        <v>192</v>
      </c>
      <c r="O112" t="s">
        <v>258</v>
      </c>
      <c r="P112">
        <v>2.1829564779610625E-2</v>
      </c>
      <c r="Q112" t="s">
        <v>163</v>
      </c>
      <c r="S112" t="s">
        <v>207</v>
      </c>
      <c r="T112" t="s">
        <v>258</v>
      </c>
      <c r="U112">
        <v>2.0703984880846505E-2</v>
      </c>
      <c r="V112" t="s">
        <v>163</v>
      </c>
      <c r="AK112">
        <v>2034</v>
      </c>
      <c r="AL112" t="s">
        <v>252</v>
      </c>
      <c r="AM112">
        <v>0.53783333333333327</v>
      </c>
      <c r="AN112" t="s">
        <v>247</v>
      </c>
    </row>
    <row r="113" spans="9:40" x14ac:dyDescent="0.45">
      <c r="I113" t="s">
        <v>176</v>
      </c>
      <c r="J113" t="s">
        <v>166</v>
      </c>
      <c r="K113">
        <v>4.8534997320340686E-3</v>
      </c>
      <c r="L113" t="s">
        <v>163</v>
      </c>
      <c r="N113" t="s">
        <v>192</v>
      </c>
      <c r="O113" t="s">
        <v>166</v>
      </c>
      <c r="P113">
        <v>1.5711083563746338E-2</v>
      </c>
      <c r="Q113" t="s">
        <v>163</v>
      </c>
      <c r="S113" t="s">
        <v>207</v>
      </c>
      <c r="T113" t="s">
        <v>166</v>
      </c>
      <c r="U113">
        <v>1.9874230975901089E-2</v>
      </c>
      <c r="V113" t="s">
        <v>163</v>
      </c>
      <c r="AK113">
        <v>2034</v>
      </c>
      <c r="AL113" t="s">
        <v>254</v>
      </c>
      <c r="AM113">
        <v>0.55210000000000004</v>
      </c>
      <c r="AN113" t="s">
        <v>247</v>
      </c>
    </row>
    <row r="114" spans="9:40" x14ac:dyDescent="0.45">
      <c r="I114" t="s">
        <v>176</v>
      </c>
      <c r="J114" t="s">
        <v>167</v>
      </c>
      <c r="K114">
        <v>3.5109743201726502E-2</v>
      </c>
      <c r="L114" t="s">
        <v>163</v>
      </c>
      <c r="N114" t="s">
        <v>192</v>
      </c>
      <c r="O114" t="s">
        <v>167</v>
      </c>
      <c r="P114">
        <v>9.9557976723854223E-3</v>
      </c>
      <c r="Q114" t="s">
        <v>163</v>
      </c>
      <c r="S114" t="s">
        <v>207</v>
      </c>
      <c r="T114" t="s">
        <v>167</v>
      </c>
      <c r="U114">
        <v>1.2495781482139619E-2</v>
      </c>
      <c r="V114" t="s">
        <v>163</v>
      </c>
      <c r="AK114">
        <v>2034</v>
      </c>
      <c r="AL114" t="s">
        <v>255</v>
      </c>
      <c r="AM114">
        <v>0.49629999999999996</v>
      </c>
      <c r="AN114" t="s">
        <v>247</v>
      </c>
    </row>
    <row r="115" spans="9:40" x14ac:dyDescent="0.45">
      <c r="I115" t="s">
        <v>176</v>
      </c>
      <c r="J115" t="s">
        <v>168</v>
      </c>
      <c r="K115">
        <v>6.0202868656817218E-2</v>
      </c>
      <c r="L115" t="s">
        <v>163</v>
      </c>
      <c r="N115" t="s">
        <v>192</v>
      </c>
      <c r="O115" t="s">
        <v>168</v>
      </c>
      <c r="P115">
        <v>1.5590799680582003E-2</v>
      </c>
      <c r="Q115" t="s">
        <v>163</v>
      </c>
      <c r="S115" t="s">
        <v>207</v>
      </c>
      <c r="T115" t="s">
        <v>168</v>
      </c>
      <c r="U115">
        <v>1.7900631935140621E-2</v>
      </c>
      <c r="V115" t="s">
        <v>163</v>
      </c>
      <c r="AK115">
        <v>2035</v>
      </c>
      <c r="AL115" t="s">
        <v>151</v>
      </c>
      <c r="AM115">
        <v>0.50539999999999996</v>
      </c>
      <c r="AN115" t="s">
        <v>247</v>
      </c>
    </row>
    <row r="116" spans="9:40" x14ac:dyDescent="0.45">
      <c r="I116" t="s">
        <v>176</v>
      </c>
      <c r="J116" t="s">
        <v>259</v>
      </c>
      <c r="K116">
        <v>7.890831182289745E-3</v>
      </c>
      <c r="L116" t="s">
        <v>163</v>
      </c>
      <c r="N116" t="s">
        <v>192</v>
      </c>
      <c r="O116" t="s">
        <v>259</v>
      </c>
      <c r="P116">
        <v>2.9185946736372727E-3</v>
      </c>
      <c r="Q116" t="s">
        <v>163</v>
      </c>
      <c r="S116" t="s">
        <v>207</v>
      </c>
      <c r="T116" t="s">
        <v>259</v>
      </c>
      <c r="U116">
        <v>2.9428778324078813E-3</v>
      </c>
      <c r="V116" t="s">
        <v>163</v>
      </c>
      <c r="AK116">
        <v>2035</v>
      </c>
      <c r="AL116" t="s">
        <v>155</v>
      </c>
      <c r="AM116">
        <v>0.57240000000000002</v>
      </c>
      <c r="AN116" t="s">
        <v>247</v>
      </c>
    </row>
    <row r="117" spans="9:40" x14ac:dyDescent="0.45">
      <c r="I117" t="s">
        <v>176</v>
      </c>
      <c r="J117" t="s">
        <v>260</v>
      </c>
      <c r="K117">
        <v>5.4523811081887454E-3</v>
      </c>
      <c r="L117" t="s">
        <v>163</v>
      </c>
      <c r="N117" t="s">
        <v>192</v>
      </c>
      <c r="O117" t="s">
        <v>260</v>
      </c>
      <c r="P117">
        <v>2.873679648135819E-3</v>
      </c>
      <c r="Q117" t="s">
        <v>163</v>
      </c>
      <c r="S117" t="s">
        <v>207</v>
      </c>
      <c r="T117" t="s">
        <v>260</v>
      </c>
      <c r="U117">
        <v>2.9557626130989056E-3</v>
      </c>
      <c r="V117" t="s">
        <v>163</v>
      </c>
      <c r="AK117">
        <v>2035</v>
      </c>
      <c r="AL117" t="s">
        <v>157</v>
      </c>
      <c r="AM117">
        <v>0.55720000000000003</v>
      </c>
      <c r="AN117" t="s">
        <v>247</v>
      </c>
    </row>
    <row r="118" spans="9:40" x14ac:dyDescent="0.45">
      <c r="I118" t="s">
        <v>176</v>
      </c>
      <c r="J118" t="s">
        <v>261</v>
      </c>
      <c r="K118">
        <v>0</v>
      </c>
      <c r="L118" t="s">
        <v>163</v>
      </c>
      <c r="N118" t="s">
        <v>192</v>
      </c>
      <c r="O118" t="s">
        <v>261</v>
      </c>
      <c r="P118">
        <v>1.2231943349907046E-2</v>
      </c>
      <c r="Q118" t="s">
        <v>163</v>
      </c>
      <c r="S118" t="s">
        <v>207</v>
      </c>
      <c r="T118" t="s">
        <v>261</v>
      </c>
      <c r="U118">
        <v>1.3925452167574426E-2</v>
      </c>
      <c r="V118" t="s">
        <v>163</v>
      </c>
      <c r="AK118">
        <v>2035</v>
      </c>
      <c r="AL118" t="s">
        <v>159</v>
      </c>
      <c r="AM118">
        <v>0.53374999999999995</v>
      </c>
      <c r="AN118" t="s">
        <v>247</v>
      </c>
    </row>
    <row r="119" spans="9:40" x14ac:dyDescent="0.45">
      <c r="I119" t="s">
        <v>176</v>
      </c>
      <c r="J119" t="s">
        <v>169</v>
      </c>
      <c r="K119">
        <v>3.3306356076633933E-3</v>
      </c>
      <c r="L119" t="s">
        <v>163</v>
      </c>
      <c r="N119" t="s">
        <v>192</v>
      </c>
      <c r="O119" t="s">
        <v>169</v>
      </c>
      <c r="P119">
        <v>1.6364913025833046E-2</v>
      </c>
      <c r="Q119" t="s">
        <v>163</v>
      </c>
      <c r="S119" t="s">
        <v>207</v>
      </c>
      <c r="T119" t="s">
        <v>169</v>
      </c>
      <c r="U119">
        <v>2.141091869781275E-2</v>
      </c>
      <c r="V119" t="s">
        <v>163</v>
      </c>
      <c r="AK119">
        <v>2035</v>
      </c>
      <c r="AL119" t="s">
        <v>250</v>
      </c>
      <c r="AM119">
        <v>0.60260000000000002</v>
      </c>
      <c r="AN119" t="s">
        <v>247</v>
      </c>
    </row>
    <row r="120" spans="9:40" x14ac:dyDescent="0.45">
      <c r="I120" t="s">
        <v>176</v>
      </c>
      <c r="J120" t="s">
        <v>170</v>
      </c>
      <c r="K120">
        <v>3.2437984675639443E-2</v>
      </c>
      <c r="L120" t="s">
        <v>163</v>
      </c>
      <c r="N120" t="s">
        <v>192</v>
      </c>
      <c r="O120" t="s">
        <v>170</v>
      </c>
      <c r="P120">
        <v>9.6086188550877083E-3</v>
      </c>
      <c r="Q120" t="s">
        <v>163</v>
      </c>
      <c r="S120" t="s">
        <v>207</v>
      </c>
      <c r="T120" t="s">
        <v>170</v>
      </c>
      <c r="U120">
        <v>1.3172925196087365E-2</v>
      </c>
      <c r="V120" t="s">
        <v>163</v>
      </c>
      <c r="AK120">
        <v>2035</v>
      </c>
      <c r="AL120" t="s">
        <v>252</v>
      </c>
      <c r="AM120">
        <v>0.62950000000000006</v>
      </c>
      <c r="AN120" t="s">
        <v>247</v>
      </c>
    </row>
    <row r="121" spans="9:40" x14ac:dyDescent="0.45">
      <c r="I121" t="s">
        <v>176</v>
      </c>
      <c r="J121" t="s">
        <v>171</v>
      </c>
      <c r="K121">
        <v>5.3501274068615538E-2</v>
      </c>
      <c r="L121" t="s">
        <v>163</v>
      </c>
      <c r="N121" t="s">
        <v>192</v>
      </c>
      <c r="O121" t="s">
        <v>171</v>
      </c>
      <c r="P121">
        <v>1.5978069950418158E-2</v>
      </c>
      <c r="Q121" t="s">
        <v>163</v>
      </c>
      <c r="S121" t="s">
        <v>207</v>
      </c>
      <c r="T121" t="s">
        <v>171</v>
      </c>
      <c r="U121">
        <v>2.0246810761676056E-2</v>
      </c>
      <c r="V121" t="s">
        <v>163</v>
      </c>
      <c r="AK121">
        <v>2035</v>
      </c>
      <c r="AL121" t="s">
        <v>254</v>
      </c>
      <c r="AM121">
        <v>0.6139</v>
      </c>
      <c r="AN121" t="s">
        <v>247</v>
      </c>
    </row>
    <row r="122" spans="9:40" x14ac:dyDescent="0.45">
      <c r="I122" t="s">
        <v>176</v>
      </c>
      <c r="J122" t="s">
        <v>262</v>
      </c>
      <c r="K122">
        <v>6.244183501480924E-3</v>
      </c>
      <c r="L122" t="s">
        <v>163</v>
      </c>
      <c r="N122" t="s">
        <v>192</v>
      </c>
      <c r="O122" t="s">
        <v>262</v>
      </c>
      <c r="P122">
        <v>3.0183687205830199E-3</v>
      </c>
      <c r="Q122" t="s">
        <v>163</v>
      </c>
      <c r="S122" t="s">
        <v>207</v>
      </c>
      <c r="T122" t="s">
        <v>262</v>
      </c>
      <c r="U122">
        <v>3.5816672446215788E-3</v>
      </c>
      <c r="V122" t="s">
        <v>163</v>
      </c>
      <c r="AK122">
        <v>2035</v>
      </c>
      <c r="AL122" t="s">
        <v>255</v>
      </c>
      <c r="AM122">
        <v>0.60055000000000003</v>
      </c>
      <c r="AN122" t="s">
        <v>247</v>
      </c>
    </row>
    <row r="123" spans="9:40" x14ac:dyDescent="0.45">
      <c r="I123" t="s">
        <v>176</v>
      </c>
      <c r="J123" t="s">
        <v>263</v>
      </c>
      <c r="K123">
        <v>2.4684788440562113E-3</v>
      </c>
      <c r="L123" t="s">
        <v>163</v>
      </c>
      <c r="N123" t="s">
        <v>192</v>
      </c>
      <c r="O123" t="s">
        <v>263</v>
      </c>
      <c r="P123">
        <v>2.9981109503593711E-3</v>
      </c>
      <c r="Q123" t="s">
        <v>163</v>
      </c>
      <c r="S123" t="s">
        <v>207</v>
      </c>
      <c r="T123" t="s">
        <v>263</v>
      </c>
      <c r="U123">
        <v>3.5496931278383962E-3</v>
      </c>
      <c r="V123" t="s">
        <v>163</v>
      </c>
      <c r="AK123">
        <v>2036</v>
      </c>
      <c r="AL123" t="s">
        <v>151</v>
      </c>
      <c r="AM123">
        <v>0.55369999999999997</v>
      </c>
      <c r="AN123" t="s">
        <v>247</v>
      </c>
    </row>
    <row r="124" spans="9:40" x14ac:dyDescent="0.45">
      <c r="I124" t="s">
        <v>176</v>
      </c>
      <c r="J124" t="s">
        <v>264</v>
      </c>
      <c r="K124">
        <v>0</v>
      </c>
      <c r="L124" t="s">
        <v>163</v>
      </c>
      <c r="N124" t="s">
        <v>192</v>
      </c>
      <c r="O124" t="s">
        <v>264</v>
      </c>
      <c r="P124">
        <v>1.3403099769151354E-2</v>
      </c>
      <c r="Q124" t="s">
        <v>163</v>
      </c>
      <c r="S124" t="s">
        <v>207</v>
      </c>
      <c r="T124" t="s">
        <v>264</v>
      </c>
      <c r="U124">
        <v>1.6698319884334716E-2</v>
      </c>
      <c r="V124" t="s">
        <v>163</v>
      </c>
      <c r="AK124">
        <v>2036</v>
      </c>
      <c r="AL124" t="s">
        <v>155</v>
      </c>
      <c r="AM124">
        <v>0.53100000000000003</v>
      </c>
      <c r="AN124" t="s">
        <v>247</v>
      </c>
    </row>
    <row r="125" spans="9:40" x14ac:dyDescent="0.45">
      <c r="I125" t="s">
        <v>176</v>
      </c>
      <c r="J125" t="s">
        <v>172</v>
      </c>
      <c r="K125">
        <v>0</v>
      </c>
      <c r="L125" t="s">
        <v>163</v>
      </c>
      <c r="N125" t="s">
        <v>192</v>
      </c>
      <c r="O125" t="s">
        <v>172</v>
      </c>
      <c r="P125">
        <v>4.5902471811865297E-2</v>
      </c>
      <c r="Q125" t="s">
        <v>163</v>
      </c>
      <c r="S125" t="s">
        <v>207</v>
      </c>
      <c r="T125" t="s">
        <v>172</v>
      </c>
      <c r="U125">
        <v>4.8523993853621342E-2</v>
      </c>
      <c r="V125" t="s">
        <v>163</v>
      </c>
      <c r="AK125">
        <v>2036</v>
      </c>
      <c r="AL125" t="s">
        <v>157</v>
      </c>
      <c r="AM125">
        <v>0.47049999999999997</v>
      </c>
      <c r="AN125" t="s">
        <v>247</v>
      </c>
    </row>
    <row r="126" spans="9:40" x14ac:dyDescent="0.45">
      <c r="I126" t="s">
        <v>176</v>
      </c>
      <c r="J126" t="s">
        <v>173</v>
      </c>
      <c r="K126">
        <v>3.7545137099075539E-2</v>
      </c>
      <c r="L126" t="s">
        <v>163</v>
      </c>
      <c r="N126" t="s">
        <v>192</v>
      </c>
      <c r="O126" t="s">
        <v>173</v>
      </c>
      <c r="P126">
        <v>2.3530301867670071E-2</v>
      </c>
      <c r="Q126" t="s">
        <v>163</v>
      </c>
      <c r="S126" t="s">
        <v>207</v>
      </c>
      <c r="T126" t="s">
        <v>173</v>
      </c>
      <c r="U126">
        <v>2.6998021825956273E-2</v>
      </c>
      <c r="V126" t="s">
        <v>163</v>
      </c>
      <c r="AK126">
        <v>2036</v>
      </c>
      <c r="AL126" t="s">
        <v>159</v>
      </c>
      <c r="AM126">
        <v>0.51100000000000001</v>
      </c>
      <c r="AN126" t="s">
        <v>247</v>
      </c>
    </row>
    <row r="127" spans="9:40" x14ac:dyDescent="0.45">
      <c r="I127" t="s">
        <v>176</v>
      </c>
      <c r="J127" t="s">
        <v>174</v>
      </c>
      <c r="K127">
        <v>6.3998786029758212E-2</v>
      </c>
      <c r="L127" t="s">
        <v>163</v>
      </c>
      <c r="N127" t="s">
        <v>192</v>
      </c>
      <c r="O127" t="s">
        <v>174</v>
      </c>
      <c r="P127">
        <v>4.0863467259062924E-2</v>
      </c>
      <c r="Q127" t="s">
        <v>163</v>
      </c>
      <c r="S127" t="s">
        <v>207</v>
      </c>
      <c r="T127" t="s">
        <v>174</v>
      </c>
      <c r="U127">
        <v>4.2467172687827369E-2</v>
      </c>
      <c r="V127" t="s">
        <v>163</v>
      </c>
      <c r="AK127">
        <v>2036</v>
      </c>
      <c r="AL127" t="s">
        <v>250</v>
      </c>
      <c r="AM127">
        <v>0.5716</v>
      </c>
      <c r="AN127" t="s">
        <v>247</v>
      </c>
    </row>
    <row r="128" spans="9:40" x14ac:dyDescent="0.45">
      <c r="I128" t="s">
        <v>176</v>
      </c>
      <c r="J128" t="s">
        <v>265</v>
      </c>
      <c r="K128">
        <v>3.117624891636805E-3</v>
      </c>
      <c r="L128" t="s">
        <v>163</v>
      </c>
      <c r="N128" t="s">
        <v>192</v>
      </c>
      <c r="O128" t="s">
        <v>265</v>
      </c>
      <c r="P128">
        <v>6.7786858604049153E-3</v>
      </c>
      <c r="Q128" t="s">
        <v>163</v>
      </c>
      <c r="S128" t="s">
        <v>207</v>
      </c>
      <c r="T128" t="s">
        <v>265</v>
      </c>
      <c r="U128">
        <v>6.7705992160926043E-3</v>
      </c>
      <c r="V128" t="s">
        <v>163</v>
      </c>
      <c r="AK128">
        <v>2036</v>
      </c>
      <c r="AL128" t="s">
        <v>252</v>
      </c>
      <c r="AM128">
        <v>0.64613333333333334</v>
      </c>
      <c r="AN128" t="s">
        <v>247</v>
      </c>
    </row>
    <row r="129" spans="9:40" x14ac:dyDescent="0.45">
      <c r="I129" t="s">
        <v>176</v>
      </c>
      <c r="J129" t="s">
        <v>266</v>
      </c>
      <c r="K129">
        <v>0</v>
      </c>
      <c r="L129" t="s">
        <v>163</v>
      </c>
      <c r="N129" t="s">
        <v>192</v>
      </c>
      <c r="O129" t="s">
        <v>266</v>
      </c>
      <c r="P129">
        <v>6.7149543242297624E-3</v>
      </c>
      <c r="Q129" t="s">
        <v>163</v>
      </c>
      <c r="S129" t="s">
        <v>207</v>
      </c>
      <c r="T129" t="s">
        <v>266</v>
      </c>
      <c r="U129">
        <v>6.5640969205077474E-3</v>
      </c>
      <c r="V129" t="s">
        <v>163</v>
      </c>
      <c r="AK129">
        <v>2036</v>
      </c>
      <c r="AL129" t="s">
        <v>254</v>
      </c>
      <c r="AM129">
        <v>0.60499999999999998</v>
      </c>
      <c r="AN129" t="s">
        <v>247</v>
      </c>
    </row>
    <row r="130" spans="9:40" x14ac:dyDescent="0.45">
      <c r="I130" t="s">
        <v>176</v>
      </c>
      <c r="J130" t="s">
        <v>267</v>
      </c>
      <c r="K130">
        <v>0</v>
      </c>
      <c r="L130" t="s">
        <v>163</v>
      </c>
      <c r="N130" t="s">
        <v>192</v>
      </c>
      <c r="O130" t="s">
        <v>267</v>
      </c>
      <c r="P130">
        <v>3.3402123393989624E-2</v>
      </c>
      <c r="Q130" t="s">
        <v>163</v>
      </c>
      <c r="S130" t="s">
        <v>207</v>
      </c>
      <c r="T130" t="s">
        <v>267</v>
      </c>
      <c r="U130">
        <v>3.2127331162418012E-2</v>
      </c>
      <c r="V130" t="s">
        <v>163</v>
      </c>
      <c r="AK130">
        <v>2036</v>
      </c>
      <c r="AL130" t="s">
        <v>255</v>
      </c>
      <c r="AM130">
        <v>0.58830000000000005</v>
      </c>
      <c r="AN130" t="s">
        <v>247</v>
      </c>
    </row>
    <row r="131" spans="9:40" x14ac:dyDescent="0.45">
      <c r="I131" t="s">
        <v>176</v>
      </c>
      <c r="J131" t="s">
        <v>268</v>
      </c>
      <c r="K131">
        <v>0</v>
      </c>
      <c r="L131" t="s">
        <v>163</v>
      </c>
      <c r="N131" t="s">
        <v>192</v>
      </c>
      <c r="O131" t="s">
        <v>268</v>
      </c>
      <c r="P131">
        <v>2.8348131347107331E-2</v>
      </c>
      <c r="Q131" t="s">
        <v>163</v>
      </c>
      <c r="S131" t="s">
        <v>207</v>
      </c>
      <c r="T131" t="s">
        <v>268</v>
      </c>
      <c r="U131">
        <v>2.9868125660650207E-2</v>
      </c>
      <c r="V131" t="s">
        <v>163</v>
      </c>
      <c r="AK131">
        <v>2037</v>
      </c>
      <c r="AL131" t="s">
        <v>151</v>
      </c>
      <c r="AM131">
        <v>0.3775</v>
      </c>
      <c r="AN131" t="s">
        <v>247</v>
      </c>
    </row>
    <row r="132" spans="9:40" x14ac:dyDescent="0.45">
      <c r="I132" t="s">
        <v>176</v>
      </c>
      <c r="J132" t="s">
        <v>269</v>
      </c>
      <c r="K132">
        <v>9.6984735435570891E-3</v>
      </c>
      <c r="L132" t="s">
        <v>163</v>
      </c>
      <c r="N132" t="s">
        <v>192</v>
      </c>
      <c r="O132" t="s">
        <v>269</v>
      </c>
      <c r="P132">
        <v>1.5404522905097556E-2</v>
      </c>
      <c r="Q132" t="s">
        <v>163</v>
      </c>
      <c r="S132" t="s">
        <v>207</v>
      </c>
      <c r="T132" t="s">
        <v>269</v>
      </c>
      <c r="U132">
        <v>1.7307674149033881E-2</v>
      </c>
      <c r="V132" t="s">
        <v>163</v>
      </c>
      <c r="AK132">
        <v>2037</v>
      </c>
      <c r="AL132" t="s">
        <v>155</v>
      </c>
      <c r="AM132">
        <v>0.44130000000000003</v>
      </c>
      <c r="AN132" t="s">
        <v>247</v>
      </c>
    </row>
    <row r="133" spans="9:40" x14ac:dyDescent="0.45">
      <c r="I133" t="s">
        <v>176</v>
      </c>
      <c r="J133" t="s">
        <v>270</v>
      </c>
      <c r="K133">
        <v>2.0493116930755208E-2</v>
      </c>
      <c r="L133" t="s">
        <v>163</v>
      </c>
      <c r="N133" t="s">
        <v>192</v>
      </c>
      <c r="O133" t="s">
        <v>270</v>
      </c>
      <c r="P133">
        <v>2.4795557654696633E-2</v>
      </c>
      <c r="Q133" t="s">
        <v>163</v>
      </c>
      <c r="S133" t="s">
        <v>207</v>
      </c>
      <c r="T133" t="s">
        <v>270</v>
      </c>
      <c r="U133">
        <v>2.5736364185520579E-2</v>
      </c>
      <c r="V133" t="s">
        <v>163</v>
      </c>
      <c r="AK133">
        <v>2037</v>
      </c>
      <c r="AL133" t="s">
        <v>157</v>
      </c>
      <c r="AM133">
        <v>0.39560000000000001</v>
      </c>
      <c r="AN133" t="s">
        <v>247</v>
      </c>
    </row>
    <row r="134" spans="9:40" x14ac:dyDescent="0.45">
      <c r="I134" t="s">
        <v>176</v>
      </c>
      <c r="J134" t="s">
        <v>271</v>
      </c>
      <c r="K134">
        <v>0</v>
      </c>
      <c r="L134" t="s">
        <v>163</v>
      </c>
      <c r="N134" t="s">
        <v>192</v>
      </c>
      <c r="O134" t="s">
        <v>271</v>
      </c>
      <c r="P134">
        <v>4.0287692821682451E-3</v>
      </c>
      <c r="Q134" t="s">
        <v>163</v>
      </c>
      <c r="S134" t="s">
        <v>207</v>
      </c>
      <c r="T134" t="s">
        <v>271</v>
      </c>
      <c r="U134">
        <v>4.1753514935250679E-3</v>
      </c>
      <c r="V134" t="s">
        <v>163</v>
      </c>
      <c r="AK134">
        <v>2037</v>
      </c>
      <c r="AL134" t="s">
        <v>159</v>
      </c>
      <c r="AM134">
        <v>0.41000000000000003</v>
      </c>
      <c r="AN134" t="s">
        <v>247</v>
      </c>
    </row>
    <row r="135" spans="9:40" x14ac:dyDescent="0.45">
      <c r="I135" t="s">
        <v>176</v>
      </c>
      <c r="J135" t="s">
        <v>272</v>
      </c>
      <c r="K135">
        <v>0</v>
      </c>
      <c r="L135" t="s">
        <v>163</v>
      </c>
      <c r="N135" t="s">
        <v>192</v>
      </c>
      <c r="O135" t="s">
        <v>272</v>
      </c>
      <c r="P135">
        <v>4.0028156298539709E-3</v>
      </c>
      <c r="Q135" t="s">
        <v>163</v>
      </c>
      <c r="S135" t="s">
        <v>207</v>
      </c>
      <c r="T135" t="s">
        <v>272</v>
      </c>
      <c r="U135">
        <v>4.1325409209915249E-3</v>
      </c>
      <c r="V135" t="s">
        <v>163</v>
      </c>
      <c r="AK135">
        <v>2037</v>
      </c>
      <c r="AL135" t="s">
        <v>250</v>
      </c>
      <c r="AM135">
        <v>0.4204</v>
      </c>
      <c r="AN135" t="s">
        <v>247</v>
      </c>
    </row>
    <row r="136" spans="9:40" x14ac:dyDescent="0.45">
      <c r="I136" t="s">
        <v>176</v>
      </c>
      <c r="J136" t="s">
        <v>273</v>
      </c>
      <c r="K136">
        <v>0</v>
      </c>
      <c r="L136" t="s">
        <v>163</v>
      </c>
      <c r="N136" t="s">
        <v>192</v>
      </c>
      <c r="O136" t="s">
        <v>273</v>
      </c>
      <c r="P136">
        <v>1.9440184681638922E-2</v>
      </c>
      <c r="Q136" t="s">
        <v>163</v>
      </c>
      <c r="S136" t="s">
        <v>207</v>
      </c>
      <c r="T136" t="s">
        <v>273</v>
      </c>
      <c r="U136">
        <v>2.0484286553762547E-2</v>
      </c>
      <c r="V136" t="s">
        <v>163</v>
      </c>
      <c r="AK136">
        <v>2037</v>
      </c>
      <c r="AL136" t="s">
        <v>252</v>
      </c>
      <c r="AM136">
        <v>0.45569999999999999</v>
      </c>
      <c r="AN136" t="s">
        <v>247</v>
      </c>
    </row>
    <row r="137" spans="9:40" x14ac:dyDescent="0.45">
      <c r="I137" t="s">
        <v>176</v>
      </c>
      <c r="J137" t="s">
        <v>274</v>
      </c>
      <c r="K137">
        <v>1.4742790685089886E-3</v>
      </c>
      <c r="L137" t="s">
        <v>163</v>
      </c>
      <c r="N137" t="s">
        <v>192</v>
      </c>
      <c r="O137" t="s">
        <v>274</v>
      </c>
      <c r="P137">
        <v>8.7496673510031694E-2</v>
      </c>
      <c r="Q137" t="s">
        <v>163</v>
      </c>
      <c r="S137" t="s">
        <v>207</v>
      </c>
      <c r="T137" t="s">
        <v>274</v>
      </c>
      <c r="U137">
        <v>8.585476419620465E-2</v>
      </c>
      <c r="V137" t="s">
        <v>163</v>
      </c>
      <c r="AK137">
        <v>2037</v>
      </c>
      <c r="AL137" t="s">
        <v>254</v>
      </c>
      <c r="AM137">
        <v>0.46860000000000002</v>
      </c>
      <c r="AN137" t="s">
        <v>247</v>
      </c>
    </row>
    <row r="138" spans="9:40" x14ac:dyDescent="0.45">
      <c r="I138" t="s">
        <v>176</v>
      </c>
      <c r="J138" t="s">
        <v>275</v>
      </c>
      <c r="K138">
        <v>5.3912158547294718E-2</v>
      </c>
      <c r="L138" t="s">
        <v>163</v>
      </c>
      <c r="N138" t="s">
        <v>192</v>
      </c>
      <c r="O138" t="s">
        <v>275</v>
      </c>
      <c r="P138">
        <v>4.7751715128503798E-2</v>
      </c>
      <c r="Q138" t="s">
        <v>163</v>
      </c>
      <c r="S138" t="s">
        <v>207</v>
      </c>
      <c r="T138" t="s">
        <v>275</v>
      </c>
      <c r="U138">
        <v>4.8021962778450888E-2</v>
      </c>
      <c r="V138" t="s">
        <v>163</v>
      </c>
      <c r="AK138">
        <v>2037</v>
      </c>
      <c r="AL138" t="s">
        <v>255</v>
      </c>
      <c r="AM138">
        <v>0.44240000000000002</v>
      </c>
      <c r="AN138" t="s">
        <v>247</v>
      </c>
    </row>
    <row r="139" spans="9:40" x14ac:dyDescent="0.45">
      <c r="I139" t="s">
        <v>176</v>
      </c>
      <c r="J139" t="s">
        <v>276</v>
      </c>
      <c r="K139">
        <v>9.6317784025762299E-2</v>
      </c>
      <c r="L139" t="s">
        <v>163</v>
      </c>
      <c r="N139" t="s">
        <v>192</v>
      </c>
      <c r="O139" t="s">
        <v>276</v>
      </c>
      <c r="P139">
        <v>7.7399095354675693E-2</v>
      </c>
      <c r="Q139" t="s">
        <v>163</v>
      </c>
      <c r="S139" t="s">
        <v>207</v>
      </c>
      <c r="T139" t="s">
        <v>276</v>
      </c>
      <c r="U139">
        <v>7.6704701512730913E-2</v>
      </c>
      <c r="V139" t="s">
        <v>163</v>
      </c>
      <c r="AK139">
        <v>2038</v>
      </c>
      <c r="AL139" t="s">
        <v>151</v>
      </c>
      <c r="AM139">
        <v>0.54530000000000001</v>
      </c>
      <c r="AN139" t="s">
        <v>247</v>
      </c>
    </row>
    <row r="140" spans="9:40" x14ac:dyDescent="0.45">
      <c r="I140" t="s">
        <v>176</v>
      </c>
      <c r="J140" t="s">
        <v>277</v>
      </c>
      <c r="K140">
        <v>5.7507873107750362E-3</v>
      </c>
      <c r="L140" t="s">
        <v>163</v>
      </c>
      <c r="N140" t="s">
        <v>192</v>
      </c>
      <c r="O140" t="s">
        <v>277</v>
      </c>
      <c r="P140">
        <v>1.2298230163012463E-2</v>
      </c>
      <c r="Q140" t="s">
        <v>163</v>
      </c>
      <c r="S140" t="s">
        <v>207</v>
      </c>
      <c r="T140" t="s">
        <v>277</v>
      </c>
      <c r="U140">
        <v>1.3132721788333402E-2</v>
      </c>
      <c r="V140" t="s">
        <v>163</v>
      </c>
      <c r="AK140">
        <v>2038</v>
      </c>
      <c r="AL140" t="s">
        <v>155</v>
      </c>
      <c r="AM140">
        <v>0.55520000000000003</v>
      </c>
      <c r="AN140" t="s">
        <v>247</v>
      </c>
    </row>
    <row r="141" spans="9:40" x14ac:dyDescent="0.45">
      <c r="I141" t="s">
        <v>176</v>
      </c>
      <c r="J141" t="s">
        <v>278</v>
      </c>
      <c r="K141">
        <v>0</v>
      </c>
      <c r="L141" t="s">
        <v>163</v>
      </c>
      <c r="N141" t="s">
        <v>192</v>
      </c>
      <c r="O141" t="s">
        <v>278</v>
      </c>
      <c r="P141">
        <v>1.2135316426031014E-2</v>
      </c>
      <c r="Q141" t="s">
        <v>163</v>
      </c>
      <c r="S141" t="s">
        <v>207</v>
      </c>
      <c r="T141" t="s">
        <v>278</v>
      </c>
      <c r="U141">
        <v>1.3043230480633321E-2</v>
      </c>
      <c r="V141" t="s">
        <v>163</v>
      </c>
      <c r="AK141">
        <v>2038</v>
      </c>
      <c r="AL141" t="s">
        <v>157</v>
      </c>
      <c r="AM141">
        <v>0.4753</v>
      </c>
      <c r="AN141" t="s">
        <v>247</v>
      </c>
    </row>
    <row r="142" spans="9:40" x14ac:dyDescent="0.45">
      <c r="I142" t="s">
        <v>176</v>
      </c>
      <c r="J142" t="s">
        <v>279</v>
      </c>
      <c r="K142">
        <v>0</v>
      </c>
      <c r="L142" t="s">
        <v>163</v>
      </c>
      <c r="N142" t="s">
        <v>192</v>
      </c>
      <c r="O142" t="s">
        <v>279</v>
      </c>
      <c r="P142">
        <v>6.2120124012242713E-2</v>
      </c>
      <c r="Q142" t="s">
        <v>163</v>
      </c>
      <c r="S142" t="s">
        <v>207</v>
      </c>
      <c r="T142" t="s">
        <v>279</v>
      </c>
      <c r="U142">
        <v>6.3506374289776346E-2</v>
      </c>
      <c r="V142" t="s">
        <v>163</v>
      </c>
      <c r="AK142">
        <v>2038</v>
      </c>
      <c r="AL142" t="s">
        <v>159</v>
      </c>
      <c r="AM142">
        <v>0.54735</v>
      </c>
      <c r="AN142" t="s">
        <v>247</v>
      </c>
    </row>
    <row r="143" spans="9:40" x14ac:dyDescent="0.45">
      <c r="I143" t="s">
        <v>176</v>
      </c>
      <c r="J143" t="s">
        <v>280</v>
      </c>
      <c r="K143">
        <v>6.9088655033801719E-3</v>
      </c>
      <c r="L143" t="s">
        <v>163</v>
      </c>
      <c r="N143" t="s">
        <v>192</v>
      </c>
      <c r="O143" t="s">
        <v>280</v>
      </c>
      <c r="P143">
        <v>2.4985811142429967E-2</v>
      </c>
      <c r="Q143" t="s">
        <v>163</v>
      </c>
      <c r="S143" t="s">
        <v>207</v>
      </c>
      <c r="T143" t="s">
        <v>280</v>
      </c>
      <c r="U143">
        <v>2.2645731601117252E-2</v>
      </c>
      <c r="V143" t="s">
        <v>163</v>
      </c>
      <c r="AK143">
        <v>2038</v>
      </c>
      <c r="AL143" t="s">
        <v>250</v>
      </c>
      <c r="AM143">
        <v>0.66739999999999999</v>
      </c>
      <c r="AN143" t="s">
        <v>247</v>
      </c>
    </row>
    <row r="144" spans="9:40" x14ac:dyDescent="0.45">
      <c r="I144" t="s">
        <v>176</v>
      </c>
      <c r="J144" t="s">
        <v>281</v>
      </c>
      <c r="K144">
        <v>3.6379868951542958E-2</v>
      </c>
      <c r="L144" t="s">
        <v>163</v>
      </c>
      <c r="N144" t="s">
        <v>192</v>
      </c>
      <c r="O144" t="s">
        <v>281</v>
      </c>
      <c r="P144">
        <v>1.5324281212456294E-2</v>
      </c>
      <c r="Q144" t="s">
        <v>163</v>
      </c>
      <c r="S144" t="s">
        <v>207</v>
      </c>
      <c r="T144" t="s">
        <v>281</v>
      </c>
      <c r="U144">
        <v>1.2350151447033093E-2</v>
      </c>
      <c r="V144" t="s">
        <v>163</v>
      </c>
      <c r="AK144">
        <v>2038</v>
      </c>
      <c r="AL144" t="s">
        <v>252</v>
      </c>
      <c r="AM144">
        <v>0.59783333333333344</v>
      </c>
      <c r="AN144" t="s">
        <v>247</v>
      </c>
    </row>
    <row r="145" spans="9:40" x14ac:dyDescent="0.45">
      <c r="I145" t="s">
        <v>176</v>
      </c>
      <c r="J145" t="s">
        <v>282</v>
      </c>
      <c r="K145">
        <v>5.7377316089166776E-2</v>
      </c>
      <c r="L145" t="s">
        <v>163</v>
      </c>
      <c r="N145" t="s">
        <v>192</v>
      </c>
      <c r="O145" t="s">
        <v>282</v>
      </c>
      <c r="P145">
        <v>2.7020763381087203E-2</v>
      </c>
      <c r="Q145" t="s">
        <v>163</v>
      </c>
      <c r="S145" t="s">
        <v>207</v>
      </c>
      <c r="T145" t="s">
        <v>282</v>
      </c>
      <c r="U145">
        <v>1.8787399702472087E-2</v>
      </c>
      <c r="V145" t="s">
        <v>163</v>
      </c>
      <c r="AK145">
        <v>2038</v>
      </c>
      <c r="AL145" t="s">
        <v>254</v>
      </c>
      <c r="AM145">
        <v>0.60189999999999999</v>
      </c>
      <c r="AN145" t="s">
        <v>247</v>
      </c>
    </row>
    <row r="146" spans="9:40" x14ac:dyDescent="0.45">
      <c r="I146" t="s">
        <v>176</v>
      </c>
      <c r="J146" t="s">
        <v>283</v>
      </c>
      <c r="K146">
        <v>6.0540292104993565E-3</v>
      </c>
      <c r="L146" t="s">
        <v>163</v>
      </c>
      <c r="N146" t="s">
        <v>192</v>
      </c>
      <c r="O146" t="s">
        <v>283</v>
      </c>
      <c r="P146">
        <v>4.3386193636784356E-3</v>
      </c>
      <c r="Q146" t="s">
        <v>163</v>
      </c>
      <c r="S146" t="s">
        <v>207</v>
      </c>
      <c r="T146" t="s">
        <v>283</v>
      </c>
      <c r="U146">
        <v>3.0755831884527432E-3</v>
      </c>
      <c r="V146" t="s">
        <v>163</v>
      </c>
      <c r="AK146">
        <v>2038</v>
      </c>
      <c r="AL146" t="s">
        <v>255</v>
      </c>
      <c r="AM146">
        <v>0.56969999999999998</v>
      </c>
      <c r="AN146" t="s">
        <v>247</v>
      </c>
    </row>
    <row r="147" spans="9:40" x14ac:dyDescent="0.45">
      <c r="I147" t="s">
        <v>176</v>
      </c>
      <c r="J147" t="s">
        <v>284</v>
      </c>
      <c r="K147">
        <v>1.8495652015111715E-3</v>
      </c>
      <c r="L147" t="s">
        <v>163</v>
      </c>
      <c r="N147" t="s">
        <v>192</v>
      </c>
      <c r="O147" t="s">
        <v>284</v>
      </c>
      <c r="P147">
        <v>4.1670719910647074E-3</v>
      </c>
      <c r="Q147" t="s">
        <v>163</v>
      </c>
      <c r="S147" t="s">
        <v>207</v>
      </c>
      <c r="T147" t="s">
        <v>284</v>
      </c>
      <c r="U147">
        <v>3.0136914857066409E-3</v>
      </c>
      <c r="V147" t="s">
        <v>163</v>
      </c>
      <c r="AK147">
        <v>2039</v>
      </c>
      <c r="AL147" t="s">
        <v>151</v>
      </c>
      <c r="AM147">
        <v>0.43109999999999998</v>
      </c>
      <c r="AN147" t="s">
        <v>247</v>
      </c>
    </row>
    <row r="148" spans="9:40" x14ac:dyDescent="0.45">
      <c r="I148" t="s">
        <v>176</v>
      </c>
      <c r="J148" t="s">
        <v>285</v>
      </c>
      <c r="K148">
        <v>0</v>
      </c>
      <c r="L148" t="s">
        <v>163</v>
      </c>
      <c r="N148" t="s">
        <v>192</v>
      </c>
      <c r="O148" t="s">
        <v>285</v>
      </c>
      <c r="P148">
        <v>1.8690407466519024E-2</v>
      </c>
      <c r="Q148" t="s">
        <v>163</v>
      </c>
      <c r="S148" t="s">
        <v>207</v>
      </c>
      <c r="T148" t="s">
        <v>285</v>
      </c>
      <c r="U148">
        <v>1.4202433158030981E-2</v>
      </c>
      <c r="V148" t="s">
        <v>163</v>
      </c>
      <c r="AK148">
        <v>2039</v>
      </c>
      <c r="AL148" t="s">
        <v>155</v>
      </c>
      <c r="AM148">
        <v>0.37430000000000002</v>
      </c>
      <c r="AN148" t="s">
        <v>247</v>
      </c>
    </row>
    <row r="149" spans="9:40" x14ac:dyDescent="0.45">
      <c r="I149" t="s">
        <v>176</v>
      </c>
      <c r="J149" t="s">
        <v>286</v>
      </c>
      <c r="K149">
        <v>2.1021324354044881E-2</v>
      </c>
      <c r="L149" t="s">
        <v>163</v>
      </c>
      <c r="N149" t="s">
        <v>192</v>
      </c>
      <c r="O149" t="s">
        <v>286</v>
      </c>
      <c r="P149">
        <v>3.5454886916611895E-2</v>
      </c>
      <c r="Q149" t="s">
        <v>163</v>
      </c>
      <c r="S149" t="s">
        <v>207</v>
      </c>
      <c r="T149" t="s">
        <v>286</v>
      </c>
      <c r="U149">
        <v>3.4690647384655243E-2</v>
      </c>
      <c r="V149" t="s">
        <v>163</v>
      </c>
      <c r="AK149">
        <v>2039</v>
      </c>
      <c r="AL149" t="s">
        <v>157</v>
      </c>
      <c r="AM149">
        <v>0.36890000000000001</v>
      </c>
      <c r="AN149" t="s">
        <v>247</v>
      </c>
    </row>
    <row r="150" spans="9:40" x14ac:dyDescent="0.45">
      <c r="I150" t="s">
        <v>176</v>
      </c>
      <c r="J150" t="s">
        <v>287</v>
      </c>
      <c r="K150">
        <v>7.9437596107474404E-2</v>
      </c>
      <c r="L150" t="s">
        <v>163</v>
      </c>
      <c r="N150" t="s">
        <v>192</v>
      </c>
      <c r="O150" t="s">
        <v>287</v>
      </c>
      <c r="P150">
        <v>2.0308936936926654E-2</v>
      </c>
      <c r="Q150" t="s">
        <v>163</v>
      </c>
      <c r="S150" t="s">
        <v>207</v>
      </c>
      <c r="T150" t="s">
        <v>287</v>
      </c>
      <c r="U150">
        <v>1.8335957000978391E-2</v>
      </c>
      <c r="V150" t="s">
        <v>163</v>
      </c>
      <c r="AK150">
        <v>2039</v>
      </c>
      <c r="AL150" t="s">
        <v>159</v>
      </c>
      <c r="AM150">
        <v>0.39454999999999996</v>
      </c>
      <c r="AN150" t="s">
        <v>247</v>
      </c>
    </row>
    <row r="151" spans="9:40" x14ac:dyDescent="0.45">
      <c r="I151" t="s">
        <v>176</v>
      </c>
      <c r="J151" t="s">
        <v>288</v>
      </c>
      <c r="K151">
        <v>0.12489891305684948</v>
      </c>
      <c r="L151" t="s">
        <v>163</v>
      </c>
      <c r="N151" t="s">
        <v>192</v>
      </c>
      <c r="O151" t="s">
        <v>288</v>
      </c>
      <c r="P151">
        <v>3.5428950553809277E-2</v>
      </c>
      <c r="Q151" t="s">
        <v>163</v>
      </c>
      <c r="S151" t="s">
        <v>207</v>
      </c>
      <c r="T151" t="s">
        <v>288</v>
      </c>
      <c r="U151">
        <v>3.050094813983829E-2</v>
      </c>
      <c r="V151" t="s">
        <v>163</v>
      </c>
      <c r="AK151">
        <v>2039</v>
      </c>
      <c r="AL151" t="s">
        <v>250</v>
      </c>
      <c r="AM151">
        <v>0.42709999999999998</v>
      </c>
      <c r="AN151" t="s">
        <v>247</v>
      </c>
    </row>
    <row r="152" spans="9:40" x14ac:dyDescent="0.45">
      <c r="I152" t="s">
        <v>176</v>
      </c>
      <c r="J152" t="s">
        <v>289</v>
      </c>
      <c r="K152">
        <v>1.4584084491767494E-2</v>
      </c>
      <c r="L152" t="s">
        <v>163</v>
      </c>
      <c r="N152" t="s">
        <v>192</v>
      </c>
      <c r="O152" t="s">
        <v>289</v>
      </c>
      <c r="P152">
        <v>6.2787075943437076E-3</v>
      </c>
      <c r="Q152" t="s">
        <v>163</v>
      </c>
      <c r="S152" t="s">
        <v>207</v>
      </c>
      <c r="T152" t="s">
        <v>289</v>
      </c>
      <c r="U152">
        <v>5.1370676217294816E-3</v>
      </c>
      <c r="V152" t="s">
        <v>163</v>
      </c>
      <c r="AK152">
        <v>2039</v>
      </c>
      <c r="AL152" t="s">
        <v>252</v>
      </c>
      <c r="AM152">
        <v>0.44466666666666671</v>
      </c>
      <c r="AN152" t="s">
        <v>247</v>
      </c>
    </row>
    <row r="153" spans="9:40" x14ac:dyDescent="0.45">
      <c r="I153" t="s">
        <v>176</v>
      </c>
      <c r="J153" t="s">
        <v>290</v>
      </c>
      <c r="K153">
        <v>9.4948967343256672E-3</v>
      </c>
      <c r="L153" t="s">
        <v>163</v>
      </c>
      <c r="N153" t="s">
        <v>192</v>
      </c>
      <c r="O153" t="s">
        <v>290</v>
      </c>
      <c r="P153">
        <v>6.0850608383989516E-3</v>
      </c>
      <c r="Q153" t="s">
        <v>163</v>
      </c>
      <c r="S153" t="s">
        <v>207</v>
      </c>
      <c r="T153" t="s">
        <v>290</v>
      </c>
      <c r="U153">
        <v>5.0320358210778201E-3</v>
      </c>
      <c r="V153" t="s">
        <v>163</v>
      </c>
      <c r="AK153">
        <v>2039</v>
      </c>
      <c r="AL153" t="s">
        <v>254</v>
      </c>
      <c r="AM153">
        <v>0.46970000000000001</v>
      </c>
      <c r="AN153" t="s">
        <v>247</v>
      </c>
    </row>
    <row r="154" spans="9:40" x14ac:dyDescent="0.45">
      <c r="I154" t="s">
        <v>176</v>
      </c>
      <c r="J154" t="s">
        <v>291</v>
      </c>
      <c r="K154">
        <v>6.7564542777169686E-4</v>
      </c>
      <c r="L154" t="s">
        <v>163</v>
      </c>
      <c r="N154" t="s">
        <v>192</v>
      </c>
      <c r="O154" t="s">
        <v>291</v>
      </c>
      <c r="P154">
        <v>2.7101002562088475E-2</v>
      </c>
      <c r="Q154" t="s">
        <v>163</v>
      </c>
      <c r="S154" t="s">
        <v>207</v>
      </c>
      <c r="T154" t="s">
        <v>291</v>
      </c>
      <c r="U154">
        <v>2.3210948638372208E-2</v>
      </c>
      <c r="V154" t="s">
        <v>163</v>
      </c>
      <c r="AK154">
        <v>2039</v>
      </c>
      <c r="AL154" t="s">
        <v>255</v>
      </c>
      <c r="AM154">
        <v>0.40334999999999999</v>
      </c>
      <c r="AN154" t="s">
        <v>247</v>
      </c>
    </row>
    <row r="155" spans="9:40" x14ac:dyDescent="0.45">
      <c r="I155" t="s">
        <v>177</v>
      </c>
      <c r="J155" t="s">
        <v>162</v>
      </c>
      <c r="K155">
        <v>1.162309918323419E-2</v>
      </c>
      <c r="L155" t="s">
        <v>163</v>
      </c>
      <c r="N155" t="s">
        <v>193</v>
      </c>
      <c r="O155" t="s">
        <v>162</v>
      </c>
      <c r="P155">
        <v>1.8501615045555128E-2</v>
      </c>
      <c r="Q155" t="s">
        <v>163</v>
      </c>
      <c r="S155" t="s">
        <v>208</v>
      </c>
      <c r="T155" t="s">
        <v>162</v>
      </c>
      <c r="U155">
        <v>2.7112727373636604E-2</v>
      </c>
      <c r="V155" t="s">
        <v>163</v>
      </c>
      <c r="AK155">
        <v>2040</v>
      </c>
      <c r="AL155" t="s">
        <v>151</v>
      </c>
      <c r="AM155">
        <v>0.43049999999999999</v>
      </c>
      <c r="AN155" t="s">
        <v>247</v>
      </c>
    </row>
    <row r="156" spans="9:40" x14ac:dyDescent="0.45">
      <c r="I156" t="s">
        <v>177</v>
      </c>
      <c r="J156" t="s">
        <v>164</v>
      </c>
      <c r="K156">
        <v>4.4729826554646288E-2</v>
      </c>
      <c r="L156" t="s">
        <v>163</v>
      </c>
      <c r="N156" t="s">
        <v>193</v>
      </c>
      <c r="O156" t="s">
        <v>164</v>
      </c>
      <c r="P156">
        <v>1.3828986343825228E-2</v>
      </c>
      <c r="Q156" t="s">
        <v>163</v>
      </c>
      <c r="S156" t="s">
        <v>208</v>
      </c>
      <c r="T156" t="s">
        <v>164</v>
      </c>
      <c r="U156">
        <v>1.3542254919538459E-2</v>
      </c>
      <c r="V156" t="s">
        <v>163</v>
      </c>
      <c r="AK156">
        <v>2040</v>
      </c>
      <c r="AL156" t="s">
        <v>155</v>
      </c>
      <c r="AM156">
        <v>0.4269</v>
      </c>
      <c r="AN156" t="s">
        <v>247</v>
      </c>
    </row>
    <row r="157" spans="9:40" x14ac:dyDescent="0.45">
      <c r="I157" t="s">
        <v>177</v>
      </c>
      <c r="J157" t="s">
        <v>165</v>
      </c>
      <c r="K157">
        <v>7.3278204891059573E-2</v>
      </c>
      <c r="L157" t="s">
        <v>163</v>
      </c>
      <c r="N157" t="s">
        <v>193</v>
      </c>
      <c r="O157" t="s">
        <v>165</v>
      </c>
      <c r="P157">
        <v>2.7157125674973862E-2</v>
      </c>
      <c r="Q157" t="s">
        <v>163</v>
      </c>
      <c r="S157" t="s">
        <v>208</v>
      </c>
      <c r="T157" t="s">
        <v>165</v>
      </c>
      <c r="U157">
        <v>2.3248529078826199E-2</v>
      </c>
      <c r="V157" t="s">
        <v>163</v>
      </c>
      <c r="AK157">
        <v>2040</v>
      </c>
      <c r="AL157" t="s">
        <v>157</v>
      </c>
      <c r="AM157">
        <v>0.40289999999999998</v>
      </c>
      <c r="AN157" t="s">
        <v>247</v>
      </c>
    </row>
    <row r="158" spans="9:40" x14ac:dyDescent="0.45">
      <c r="I158" t="s">
        <v>177</v>
      </c>
      <c r="J158" t="s">
        <v>256</v>
      </c>
      <c r="K158">
        <v>9.6031602425343341E-3</v>
      </c>
      <c r="L158" t="s">
        <v>163</v>
      </c>
      <c r="N158" t="s">
        <v>193</v>
      </c>
      <c r="O158" t="s">
        <v>256</v>
      </c>
      <c r="P158">
        <v>4.2661348924619433E-3</v>
      </c>
      <c r="Q158" t="s">
        <v>163</v>
      </c>
      <c r="S158" t="s">
        <v>208</v>
      </c>
      <c r="T158" t="s">
        <v>256</v>
      </c>
      <c r="U158">
        <v>4.2500997919655576E-3</v>
      </c>
      <c r="V158" t="s">
        <v>163</v>
      </c>
      <c r="AK158">
        <v>2040</v>
      </c>
      <c r="AL158" t="s">
        <v>159</v>
      </c>
      <c r="AM158">
        <v>0.3805</v>
      </c>
      <c r="AN158" t="s">
        <v>247</v>
      </c>
    </row>
    <row r="159" spans="9:40" x14ac:dyDescent="0.45">
      <c r="I159" t="s">
        <v>177</v>
      </c>
      <c r="J159" t="s">
        <v>257</v>
      </c>
      <c r="K159">
        <v>7.4626828620374553E-3</v>
      </c>
      <c r="L159" t="s">
        <v>163</v>
      </c>
      <c r="N159" t="s">
        <v>193</v>
      </c>
      <c r="O159" t="s">
        <v>257</v>
      </c>
      <c r="P159">
        <v>3.9640141464253025E-3</v>
      </c>
      <c r="Q159" t="s">
        <v>163</v>
      </c>
      <c r="S159" t="s">
        <v>208</v>
      </c>
      <c r="T159" t="s">
        <v>257</v>
      </c>
      <c r="U159">
        <v>4.2553851536171489E-3</v>
      </c>
      <c r="V159" t="s">
        <v>163</v>
      </c>
      <c r="AK159">
        <v>2040</v>
      </c>
      <c r="AL159" t="s">
        <v>250</v>
      </c>
      <c r="AM159">
        <v>0.42649999999999999</v>
      </c>
      <c r="AN159" t="s">
        <v>247</v>
      </c>
    </row>
    <row r="160" spans="9:40" x14ac:dyDescent="0.45">
      <c r="I160" t="s">
        <v>177</v>
      </c>
      <c r="J160" t="s">
        <v>258</v>
      </c>
      <c r="K160">
        <v>4.3572730919387535E-3</v>
      </c>
      <c r="L160" t="s">
        <v>163</v>
      </c>
      <c r="N160" t="s">
        <v>193</v>
      </c>
      <c r="O160" t="s">
        <v>258</v>
      </c>
      <c r="P160">
        <v>1.7140446717158402E-2</v>
      </c>
      <c r="Q160" t="s">
        <v>163</v>
      </c>
      <c r="S160" t="s">
        <v>208</v>
      </c>
      <c r="T160" t="s">
        <v>258</v>
      </c>
      <c r="U160">
        <v>2.0136122260948006E-2</v>
      </c>
      <c r="V160" t="s">
        <v>163</v>
      </c>
      <c r="AK160">
        <v>2040</v>
      </c>
      <c r="AL160" t="s">
        <v>252</v>
      </c>
      <c r="AM160">
        <v>0.46426666666666666</v>
      </c>
      <c r="AN160" t="s">
        <v>247</v>
      </c>
    </row>
    <row r="161" spans="9:40" x14ac:dyDescent="0.45">
      <c r="I161" t="s">
        <v>177</v>
      </c>
      <c r="J161" t="s">
        <v>166</v>
      </c>
      <c r="K161">
        <v>5.4252903017009916E-3</v>
      </c>
      <c r="L161" t="s">
        <v>163</v>
      </c>
      <c r="N161" t="s">
        <v>193</v>
      </c>
      <c r="O161" t="s">
        <v>166</v>
      </c>
      <c r="P161">
        <v>6.9514254577474855E-3</v>
      </c>
      <c r="Q161" t="s">
        <v>163</v>
      </c>
      <c r="S161" t="s">
        <v>208</v>
      </c>
      <c r="T161" t="s">
        <v>166</v>
      </c>
      <c r="U161">
        <v>1.8599547547463322E-2</v>
      </c>
      <c r="V161" t="s">
        <v>163</v>
      </c>
      <c r="AK161">
        <v>2040</v>
      </c>
      <c r="AL161" t="s">
        <v>254</v>
      </c>
      <c r="AM161">
        <v>0.44319999999999998</v>
      </c>
      <c r="AN161" t="s">
        <v>247</v>
      </c>
    </row>
    <row r="162" spans="9:40" x14ac:dyDescent="0.45">
      <c r="I162" t="s">
        <v>177</v>
      </c>
      <c r="J162" t="s">
        <v>167</v>
      </c>
      <c r="K162">
        <v>3.6218270821577879E-2</v>
      </c>
      <c r="L162" t="s">
        <v>163</v>
      </c>
      <c r="N162" t="s">
        <v>193</v>
      </c>
      <c r="O162" t="s">
        <v>167</v>
      </c>
      <c r="P162">
        <v>4.4006646936773685E-3</v>
      </c>
      <c r="Q162" t="s">
        <v>163</v>
      </c>
      <c r="S162" t="s">
        <v>208</v>
      </c>
      <c r="T162" t="s">
        <v>167</v>
      </c>
      <c r="U162">
        <v>1.1086265773029992E-2</v>
      </c>
      <c r="V162" t="s">
        <v>163</v>
      </c>
      <c r="AK162">
        <v>2040</v>
      </c>
      <c r="AL162" t="s">
        <v>255</v>
      </c>
      <c r="AM162">
        <v>0.43935000000000002</v>
      </c>
      <c r="AN162" t="s">
        <v>247</v>
      </c>
    </row>
    <row r="163" spans="9:40" x14ac:dyDescent="0.45">
      <c r="I163" t="s">
        <v>177</v>
      </c>
      <c r="J163" t="s">
        <v>168</v>
      </c>
      <c r="K163">
        <v>6.2628660651491738E-2</v>
      </c>
      <c r="L163" t="s">
        <v>163</v>
      </c>
      <c r="N163" t="s">
        <v>193</v>
      </c>
      <c r="O163" t="s">
        <v>168</v>
      </c>
      <c r="P163">
        <v>1.0613618604182178E-2</v>
      </c>
      <c r="Q163" t="s">
        <v>163</v>
      </c>
      <c r="S163" t="s">
        <v>208</v>
      </c>
      <c r="T163" t="s">
        <v>168</v>
      </c>
      <c r="U163">
        <v>1.9560576344195627E-2</v>
      </c>
      <c r="V163" t="s">
        <v>163</v>
      </c>
      <c r="AK163">
        <v>2041</v>
      </c>
      <c r="AL163" t="s">
        <v>151</v>
      </c>
      <c r="AM163">
        <v>0.3916</v>
      </c>
      <c r="AN163" t="s">
        <v>247</v>
      </c>
    </row>
    <row r="164" spans="9:40" x14ac:dyDescent="0.45">
      <c r="I164" t="s">
        <v>177</v>
      </c>
      <c r="J164" t="s">
        <v>259</v>
      </c>
      <c r="K164">
        <v>9.1174883437250293E-3</v>
      </c>
      <c r="L164" t="s">
        <v>163</v>
      </c>
      <c r="N164" t="s">
        <v>193</v>
      </c>
      <c r="O164" t="s">
        <v>259</v>
      </c>
      <c r="P164">
        <v>2.7474044361212777E-3</v>
      </c>
      <c r="Q164" t="s">
        <v>163</v>
      </c>
      <c r="S164" t="s">
        <v>208</v>
      </c>
      <c r="T164" t="s">
        <v>259</v>
      </c>
      <c r="U164">
        <v>3.5145882658315524E-3</v>
      </c>
      <c r="V164" t="s">
        <v>163</v>
      </c>
      <c r="AK164">
        <v>2041</v>
      </c>
      <c r="AL164" t="s">
        <v>155</v>
      </c>
      <c r="AM164">
        <v>0.40179999999999999</v>
      </c>
      <c r="AN164" t="s">
        <v>247</v>
      </c>
    </row>
    <row r="165" spans="9:40" x14ac:dyDescent="0.45">
      <c r="I165" t="s">
        <v>177</v>
      </c>
      <c r="J165" t="s">
        <v>260</v>
      </c>
      <c r="K165">
        <v>6.4922924025618955E-3</v>
      </c>
      <c r="L165" t="s">
        <v>163</v>
      </c>
      <c r="N165" t="s">
        <v>193</v>
      </c>
      <c r="O165" t="s">
        <v>260</v>
      </c>
      <c r="P165">
        <v>3.0711008144889197E-3</v>
      </c>
      <c r="Q165" t="s">
        <v>163</v>
      </c>
      <c r="S165" t="s">
        <v>208</v>
      </c>
      <c r="T165" t="s">
        <v>260</v>
      </c>
      <c r="U165">
        <v>3.5172360247878688E-3</v>
      </c>
      <c r="V165" t="s">
        <v>163</v>
      </c>
      <c r="AK165">
        <v>2041</v>
      </c>
      <c r="AL165" t="s">
        <v>157</v>
      </c>
      <c r="AM165">
        <v>0.3725</v>
      </c>
      <c r="AN165" t="s">
        <v>247</v>
      </c>
    </row>
    <row r="166" spans="9:40" x14ac:dyDescent="0.45">
      <c r="I166" t="s">
        <v>177</v>
      </c>
      <c r="J166" t="s">
        <v>261</v>
      </c>
      <c r="K166">
        <v>4.3237161635306144E-4</v>
      </c>
      <c r="L166" t="s">
        <v>163</v>
      </c>
      <c r="N166" t="s">
        <v>193</v>
      </c>
      <c r="O166" t="s">
        <v>261</v>
      </c>
      <c r="P166">
        <v>1.0297203062911625E-2</v>
      </c>
      <c r="Q166" t="s">
        <v>163</v>
      </c>
      <c r="S166" t="s">
        <v>208</v>
      </c>
      <c r="T166" t="s">
        <v>261</v>
      </c>
      <c r="U166">
        <v>1.6340360200889643E-2</v>
      </c>
      <c r="V166" t="s">
        <v>163</v>
      </c>
      <c r="AK166">
        <v>2041</v>
      </c>
      <c r="AL166" t="s">
        <v>159</v>
      </c>
      <c r="AM166">
        <v>0.4</v>
      </c>
      <c r="AN166" t="s">
        <v>247</v>
      </c>
    </row>
    <row r="167" spans="9:40" x14ac:dyDescent="0.45">
      <c r="I167" t="s">
        <v>177</v>
      </c>
      <c r="J167" t="s">
        <v>169</v>
      </c>
      <c r="K167">
        <v>2.6151972276476352E-3</v>
      </c>
      <c r="L167" t="s">
        <v>163</v>
      </c>
      <c r="N167" t="s">
        <v>193</v>
      </c>
      <c r="O167" t="s">
        <v>169</v>
      </c>
      <c r="P167">
        <v>8.8262493060485975E-3</v>
      </c>
      <c r="Q167" t="s">
        <v>163</v>
      </c>
      <c r="S167" t="s">
        <v>208</v>
      </c>
      <c r="T167" t="s">
        <v>169</v>
      </c>
      <c r="U167">
        <v>2.1335737603406364E-2</v>
      </c>
      <c r="V167" t="s">
        <v>163</v>
      </c>
      <c r="AK167">
        <v>2041</v>
      </c>
      <c r="AL167" t="s">
        <v>250</v>
      </c>
      <c r="AM167">
        <v>0.49469999999999997</v>
      </c>
      <c r="AN167" t="s">
        <v>247</v>
      </c>
    </row>
    <row r="168" spans="9:40" x14ac:dyDescent="0.45">
      <c r="I168" t="s">
        <v>177</v>
      </c>
      <c r="J168" t="s">
        <v>170</v>
      </c>
      <c r="K168">
        <v>3.0580884313108143E-2</v>
      </c>
      <c r="L168" t="s">
        <v>163</v>
      </c>
      <c r="N168" t="s">
        <v>193</v>
      </c>
      <c r="O168" t="s">
        <v>170</v>
      </c>
      <c r="P168">
        <v>6.8219269917929905E-3</v>
      </c>
      <c r="Q168" t="s">
        <v>163</v>
      </c>
      <c r="S168" t="s">
        <v>208</v>
      </c>
      <c r="T168" t="s">
        <v>170</v>
      </c>
      <c r="U168">
        <v>1.2273305498355763E-2</v>
      </c>
      <c r="V168" t="s">
        <v>163</v>
      </c>
      <c r="AK168">
        <v>2041</v>
      </c>
      <c r="AL168" t="s">
        <v>252</v>
      </c>
      <c r="AM168">
        <v>0.48100000000000004</v>
      </c>
      <c r="AN168" t="s">
        <v>247</v>
      </c>
    </row>
    <row r="169" spans="9:40" x14ac:dyDescent="0.45">
      <c r="I169" t="s">
        <v>177</v>
      </c>
      <c r="J169" t="s">
        <v>171</v>
      </c>
      <c r="K169">
        <v>5.3097146288299507E-2</v>
      </c>
      <c r="L169" t="s">
        <v>163</v>
      </c>
      <c r="N169" t="s">
        <v>193</v>
      </c>
      <c r="O169" t="s">
        <v>171</v>
      </c>
      <c r="P169">
        <v>1.2521062873371134E-2</v>
      </c>
      <c r="Q169" t="s">
        <v>163</v>
      </c>
      <c r="S169" t="s">
        <v>208</v>
      </c>
      <c r="T169" t="s">
        <v>171</v>
      </c>
      <c r="U169">
        <v>2.0745452238477645E-2</v>
      </c>
      <c r="V169" t="s">
        <v>163</v>
      </c>
      <c r="AK169">
        <v>2041</v>
      </c>
      <c r="AL169" t="s">
        <v>254</v>
      </c>
      <c r="AM169">
        <v>0.47310000000000002</v>
      </c>
      <c r="AN169" t="s">
        <v>247</v>
      </c>
    </row>
    <row r="170" spans="9:40" x14ac:dyDescent="0.45">
      <c r="I170" t="s">
        <v>177</v>
      </c>
      <c r="J170" t="s">
        <v>262</v>
      </c>
      <c r="K170">
        <v>6.7192712348037613E-3</v>
      </c>
      <c r="L170" t="s">
        <v>163</v>
      </c>
      <c r="N170" t="s">
        <v>193</v>
      </c>
      <c r="O170" t="s">
        <v>262</v>
      </c>
      <c r="P170">
        <v>2.4603213706034465E-3</v>
      </c>
      <c r="Q170" t="s">
        <v>163</v>
      </c>
      <c r="S170" t="s">
        <v>208</v>
      </c>
      <c r="T170" t="s">
        <v>262</v>
      </c>
      <c r="U170">
        <v>3.8036450704110681E-3</v>
      </c>
      <c r="V170" t="s">
        <v>163</v>
      </c>
      <c r="AK170">
        <v>2041</v>
      </c>
      <c r="AL170" t="s">
        <v>255</v>
      </c>
      <c r="AM170">
        <v>0.43785000000000002</v>
      </c>
      <c r="AN170" t="s">
        <v>247</v>
      </c>
    </row>
    <row r="171" spans="9:40" x14ac:dyDescent="0.45">
      <c r="I171" t="s">
        <v>177</v>
      </c>
      <c r="J171" t="s">
        <v>263</v>
      </c>
      <c r="K171">
        <v>2.6693580910309694E-3</v>
      </c>
      <c r="L171" t="s">
        <v>163</v>
      </c>
      <c r="N171" t="s">
        <v>193</v>
      </c>
      <c r="O171" t="s">
        <v>263</v>
      </c>
      <c r="P171">
        <v>2.4816309298888346E-3</v>
      </c>
      <c r="Q171" t="s">
        <v>163</v>
      </c>
      <c r="S171" t="s">
        <v>208</v>
      </c>
      <c r="T171" t="s">
        <v>263</v>
      </c>
      <c r="U171">
        <v>3.7946462864459477E-3</v>
      </c>
      <c r="V171" t="s">
        <v>163</v>
      </c>
      <c r="AK171">
        <v>2042</v>
      </c>
      <c r="AL171" t="s">
        <v>151</v>
      </c>
      <c r="AM171">
        <v>0.39169999999999999</v>
      </c>
      <c r="AN171" t="s">
        <v>247</v>
      </c>
    </row>
    <row r="172" spans="9:40" x14ac:dyDescent="0.45">
      <c r="I172" t="s">
        <v>177</v>
      </c>
      <c r="J172" t="s">
        <v>264</v>
      </c>
      <c r="K172">
        <v>0</v>
      </c>
      <c r="L172" t="s">
        <v>163</v>
      </c>
      <c r="N172" t="s">
        <v>193</v>
      </c>
      <c r="O172" t="s">
        <v>264</v>
      </c>
      <c r="P172">
        <v>8.0743192691315226E-3</v>
      </c>
      <c r="Q172" t="s">
        <v>163</v>
      </c>
      <c r="S172" t="s">
        <v>208</v>
      </c>
      <c r="T172" t="s">
        <v>264</v>
      </c>
      <c r="U172">
        <v>1.7223428584317965E-2</v>
      </c>
      <c r="V172" t="s">
        <v>163</v>
      </c>
      <c r="AK172">
        <v>2042</v>
      </c>
      <c r="AL172" t="s">
        <v>155</v>
      </c>
      <c r="AM172">
        <v>0.38500000000000001</v>
      </c>
      <c r="AN172" t="s">
        <v>247</v>
      </c>
    </row>
    <row r="173" spans="9:40" x14ac:dyDescent="0.45">
      <c r="I173" t="s">
        <v>177</v>
      </c>
      <c r="J173" t="s">
        <v>172</v>
      </c>
      <c r="K173">
        <v>0</v>
      </c>
      <c r="L173" t="s">
        <v>163</v>
      </c>
      <c r="N173" t="s">
        <v>193</v>
      </c>
      <c r="O173" t="s">
        <v>172</v>
      </c>
      <c r="P173">
        <v>4.61499157082269E-2</v>
      </c>
      <c r="Q173" t="s">
        <v>163</v>
      </c>
      <c r="S173" t="s">
        <v>208</v>
      </c>
      <c r="T173" t="s">
        <v>172</v>
      </c>
      <c r="U173">
        <v>4.8000509390643493E-2</v>
      </c>
      <c r="V173" t="s">
        <v>163</v>
      </c>
      <c r="AK173">
        <v>2042</v>
      </c>
      <c r="AL173" t="s">
        <v>157</v>
      </c>
      <c r="AM173">
        <v>0.3614</v>
      </c>
      <c r="AN173" t="s">
        <v>247</v>
      </c>
    </row>
    <row r="174" spans="9:40" x14ac:dyDescent="0.45">
      <c r="I174" t="s">
        <v>177</v>
      </c>
      <c r="J174" t="s">
        <v>173</v>
      </c>
      <c r="K174">
        <v>3.2241817019291324E-2</v>
      </c>
      <c r="L174" t="s">
        <v>163</v>
      </c>
      <c r="N174" t="s">
        <v>193</v>
      </c>
      <c r="O174" t="s">
        <v>173</v>
      </c>
      <c r="P174">
        <v>2.270496715328171E-2</v>
      </c>
      <c r="Q174" t="s">
        <v>163</v>
      </c>
      <c r="S174" t="s">
        <v>208</v>
      </c>
      <c r="T174" t="s">
        <v>173</v>
      </c>
      <c r="U174">
        <v>2.4361951750812232E-2</v>
      </c>
      <c r="V174" t="s">
        <v>163</v>
      </c>
      <c r="AK174">
        <v>2042</v>
      </c>
      <c r="AL174" t="s">
        <v>159</v>
      </c>
      <c r="AM174">
        <v>0.36654999999999999</v>
      </c>
      <c r="AN174" t="s">
        <v>247</v>
      </c>
    </row>
    <row r="175" spans="9:40" x14ac:dyDescent="0.45">
      <c r="I175" t="s">
        <v>177</v>
      </c>
      <c r="J175" t="s">
        <v>174</v>
      </c>
      <c r="K175">
        <v>5.9185546836007949E-2</v>
      </c>
      <c r="L175" t="s">
        <v>163</v>
      </c>
      <c r="N175" t="s">
        <v>193</v>
      </c>
      <c r="O175" t="s">
        <v>174</v>
      </c>
      <c r="P175">
        <v>4.3677221396781436E-2</v>
      </c>
      <c r="Q175" t="s">
        <v>163</v>
      </c>
      <c r="S175" t="s">
        <v>208</v>
      </c>
      <c r="T175" t="s">
        <v>174</v>
      </c>
      <c r="U175">
        <v>3.9166743248732962E-2</v>
      </c>
      <c r="V175" t="s">
        <v>163</v>
      </c>
      <c r="AK175">
        <v>2042</v>
      </c>
      <c r="AL175" t="s">
        <v>250</v>
      </c>
      <c r="AM175">
        <v>0.45750000000000002</v>
      </c>
      <c r="AN175" t="s">
        <v>247</v>
      </c>
    </row>
    <row r="176" spans="9:40" x14ac:dyDescent="0.45">
      <c r="I176" t="s">
        <v>177</v>
      </c>
      <c r="J176" t="s">
        <v>265</v>
      </c>
      <c r="K176">
        <v>2.4662382012910038E-3</v>
      </c>
      <c r="L176" t="s">
        <v>163</v>
      </c>
      <c r="N176" t="s">
        <v>193</v>
      </c>
      <c r="O176" t="s">
        <v>265</v>
      </c>
      <c r="P176">
        <v>6.5624601178513693E-3</v>
      </c>
      <c r="Q176" t="s">
        <v>163</v>
      </c>
      <c r="S176" t="s">
        <v>208</v>
      </c>
      <c r="T176" t="s">
        <v>265</v>
      </c>
      <c r="U176">
        <v>6.9678100232216343E-3</v>
      </c>
      <c r="V176" t="s">
        <v>163</v>
      </c>
      <c r="AK176">
        <v>2042</v>
      </c>
      <c r="AL176" t="s">
        <v>252</v>
      </c>
      <c r="AM176">
        <v>0.45033333333333331</v>
      </c>
      <c r="AN176" t="s">
        <v>247</v>
      </c>
    </row>
    <row r="177" spans="9:40" x14ac:dyDescent="0.45">
      <c r="I177" t="s">
        <v>177</v>
      </c>
      <c r="J177" t="s">
        <v>266</v>
      </c>
      <c r="K177">
        <v>0</v>
      </c>
      <c r="L177" t="s">
        <v>163</v>
      </c>
      <c r="N177" t="s">
        <v>193</v>
      </c>
      <c r="O177" t="s">
        <v>266</v>
      </c>
      <c r="P177">
        <v>6.727149091411519E-3</v>
      </c>
      <c r="Q177" t="s">
        <v>163</v>
      </c>
      <c r="S177" t="s">
        <v>208</v>
      </c>
      <c r="T177" t="s">
        <v>266</v>
      </c>
      <c r="U177">
        <v>6.9305859461600743E-3</v>
      </c>
      <c r="V177" t="s">
        <v>163</v>
      </c>
      <c r="AK177">
        <v>2042</v>
      </c>
      <c r="AL177" t="s">
        <v>254</v>
      </c>
      <c r="AM177">
        <v>0.42420000000000002</v>
      </c>
      <c r="AN177" t="s">
        <v>247</v>
      </c>
    </row>
    <row r="178" spans="9:40" x14ac:dyDescent="0.45">
      <c r="I178" t="s">
        <v>177</v>
      </c>
      <c r="J178" t="s">
        <v>267</v>
      </c>
      <c r="K178">
        <v>0</v>
      </c>
      <c r="L178" t="s">
        <v>163</v>
      </c>
      <c r="N178" t="s">
        <v>193</v>
      </c>
      <c r="O178" t="s">
        <v>267</v>
      </c>
      <c r="P178">
        <v>3.5943676689608128E-2</v>
      </c>
      <c r="Q178" t="s">
        <v>163</v>
      </c>
      <c r="S178" t="s">
        <v>208</v>
      </c>
      <c r="T178" t="s">
        <v>267</v>
      </c>
      <c r="U178">
        <v>3.4974555191805916E-2</v>
      </c>
      <c r="V178" t="s">
        <v>163</v>
      </c>
      <c r="AK178">
        <v>2042</v>
      </c>
      <c r="AL178" t="s">
        <v>255</v>
      </c>
      <c r="AM178">
        <v>0.39600000000000002</v>
      </c>
      <c r="AN178" t="s">
        <v>247</v>
      </c>
    </row>
    <row r="179" spans="9:40" x14ac:dyDescent="0.45">
      <c r="I179" t="s">
        <v>177</v>
      </c>
      <c r="J179" t="s">
        <v>268</v>
      </c>
      <c r="K179">
        <v>0</v>
      </c>
      <c r="L179" t="s">
        <v>163</v>
      </c>
      <c r="N179" t="s">
        <v>193</v>
      </c>
      <c r="O179" t="s">
        <v>268</v>
      </c>
      <c r="P179">
        <v>2.3295708279971596E-2</v>
      </c>
      <c r="Q179" t="s">
        <v>163</v>
      </c>
      <c r="S179" t="s">
        <v>208</v>
      </c>
      <c r="T179" t="s">
        <v>268</v>
      </c>
      <c r="U179">
        <v>2.5540044928806054E-2</v>
      </c>
      <c r="V179" t="s">
        <v>163</v>
      </c>
      <c r="AK179">
        <v>2043</v>
      </c>
      <c r="AL179" t="s">
        <v>151</v>
      </c>
      <c r="AM179">
        <v>0.42180000000000001</v>
      </c>
      <c r="AN179" t="s">
        <v>247</v>
      </c>
    </row>
    <row r="180" spans="9:40" x14ac:dyDescent="0.45">
      <c r="I180" t="s">
        <v>177</v>
      </c>
      <c r="J180" t="s">
        <v>269</v>
      </c>
      <c r="K180">
        <v>7.6358211769694505E-3</v>
      </c>
      <c r="L180" t="s">
        <v>163</v>
      </c>
      <c r="N180" t="s">
        <v>193</v>
      </c>
      <c r="O180" t="s">
        <v>269</v>
      </c>
      <c r="P180">
        <v>1.4159305877056071E-2</v>
      </c>
      <c r="Q180" t="s">
        <v>163</v>
      </c>
      <c r="S180" t="s">
        <v>208</v>
      </c>
      <c r="T180" t="s">
        <v>269</v>
      </c>
      <c r="U180">
        <v>1.3979920081420752E-2</v>
      </c>
      <c r="V180" t="s">
        <v>163</v>
      </c>
      <c r="AK180">
        <v>2043</v>
      </c>
      <c r="AL180" t="s">
        <v>155</v>
      </c>
      <c r="AM180">
        <v>0.41020000000000001</v>
      </c>
      <c r="AN180" t="s">
        <v>247</v>
      </c>
    </row>
    <row r="181" spans="9:40" x14ac:dyDescent="0.45">
      <c r="I181" t="s">
        <v>177</v>
      </c>
      <c r="J181" t="s">
        <v>270</v>
      </c>
      <c r="K181">
        <v>1.692895000936703E-2</v>
      </c>
      <c r="L181" t="s">
        <v>163</v>
      </c>
      <c r="N181" t="s">
        <v>193</v>
      </c>
      <c r="O181" t="s">
        <v>270</v>
      </c>
      <c r="P181">
        <v>2.5351872047457803E-2</v>
      </c>
      <c r="Q181" t="s">
        <v>163</v>
      </c>
      <c r="S181" t="s">
        <v>208</v>
      </c>
      <c r="T181" t="s">
        <v>270</v>
      </c>
      <c r="U181">
        <v>2.3994228999367477E-2</v>
      </c>
      <c r="V181" t="s">
        <v>163</v>
      </c>
      <c r="AK181">
        <v>2043</v>
      </c>
      <c r="AL181" t="s">
        <v>157</v>
      </c>
      <c r="AM181">
        <v>0.39419999999999999</v>
      </c>
      <c r="AN181" t="s">
        <v>247</v>
      </c>
    </row>
    <row r="182" spans="9:40" x14ac:dyDescent="0.45">
      <c r="I182" t="s">
        <v>177</v>
      </c>
      <c r="J182" t="s">
        <v>271</v>
      </c>
      <c r="K182">
        <v>0</v>
      </c>
      <c r="L182" t="s">
        <v>163</v>
      </c>
      <c r="N182" t="s">
        <v>193</v>
      </c>
      <c r="O182" t="s">
        <v>271</v>
      </c>
      <c r="P182">
        <v>3.7486557377215033E-3</v>
      </c>
      <c r="Q182" t="s">
        <v>163</v>
      </c>
      <c r="S182" t="s">
        <v>208</v>
      </c>
      <c r="T182" t="s">
        <v>271</v>
      </c>
      <c r="U182">
        <v>4.1430157032202129E-3</v>
      </c>
      <c r="V182" t="s">
        <v>163</v>
      </c>
      <c r="AK182">
        <v>2043</v>
      </c>
      <c r="AL182" t="s">
        <v>159</v>
      </c>
      <c r="AM182">
        <v>0.37014999999999998</v>
      </c>
      <c r="AN182" t="s">
        <v>247</v>
      </c>
    </row>
    <row r="183" spans="9:40" x14ac:dyDescent="0.45">
      <c r="I183" t="s">
        <v>177</v>
      </c>
      <c r="J183" t="s">
        <v>272</v>
      </c>
      <c r="K183">
        <v>0</v>
      </c>
      <c r="L183" t="s">
        <v>163</v>
      </c>
      <c r="N183" t="s">
        <v>193</v>
      </c>
      <c r="O183" t="s">
        <v>272</v>
      </c>
      <c r="P183">
        <v>3.4838971334120016E-3</v>
      </c>
      <c r="Q183" t="s">
        <v>163</v>
      </c>
      <c r="S183" t="s">
        <v>208</v>
      </c>
      <c r="T183" t="s">
        <v>272</v>
      </c>
      <c r="U183">
        <v>4.116610652861152E-3</v>
      </c>
      <c r="V183" t="s">
        <v>163</v>
      </c>
      <c r="AK183">
        <v>2043</v>
      </c>
      <c r="AL183" t="s">
        <v>250</v>
      </c>
      <c r="AM183">
        <v>0.4788</v>
      </c>
      <c r="AN183" t="s">
        <v>247</v>
      </c>
    </row>
    <row r="184" spans="9:40" x14ac:dyDescent="0.45">
      <c r="I184" t="s">
        <v>177</v>
      </c>
      <c r="J184" t="s">
        <v>273</v>
      </c>
      <c r="K184">
        <v>0</v>
      </c>
      <c r="L184" t="s">
        <v>163</v>
      </c>
      <c r="N184" t="s">
        <v>193</v>
      </c>
      <c r="O184" t="s">
        <v>273</v>
      </c>
      <c r="P184">
        <v>1.4655370584829403E-2</v>
      </c>
      <c r="Q184" t="s">
        <v>163</v>
      </c>
      <c r="S184" t="s">
        <v>208</v>
      </c>
      <c r="T184" t="s">
        <v>273</v>
      </c>
      <c r="U184">
        <v>1.9845331416987022E-2</v>
      </c>
      <c r="V184" t="s">
        <v>163</v>
      </c>
      <c r="AK184">
        <v>2043</v>
      </c>
      <c r="AL184" t="s">
        <v>252</v>
      </c>
      <c r="AM184">
        <v>0.46019999999999994</v>
      </c>
      <c r="AN184" t="s">
        <v>247</v>
      </c>
    </row>
    <row r="185" spans="9:40" x14ac:dyDescent="0.45">
      <c r="I185" t="s">
        <v>177</v>
      </c>
      <c r="J185" t="s">
        <v>274</v>
      </c>
      <c r="K185">
        <v>1.2934519299620524E-3</v>
      </c>
      <c r="L185" t="s">
        <v>163</v>
      </c>
      <c r="N185" t="s">
        <v>193</v>
      </c>
      <c r="O185" t="s">
        <v>274</v>
      </c>
      <c r="P185">
        <v>8.692733794209552E-2</v>
      </c>
      <c r="Q185" t="s">
        <v>163</v>
      </c>
      <c r="S185" t="s">
        <v>208</v>
      </c>
      <c r="T185" t="s">
        <v>274</v>
      </c>
      <c r="U185">
        <v>7.7809035202886706E-2</v>
      </c>
      <c r="V185" t="s">
        <v>163</v>
      </c>
      <c r="AK185">
        <v>2043</v>
      </c>
      <c r="AL185" t="s">
        <v>254</v>
      </c>
      <c r="AM185">
        <v>0.42549999999999999</v>
      </c>
      <c r="AN185" t="s">
        <v>247</v>
      </c>
    </row>
    <row r="186" spans="9:40" x14ac:dyDescent="0.45">
      <c r="I186" t="s">
        <v>177</v>
      </c>
      <c r="J186" t="s">
        <v>275</v>
      </c>
      <c r="K186">
        <v>5.1852491793907142E-2</v>
      </c>
      <c r="L186" t="s">
        <v>163</v>
      </c>
      <c r="N186" t="s">
        <v>193</v>
      </c>
      <c r="O186" t="s">
        <v>275</v>
      </c>
      <c r="P186">
        <v>5.0803640770573325E-2</v>
      </c>
      <c r="Q186" t="s">
        <v>163</v>
      </c>
      <c r="S186" t="s">
        <v>208</v>
      </c>
      <c r="T186" t="s">
        <v>275</v>
      </c>
      <c r="U186">
        <v>4.2938164746614937E-2</v>
      </c>
      <c r="V186" t="s">
        <v>163</v>
      </c>
      <c r="AK186">
        <v>2043</v>
      </c>
      <c r="AL186" t="s">
        <v>255</v>
      </c>
      <c r="AM186">
        <v>0.43049999999999999</v>
      </c>
      <c r="AN186" t="s">
        <v>247</v>
      </c>
    </row>
    <row r="187" spans="9:40" x14ac:dyDescent="0.45">
      <c r="I187" t="s">
        <v>177</v>
      </c>
      <c r="J187" t="s">
        <v>276</v>
      </c>
      <c r="K187">
        <v>9.8571684607712415E-2</v>
      </c>
      <c r="L187" t="s">
        <v>163</v>
      </c>
      <c r="N187" t="s">
        <v>193</v>
      </c>
      <c r="O187" t="s">
        <v>276</v>
      </c>
      <c r="P187">
        <v>9.1784089971325811E-2</v>
      </c>
      <c r="Q187" t="s">
        <v>163</v>
      </c>
      <c r="S187" t="s">
        <v>208</v>
      </c>
      <c r="T187" t="s">
        <v>276</v>
      </c>
      <c r="U187">
        <v>6.7256327663115942E-2</v>
      </c>
      <c r="V187" t="s">
        <v>163</v>
      </c>
      <c r="AK187">
        <v>2044</v>
      </c>
      <c r="AL187" t="s">
        <v>151</v>
      </c>
      <c r="AM187">
        <v>0.4073</v>
      </c>
      <c r="AN187" t="s">
        <v>247</v>
      </c>
    </row>
    <row r="188" spans="9:40" x14ac:dyDescent="0.45">
      <c r="I188" t="s">
        <v>177</v>
      </c>
      <c r="J188" t="s">
        <v>277</v>
      </c>
      <c r="K188">
        <v>6.4662219983677351E-3</v>
      </c>
      <c r="L188" t="s">
        <v>163</v>
      </c>
      <c r="N188" t="s">
        <v>193</v>
      </c>
      <c r="O188" t="s">
        <v>277</v>
      </c>
      <c r="P188">
        <v>1.2410854097756201E-2</v>
      </c>
      <c r="Q188" t="s">
        <v>163</v>
      </c>
      <c r="S188" t="s">
        <v>208</v>
      </c>
      <c r="T188" t="s">
        <v>277</v>
      </c>
      <c r="U188">
        <v>1.1106032909069669E-2</v>
      </c>
      <c r="V188" t="s">
        <v>163</v>
      </c>
      <c r="AK188">
        <v>2044</v>
      </c>
      <c r="AL188" t="s">
        <v>155</v>
      </c>
      <c r="AM188">
        <v>0.38979999999999998</v>
      </c>
      <c r="AN188" t="s">
        <v>247</v>
      </c>
    </row>
    <row r="189" spans="9:40" x14ac:dyDescent="0.45">
      <c r="I189" t="s">
        <v>177</v>
      </c>
      <c r="J189" t="s">
        <v>278</v>
      </c>
      <c r="K189">
        <v>0</v>
      </c>
      <c r="L189" t="s">
        <v>163</v>
      </c>
      <c r="N189" t="s">
        <v>193</v>
      </c>
      <c r="O189" t="s">
        <v>278</v>
      </c>
      <c r="P189">
        <v>1.1983264463288458E-2</v>
      </c>
      <c r="Q189" t="s">
        <v>163</v>
      </c>
      <c r="S189" t="s">
        <v>208</v>
      </c>
      <c r="T189" t="s">
        <v>278</v>
      </c>
      <c r="U189">
        <v>1.0967429296901025E-2</v>
      </c>
      <c r="V189" t="s">
        <v>163</v>
      </c>
      <c r="AK189">
        <v>2044</v>
      </c>
      <c r="AL189" t="s">
        <v>157</v>
      </c>
      <c r="AM189">
        <v>0.40560000000000002</v>
      </c>
      <c r="AN189" t="s">
        <v>247</v>
      </c>
    </row>
    <row r="190" spans="9:40" x14ac:dyDescent="0.45">
      <c r="I190" t="s">
        <v>177</v>
      </c>
      <c r="J190" t="s">
        <v>279</v>
      </c>
      <c r="K190">
        <v>0</v>
      </c>
      <c r="L190" t="s">
        <v>163</v>
      </c>
      <c r="N190" t="s">
        <v>193</v>
      </c>
      <c r="O190" t="s">
        <v>279</v>
      </c>
      <c r="P190">
        <v>6.0868334912103812E-2</v>
      </c>
      <c r="Q190" t="s">
        <v>163</v>
      </c>
      <c r="S190" t="s">
        <v>208</v>
      </c>
      <c r="T190" t="s">
        <v>279</v>
      </c>
      <c r="U190">
        <v>5.4429258797171025E-2</v>
      </c>
      <c r="V190" t="s">
        <v>163</v>
      </c>
      <c r="AK190">
        <v>2044</v>
      </c>
      <c r="AL190" t="s">
        <v>159</v>
      </c>
      <c r="AM190">
        <v>0.40500000000000003</v>
      </c>
      <c r="AN190" t="s">
        <v>247</v>
      </c>
    </row>
    <row r="191" spans="9:40" x14ac:dyDescent="0.45">
      <c r="I191" t="s">
        <v>177</v>
      </c>
      <c r="J191" t="s">
        <v>280</v>
      </c>
      <c r="K191">
        <v>6.7527313559942962E-3</v>
      </c>
      <c r="L191" t="s">
        <v>163</v>
      </c>
      <c r="N191" t="s">
        <v>193</v>
      </c>
      <c r="O191" t="s">
        <v>280</v>
      </c>
      <c r="P191">
        <v>2.9266503006062681E-2</v>
      </c>
      <c r="Q191" t="s">
        <v>163</v>
      </c>
      <c r="S191" t="s">
        <v>208</v>
      </c>
      <c r="T191" t="s">
        <v>280</v>
      </c>
      <c r="U191">
        <v>2.5224562894928835E-2</v>
      </c>
      <c r="V191" t="s">
        <v>163</v>
      </c>
      <c r="AK191">
        <v>2044</v>
      </c>
      <c r="AL191" t="s">
        <v>250</v>
      </c>
      <c r="AM191">
        <v>0.4738</v>
      </c>
      <c r="AN191" t="s">
        <v>247</v>
      </c>
    </row>
    <row r="192" spans="9:40" x14ac:dyDescent="0.45">
      <c r="I192" t="s">
        <v>177</v>
      </c>
      <c r="J192" t="s">
        <v>281</v>
      </c>
      <c r="K192">
        <v>3.4456788875640555E-2</v>
      </c>
      <c r="L192" t="s">
        <v>163</v>
      </c>
      <c r="N192" t="s">
        <v>193</v>
      </c>
      <c r="O192" t="s">
        <v>281</v>
      </c>
      <c r="P192">
        <v>2.3595530648478635E-2</v>
      </c>
      <c r="Q192" t="s">
        <v>163</v>
      </c>
      <c r="S192" t="s">
        <v>208</v>
      </c>
      <c r="T192" t="s">
        <v>281</v>
      </c>
      <c r="U192">
        <v>1.3253465641079799E-2</v>
      </c>
      <c r="V192" t="s">
        <v>163</v>
      </c>
      <c r="AK192">
        <v>2044</v>
      </c>
      <c r="AL192" t="s">
        <v>252</v>
      </c>
      <c r="AM192">
        <v>0.43969999999999998</v>
      </c>
      <c r="AN192" t="s">
        <v>247</v>
      </c>
    </row>
    <row r="193" spans="9:40" x14ac:dyDescent="0.45">
      <c r="I193" t="s">
        <v>177</v>
      </c>
      <c r="J193" t="s">
        <v>282</v>
      </c>
      <c r="K193">
        <v>5.5655162705388034E-2</v>
      </c>
      <c r="L193" t="s">
        <v>163</v>
      </c>
      <c r="N193" t="s">
        <v>193</v>
      </c>
      <c r="O193" t="s">
        <v>282</v>
      </c>
      <c r="P193">
        <v>4.4379791762065246E-2</v>
      </c>
      <c r="Q193" t="s">
        <v>163</v>
      </c>
      <c r="S193" t="s">
        <v>208</v>
      </c>
      <c r="T193" t="s">
        <v>282</v>
      </c>
      <c r="U193">
        <v>2.1472837659404904E-2</v>
      </c>
      <c r="V193" t="s">
        <v>163</v>
      </c>
      <c r="AK193">
        <v>2044</v>
      </c>
      <c r="AL193" t="s">
        <v>254</v>
      </c>
      <c r="AM193">
        <v>0.42349999999999999</v>
      </c>
      <c r="AN193" t="s">
        <v>247</v>
      </c>
    </row>
    <row r="194" spans="9:40" x14ac:dyDescent="0.45">
      <c r="I194" t="s">
        <v>177</v>
      </c>
      <c r="J194" t="s">
        <v>283</v>
      </c>
      <c r="K194">
        <v>6.1289934149500848E-3</v>
      </c>
      <c r="L194" t="s">
        <v>163</v>
      </c>
      <c r="N194" t="s">
        <v>193</v>
      </c>
      <c r="O194" t="s">
        <v>283</v>
      </c>
      <c r="P194">
        <v>6.1080070739713164E-3</v>
      </c>
      <c r="Q194" t="s">
        <v>163</v>
      </c>
      <c r="S194" t="s">
        <v>208</v>
      </c>
      <c r="T194" t="s">
        <v>283</v>
      </c>
      <c r="U194">
        <v>3.9285893317100393E-3</v>
      </c>
      <c r="V194" t="s">
        <v>163</v>
      </c>
      <c r="AK194">
        <v>2044</v>
      </c>
      <c r="AL194" t="s">
        <v>255</v>
      </c>
      <c r="AM194">
        <v>0.39300000000000002</v>
      </c>
      <c r="AN194" t="s">
        <v>247</v>
      </c>
    </row>
    <row r="195" spans="9:40" x14ac:dyDescent="0.45">
      <c r="I195" t="s">
        <v>177</v>
      </c>
      <c r="J195" t="s">
        <v>284</v>
      </c>
      <c r="K195">
        <v>2.6639276121120702E-3</v>
      </c>
      <c r="L195" t="s">
        <v>163</v>
      </c>
      <c r="N195" t="s">
        <v>193</v>
      </c>
      <c r="O195" t="s">
        <v>284</v>
      </c>
      <c r="P195">
        <v>5.6219524111589605E-3</v>
      </c>
      <c r="Q195" t="s">
        <v>163</v>
      </c>
      <c r="S195" t="s">
        <v>208</v>
      </c>
      <c r="T195" t="s">
        <v>284</v>
      </c>
      <c r="U195">
        <v>3.9619699842233999E-3</v>
      </c>
      <c r="V195" t="s">
        <v>163</v>
      </c>
      <c r="AK195">
        <v>2045</v>
      </c>
      <c r="AL195" t="s">
        <v>151</v>
      </c>
      <c r="AM195">
        <v>0.54359999999999997</v>
      </c>
      <c r="AN195" t="s">
        <v>247</v>
      </c>
    </row>
    <row r="196" spans="9:40" x14ac:dyDescent="0.45">
      <c r="I196" t="s">
        <v>177</v>
      </c>
      <c r="J196" t="s">
        <v>285</v>
      </c>
      <c r="K196">
        <v>0</v>
      </c>
      <c r="L196" t="s">
        <v>163</v>
      </c>
      <c r="N196" t="s">
        <v>193</v>
      </c>
      <c r="O196" t="s">
        <v>285</v>
      </c>
      <c r="P196">
        <v>2.3566527978050499E-2</v>
      </c>
      <c r="Q196" t="s">
        <v>163</v>
      </c>
      <c r="S196" t="s">
        <v>208</v>
      </c>
      <c r="T196" t="s">
        <v>285</v>
      </c>
      <c r="U196">
        <v>1.9610435903936581E-2</v>
      </c>
      <c r="V196" t="s">
        <v>163</v>
      </c>
      <c r="AK196">
        <v>2045</v>
      </c>
      <c r="AL196" t="s">
        <v>155</v>
      </c>
      <c r="AM196">
        <v>0.59030000000000005</v>
      </c>
      <c r="AN196" t="s">
        <v>247</v>
      </c>
    </row>
    <row r="197" spans="9:40" x14ac:dyDescent="0.45">
      <c r="I197" t="s">
        <v>177</v>
      </c>
      <c r="J197" t="s">
        <v>286</v>
      </c>
      <c r="K197">
        <v>2.1511440921896056E-2</v>
      </c>
      <c r="L197" t="s">
        <v>163</v>
      </c>
      <c r="N197" t="s">
        <v>193</v>
      </c>
      <c r="O197" t="s">
        <v>286</v>
      </c>
      <c r="P197">
        <v>3.2008533477595517E-2</v>
      </c>
      <c r="Q197" t="s">
        <v>163</v>
      </c>
      <c r="S197" t="s">
        <v>208</v>
      </c>
      <c r="T197" t="s">
        <v>286</v>
      </c>
      <c r="U197">
        <v>4.3593567701215946E-2</v>
      </c>
      <c r="V197" t="s">
        <v>163</v>
      </c>
      <c r="AK197">
        <v>2045</v>
      </c>
      <c r="AL197" t="s">
        <v>157</v>
      </c>
      <c r="AM197">
        <v>0.52100000000000002</v>
      </c>
      <c r="AN197" t="s">
        <v>247</v>
      </c>
    </row>
    <row r="198" spans="9:40" x14ac:dyDescent="0.45">
      <c r="I198" t="s">
        <v>177</v>
      </c>
      <c r="J198" t="s">
        <v>287</v>
      </c>
      <c r="K198">
        <v>7.7691975355620876E-2</v>
      </c>
      <c r="L198" t="s">
        <v>163</v>
      </c>
      <c r="N198" t="s">
        <v>193</v>
      </c>
      <c r="O198" t="s">
        <v>287</v>
      </c>
      <c r="P198">
        <v>2.4733755717555771E-2</v>
      </c>
      <c r="Q198" t="s">
        <v>163</v>
      </c>
      <c r="S198" t="s">
        <v>208</v>
      </c>
      <c r="T198" t="s">
        <v>287</v>
      </c>
      <c r="U198">
        <v>2.2696701422051262E-2</v>
      </c>
      <c r="V198" t="s">
        <v>163</v>
      </c>
      <c r="AK198">
        <v>2045</v>
      </c>
      <c r="AL198" t="s">
        <v>159</v>
      </c>
      <c r="AM198">
        <v>0.56214999999999993</v>
      </c>
      <c r="AN198" t="s">
        <v>247</v>
      </c>
    </row>
    <row r="199" spans="9:40" x14ac:dyDescent="0.45">
      <c r="I199" t="s">
        <v>177</v>
      </c>
      <c r="J199" t="s">
        <v>288</v>
      </c>
      <c r="K199">
        <v>0.12356021270678938</v>
      </c>
      <c r="L199" t="s">
        <v>163</v>
      </c>
      <c r="N199" t="s">
        <v>193</v>
      </c>
      <c r="O199" t="s">
        <v>288</v>
      </c>
      <c r="P199">
        <v>4.4947384251684284E-2</v>
      </c>
      <c r="Q199" t="s">
        <v>163</v>
      </c>
      <c r="S199" t="s">
        <v>208</v>
      </c>
      <c r="T199" t="s">
        <v>288</v>
      </c>
      <c r="U199">
        <v>3.90100749227087E-2</v>
      </c>
      <c r="V199" t="s">
        <v>163</v>
      </c>
      <c r="AK199">
        <v>2045</v>
      </c>
      <c r="AL199" t="s">
        <v>250</v>
      </c>
      <c r="AM199">
        <v>0.61639999999999995</v>
      </c>
      <c r="AN199" t="s">
        <v>247</v>
      </c>
    </row>
    <row r="200" spans="9:40" x14ac:dyDescent="0.45">
      <c r="I200" t="s">
        <v>177</v>
      </c>
      <c r="J200" t="s">
        <v>289</v>
      </c>
      <c r="K200">
        <v>1.4682887691022151E-2</v>
      </c>
      <c r="L200" t="s">
        <v>163</v>
      </c>
      <c r="N200" t="s">
        <v>193</v>
      </c>
      <c r="O200" t="s">
        <v>289</v>
      </c>
      <c r="P200">
        <v>7.2699687016120418E-3</v>
      </c>
      <c r="Q200" t="s">
        <v>163</v>
      </c>
      <c r="S200" t="s">
        <v>208</v>
      </c>
      <c r="T200" t="s">
        <v>289</v>
      </c>
      <c r="U200">
        <v>6.8126975092413933E-3</v>
      </c>
      <c r="V200" t="s">
        <v>163</v>
      </c>
      <c r="AK200">
        <v>2045</v>
      </c>
      <c r="AL200" t="s">
        <v>252</v>
      </c>
      <c r="AM200">
        <v>0.61373333333333335</v>
      </c>
      <c r="AN200" t="s">
        <v>247</v>
      </c>
    </row>
    <row r="201" spans="9:40" x14ac:dyDescent="0.45">
      <c r="I201" t="s">
        <v>177</v>
      </c>
      <c r="J201" t="s">
        <v>290</v>
      </c>
      <c r="K201">
        <v>1.0238874663108568E-2</v>
      </c>
      <c r="L201" t="s">
        <v>163</v>
      </c>
      <c r="N201" t="s">
        <v>193</v>
      </c>
      <c r="O201" t="s">
        <v>290</v>
      </c>
      <c r="P201">
        <v>6.7286308389672648E-3</v>
      </c>
      <c r="Q201" t="s">
        <v>163</v>
      </c>
      <c r="S201" t="s">
        <v>208</v>
      </c>
      <c r="T201" t="s">
        <v>290</v>
      </c>
      <c r="U201">
        <v>6.6828866109652288E-3</v>
      </c>
      <c r="V201" t="s">
        <v>163</v>
      </c>
      <c r="AK201">
        <v>2045</v>
      </c>
      <c r="AL201" t="s">
        <v>254</v>
      </c>
      <c r="AM201">
        <v>0.6048</v>
      </c>
      <c r="AN201" t="s">
        <v>247</v>
      </c>
    </row>
    <row r="202" spans="9:40" x14ac:dyDescent="0.45">
      <c r="I202" t="s">
        <v>177</v>
      </c>
      <c r="J202" t="s">
        <v>291</v>
      </c>
      <c r="K202">
        <v>2.9643030068524376E-3</v>
      </c>
      <c r="L202" t="s">
        <v>163</v>
      </c>
      <c r="N202" t="s">
        <v>193</v>
      </c>
      <c r="O202" t="s">
        <v>291</v>
      </c>
      <c r="P202">
        <v>2.641044152768016E-2</v>
      </c>
      <c r="Q202" t="s">
        <v>163</v>
      </c>
      <c r="S202" t="s">
        <v>208</v>
      </c>
      <c r="T202" t="s">
        <v>291</v>
      </c>
      <c r="U202">
        <v>3.2884746452590041E-2</v>
      </c>
      <c r="V202" t="s">
        <v>163</v>
      </c>
      <c r="AK202">
        <v>2045</v>
      </c>
      <c r="AL202" t="s">
        <v>255</v>
      </c>
      <c r="AM202">
        <v>0.59870000000000001</v>
      </c>
      <c r="AN202" t="s">
        <v>247</v>
      </c>
    </row>
    <row r="203" spans="9:40" x14ac:dyDescent="0.45">
      <c r="I203" t="s">
        <v>178</v>
      </c>
      <c r="J203" t="s">
        <v>162</v>
      </c>
      <c r="K203">
        <v>9.5101177234689169E-3</v>
      </c>
      <c r="L203" t="s">
        <v>163</v>
      </c>
      <c r="N203" t="s">
        <v>194</v>
      </c>
      <c r="O203" t="s">
        <v>162</v>
      </c>
      <c r="P203">
        <v>2.3383687306677142E-2</v>
      </c>
      <c r="Q203" t="s">
        <v>163</v>
      </c>
      <c r="S203" t="s">
        <v>209</v>
      </c>
      <c r="T203" t="s">
        <v>162</v>
      </c>
      <c r="U203">
        <v>2.1627076345128445E-2</v>
      </c>
      <c r="V203" t="s">
        <v>163</v>
      </c>
      <c r="AK203">
        <v>2046</v>
      </c>
      <c r="AL203" t="s">
        <v>151</v>
      </c>
      <c r="AM203">
        <v>0.50470000000000004</v>
      </c>
      <c r="AN203" t="s">
        <v>247</v>
      </c>
    </row>
    <row r="204" spans="9:40" x14ac:dyDescent="0.45">
      <c r="I204" t="s">
        <v>178</v>
      </c>
      <c r="J204" t="s">
        <v>164</v>
      </c>
      <c r="K204">
        <v>4.2605317220434119E-2</v>
      </c>
      <c r="L204" t="s">
        <v>163</v>
      </c>
      <c r="N204" t="s">
        <v>194</v>
      </c>
      <c r="O204" t="s">
        <v>164</v>
      </c>
      <c r="P204">
        <v>1.3248783017107378E-2</v>
      </c>
      <c r="Q204" t="s">
        <v>163</v>
      </c>
      <c r="S204" t="s">
        <v>209</v>
      </c>
      <c r="T204" t="s">
        <v>164</v>
      </c>
      <c r="U204">
        <v>1.079208936100693E-2</v>
      </c>
      <c r="V204" t="s">
        <v>163</v>
      </c>
      <c r="AK204">
        <v>2046</v>
      </c>
      <c r="AL204" t="s">
        <v>155</v>
      </c>
      <c r="AM204">
        <v>0.6038</v>
      </c>
      <c r="AN204" t="s">
        <v>247</v>
      </c>
    </row>
    <row r="205" spans="9:40" x14ac:dyDescent="0.45">
      <c r="I205" t="s">
        <v>178</v>
      </c>
      <c r="J205" t="s">
        <v>165</v>
      </c>
      <c r="K205">
        <v>7.4066765946739888E-2</v>
      </c>
      <c r="L205" t="s">
        <v>163</v>
      </c>
      <c r="N205" t="s">
        <v>194</v>
      </c>
      <c r="O205" t="s">
        <v>165</v>
      </c>
      <c r="P205">
        <v>2.4684314971702599E-2</v>
      </c>
      <c r="Q205" t="s">
        <v>163</v>
      </c>
      <c r="S205" t="s">
        <v>209</v>
      </c>
      <c r="T205" t="s">
        <v>165</v>
      </c>
      <c r="U205">
        <v>2.1264280617425711E-2</v>
      </c>
      <c r="V205" t="s">
        <v>163</v>
      </c>
      <c r="AK205">
        <v>2046</v>
      </c>
      <c r="AL205" t="s">
        <v>157</v>
      </c>
      <c r="AM205">
        <v>0.50800000000000001</v>
      </c>
      <c r="AN205" t="s">
        <v>247</v>
      </c>
    </row>
    <row r="206" spans="9:40" x14ac:dyDescent="0.45">
      <c r="I206" t="s">
        <v>178</v>
      </c>
      <c r="J206" t="s">
        <v>256</v>
      </c>
      <c r="K206">
        <v>9.6603050436452776E-3</v>
      </c>
      <c r="L206" t="s">
        <v>163</v>
      </c>
      <c r="N206" t="s">
        <v>194</v>
      </c>
      <c r="O206" t="s">
        <v>256</v>
      </c>
      <c r="P206">
        <v>4.4851988629479944E-3</v>
      </c>
      <c r="Q206" t="s">
        <v>163</v>
      </c>
      <c r="S206" t="s">
        <v>209</v>
      </c>
      <c r="T206" t="s">
        <v>256</v>
      </c>
      <c r="U206">
        <v>4.4269843976601359E-3</v>
      </c>
      <c r="V206" t="s">
        <v>163</v>
      </c>
      <c r="AK206">
        <v>2046</v>
      </c>
      <c r="AL206" t="s">
        <v>159</v>
      </c>
      <c r="AM206">
        <v>0.52899999999999991</v>
      </c>
      <c r="AN206" t="s">
        <v>247</v>
      </c>
    </row>
    <row r="207" spans="9:40" x14ac:dyDescent="0.45">
      <c r="I207" t="s">
        <v>178</v>
      </c>
      <c r="J207" t="s">
        <v>257</v>
      </c>
      <c r="K207">
        <v>7.8752351106753122E-3</v>
      </c>
      <c r="L207" t="s">
        <v>163</v>
      </c>
      <c r="N207" t="s">
        <v>194</v>
      </c>
      <c r="O207" t="s">
        <v>257</v>
      </c>
      <c r="P207">
        <v>4.238831715113826E-3</v>
      </c>
      <c r="Q207" t="s">
        <v>163</v>
      </c>
      <c r="S207" t="s">
        <v>209</v>
      </c>
      <c r="T207" t="s">
        <v>257</v>
      </c>
      <c r="U207">
        <v>4.246568387118144E-3</v>
      </c>
      <c r="V207" t="s">
        <v>163</v>
      </c>
      <c r="AK207">
        <v>2046</v>
      </c>
      <c r="AL207" t="s">
        <v>250</v>
      </c>
      <c r="AM207">
        <v>0.60919999999999996</v>
      </c>
      <c r="AN207" t="s">
        <v>247</v>
      </c>
    </row>
    <row r="208" spans="9:40" x14ac:dyDescent="0.45">
      <c r="I208" t="s">
        <v>178</v>
      </c>
      <c r="J208" t="s">
        <v>258</v>
      </c>
      <c r="K208">
        <v>3.7121104351803933E-3</v>
      </c>
      <c r="L208" t="s">
        <v>163</v>
      </c>
      <c r="N208" t="s">
        <v>194</v>
      </c>
      <c r="O208" t="s">
        <v>258</v>
      </c>
      <c r="P208">
        <v>1.856277792156677E-2</v>
      </c>
      <c r="Q208" t="s">
        <v>163</v>
      </c>
      <c r="S208" t="s">
        <v>209</v>
      </c>
      <c r="T208" t="s">
        <v>258</v>
      </c>
      <c r="U208">
        <v>1.9523146249040883E-2</v>
      </c>
      <c r="V208" t="s">
        <v>163</v>
      </c>
      <c r="AK208">
        <v>2046</v>
      </c>
      <c r="AL208" t="s">
        <v>252</v>
      </c>
      <c r="AM208">
        <v>0.63726666666666665</v>
      </c>
      <c r="AN208" t="s">
        <v>247</v>
      </c>
    </row>
    <row r="209" spans="9:40" x14ac:dyDescent="0.45">
      <c r="I209" t="s">
        <v>178</v>
      </c>
      <c r="J209" t="s">
        <v>166</v>
      </c>
      <c r="K209">
        <v>5.3613249508997944E-3</v>
      </c>
      <c r="L209" t="s">
        <v>163</v>
      </c>
      <c r="N209" t="s">
        <v>194</v>
      </c>
      <c r="O209" t="s">
        <v>166</v>
      </c>
      <c r="P209">
        <v>1.2822918741406345E-2</v>
      </c>
      <c r="Q209" t="s">
        <v>163</v>
      </c>
      <c r="S209" t="s">
        <v>209</v>
      </c>
      <c r="T209" t="s">
        <v>166</v>
      </c>
      <c r="U209">
        <v>1.3932097437982616E-2</v>
      </c>
      <c r="V209" t="s">
        <v>163</v>
      </c>
      <c r="AK209">
        <v>2046</v>
      </c>
      <c r="AL209" t="s">
        <v>254</v>
      </c>
      <c r="AM209">
        <v>0.56720000000000004</v>
      </c>
      <c r="AN209" t="s">
        <v>247</v>
      </c>
    </row>
    <row r="210" spans="9:40" x14ac:dyDescent="0.45">
      <c r="I210" t="s">
        <v>178</v>
      </c>
      <c r="J210" t="s">
        <v>167</v>
      </c>
      <c r="K210">
        <v>3.8297859062559864E-2</v>
      </c>
      <c r="L210" t="s">
        <v>163</v>
      </c>
      <c r="N210" t="s">
        <v>194</v>
      </c>
      <c r="O210" t="s">
        <v>167</v>
      </c>
      <c r="P210">
        <v>7.7167011766884593E-3</v>
      </c>
      <c r="Q210" t="s">
        <v>163</v>
      </c>
      <c r="S210" t="s">
        <v>209</v>
      </c>
      <c r="T210" t="s">
        <v>167</v>
      </c>
      <c r="U210">
        <v>8.5875707511694783E-3</v>
      </c>
      <c r="V210" t="s">
        <v>163</v>
      </c>
      <c r="AK210">
        <v>2046</v>
      </c>
      <c r="AL210" t="s">
        <v>255</v>
      </c>
      <c r="AM210">
        <v>0.58909999999999996</v>
      </c>
      <c r="AN210" t="s">
        <v>247</v>
      </c>
    </row>
    <row r="211" spans="9:40" x14ac:dyDescent="0.45">
      <c r="I211" t="s">
        <v>178</v>
      </c>
      <c r="J211" t="s">
        <v>168</v>
      </c>
      <c r="K211">
        <v>6.452898134109393E-2</v>
      </c>
      <c r="L211" t="s">
        <v>163</v>
      </c>
      <c r="N211" t="s">
        <v>194</v>
      </c>
      <c r="O211" t="s">
        <v>168</v>
      </c>
      <c r="P211">
        <v>1.5276298136331173E-2</v>
      </c>
      <c r="Q211" t="s">
        <v>163</v>
      </c>
      <c r="S211" t="s">
        <v>209</v>
      </c>
      <c r="T211" t="s">
        <v>168</v>
      </c>
      <c r="U211">
        <v>1.8661034563919314E-2</v>
      </c>
      <c r="V211" t="s">
        <v>163</v>
      </c>
      <c r="AK211">
        <v>2047</v>
      </c>
      <c r="AL211" t="s">
        <v>151</v>
      </c>
      <c r="AM211">
        <v>0.50749999999999995</v>
      </c>
      <c r="AN211" t="s">
        <v>247</v>
      </c>
    </row>
    <row r="212" spans="9:40" x14ac:dyDescent="0.45">
      <c r="I212" t="s">
        <v>178</v>
      </c>
      <c r="J212" t="s">
        <v>259</v>
      </c>
      <c r="K212">
        <v>9.2521145792464794E-3</v>
      </c>
      <c r="L212" t="s">
        <v>163</v>
      </c>
      <c r="N212" t="s">
        <v>194</v>
      </c>
      <c r="O212" t="s">
        <v>259</v>
      </c>
      <c r="P212">
        <v>3.1876116168918652E-3</v>
      </c>
      <c r="Q212" t="s">
        <v>163</v>
      </c>
      <c r="S212" t="s">
        <v>209</v>
      </c>
      <c r="T212" t="s">
        <v>259</v>
      </c>
      <c r="U212">
        <v>4.0778449176137668E-3</v>
      </c>
      <c r="V212" t="s">
        <v>163</v>
      </c>
      <c r="AK212">
        <v>2047</v>
      </c>
      <c r="AL212" t="s">
        <v>155</v>
      </c>
      <c r="AM212">
        <v>0.56620000000000004</v>
      </c>
      <c r="AN212" t="s">
        <v>247</v>
      </c>
    </row>
    <row r="213" spans="9:40" x14ac:dyDescent="0.45">
      <c r="I213" t="s">
        <v>178</v>
      </c>
      <c r="J213" t="s">
        <v>260</v>
      </c>
      <c r="K213">
        <v>6.6705349991273526E-3</v>
      </c>
      <c r="L213" t="s">
        <v>163</v>
      </c>
      <c r="N213" t="s">
        <v>194</v>
      </c>
      <c r="O213" t="s">
        <v>260</v>
      </c>
      <c r="P213">
        <v>3.0927405114769685E-3</v>
      </c>
      <c r="Q213" t="s">
        <v>163</v>
      </c>
      <c r="S213" t="s">
        <v>209</v>
      </c>
      <c r="T213" t="s">
        <v>260</v>
      </c>
      <c r="U213">
        <v>3.8745773153371667E-3</v>
      </c>
      <c r="V213" t="s">
        <v>163</v>
      </c>
      <c r="AK213">
        <v>2047</v>
      </c>
      <c r="AL213" t="s">
        <v>157</v>
      </c>
      <c r="AM213">
        <v>0.46360000000000001</v>
      </c>
      <c r="AN213" t="s">
        <v>247</v>
      </c>
    </row>
    <row r="214" spans="9:40" x14ac:dyDescent="0.45">
      <c r="I214" t="s">
        <v>178</v>
      </c>
      <c r="J214" t="s">
        <v>261</v>
      </c>
      <c r="K214">
        <v>0</v>
      </c>
      <c r="L214" t="s">
        <v>163</v>
      </c>
      <c r="N214" t="s">
        <v>194</v>
      </c>
      <c r="O214" t="s">
        <v>261</v>
      </c>
      <c r="P214">
        <v>1.2524095512485805E-2</v>
      </c>
      <c r="Q214" t="s">
        <v>163</v>
      </c>
      <c r="S214" t="s">
        <v>209</v>
      </c>
      <c r="T214" t="s">
        <v>261</v>
      </c>
      <c r="U214">
        <v>1.4627662402141816E-2</v>
      </c>
      <c r="V214" t="s">
        <v>163</v>
      </c>
      <c r="AK214">
        <v>2047</v>
      </c>
      <c r="AL214" t="s">
        <v>159</v>
      </c>
      <c r="AM214">
        <v>0.54994999999999994</v>
      </c>
      <c r="AN214" t="s">
        <v>247</v>
      </c>
    </row>
    <row r="215" spans="9:40" x14ac:dyDescent="0.45">
      <c r="I215" t="s">
        <v>178</v>
      </c>
      <c r="J215" t="s">
        <v>169</v>
      </c>
      <c r="K215">
        <v>3.2475431875624706E-3</v>
      </c>
      <c r="L215" t="s">
        <v>163</v>
      </c>
      <c r="N215" t="s">
        <v>194</v>
      </c>
      <c r="O215" t="s">
        <v>169</v>
      </c>
      <c r="P215">
        <v>1.4060479538189407E-2</v>
      </c>
      <c r="Q215" t="s">
        <v>163</v>
      </c>
      <c r="S215" t="s">
        <v>209</v>
      </c>
      <c r="T215" t="s">
        <v>169</v>
      </c>
      <c r="U215">
        <v>1.2123574377033481E-2</v>
      </c>
      <c r="V215" t="s">
        <v>163</v>
      </c>
      <c r="AK215">
        <v>2047</v>
      </c>
      <c r="AL215" t="s">
        <v>250</v>
      </c>
      <c r="AM215">
        <v>0.66120000000000001</v>
      </c>
      <c r="AN215" t="s">
        <v>247</v>
      </c>
    </row>
    <row r="216" spans="9:40" x14ac:dyDescent="0.45">
      <c r="I216" t="s">
        <v>178</v>
      </c>
      <c r="J216" t="s">
        <v>170</v>
      </c>
      <c r="K216">
        <v>3.3710644246441733E-2</v>
      </c>
      <c r="L216" t="s">
        <v>163</v>
      </c>
      <c r="N216" t="s">
        <v>194</v>
      </c>
      <c r="O216" t="s">
        <v>170</v>
      </c>
      <c r="P216">
        <v>9.4021137554810841E-3</v>
      </c>
      <c r="Q216" t="s">
        <v>163</v>
      </c>
      <c r="S216" t="s">
        <v>209</v>
      </c>
      <c r="T216" t="s">
        <v>170</v>
      </c>
      <c r="U216">
        <v>7.9581744748911873E-3</v>
      </c>
      <c r="V216" t="s">
        <v>163</v>
      </c>
      <c r="AK216">
        <v>2047</v>
      </c>
      <c r="AL216" t="s">
        <v>252</v>
      </c>
      <c r="AM216">
        <v>0.58140000000000003</v>
      </c>
      <c r="AN216" t="s">
        <v>247</v>
      </c>
    </row>
    <row r="217" spans="9:40" x14ac:dyDescent="0.45">
      <c r="I217" t="s">
        <v>178</v>
      </c>
      <c r="J217" t="s">
        <v>171</v>
      </c>
      <c r="K217">
        <v>5.4092080081807339E-2</v>
      </c>
      <c r="L217" t="s">
        <v>163</v>
      </c>
      <c r="N217" t="s">
        <v>194</v>
      </c>
      <c r="O217" t="s">
        <v>171</v>
      </c>
      <c r="P217">
        <v>1.6993576146493564E-2</v>
      </c>
      <c r="Q217" t="s">
        <v>163</v>
      </c>
      <c r="S217" t="s">
        <v>209</v>
      </c>
      <c r="T217" t="s">
        <v>171</v>
      </c>
      <c r="U217">
        <v>1.742235782482135E-2</v>
      </c>
      <c r="V217" t="s">
        <v>163</v>
      </c>
      <c r="AK217">
        <v>2047</v>
      </c>
      <c r="AL217" t="s">
        <v>254</v>
      </c>
      <c r="AM217">
        <v>0.62370000000000003</v>
      </c>
      <c r="AN217" t="s">
        <v>247</v>
      </c>
    </row>
    <row r="218" spans="9:40" x14ac:dyDescent="0.45">
      <c r="I218" t="s">
        <v>178</v>
      </c>
      <c r="J218" t="s">
        <v>262</v>
      </c>
      <c r="K218">
        <v>6.0375766559796771E-3</v>
      </c>
      <c r="L218" t="s">
        <v>163</v>
      </c>
      <c r="N218" t="s">
        <v>194</v>
      </c>
      <c r="O218" t="s">
        <v>262</v>
      </c>
      <c r="P218">
        <v>3.1059589187836184E-3</v>
      </c>
      <c r="Q218" t="s">
        <v>163</v>
      </c>
      <c r="S218" t="s">
        <v>209</v>
      </c>
      <c r="T218" t="s">
        <v>262</v>
      </c>
      <c r="U218">
        <v>3.5707361599799582E-3</v>
      </c>
      <c r="V218" t="s">
        <v>163</v>
      </c>
      <c r="AK218">
        <v>2047</v>
      </c>
      <c r="AL218" t="s">
        <v>255</v>
      </c>
      <c r="AM218">
        <v>0.55204999999999993</v>
      </c>
      <c r="AN218" t="s">
        <v>247</v>
      </c>
    </row>
    <row r="219" spans="9:40" x14ac:dyDescent="0.45">
      <c r="I219" t="s">
        <v>178</v>
      </c>
      <c r="J219" t="s">
        <v>263</v>
      </c>
      <c r="K219">
        <v>2.5506979058109412E-3</v>
      </c>
      <c r="L219" t="s">
        <v>163</v>
      </c>
      <c r="N219" t="s">
        <v>194</v>
      </c>
      <c r="O219" t="s">
        <v>263</v>
      </c>
      <c r="P219">
        <v>2.9685362002036969E-3</v>
      </c>
      <c r="Q219" t="s">
        <v>163</v>
      </c>
      <c r="S219" t="s">
        <v>209</v>
      </c>
      <c r="T219" t="s">
        <v>263</v>
      </c>
      <c r="U219">
        <v>3.5032419318293041E-3</v>
      </c>
      <c r="V219" t="s">
        <v>163</v>
      </c>
      <c r="AK219">
        <v>2048</v>
      </c>
      <c r="AL219" t="s">
        <v>151</v>
      </c>
      <c r="AM219">
        <v>0.5726</v>
      </c>
      <c r="AN219" t="s">
        <v>247</v>
      </c>
    </row>
    <row r="220" spans="9:40" x14ac:dyDescent="0.45">
      <c r="I220" t="s">
        <v>178</v>
      </c>
      <c r="J220" t="s">
        <v>264</v>
      </c>
      <c r="K220">
        <v>0</v>
      </c>
      <c r="L220" t="s">
        <v>163</v>
      </c>
      <c r="N220" t="s">
        <v>194</v>
      </c>
      <c r="O220" t="s">
        <v>264</v>
      </c>
      <c r="P220">
        <v>1.2067265788429954E-2</v>
      </c>
      <c r="Q220" t="s">
        <v>163</v>
      </c>
      <c r="S220" t="s">
        <v>209</v>
      </c>
      <c r="T220" t="s">
        <v>264</v>
      </c>
      <c r="U220">
        <v>1.2944594546721823E-2</v>
      </c>
      <c r="V220" t="s">
        <v>163</v>
      </c>
      <c r="AK220">
        <v>2048</v>
      </c>
      <c r="AL220" t="s">
        <v>155</v>
      </c>
      <c r="AM220">
        <v>0.60429999999999995</v>
      </c>
      <c r="AN220" t="s">
        <v>247</v>
      </c>
    </row>
    <row r="221" spans="9:40" x14ac:dyDescent="0.45">
      <c r="I221" t="s">
        <v>178</v>
      </c>
      <c r="J221" t="s">
        <v>172</v>
      </c>
      <c r="K221">
        <v>0</v>
      </c>
      <c r="L221" t="s">
        <v>163</v>
      </c>
      <c r="N221" t="s">
        <v>194</v>
      </c>
      <c r="O221" t="s">
        <v>172</v>
      </c>
      <c r="P221">
        <v>4.9189725579923703E-2</v>
      </c>
      <c r="Q221" t="s">
        <v>163</v>
      </c>
      <c r="S221" t="s">
        <v>209</v>
      </c>
      <c r="T221" t="s">
        <v>172</v>
      </c>
      <c r="U221">
        <v>4.8518339688895316E-2</v>
      </c>
      <c r="V221" t="s">
        <v>163</v>
      </c>
      <c r="AK221">
        <v>2048</v>
      </c>
      <c r="AL221" t="s">
        <v>157</v>
      </c>
      <c r="AM221">
        <v>0.49690000000000001</v>
      </c>
      <c r="AN221" t="s">
        <v>247</v>
      </c>
    </row>
    <row r="222" spans="9:40" x14ac:dyDescent="0.45">
      <c r="I222" t="s">
        <v>178</v>
      </c>
      <c r="J222" t="s">
        <v>173</v>
      </c>
      <c r="K222">
        <v>3.5319656661890325E-2</v>
      </c>
      <c r="L222" t="s">
        <v>163</v>
      </c>
      <c r="N222" t="s">
        <v>194</v>
      </c>
      <c r="O222" t="s">
        <v>173</v>
      </c>
      <c r="P222">
        <v>2.4035164558186644E-2</v>
      </c>
      <c r="Q222" t="s">
        <v>163</v>
      </c>
      <c r="S222" t="s">
        <v>209</v>
      </c>
      <c r="T222" t="s">
        <v>173</v>
      </c>
      <c r="U222">
        <v>2.3542230447725177E-2</v>
      </c>
      <c r="V222" t="s">
        <v>163</v>
      </c>
      <c r="AK222">
        <v>2048</v>
      </c>
      <c r="AL222" t="s">
        <v>159</v>
      </c>
      <c r="AM222">
        <v>0.50805</v>
      </c>
      <c r="AN222" t="s">
        <v>247</v>
      </c>
    </row>
    <row r="223" spans="9:40" x14ac:dyDescent="0.45">
      <c r="I223" t="s">
        <v>178</v>
      </c>
      <c r="J223" t="s">
        <v>174</v>
      </c>
      <c r="K223">
        <v>6.2449707266185921E-2</v>
      </c>
      <c r="L223" t="s">
        <v>163</v>
      </c>
      <c r="N223" t="s">
        <v>194</v>
      </c>
      <c r="O223" t="s">
        <v>174</v>
      </c>
      <c r="P223">
        <v>4.1264262411589862E-2</v>
      </c>
      <c r="Q223" t="s">
        <v>163</v>
      </c>
      <c r="S223" t="s">
        <v>209</v>
      </c>
      <c r="T223" t="s">
        <v>174</v>
      </c>
      <c r="U223">
        <v>4.0311023658764669E-2</v>
      </c>
      <c r="V223" t="s">
        <v>163</v>
      </c>
      <c r="AK223">
        <v>2048</v>
      </c>
      <c r="AL223" t="s">
        <v>250</v>
      </c>
      <c r="AM223">
        <v>0.54779999999999995</v>
      </c>
      <c r="AN223" t="s">
        <v>247</v>
      </c>
    </row>
    <row r="224" spans="9:40" x14ac:dyDescent="0.45">
      <c r="I224" t="s">
        <v>178</v>
      </c>
      <c r="J224" t="s">
        <v>265</v>
      </c>
      <c r="K224">
        <v>2.702868808296116E-3</v>
      </c>
      <c r="L224" t="s">
        <v>163</v>
      </c>
      <c r="N224" t="s">
        <v>194</v>
      </c>
      <c r="O224" t="s">
        <v>265</v>
      </c>
      <c r="P224">
        <v>6.491460652569744E-3</v>
      </c>
      <c r="Q224" t="s">
        <v>163</v>
      </c>
      <c r="S224" t="s">
        <v>209</v>
      </c>
      <c r="T224" t="s">
        <v>265</v>
      </c>
      <c r="U224">
        <v>6.7096023905300521E-3</v>
      </c>
      <c r="V224" t="s">
        <v>163</v>
      </c>
      <c r="AK224">
        <v>2048</v>
      </c>
      <c r="AL224" t="s">
        <v>252</v>
      </c>
      <c r="AM224">
        <v>0.60516666666666674</v>
      </c>
      <c r="AN224" t="s">
        <v>247</v>
      </c>
    </row>
    <row r="225" spans="9:40" x14ac:dyDescent="0.45">
      <c r="I225" t="s">
        <v>178</v>
      </c>
      <c r="J225" t="s">
        <v>266</v>
      </c>
      <c r="K225">
        <v>0</v>
      </c>
      <c r="L225" t="s">
        <v>163</v>
      </c>
      <c r="N225" t="s">
        <v>194</v>
      </c>
      <c r="O225" t="s">
        <v>266</v>
      </c>
      <c r="P225">
        <v>6.4394897012586055E-3</v>
      </c>
      <c r="Q225" t="s">
        <v>163</v>
      </c>
      <c r="S225" t="s">
        <v>209</v>
      </c>
      <c r="T225" t="s">
        <v>266</v>
      </c>
      <c r="U225">
        <v>6.6338084926887498E-3</v>
      </c>
      <c r="V225" t="s">
        <v>163</v>
      </c>
      <c r="AK225">
        <v>2048</v>
      </c>
      <c r="AL225" t="s">
        <v>254</v>
      </c>
      <c r="AM225">
        <v>0.5736</v>
      </c>
      <c r="AN225" t="s">
        <v>247</v>
      </c>
    </row>
    <row r="226" spans="9:40" x14ac:dyDescent="0.45">
      <c r="I226" t="s">
        <v>178</v>
      </c>
      <c r="J226" t="s">
        <v>267</v>
      </c>
      <c r="K226">
        <v>0</v>
      </c>
      <c r="L226" t="s">
        <v>163</v>
      </c>
      <c r="N226" t="s">
        <v>194</v>
      </c>
      <c r="O226" t="s">
        <v>267</v>
      </c>
      <c r="P226">
        <v>3.3796549580115687E-2</v>
      </c>
      <c r="Q226" t="s">
        <v>163</v>
      </c>
      <c r="S226" t="s">
        <v>209</v>
      </c>
      <c r="T226" t="s">
        <v>267</v>
      </c>
      <c r="U226">
        <v>3.4151972367308707E-2</v>
      </c>
      <c r="V226" t="s">
        <v>163</v>
      </c>
      <c r="AK226">
        <v>2048</v>
      </c>
      <c r="AL226" t="s">
        <v>255</v>
      </c>
      <c r="AM226">
        <v>0.60170000000000001</v>
      </c>
      <c r="AN226" t="s">
        <v>247</v>
      </c>
    </row>
    <row r="227" spans="9:40" x14ac:dyDescent="0.45">
      <c r="I227" t="s">
        <v>178</v>
      </c>
      <c r="J227" t="s">
        <v>268</v>
      </c>
      <c r="K227">
        <v>0</v>
      </c>
      <c r="L227" t="s">
        <v>163</v>
      </c>
      <c r="N227" t="s">
        <v>194</v>
      </c>
      <c r="O227" t="s">
        <v>268</v>
      </c>
      <c r="P227">
        <v>2.3802141761981459E-2</v>
      </c>
      <c r="Q227" t="s">
        <v>163</v>
      </c>
      <c r="S227" t="s">
        <v>209</v>
      </c>
      <c r="T227" t="s">
        <v>268</v>
      </c>
      <c r="U227">
        <v>2.5862402418812269E-2</v>
      </c>
      <c r="V227" t="s">
        <v>163</v>
      </c>
      <c r="AK227">
        <v>2049</v>
      </c>
      <c r="AL227" t="s">
        <v>151</v>
      </c>
      <c r="AM227">
        <v>0.49769999999999998</v>
      </c>
      <c r="AN227" t="s">
        <v>247</v>
      </c>
    </row>
    <row r="228" spans="9:40" x14ac:dyDescent="0.45">
      <c r="I228" t="s">
        <v>178</v>
      </c>
      <c r="J228" t="s">
        <v>269</v>
      </c>
      <c r="K228">
        <v>9.0408175380450352E-3</v>
      </c>
      <c r="L228" t="s">
        <v>163</v>
      </c>
      <c r="N228" t="s">
        <v>194</v>
      </c>
      <c r="O228" t="s">
        <v>269</v>
      </c>
      <c r="P228">
        <v>1.3454242422584188E-2</v>
      </c>
      <c r="Q228" t="s">
        <v>163</v>
      </c>
      <c r="S228" t="s">
        <v>209</v>
      </c>
      <c r="T228" t="s">
        <v>269</v>
      </c>
      <c r="U228">
        <v>1.4733755066782093E-2</v>
      </c>
      <c r="V228" t="s">
        <v>163</v>
      </c>
      <c r="AK228">
        <v>2049</v>
      </c>
      <c r="AL228" t="s">
        <v>155</v>
      </c>
      <c r="AM228">
        <v>0.49020000000000002</v>
      </c>
      <c r="AN228" t="s">
        <v>247</v>
      </c>
    </row>
    <row r="229" spans="9:40" x14ac:dyDescent="0.45">
      <c r="I229" t="s">
        <v>178</v>
      </c>
      <c r="J229" t="s">
        <v>270</v>
      </c>
      <c r="K229">
        <v>1.9962560936667682E-2</v>
      </c>
      <c r="L229" t="s">
        <v>163</v>
      </c>
      <c r="N229" t="s">
        <v>194</v>
      </c>
      <c r="O229" t="s">
        <v>270</v>
      </c>
      <c r="P229">
        <v>2.4095894006332441E-2</v>
      </c>
      <c r="Q229" t="s">
        <v>163</v>
      </c>
      <c r="S229" t="s">
        <v>209</v>
      </c>
      <c r="T229" t="s">
        <v>270</v>
      </c>
      <c r="U229">
        <v>2.5770892594080521E-2</v>
      </c>
      <c r="V229" t="s">
        <v>163</v>
      </c>
      <c r="AK229">
        <v>2049</v>
      </c>
      <c r="AL229" t="s">
        <v>157</v>
      </c>
      <c r="AM229">
        <v>0.46439999999999998</v>
      </c>
      <c r="AN229" t="s">
        <v>247</v>
      </c>
    </row>
    <row r="230" spans="9:40" x14ac:dyDescent="0.45">
      <c r="I230" t="s">
        <v>178</v>
      </c>
      <c r="J230" t="s">
        <v>271</v>
      </c>
      <c r="K230">
        <v>0</v>
      </c>
      <c r="L230" t="s">
        <v>163</v>
      </c>
      <c r="N230" t="s">
        <v>194</v>
      </c>
      <c r="O230" t="s">
        <v>271</v>
      </c>
      <c r="P230">
        <v>3.9387100143004321E-3</v>
      </c>
      <c r="Q230" t="s">
        <v>163</v>
      </c>
      <c r="S230" t="s">
        <v>209</v>
      </c>
      <c r="T230" t="s">
        <v>271</v>
      </c>
      <c r="U230">
        <v>4.3991013969563193E-3</v>
      </c>
      <c r="V230" t="s">
        <v>163</v>
      </c>
      <c r="AK230">
        <v>2049</v>
      </c>
      <c r="AL230" t="s">
        <v>159</v>
      </c>
      <c r="AM230">
        <v>0.4551</v>
      </c>
      <c r="AN230" t="s">
        <v>247</v>
      </c>
    </row>
    <row r="231" spans="9:40" x14ac:dyDescent="0.45">
      <c r="I231" t="s">
        <v>178</v>
      </c>
      <c r="J231" t="s">
        <v>272</v>
      </c>
      <c r="K231">
        <v>0</v>
      </c>
      <c r="L231" t="s">
        <v>163</v>
      </c>
      <c r="N231" t="s">
        <v>194</v>
      </c>
      <c r="O231" t="s">
        <v>272</v>
      </c>
      <c r="P231">
        <v>3.9067694662590028E-3</v>
      </c>
      <c r="Q231" t="s">
        <v>163</v>
      </c>
      <c r="S231" t="s">
        <v>209</v>
      </c>
      <c r="T231" t="s">
        <v>272</v>
      </c>
      <c r="U231">
        <v>4.4758321771525044E-3</v>
      </c>
      <c r="V231" t="s">
        <v>163</v>
      </c>
      <c r="AK231">
        <v>2049</v>
      </c>
      <c r="AL231" t="s">
        <v>250</v>
      </c>
      <c r="AM231">
        <v>0.53439999999999999</v>
      </c>
      <c r="AN231" t="s">
        <v>247</v>
      </c>
    </row>
    <row r="232" spans="9:40" x14ac:dyDescent="0.45">
      <c r="I232" t="s">
        <v>178</v>
      </c>
      <c r="J232" t="s">
        <v>273</v>
      </c>
      <c r="K232">
        <v>0</v>
      </c>
      <c r="L232" t="s">
        <v>163</v>
      </c>
      <c r="N232" t="s">
        <v>194</v>
      </c>
      <c r="O232" t="s">
        <v>273</v>
      </c>
      <c r="P232">
        <v>1.8625754195966453E-2</v>
      </c>
      <c r="Q232" t="s">
        <v>163</v>
      </c>
      <c r="S232" t="s">
        <v>209</v>
      </c>
      <c r="T232" t="s">
        <v>273</v>
      </c>
      <c r="U232">
        <v>2.124316109046679E-2</v>
      </c>
      <c r="V232" t="s">
        <v>163</v>
      </c>
      <c r="AK232">
        <v>2049</v>
      </c>
      <c r="AL232" t="s">
        <v>252</v>
      </c>
      <c r="AM232">
        <v>0.52436666666666676</v>
      </c>
      <c r="AN232" t="s">
        <v>247</v>
      </c>
    </row>
    <row r="233" spans="9:40" x14ac:dyDescent="0.45">
      <c r="I233" t="s">
        <v>178</v>
      </c>
      <c r="J233" t="s">
        <v>274</v>
      </c>
      <c r="K233">
        <v>1.2546812474976644E-3</v>
      </c>
      <c r="L233" t="s">
        <v>163</v>
      </c>
      <c r="N233" t="s">
        <v>194</v>
      </c>
      <c r="O233" t="s">
        <v>274</v>
      </c>
      <c r="P233">
        <v>8.7252406940059465E-2</v>
      </c>
      <c r="Q233" t="s">
        <v>163</v>
      </c>
      <c r="S233" t="s">
        <v>209</v>
      </c>
      <c r="T233" t="s">
        <v>274</v>
      </c>
      <c r="U233">
        <v>8.8963716403020296E-2</v>
      </c>
      <c r="V233" t="s">
        <v>163</v>
      </c>
      <c r="AK233">
        <v>2049</v>
      </c>
      <c r="AL233" t="s">
        <v>254</v>
      </c>
      <c r="AM233">
        <v>0.47099999999999997</v>
      </c>
      <c r="AN233" t="s">
        <v>247</v>
      </c>
    </row>
    <row r="234" spans="9:40" x14ac:dyDescent="0.45">
      <c r="I234" t="s">
        <v>178</v>
      </c>
      <c r="J234" t="s">
        <v>275</v>
      </c>
      <c r="K234">
        <v>4.9307007248273221E-2</v>
      </c>
      <c r="L234" t="s">
        <v>163</v>
      </c>
      <c r="N234" t="s">
        <v>194</v>
      </c>
      <c r="O234" t="s">
        <v>275</v>
      </c>
      <c r="P234">
        <v>4.7699357538494067E-2</v>
      </c>
      <c r="Q234" t="s">
        <v>163</v>
      </c>
      <c r="S234" t="s">
        <v>209</v>
      </c>
      <c r="T234" t="s">
        <v>275</v>
      </c>
      <c r="U234">
        <v>4.5652677554171864E-2</v>
      </c>
      <c r="V234" t="s">
        <v>163</v>
      </c>
      <c r="AK234">
        <v>2049</v>
      </c>
      <c r="AL234" t="s">
        <v>255</v>
      </c>
      <c r="AM234">
        <v>0.50319999999999998</v>
      </c>
      <c r="AN234" t="s">
        <v>247</v>
      </c>
    </row>
    <row r="235" spans="9:40" x14ac:dyDescent="0.45">
      <c r="I235" t="s">
        <v>178</v>
      </c>
      <c r="J235" t="s">
        <v>276</v>
      </c>
      <c r="K235">
        <v>9.490847389575674E-2</v>
      </c>
      <c r="L235" t="s">
        <v>163</v>
      </c>
      <c r="N235" t="s">
        <v>194</v>
      </c>
      <c r="O235" t="s">
        <v>276</v>
      </c>
      <c r="P235">
        <v>8.0344333061427672E-2</v>
      </c>
      <c r="Q235" t="s">
        <v>163</v>
      </c>
      <c r="S235" t="s">
        <v>209</v>
      </c>
      <c r="T235" t="s">
        <v>276</v>
      </c>
      <c r="U235">
        <v>7.5917217056808997E-2</v>
      </c>
      <c r="V235" t="s">
        <v>163</v>
      </c>
      <c r="AK235">
        <v>2050</v>
      </c>
      <c r="AL235" t="s">
        <v>151</v>
      </c>
      <c r="AM235">
        <v>0.48499999999999999</v>
      </c>
      <c r="AN235" t="s">
        <v>247</v>
      </c>
    </row>
    <row r="236" spans="9:40" x14ac:dyDescent="0.45">
      <c r="I236" t="s">
        <v>178</v>
      </c>
      <c r="J236" t="s">
        <v>277</v>
      </c>
      <c r="K236">
        <v>6.05103189536763E-3</v>
      </c>
      <c r="L236" t="s">
        <v>163</v>
      </c>
      <c r="N236" t="s">
        <v>194</v>
      </c>
      <c r="O236" t="s">
        <v>277</v>
      </c>
      <c r="P236">
        <v>1.2315182555443529E-2</v>
      </c>
      <c r="Q236" t="s">
        <v>163</v>
      </c>
      <c r="S236" t="s">
        <v>209</v>
      </c>
      <c r="T236" t="s">
        <v>277</v>
      </c>
      <c r="U236">
        <v>1.2133363248081178E-2</v>
      </c>
      <c r="V236" t="s">
        <v>163</v>
      </c>
      <c r="AK236">
        <v>2050</v>
      </c>
      <c r="AL236" t="s">
        <v>155</v>
      </c>
      <c r="AM236">
        <v>0.44850000000000001</v>
      </c>
      <c r="AN236" t="s">
        <v>247</v>
      </c>
    </row>
    <row r="237" spans="9:40" x14ac:dyDescent="0.45">
      <c r="I237" t="s">
        <v>178</v>
      </c>
      <c r="J237" t="s">
        <v>278</v>
      </c>
      <c r="K237">
        <v>0</v>
      </c>
      <c r="L237" t="s">
        <v>163</v>
      </c>
      <c r="N237" t="s">
        <v>194</v>
      </c>
      <c r="O237" t="s">
        <v>278</v>
      </c>
      <c r="P237">
        <v>1.2114323871480707E-2</v>
      </c>
      <c r="Q237" t="s">
        <v>163</v>
      </c>
      <c r="S237" t="s">
        <v>209</v>
      </c>
      <c r="T237" t="s">
        <v>278</v>
      </c>
      <c r="U237">
        <v>1.2161784432952495E-2</v>
      </c>
      <c r="V237" t="s">
        <v>163</v>
      </c>
      <c r="AK237">
        <v>2050</v>
      </c>
      <c r="AL237" t="s">
        <v>157</v>
      </c>
      <c r="AM237">
        <v>0.4259</v>
      </c>
      <c r="AN237" t="s">
        <v>247</v>
      </c>
    </row>
    <row r="238" spans="9:40" x14ac:dyDescent="0.45">
      <c r="I238" t="s">
        <v>178</v>
      </c>
      <c r="J238" t="s">
        <v>279</v>
      </c>
      <c r="K238">
        <v>0</v>
      </c>
      <c r="L238" t="s">
        <v>163</v>
      </c>
      <c r="N238" t="s">
        <v>194</v>
      </c>
      <c r="O238" t="s">
        <v>279</v>
      </c>
      <c r="P238">
        <v>6.0060442038396243E-2</v>
      </c>
      <c r="Q238" t="s">
        <v>163</v>
      </c>
      <c r="S238" t="s">
        <v>209</v>
      </c>
      <c r="T238" t="s">
        <v>279</v>
      </c>
      <c r="U238">
        <v>6.2703198806356067E-2</v>
      </c>
      <c r="V238" t="s">
        <v>163</v>
      </c>
      <c r="AK238">
        <v>2050</v>
      </c>
      <c r="AL238" t="s">
        <v>159</v>
      </c>
      <c r="AM238">
        <v>0.46199999999999997</v>
      </c>
      <c r="AN238" t="s">
        <v>247</v>
      </c>
    </row>
    <row r="239" spans="9:40" x14ac:dyDescent="0.45">
      <c r="I239" t="s">
        <v>178</v>
      </c>
      <c r="J239" t="s">
        <v>280</v>
      </c>
      <c r="K239">
        <v>5.5175389951111868E-3</v>
      </c>
      <c r="L239" t="s">
        <v>163</v>
      </c>
      <c r="N239" t="s">
        <v>194</v>
      </c>
      <c r="O239" t="s">
        <v>280</v>
      </c>
      <c r="P239">
        <v>3.0571391694049415E-2</v>
      </c>
      <c r="Q239" t="s">
        <v>163</v>
      </c>
      <c r="S239" t="s">
        <v>209</v>
      </c>
      <c r="T239" t="s">
        <v>280</v>
      </c>
      <c r="U239">
        <v>3.1921690598580771E-2</v>
      </c>
      <c r="V239" t="s">
        <v>163</v>
      </c>
      <c r="AK239">
        <v>2050</v>
      </c>
      <c r="AL239" t="s">
        <v>250</v>
      </c>
      <c r="AM239">
        <v>0.49049999999999999</v>
      </c>
      <c r="AN239" t="s">
        <v>247</v>
      </c>
    </row>
    <row r="240" spans="9:40" x14ac:dyDescent="0.45">
      <c r="I240" t="s">
        <v>178</v>
      </c>
      <c r="J240" t="s">
        <v>281</v>
      </c>
      <c r="K240">
        <v>3.135615021538582E-2</v>
      </c>
      <c r="L240" t="s">
        <v>163</v>
      </c>
      <c r="N240" t="s">
        <v>194</v>
      </c>
      <c r="O240" t="s">
        <v>281</v>
      </c>
      <c r="P240">
        <v>1.7393155181707649E-2</v>
      </c>
      <c r="Q240" t="s">
        <v>163</v>
      </c>
      <c r="S240" t="s">
        <v>209</v>
      </c>
      <c r="T240" t="s">
        <v>281</v>
      </c>
      <c r="U240">
        <v>1.7539265989237812E-2</v>
      </c>
      <c r="V240" t="s">
        <v>163</v>
      </c>
      <c r="AK240">
        <v>2050</v>
      </c>
      <c r="AL240" t="s">
        <v>252</v>
      </c>
      <c r="AM240">
        <v>0.51446666666666674</v>
      </c>
      <c r="AN240" t="s">
        <v>247</v>
      </c>
    </row>
    <row r="241" spans="9:40" x14ac:dyDescent="0.45">
      <c r="I241" t="s">
        <v>178</v>
      </c>
      <c r="J241" t="s">
        <v>282</v>
      </c>
      <c r="K241">
        <v>5.361507652256451E-2</v>
      </c>
      <c r="L241" t="s">
        <v>163</v>
      </c>
      <c r="N241" t="s">
        <v>194</v>
      </c>
      <c r="O241" t="s">
        <v>282</v>
      </c>
      <c r="P241">
        <v>3.0752923087790544E-2</v>
      </c>
      <c r="Q241" t="s">
        <v>163</v>
      </c>
      <c r="S241" t="s">
        <v>209</v>
      </c>
      <c r="T241" t="s">
        <v>282</v>
      </c>
      <c r="U241">
        <v>2.6683429416918338E-2</v>
      </c>
      <c r="V241" t="s">
        <v>163</v>
      </c>
      <c r="AK241">
        <v>2050</v>
      </c>
      <c r="AL241" t="s">
        <v>254</v>
      </c>
      <c r="AM241">
        <v>0.49030000000000001</v>
      </c>
      <c r="AN241" t="s">
        <v>247</v>
      </c>
    </row>
    <row r="242" spans="9:40" x14ac:dyDescent="0.45">
      <c r="I242" t="s">
        <v>178</v>
      </c>
      <c r="J242" t="s">
        <v>283</v>
      </c>
      <c r="K242">
        <v>6.1000126623460211E-3</v>
      </c>
      <c r="L242" t="s">
        <v>163</v>
      </c>
      <c r="N242" t="s">
        <v>194</v>
      </c>
      <c r="O242" t="s">
        <v>283</v>
      </c>
      <c r="P242">
        <v>5.0352749601516988E-3</v>
      </c>
      <c r="Q242" t="s">
        <v>163</v>
      </c>
      <c r="S242" t="s">
        <v>209</v>
      </c>
      <c r="T242" t="s">
        <v>283</v>
      </c>
      <c r="U242">
        <v>4.4916220037344492E-3</v>
      </c>
      <c r="V242" t="s">
        <v>163</v>
      </c>
      <c r="AK242">
        <v>2050</v>
      </c>
      <c r="AL242" t="s">
        <v>255</v>
      </c>
      <c r="AM242">
        <v>0.49924999999999997</v>
      </c>
      <c r="AN242" t="s">
        <v>247</v>
      </c>
    </row>
    <row r="243" spans="9:40" x14ac:dyDescent="0.45">
      <c r="I243" t="s">
        <v>178</v>
      </c>
      <c r="J243" t="s">
        <v>284</v>
      </c>
      <c r="K243">
        <v>1.7899603446025743E-3</v>
      </c>
      <c r="L243" t="s">
        <v>163</v>
      </c>
      <c r="N243" t="s">
        <v>194</v>
      </c>
      <c r="O243" t="s">
        <v>284</v>
      </c>
      <c r="P243">
        <v>4.8922864564847814E-3</v>
      </c>
      <c r="Q243" t="s">
        <v>163</v>
      </c>
      <c r="S243" t="s">
        <v>209</v>
      </c>
      <c r="T243" t="s">
        <v>284</v>
      </c>
      <c r="U243">
        <v>4.5450225321030735E-3</v>
      </c>
      <c r="V243" t="s">
        <v>163</v>
      </c>
    </row>
    <row r="244" spans="9:40" x14ac:dyDescent="0.45">
      <c r="I244" t="s">
        <v>178</v>
      </c>
      <c r="J244" t="s">
        <v>285</v>
      </c>
      <c r="K244">
        <v>0</v>
      </c>
      <c r="L244" t="s">
        <v>163</v>
      </c>
      <c r="N244" t="s">
        <v>194</v>
      </c>
      <c r="O244" t="s">
        <v>285</v>
      </c>
      <c r="P244">
        <v>2.3129983130521461E-2</v>
      </c>
      <c r="Q244" t="s">
        <v>163</v>
      </c>
      <c r="S244" t="s">
        <v>209</v>
      </c>
      <c r="T244" t="s">
        <v>285</v>
      </c>
      <c r="U244">
        <v>2.2763854156702752E-2</v>
      </c>
      <c r="V244" t="s">
        <v>163</v>
      </c>
    </row>
    <row r="245" spans="9:40" x14ac:dyDescent="0.45">
      <c r="I245" t="s">
        <v>178</v>
      </c>
      <c r="J245" t="s">
        <v>286</v>
      </c>
      <c r="K245">
        <v>2.0181483623169745E-2</v>
      </c>
      <c r="L245" t="s">
        <v>163</v>
      </c>
      <c r="N245" t="s">
        <v>194</v>
      </c>
      <c r="O245" t="s">
        <v>286</v>
      </c>
      <c r="P245">
        <v>3.7353684265707301E-2</v>
      </c>
      <c r="Q245" t="s">
        <v>163</v>
      </c>
      <c r="S245" t="s">
        <v>209</v>
      </c>
      <c r="T245" t="s">
        <v>286</v>
      </c>
      <c r="U245">
        <v>3.6351630269662552E-2</v>
      </c>
      <c r="V245" t="s">
        <v>163</v>
      </c>
    </row>
    <row r="246" spans="9:40" x14ac:dyDescent="0.45">
      <c r="I246" t="s">
        <v>178</v>
      </c>
      <c r="J246" t="s">
        <v>287</v>
      </c>
      <c r="K246">
        <v>8.1305000160776852E-2</v>
      </c>
      <c r="L246" t="s">
        <v>163</v>
      </c>
      <c r="N246" t="s">
        <v>194</v>
      </c>
      <c r="O246" t="s">
        <v>287</v>
      </c>
      <c r="P246">
        <v>2.0906945005780119E-2</v>
      </c>
      <c r="Q246" t="s">
        <v>163</v>
      </c>
      <c r="S246" t="s">
        <v>209</v>
      </c>
      <c r="T246" t="s">
        <v>287</v>
      </c>
      <c r="U246">
        <v>1.9642150113168604E-2</v>
      </c>
      <c r="V246" t="s">
        <v>163</v>
      </c>
    </row>
    <row r="247" spans="9:40" x14ac:dyDescent="0.45">
      <c r="I247" t="s">
        <v>178</v>
      </c>
      <c r="J247" t="s">
        <v>288</v>
      </c>
      <c r="K247">
        <v>0.12173109027414987</v>
      </c>
      <c r="L247" t="s">
        <v>163</v>
      </c>
      <c r="N247" t="s">
        <v>194</v>
      </c>
      <c r="O247" t="s">
        <v>288</v>
      </c>
      <c r="P247">
        <v>3.7742480797463701E-2</v>
      </c>
      <c r="Q247" t="s">
        <v>163</v>
      </c>
      <c r="S247" t="s">
        <v>209</v>
      </c>
      <c r="T247" t="s">
        <v>288</v>
      </c>
      <c r="U247">
        <v>3.5870189377399025E-2</v>
      </c>
      <c r="V247" t="s">
        <v>163</v>
      </c>
    </row>
    <row r="248" spans="9:40" x14ac:dyDescent="0.45">
      <c r="I248" t="s">
        <v>178</v>
      </c>
      <c r="J248" t="s">
        <v>289</v>
      </c>
      <c r="K248">
        <v>1.4726550693058728E-2</v>
      </c>
      <c r="L248" t="s">
        <v>163</v>
      </c>
      <c r="N248" t="s">
        <v>194</v>
      </c>
      <c r="O248" t="s">
        <v>289</v>
      </c>
      <c r="P248">
        <v>6.6641666611696147E-3</v>
      </c>
      <c r="Q248" t="s">
        <v>163</v>
      </c>
      <c r="S248" t="s">
        <v>209</v>
      </c>
      <c r="T248" t="s">
        <v>289</v>
      </c>
      <c r="U248">
        <v>6.9827336863397919E-3</v>
      </c>
      <c r="V248" t="s">
        <v>163</v>
      </c>
    </row>
    <row r="249" spans="9:40" x14ac:dyDescent="0.45">
      <c r="I249" t="s">
        <v>178</v>
      </c>
      <c r="J249" t="s">
        <v>290</v>
      </c>
      <c r="K249">
        <v>9.9236236333029217E-3</v>
      </c>
      <c r="L249" t="s">
        <v>163</v>
      </c>
      <c r="N249" t="s">
        <v>194</v>
      </c>
      <c r="O249" t="s">
        <v>290</v>
      </c>
      <c r="P249">
        <v>6.2477625118025409E-3</v>
      </c>
      <c r="Q249" t="s">
        <v>163</v>
      </c>
      <c r="S249" t="s">
        <v>209</v>
      </c>
      <c r="T249" t="s">
        <v>290</v>
      </c>
      <c r="U249">
        <v>6.6335175137877981E-3</v>
      </c>
      <c r="V249" t="s">
        <v>163</v>
      </c>
    </row>
    <row r="250" spans="9:40" x14ac:dyDescent="0.45">
      <c r="I250" t="s">
        <v>178</v>
      </c>
      <c r="J250" t="s">
        <v>291</v>
      </c>
      <c r="K250">
        <v>1.577498886878863E-3</v>
      </c>
      <c r="L250" t="s">
        <v>163</v>
      </c>
      <c r="N250" t="s">
        <v>194</v>
      </c>
      <c r="O250" t="s">
        <v>291</v>
      </c>
      <c r="P250">
        <v>2.8661846053025002E-2</v>
      </c>
      <c r="Q250" t="s">
        <v>163</v>
      </c>
      <c r="S250" t="s">
        <v>209</v>
      </c>
      <c r="T250" t="s">
        <v>291</v>
      </c>
      <c r="U250">
        <v>2.952720298999149E-2</v>
      </c>
      <c r="V250" t="s">
        <v>163</v>
      </c>
    </row>
    <row r="251" spans="9:40" x14ac:dyDescent="0.45">
      <c r="I251" t="s">
        <v>179</v>
      </c>
      <c r="J251" t="s">
        <v>162</v>
      </c>
      <c r="K251">
        <v>1.0211278190469646E-2</v>
      </c>
      <c r="L251" t="s">
        <v>163</v>
      </c>
      <c r="N251" t="s">
        <v>195</v>
      </c>
      <c r="O251" t="s">
        <v>162</v>
      </c>
      <c r="P251">
        <v>1.9741769052151765E-2</v>
      </c>
      <c r="Q251" t="s">
        <v>163</v>
      </c>
      <c r="S251" t="s">
        <v>210</v>
      </c>
      <c r="T251" t="s">
        <v>162</v>
      </c>
      <c r="U251">
        <v>2.0715861096833967E-2</v>
      </c>
      <c r="V251" t="s">
        <v>163</v>
      </c>
    </row>
    <row r="252" spans="9:40" x14ac:dyDescent="0.45">
      <c r="I252" t="s">
        <v>179</v>
      </c>
      <c r="J252" t="s">
        <v>164</v>
      </c>
      <c r="K252">
        <v>4.4155683513636003E-2</v>
      </c>
      <c r="L252" t="s">
        <v>163</v>
      </c>
      <c r="N252" t="s">
        <v>195</v>
      </c>
      <c r="O252" t="s">
        <v>164</v>
      </c>
      <c r="P252">
        <v>1.5228565049321692E-2</v>
      </c>
      <c r="Q252" t="s">
        <v>163</v>
      </c>
      <c r="S252" t="s">
        <v>210</v>
      </c>
      <c r="T252" t="s">
        <v>164</v>
      </c>
      <c r="U252">
        <v>1.0772884083674071E-2</v>
      </c>
      <c r="V252" t="s">
        <v>163</v>
      </c>
    </row>
    <row r="253" spans="9:40" x14ac:dyDescent="0.45">
      <c r="I253" t="s">
        <v>179</v>
      </c>
      <c r="J253" t="s">
        <v>165</v>
      </c>
      <c r="K253">
        <v>7.4869383510304158E-2</v>
      </c>
      <c r="L253" t="s">
        <v>163</v>
      </c>
      <c r="N253" t="s">
        <v>195</v>
      </c>
      <c r="O253" t="s">
        <v>165</v>
      </c>
      <c r="P253">
        <v>4.3902302719009655E-2</v>
      </c>
      <c r="Q253" t="s">
        <v>163</v>
      </c>
      <c r="S253" t="s">
        <v>210</v>
      </c>
      <c r="T253" t="s">
        <v>165</v>
      </c>
      <c r="U253">
        <v>1.7616027228734503E-2</v>
      </c>
      <c r="V253" t="s">
        <v>163</v>
      </c>
    </row>
    <row r="254" spans="9:40" x14ac:dyDescent="0.45">
      <c r="I254" t="s">
        <v>179</v>
      </c>
      <c r="J254" t="s">
        <v>256</v>
      </c>
      <c r="K254">
        <v>1.0141383277617344E-2</v>
      </c>
      <c r="L254" t="s">
        <v>163</v>
      </c>
      <c r="N254" t="s">
        <v>195</v>
      </c>
      <c r="O254" t="s">
        <v>256</v>
      </c>
      <c r="P254">
        <v>6.2597532319200238E-3</v>
      </c>
      <c r="Q254" t="s">
        <v>163</v>
      </c>
      <c r="S254" t="s">
        <v>210</v>
      </c>
      <c r="T254" t="s">
        <v>256</v>
      </c>
      <c r="U254">
        <v>3.5420357895074401E-3</v>
      </c>
      <c r="V254" t="s">
        <v>163</v>
      </c>
    </row>
    <row r="255" spans="9:40" x14ac:dyDescent="0.45">
      <c r="I255" t="s">
        <v>179</v>
      </c>
      <c r="J255" t="s">
        <v>257</v>
      </c>
      <c r="K255">
        <v>7.7762843675890734E-3</v>
      </c>
      <c r="L255" t="s">
        <v>163</v>
      </c>
      <c r="N255" t="s">
        <v>195</v>
      </c>
      <c r="O255" t="s">
        <v>257</v>
      </c>
      <c r="P255">
        <v>5.4836596558104876E-3</v>
      </c>
      <c r="Q255" t="s">
        <v>163</v>
      </c>
      <c r="S255" t="s">
        <v>210</v>
      </c>
      <c r="T255" t="s">
        <v>257</v>
      </c>
      <c r="U255">
        <v>3.6897266349954793E-3</v>
      </c>
      <c r="V255" t="s">
        <v>163</v>
      </c>
    </row>
    <row r="256" spans="9:40" x14ac:dyDescent="0.45">
      <c r="I256" t="s">
        <v>179</v>
      </c>
      <c r="J256" t="s">
        <v>258</v>
      </c>
      <c r="K256">
        <v>4.1283611276079924E-3</v>
      </c>
      <c r="L256" t="s">
        <v>163</v>
      </c>
      <c r="N256" t="s">
        <v>195</v>
      </c>
      <c r="O256" t="s">
        <v>258</v>
      </c>
      <c r="P256">
        <v>2.0371960429152635E-2</v>
      </c>
      <c r="Q256" t="s">
        <v>163</v>
      </c>
      <c r="S256" t="s">
        <v>210</v>
      </c>
      <c r="T256" t="s">
        <v>258</v>
      </c>
      <c r="U256">
        <v>1.899206222897919E-2</v>
      </c>
      <c r="V256" t="s">
        <v>163</v>
      </c>
    </row>
    <row r="257" spans="9:22" x14ac:dyDescent="0.45">
      <c r="I257" t="s">
        <v>179</v>
      </c>
      <c r="J257" t="s">
        <v>166</v>
      </c>
      <c r="K257">
        <v>5.2980520208854784E-3</v>
      </c>
      <c r="L257" t="s">
        <v>163</v>
      </c>
      <c r="N257" t="s">
        <v>195</v>
      </c>
      <c r="O257" t="s">
        <v>166</v>
      </c>
      <c r="P257">
        <v>6.6762059204228839E-3</v>
      </c>
      <c r="Q257" t="s">
        <v>163</v>
      </c>
      <c r="S257" t="s">
        <v>210</v>
      </c>
      <c r="T257" t="s">
        <v>166</v>
      </c>
      <c r="U257">
        <v>1.7180748679325026E-2</v>
      </c>
      <c r="V257" t="s">
        <v>163</v>
      </c>
    </row>
    <row r="258" spans="9:22" x14ac:dyDescent="0.45">
      <c r="I258" t="s">
        <v>179</v>
      </c>
      <c r="J258" t="s">
        <v>167</v>
      </c>
      <c r="K258">
        <v>3.7322135540583556E-2</v>
      </c>
      <c r="L258" t="s">
        <v>163</v>
      </c>
      <c r="N258" t="s">
        <v>195</v>
      </c>
      <c r="O258" t="s">
        <v>167</v>
      </c>
      <c r="P258">
        <v>5.8290615606294534E-3</v>
      </c>
      <c r="Q258" t="s">
        <v>163</v>
      </c>
      <c r="S258" t="s">
        <v>210</v>
      </c>
      <c r="T258" t="s">
        <v>167</v>
      </c>
      <c r="U258">
        <v>9.3412003904414995E-3</v>
      </c>
      <c r="V258" t="s">
        <v>163</v>
      </c>
    </row>
    <row r="259" spans="9:22" x14ac:dyDescent="0.45">
      <c r="I259" t="s">
        <v>179</v>
      </c>
      <c r="J259" t="s">
        <v>168</v>
      </c>
      <c r="K259">
        <v>6.4213454066030698E-2</v>
      </c>
      <c r="L259" t="s">
        <v>163</v>
      </c>
      <c r="N259" t="s">
        <v>195</v>
      </c>
      <c r="O259" t="s">
        <v>168</v>
      </c>
      <c r="P259">
        <v>1.4993770650169862E-2</v>
      </c>
      <c r="Q259" t="s">
        <v>163</v>
      </c>
      <c r="S259" t="s">
        <v>210</v>
      </c>
      <c r="T259" t="s">
        <v>168</v>
      </c>
      <c r="U259">
        <v>1.583361506294553E-2</v>
      </c>
      <c r="V259" t="s">
        <v>163</v>
      </c>
    </row>
    <row r="260" spans="9:22" x14ac:dyDescent="0.45">
      <c r="I260" t="s">
        <v>179</v>
      </c>
      <c r="J260" t="s">
        <v>259</v>
      </c>
      <c r="K260">
        <v>9.4677502968843214E-3</v>
      </c>
      <c r="L260" t="s">
        <v>163</v>
      </c>
      <c r="N260" t="s">
        <v>195</v>
      </c>
      <c r="O260" t="s">
        <v>259</v>
      </c>
      <c r="P260">
        <v>2.3217751114050578E-3</v>
      </c>
      <c r="Q260" t="s">
        <v>163</v>
      </c>
      <c r="S260" t="s">
        <v>210</v>
      </c>
      <c r="T260" t="s">
        <v>259</v>
      </c>
      <c r="U260">
        <v>3.2224295241393402E-3</v>
      </c>
      <c r="V260" t="s">
        <v>163</v>
      </c>
    </row>
    <row r="261" spans="9:22" x14ac:dyDescent="0.45">
      <c r="I261" t="s">
        <v>179</v>
      </c>
      <c r="J261" t="s">
        <v>260</v>
      </c>
      <c r="K261">
        <v>6.7116157450215434E-3</v>
      </c>
      <c r="L261" t="s">
        <v>163</v>
      </c>
      <c r="N261" t="s">
        <v>195</v>
      </c>
      <c r="O261" t="s">
        <v>260</v>
      </c>
      <c r="P261">
        <v>1.9348997697770278E-3</v>
      </c>
      <c r="Q261" t="s">
        <v>163</v>
      </c>
      <c r="S261" t="s">
        <v>210</v>
      </c>
      <c r="T261" t="s">
        <v>260</v>
      </c>
      <c r="U261">
        <v>3.2729684367624494E-3</v>
      </c>
      <c r="V261" t="s">
        <v>163</v>
      </c>
    </row>
    <row r="262" spans="9:22" x14ac:dyDescent="0.45">
      <c r="I262" t="s">
        <v>179</v>
      </c>
      <c r="J262" t="s">
        <v>261</v>
      </c>
      <c r="K262">
        <v>7.2629902051767604E-5</v>
      </c>
      <c r="L262" t="s">
        <v>163</v>
      </c>
      <c r="N262" t="s">
        <v>195</v>
      </c>
      <c r="O262" t="s">
        <v>261</v>
      </c>
      <c r="P262">
        <v>6.2594397658283559E-3</v>
      </c>
      <c r="Q262" t="s">
        <v>163</v>
      </c>
      <c r="S262" t="s">
        <v>210</v>
      </c>
      <c r="T262" t="s">
        <v>261</v>
      </c>
      <c r="U262">
        <v>1.4669656815972123E-2</v>
      </c>
      <c r="V262" t="s">
        <v>163</v>
      </c>
    </row>
    <row r="263" spans="9:22" x14ac:dyDescent="0.45">
      <c r="I263" t="s">
        <v>179</v>
      </c>
      <c r="J263" t="s">
        <v>169</v>
      </c>
      <c r="K263">
        <v>3.0487842387893153E-3</v>
      </c>
      <c r="L263" t="s">
        <v>163</v>
      </c>
      <c r="N263" t="s">
        <v>195</v>
      </c>
      <c r="O263" t="s">
        <v>169</v>
      </c>
      <c r="P263">
        <v>1.1111166710040041E-2</v>
      </c>
      <c r="Q263" t="s">
        <v>163</v>
      </c>
      <c r="S263" t="s">
        <v>210</v>
      </c>
      <c r="T263" t="s">
        <v>169</v>
      </c>
      <c r="U263">
        <v>1.5097457144227843E-2</v>
      </c>
      <c r="V263" t="s">
        <v>163</v>
      </c>
    </row>
    <row r="264" spans="9:22" x14ac:dyDescent="0.45">
      <c r="I264" t="s">
        <v>179</v>
      </c>
      <c r="J264" t="s">
        <v>170</v>
      </c>
      <c r="K264">
        <v>3.3519197439220966E-2</v>
      </c>
      <c r="L264" t="s">
        <v>163</v>
      </c>
      <c r="N264" t="s">
        <v>195</v>
      </c>
      <c r="O264" t="s">
        <v>170</v>
      </c>
      <c r="P264">
        <v>6.211505011855167E-3</v>
      </c>
      <c r="Q264" t="s">
        <v>163</v>
      </c>
      <c r="S264" t="s">
        <v>210</v>
      </c>
      <c r="T264" t="s">
        <v>170</v>
      </c>
      <c r="U264">
        <v>8.5667466939698591E-3</v>
      </c>
      <c r="V264" t="s">
        <v>163</v>
      </c>
    </row>
    <row r="265" spans="9:22" x14ac:dyDescent="0.45">
      <c r="I265" t="s">
        <v>179</v>
      </c>
      <c r="J265" t="s">
        <v>171</v>
      </c>
      <c r="K265">
        <v>5.6563032763629242E-2</v>
      </c>
      <c r="L265" t="s">
        <v>163</v>
      </c>
      <c r="N265" t="s">
        <v>195</v>
      </c>
      <c r="O265" t="s">
        <v>171</v>
      </c>
      <c r="P265">
        <v>1.6720221411525384E-2</v>
      </c>
      <c r="Q265" t="s">
        <v>163</v>
      </c>
      <c r="S265" t="s">
        <v>210</v>
      </c>
      <c r="T265" t="s">
        <v>171</v>
      </c>
      <c r="U265">
        <v>1.5400714563188674E-2</v>
      </c>
      <c r="V265" t="s">
        <v>163</v>
      </c>
    </row>
    <row r="266" spans="9:22" x14ac:dyDescent="0.45">
      <c r="I266" t="s">
        <v>179</v>
      </c>
      <c r="J266" t="s">
        <v>262</v>
      </c>
      <c r="K266">
        <v>6.9538362125866216E-3</v>
      </c>
      <c r="L266" t="s">
        <v>163</v>
      </c>
      <c r="N266" t="s">
        <v>195</v>
      </c>
      <c r="O266" t="s">
        <v>262</v>
      </c>
      <c r="P266">
        <v>2.2653375875328449E-3</v>
      </c>
      <c r="Q266" t="s">
        <v>163</v>
      </c>
      <c r="S266" t="s">
        <v>210</v>
      </c>
      <c r="T266" t="s">
        <v>262</v>
      </c>
      <c r="U266">
        <v>3.2540632317494332E-3</v>
      </c>
      <c r="V266" t="s">
        <v>163</v>
      </c>
    </row>
    <row r="267" spans="9:22" x14ac:dyDescent="0.45">
      <c r="I267" t="s">
        <v>179</v>
      </c>
      <c r="J267" t="s">
        <v>263</v>
      </c>
      <c r="K267">
        <v>2.8806826473205044E-3</v>
      </c>
      <c r="L267" t="s">
        <v>163</v>
      </c>
      <c r="N267" t="s">
        <v>195</v>
      </c>
      <c r="O267" t="s">
        <v>263</v>
      </c>
      <c r="P267">
        <v>1.8620031613444236E-3</v>
      </c>
      <c r="Q267" t="s">
        <v>163</v>
      </c>
      <c r="S267" t="s">
        <v>210</v>
      </c>
      <c r="T267" t="s">
        <v>263</v>
      </c>
      <c r="U267">
        <v>3.3623040950079897E-3</v>
      </c>
      <c r="V267" t="s">
        <v>163</v>
      </c>
    </row>
    <row r="268" spans="9:22" x14ac:dyDescent="0.45">
      <c r="I268" t="s">
        <v>179</v>
      </c>
      <c r="J268" t="s">
        <v>264</v>
      </c>
      <c r="K268">
        <v>0</v>
      </c>
      <c r="L268" t="s">
        <v>163</v>
      </c>
      <c r="N268" t="s">
        <v>195</v>
      </c>
      <c r="O268" t="s">
        <v>264</v>
      </c>
      <c r="P268">
        <v>7.1086165333800874E-3</v>
      </c>
      <c r="Q268" t="s">
        <v>163</v>
      </c>
      <c r="S268" t="s">
        <v>210</v>
      </c>
      <c r="T268" t="s">
        <v>264</v>
      </c>
      <c r="U268">
        <v>1.4759231539622657E-2</v>
      </c>
      <c r="V268" t="s">
        <v>163</v>
      </c>
    </row>
    <row r="269" spans="9:22" x14ac:dyDescent="0.45">
      <c r="I269" t="s">
        <v>179</v>
      </c>
      <c r="J269" t="s">
        <v>172</v>
      </c>
      <c r="K269">
        <v>0</v>
      </c>
      <c r="L269" t="s">
        <v>163</v>
      </c>
      <c r="N269" t="s">
        <v>195</v>
      </c>
      <c r="O269" t="s">
        <v>172</v>
      </c>
      <c r="P269">
        <v>4.3919511029525654E-2</v>
      </c>
      <c r="Q269" t="s">
        <v>163</v>
      </c>
      <c r="S269" t="s">
        <v>210</v>
      </c>
      <c r="T269" t="s">
        <v>172</v>
      </c>
      <c r="U269">
        <v>5.1379174945182793E-2</v>
      </c>
      <c r="V269" t="s">
        <v>163</v>
      </c>
    </row>
    <row r="270" spans="9:22" x14ac:dyDescent="0.45">
      <c r="I270" t="s">
        <v>179</v>
      </c>
      <c r="J270" t="s">
        <v>173</v>
      </c>
      <c r="K270">
        <v>3.4653975429448099E-2</v>
      </c>
      <c r="L270" t="s">
        <v>163</v>
      </c>
      <c r="N270" t="s">
        <v>195</v>
      </c>
      <c r="O270" t="s">
        <v>173</v>
      </c>
      <c r="P270">
        <v>2.0920008581771805E-2</v>
      </c>
      <c r="Q270" t="s">
        <v>163</v>
      </c>
      <c r="S270" t="s">
        <v>210</v>
      </c>
      <c r="T270" t="s">
        <v>173</v>
      </c>
      <c r="U270">
        <v>2.7365521741011617E-2</v>
      </c>
      <c r="V270" t="s">
        <v>163</v>
      </c>
    </row>
    <row r="271" spans="9:22" x14ac:dyDescent="0.45">
      <c r="I271" t="s">
        <v>179</v>
      </c>
      <c r="J271" t="s">
        <v>174</v>
      </c>
      <c r="K271">
        <v>6.0415898813314134E-2</v>
      </c>
      <c r="L271" t="s">
        <v>163</v>
      </c>
      <c r="N271" t="s">
        <v>195</v>
      </c>
      <c r="O271" t="s">
        <v>174</v>
      </c>
      <c r="P271">
        <v>4.8952972307437614E-2</v>
      </c>
      <c r="Q271" t="s">
        <v>163</v>
      </c>
      <c r="S271" t="s">
        <v>210</v>
      </c>
      <c r="T271" t="s">
        <v>174</v>
      </c>
      <c r="U271">
        <v>4.3217700220201827E-2</v>
      </c>
      <c r="V271" t="s">
        <v>163</v>
      </c>
    </row>
    <row r="272" spans="9:22" x14ac:dyDescent="0.45">
      <c r="I272" t="s">
        <v>179</v>
      </c>
      <c r="J272" t="s">
        <v>265</v>
      </c>
      <c r="K272">
        <v>2.4927121982627398E-3</v>
      </c>
      <c r="L272" t="s">
        <v>163</v>
      </c>
      <c r="N272" t="s">
        <v>195</v>
      </c>
      <c r="O272" t="s">
        <v>265</v>
      </c>
      <c r="P272">
        <v>7.5413793605986924E-3</v>
      </c>
      <c r="Q272" t="s">
        <v>163</v>
      </c>
      <c r="S272" t="s">
        <v>210</v>
      </c>
      <c r="T272" t="s">
        <v>265</v>
      </c>
      <c r="U272">
        <v>7.373274025704017E-3</v>
      </c>
      <c r="V272" t="s">
        <v>163</v>
      </c>
    </row>
    <row r="273" spans="9:22" x14ac:dyDescent="0.45">
      <c r="I273" t="s">
        <v>179</v>
      </c>
      <c r="J273" t="s">
        <v>266</v>
      </c>
      <c r="K273">
        <v>0</v>
      </c>
      <c r="L273" t="s">
        <v>163</v>
      </c>
      <c r="N273" t="s">
        <v>195</v>
      </c>
      <c r="O273" t="s">
        <v>266</v>
      </c>
      <c r="P273">
        <v>6.9535253165741266E-3</v>
      </c>
      <c r="Q273" t="s">
        <v>163</v>
      </c>
      <c r="S273" t="s">
        <v>210</v>
      </c>
      <c r="T273" t="s">
        <v>266</v>
      </c>
      <c r="U273">
        <v>7.4292784552217987E-3</v>
      </c>
      <c r="V273" t="s">
        <v>163</v>
      </c>
    </row>
    <row r="274" spans="9:22" x14ac:dyDescent="0.45">
      <c r="I274" t="s">
        <v>179</v>
      </c>
      <c r="J274" t="s">
        <v>267</v>
      </c>
      <c r="K274">
        <v>0</v>
      </c>
      <c r="L274" t="s">
        <v>163</v>
      </c>
      <c r="N274" t="s">
        <v>195</v>
      </c>
      <c r="O274" t="s">
        <v>267</v>
      </c>
      <c r="P274">
        <v>3.1210330802746659E-2</v>
      </c>
      <c r="Q274" t="s">
        <v>163</v>
      </c>
      <c r="S274" t="s">
        <v>210</v>
      </c>
      <c r="T274" t="s">
        <v>267</v>
      </c>
      <c r="U274">
        <v>3.8281238991089733E-2</v>
      </c>
      <c r="V274" t="s">
        <v>163</v>
      </c>
    </row>
    <row r="275" spans="9:22" x14ac:dyDescent="0.45">
      <c r="I275" t="s">
        <v>179</v>
      </c>
      <c r="J275" t="s">
        <v>268</v>
      </c>
      <c r="K275">
        <v>0</v>
      </c>
      <c r="L275" t="s">
        <v>163</v>
      </c>
      <c r="N275" t="s">
        <v>195</v>
      </c>
      <c r="O275" t="s">
        <v>268</v>
      </c>
      <c r="P275">
        <v>2.2554776102801065E-2</v>
      </c>
      <c r="Q275" t="s">
        <v>163</v>
      </c>
      <c r="S275" t="s">
        <v>210</v>
      </c>
      <c r="T275" t="s">
        <v>268</v>
      </c>
      <c r="U275">
        <v>2.8636925012728777E-2</v>
      </c>
      <c r="V275" t="s">
        <v>163</v>
      </c>
    </row>
    <row r="276" spans="9:22" x14ac:dyDescent="0.45">
      <c r="I276" t="s">
        <v>179</v>
      </c>
      <c r="J276" t="s">
        <v>269</v>
      </c>
      <c r="K276">
        <v>7.6005955892487747E-3</v>
      </c>
      <c r="L276" t="s">
        <v>163</v>
      </c>
      <c r="N276" t="s">
        <v>195</v>
      </c>
      <c r="O276" t="s">
        <v>269</v>
      </c>
      <c r="P276">
        <v>1.3951349259243446E-2</v>
      </c>
      <c r="Q276" t="s">
        <v>163</v>
      </c>
      <c r="S276" t="s">
        <v>210</v>
      </c>
      <c r="T276" t="s">
        <v>269</v>
      </c>
      <c r="U276">
        <v>1.6318610484094893E-2</v>
      </c>
      <c r="V276" t="s">
        <v>163</v>
      </c>
    </row>
    <row r="277" spans="9:22" x14ac:dyDescent="0.45">
      <c r="I277" t="s">
        <v>179</v>
      </c>
      <c r="J277" t="s">
        <v>270</v>
      </c>
      <c r="K277">
        <v>1.7958311822763487E-2</v>
      </c>
      <c r="L277" t="s">
        <v>163</v>
      </c>
      <c r="N277" t="s">
        <v>195</v>
      </c>
      <c r="O277" t="s">
        <v>270</v>
      </c>
      <c r="P277">
        <v>1.7950900716346887E-2</v>
      </c>
      <c r="Q277" t="s">
        <v>163</v>
      </c>
      <c r="S277" t="s">
        <v>210</v>
      </c>
      <c r="T277" t="s">
        <v>270</v>
      </c>
      <c r="U277">
        <v>2.4573040868900504E-2</v>
      </c>
      <c r="V277" t="s">
        <v>163</v>
      </c>
    </row>
    <row r="278" spans="9:22" x14ac:dyDescent="0.45">
      <c r="I278" t="s">
        <v>179</v>
      </c>
      <c r="J278" t="s">
        <v>271</v>
      </c>
      <c r="K278">
        <v>0</v>
      </c>
      <c r="L278" t="s">
        <v>163</v>
      </c>
      <c r="N278" t="s">
        <v>195</v>
      </c>
      <c r="O278" t="s">
        <v>271</v>
      </c>
      <c r="P278">
        <v>2.6523039913211649E-3</v>
      </c>
      <c r="Q278" t="s">
        <v>163</v>
      </c>
      <c r="S278" t="s">
        <v>210</v>
      </c>
      <c r="T278" t="s">
        <v>271</v>
      </c>
      <c r="U278">
        <v>4.2245064746677238E-3</v>
      </c>
      <c r="V278" t="s">
        <v>163</v>
      </c>
    </row>
    <row r="279" spans="9:22" x14ac:dyDescent="0.45">
      <c r="I279" t="s">
        <v>179</v>
      </c>
      <c r="J279" t="s">
        <v>272</v>
      </c>
      <c r="K279">
        <v>0</v>
      </c>
      <c r="L279" t="s">
        <v>163</v>
      </c>
      <c r="N279" t="s">
        <v>195</v>
      </c>
      <c r="O279" t="s">
        <v>272</v>
      </c>
      <c r="P279">
        <v>2.5669252905251359E-3</v>
      </c>
      <c r="Q279" t="s">
        <v>163</v>
      </c>
      <c r="S279" t="s">
        <v>210</v>
      </c>
      <c r="T279" t="s">
        <v>272</v>
      </c>
      <c r="U279">
        <v>4.1973844689553418E-3</v>
      </c>
      <c r="V279" t="s">
        <v>163</v>
      </c>
    </row>
    <row r="280" spans="9:22" x14ac:dyDescent="0.45">
      <c r="I280" t="s">
        <v>179</v>
      </c>
      <c r="J280" t="s">
        <v>273</v>
      </c>
      <c r="K280">
        <v>0</v>
      </c>
      <c r="L280" t="s">
        <v>163</v>
      </c>
      <c r="N280" t="s">
        <v>195</v>
      </c>
      <c r="O280" t="s">
        <v>273</v>
      </c>
      <c r="P280">
        <v>1.3656300954214929E-2</v>
      </c>
      <c r="Q280" t="s">
        <v>163</v>
      </c>
      <c r="S280" t="s">
        <v>210</v>
      </c>
      <c r="T280" t="s">
        <v>273</v>
      </c>
      <c r="U280">
        <v>2.0753529888391731E-2</v>
      </c>
      <c r="V280" t="s">
        <v>163</v>
      </c>
    </row>
    <row r="281" spans="9:22" x14ac:dyDescent="0.45">
      <c r="I281" t="s">
        <v>179</v>
      </c>
      <c r="J281" t="s">
        <v>274</v>
      </c>
      <c r="K281">
        <v>1.280861029964913E-3</v>
      </c>
      <c r="L281" t="s">
        <v>163</v>
      </c>
      <c r="N281" t="s">
        <v>195</v>
      </c>
      <c r="O281" t="s">
        <v>274</v>
      </c>
      <c r="P281">
        <v>7.5316907272894029E-2</v>
      </c>
      <c r="Q281" t="s">
        <v>163</v>
      </c>
      <c r="S281" t="s">
        <v>210</v>
      </c>
      <c r="T281" t="s">
        <v>274</v>
      </c>
      <c r="U281">
        <v>8.4253619238344957E-2</v>
      </c>
      <c r="V281" t="s">
        <v>163</v>
      </c>
    </row>
    <row r="282" spans="9:22" x14ac:dyDescent="0.45">
      <c r="I282" t="s">
        <v>179</v>
      </c>
      <c r="J282" t="s">
        <v>275</v>
      </c>
      <c r="K282">
        <v>5.0368057406216554E-2</v>
      </c>
      <c r="L282" t="s">
        <v>163</v>
      </c>
      <c r="N282" t="s">
        <v>195</v>
      </c>
      <c r="O282" t="s">
        <v>275</v>
      </c>
      <c r="P282">
        <v>3.8401987470134645E-2</v>
      </c>
      <c r="Q282" t="s">
        <v>163</v>
      </c>
      <c r="S282" t="s">
        <v>210</v>
      </c>
      <c r="T282" t="s">
        <v>275</v>
      </c>
      <c r="U282">
        <v>4.835082181540979E-2</v>
      </c>
      <c r="V282" t="s">
        <v>163</v>
      </c>
    </row>
    <row r="283" spans="9:22" x14ac:dyDescent="0.45">
      <c r="I283" t="s">
        <v>179</v>
      </c>
      <c r="J283" t="s">
        <v>276</v>
      </c>
      <c r="K283">
        <v>9.6429723884530263E-2</v>
      </c>
      <c r="L283" t="s">
        <v>163</v>
      </c>
      <c r="N283" t="s">
        <v>195</v>
      </c>
      <c r="O283" t="s">
        <v>276</v>
      </c>
      <c r="P283">
        <v>8.1322665515273507E-2</v>
      </c>
      <c r="Q283" t="s">
        <v>163</v>
      </c>
      <c r="S283" t="s">
        <v>210</v>
      </c>
      <c r="T283" t="s">
        <v>276</v>
      </c>
      <c r="U283">
        <v>6.9235055672531853E-2</v>
      </c>
      <c r="V283" t="s">
        <v>163</v>
      </c>
    </row>
    <row r="284" spans="9:22" x14ac:dyDescent="0.45">
      <c r="I284" t="s">
        <v>179</v>
      </c>
      <c r="J284" t="s">
        <v>277</v>
      </c>
      <c r="K284">
        <v>6.3788753602831436E-3</v>
      </c>
      <c r="L284" t="s">
        <v>163</v>
      </c>
      <c r="N284" t="s">
        <v>195</v>
      </c>
      <c r="O284" t="s">
        <v>277</v>
      </c>
      <c r="P284">
        <v>1.2037745057790263E-2</v>
      </c>
      <c r="Q284" t="s">
        <v>163</v>
      </c>
      <c r="S284" t="s">
        <v>210</v>
      </c>
      <c r="T284" t="s">
        <v>277</v>
      </c>
      <c r="U284">
        <v>1.0897152550447752E-2</v>
      </c>
      <c r="V284" t="s">
        <v>163</v>
      </c>
    </row>
    <row r="285" spans="9:22" x14ac:dyDescent="0.45">
      <c r="I285" t="s">
        <v>179</v>
      </c>
      <c r="J285" t="s">
        <v>278</v>
      </c>
      <c r="K285">
        <v>0</v>
      </c>
      <c r="L285" t="s">
        <v>163</v>
      </c>
      <c r="N285" t="s">
        <v>195</v>
      </c>
      <c r="O285" t="s">
        <v>278</v>
      </c>
      <c r="P285">
        <v>1.15044604818098E-2</v>
      </c>
      <c r="Q285" t="s">
        <v>163</v>
      </c>
      <c r="S285" t="s">
        <v>210</v>
      </c>
      <c r="T285" t="s">
        <v>278</v>
      </c>
      <c r="U285">
        <v>1.0948332604135294E-2</v>
      </c>
      <c r="V285" t="s">
        <v>163</v>
      </c>
    </row>
    <row r="286" spans="9:22" x14ac:dyDescent="0.45">
      <c r="I286" t="s">
        <v>179</v>
      </c>
      <c r="J286" t="s">
        <v>279</v>
      </c>
      <c r="K286">
        <v>0</v>
      </c>
      <c r="L286" t="s">
        <v>163</v>
      </c>
      <c r="N286" t="s">
        <v>195</v>
      </c>
      <c r="O286" t="s">
        <v>279</v>
      </c>
      <c r="P286">
        <v>5.8881189210960728E-2</v>
      </c>
      <c r="Q286" t="s">
        <v>163</v>
      </c>
      <c r="S286" t="s">
        <v>210</v>
      </c>
      <c r="T286" t="s">
        <v>279</v>
      </c>
      <c r="U286">
        <v>5.7896424948563542E-2</v>
      </c>
      <c r="V286" t="s">
        <v>163</v>
      </c>
    </row>
    <row r="287" spans="9:22" x14ac:dyDescent="0.45">
      <c r="I287" t="s">
        <v>179</v>
      </c>
      <c r="J287" t="s">
        <v>280</v>
      </c>
      <c r="K287">
        <v>5.3878455654019792E-3</v>
      </c>
      <c r="L287" t="s">
        <v>163</v>
      </c>
      <c r="N287" t="s">
        <v>195</v>
      </c>
      <c r="O287" t="s">
        <v>280</v>
      </c>
      <c r="P287">
        <v>4.0877210116652324E-2</v>
      </c>
      <c r="Q287" t="s">
        <v>163</v>
      </c>
      <c r="S287" t="s">
        <v>210</v>
      </c>
      <c r="T287" t="s">
        <v>280</v>
      </c>
      <c r="U287">
        <v>2.8220833266294296E-2</v>
      </c>
      <c r="V287" t="s">
        <v>163</v>
      </c>
    </row>
    <row r="288" spans="9:22" x14ac:dyDescent="0.45">
      <c r="I288" t="s">
        <v>179</v>
      </c>
      <c r="J288" t="s">
        <v>281</v>
      </c>
      <c r="K288">
        <v>3.0957510673183589E-2</v>
      </c>
      <c r="L288" t="s">
        <v>163</v>
      </c>
      <c r="N288" t="s">
        <v>195</v>
      </c>
      <c r="O288" t="s">
        <v>281</v>
      </c>
      <c r="P288">
        <v>2.4728326447725529E-2</v>
      </c>
      <c r="Q288" t="s">
        <v>163</v>
      </c>
      <c r="S288" t="s">
        <v>210</v>
      </c>
      <c r="T288" t="s">
        <v>281</v>
      </c>
      <c r="U288">
        <v>1.4672608821571717E-2</v>
      </c>
      <c r="V288" t="s">
        <v>163</v>
      </c>
    </row>
    <row r="289" spans="9:22" x14ac:dyDescent="0.45">
      <c r="I289" t="s">
        <v>179</v>
      </c>
      <c r="J289" t="s">
        <v>282</v>
      </c>
      <c r="K289">
        <v>5.3288328373863866E-2</v>
      </c>
      <c r="L289" t="s">
        <v>163</v>
      </c>
      <c r="N289" t="s">
        <v>195</v>
      </c>
      <c r="O289" t="s">
        <v>282</v>
      </c>
      <c r="P289">
        <v>6.2195559130510197E-2</v>
      </c>
      <c r="Q289" t="s">
        <v>163</v>
      </c>
      <c r="S289" t="s">
        <v>210</v>
      </c>
      <c r="T289" t="s">
        <v>282</v>
      </c>
      <c r="U289">
        <v>1.891938863931748E-2</v>
      </c>
      <c r="V289" t="s">
        <v>163</v>
      </c>
    </row>
    <row r="290" spans="9:22" x14ac:dyDescent="0.45">
      <c r="I290" t="s">
        <v>179</v>
      </c>
      <c r="J290" t="s">
        <v>283</v>
      </c>
      <c r="K290">
        <v>5.9211218804853223E-3</v>
      </c>
      <c r="L290" t="s">
        <v>163</v>
      </c>
      <c r="N290" t="s">
        <v>195</v>
      </c>
      <c r="O290" t="s">
        <v>283</v>
      </c>
      <c r="P290">
        <v>8.2395655768635195E-3</v>
      </c>
      <c r="Q290" t="s">
        <v>163</v>
      </c>
      <c r="S290" t="s">
        <v>210</v>
      </c>
      <c r="T290" t="s">
        <v>283</v>
      </c>
      <c r="U290">
        <v>3.4088892900252851E-3</v>
      </c>
      <c r="V290" t="s">
        <v>163</v>
      </c>
    </row>
    <row r="291" spans="9:22" x14ac:dyDescent="0.45">
      <c r="I291" t="s">
        <v>179</v>
      </c>
      <c r="J291" t="s">
        <v>284</v>
      </c>
      <c r="K291">
        <v>2.2550563160178031E-3</v>
      </c>
      <c r="L291" t="s">
        <v>163</v>
      </c>
      <c r="N291" t="s">
        <v>195</v>
      </c>
      <c r="O291" t="s">
        <v>284</v>
      </c>
      <c r="P291">
        <v>7.9481688385463854E-3</v>
      </c>
      <c r="Q291" t="s">
        <v>163</v>
      </c>
      <c r="S291" t="s">
        <v>210</v>
      </c>
      <c r="T291" t="s">
        <v>284</v>
      </c>
      <c r="U291">
        <v>3.5943896684184199E-3</v>
      </c>
      <c r="V291" t="s">
        <v>163</v>
      </c>
    </row>
    <row r="292" spans="9:22" x14ac:dyDescent="0.45">
      <c r="I292" t="s">
        <v>179</v>
      </c>
      <c r="J292" t="s">
        <v>285</v>
      </c>
      <c r="K292">
        <v>0</v>
      </c>
      <c r="L292" t="s">
        <v>163</v>
      </c>
      <c r="N292" t="s">
        <v>195</v>
      </c>
      <c r="O292" t="s">
        <v>285</v>
      </c>
      <c r="P292">
        <v>2.9774917227771786E-2</v>
      </c>
      <c r="Q292" t="s">
        <v>163</v>
      </c>
      <c r="S292" t="s">
        <v>210</v>
      </c>
      <c r="T292" t="s">
        <v>285</v>
      </c>
      <c r="U292">
        <v>1.9423640005496869E-2</v>
      </c>
      <c r="V292" t="s">
        <v>163</v>
      </c>
    </row>
    <row r="293" spans="9:22" x14ac:dyDescent="0.45">
      <c r="I293" t="s">
        <v>179</v>
      </c>
      <c r="J293" t="s">
        <v>286</v>
      </c>
      <c r="K293">
        <v>2.0472599915346838E-2</v>
      </c>
      <c r="L293" t="s">
        <v>163</v>
      </c>
      <c r="N293" t="s">
        <v>195</v>
      </c>
      <c r="O293" t="s">
        <v>286</v>
      </c>
      <c r="P293">
        <v>2.381744400324097E-2</v>
      </c>
      <c r="Q293" t="s">
        <v>163</v>
      </c>
      <c r="S293" t="s">
        <v>210</v>
      </c>
      <c r="T293" t="s">
        <v>286</v>
      </c>
      <c r="U293">
        <v>4.7169294909694494E-2</v>
      </c>
      <c r="V293" t="s">
        <v>163</v>
      </c>
    </row>
    <row r="294" spans="9:22" x14ac:dyDescent="0.45">
      <c r="I294" t="s">
        <v>179</v>
      </c>
      <c r="J294" t="s">
        <v>287</v>
      </c>
      <c r="K294">
        <v>7.8609837749471154E-2</v>
      </c>
      <c r="L294" t="s">
        <v>163</v>
      </c>
      <c r="N294" t="s">
        <v>195</v>
      </c>
      <c r="O294" t="s">
        <v>287</v>
      </c>
      <c r="P294">
        <v>1.7817785318580154E-2</v>
      </c>
      <c r="Q294" t="s">
        <v>163</v>
      </c>
      <c r="S294" t="s">
        <v>210</v>
      </c>
      <c r="T294" t="s">
        <v>287</v>
      </c>
      <c r="U294">
        <v>2.4965645234472339E-2</v>
      </c>
      <c r="V294" t="s">
        <v>163</v>
      </c>
    </row>
    <row r="295" spans="9:22" x14ac:dyDescent="0.45">
      <c r="I295" t="s">
        <v>179</v>
      </c>
      <c r="J295" t="s">
        <v>288</v>
      </c>
      <c r="K295">
        <v>0.12164330072815437</v>
      </c>
      <c r="L295" t="s">
        <v>163</v>
      </c>
      <c r="N295" t="s">
        <v>195</v>
      </c>
      <c r="O295" t="s">
        <v>288</v>
      </c>
      <c r="P295">
        <v>4.5111113904222191E-2</v>
      </c>
      <c r="Q295" t="s">
        <v>163</v>
      </c>
      <c r="S295" t="s">
        <v>210</v>
      </c>
      <c r="T295" t="s">
        <v>288</v>
      </c>
      <c r="U295">
        <v>3.6258604229691183E-2</v>
      </c>
      <c r="V295" t="s">
        <v>163</v>
      </c>
    </row>
    <row r="296" spans="9:22" x14ac:dyDescent="0.45">
      <c r="I296" t="s">
        <v>179</v>
      </c>
      <c r="J296" t="s">
        <v>289</v>
      </c>
      <c r="K296">
        <v>1.4303480356462646E-2</v>
      </c>
      <c r="L296" t="s">
        <v>163</v>
      </c>
      <c r="N296" t="s">
        <v>195</v>
      </c>
      <c r="O296" t="s">
        <v>289</v>
      </c>
      <c r="P296">
        <v>6.4882406635227144E-3</v>
      </c>
      <c r="Q296" t="s">
        <v>163</v>
      </c>
      <c r="S296" t="s">
        <v>210</v>
      </c>
      <c r="T296" t="s">
        <v>289</v>
      </c>
      <c r="U296">
        <v>6.8411037273796663E-3</v>
      </c>
      <c r="V296" t="s">
        <v>163</v>
      </c>
    </row>
    <row r="297" spans="9:22" x14ac:dyDescent="0.45">
      <c r="I297" t="s">
        <v>179</v>
      </c>
      <c r="J297" t="s">
        <v>290</v>
      </c>
      <c r="K297">
        <v>9.7406622653492016E-3</v>
      </c>
      <c r="L297" t="s">
        <v>163</v>
      </c>
      <c r="N297" t="s">
        <v>195</v>
      </c>
      <c r="O297" t="s">
        <v>290</v>
      </c>
      <c r="P297">
        <v>6.0172972353646553E-3</v>
      </c>
      <c r="Q297" t="s">
        <v>163</v>
      </c>
      <c r="S297" t="s">
        <v>210</v>
      </c>
      <c r="T297" t="s">
        <v>290</v>
      </c>
      <c r="U297">
        <v>6.9639150293167723E-3</v>
      </c>
      <c r="V297" t="s">
        <v>163</v>
      </c>
    </row>
    <row r="298" spans="9:22" x14ac:dyDescent="0.45">
      <c r="I298" t="s">
        <v>179</v>
      </c>
      <c r="J298" t="s">
        <v>291</v>
      </c>
      <c r="K298">
        <v>2.5076997820017728E-3</v>
      </c>
      <c r="L298" t="s">
        <v>163</v>
      </c>
      <c r="N298" t="s">
        <v>195</v>
      </c>
      <c r="O298" t="s">
        <v>291</v>
      </c>
      <c r="P298">
        <v>2.2407119483753634E-2</v>
      </c>
      <c r="Q298" t="s">
        <v>163</v>
      </c>
      <c r="S298" t="s">
        <v>210</v>
      </c>
      <c r="T298" t="s">
        <v>291</v>
      </c>
      <c r="U298">
        <v>3.4940361532661841E-2</v>
      </c>
      <c r="V298" t="s">
        <v>163</v>
      </c>
    </row>
    <row r="299" spans="9:22" x14ac:dyDescent="0.45">
      <c r="I299" t="s">
        <v>180</v>
      </c>
      <c r="J299" t="s">
        <v>162</v>
      </c>
      <c r="K299">
        <v>7.9943530471960674E-3</v>
      </c>
      <c r="L299" t="s">
        <v>163</v>
      </c>
      <c r="N299" t="s">
        <v>196</v>
      </c>
      <c r="O299" t="s">
        <v>162</v>
      </c>
      <c r="P299">
        <v>2.1748801051019579E-2</v>
      </c>
      <c r="Q299" t="s">
        <v>163</v>
      </c>
      <c r="S299" t="s">
        <v>211</v>
      </c>
      <c r="T299" t="s">
        <v>162</v>
      </c>
      <c r="U299">
        <v>2.6771106155210053E-2</v>
      </c>
      <c r="V299" t="s">
        <v>163</v>
      </c>
    </row>
    <row r="300" spans="9:22" x14ac:dyDescent="0.45">
      <c r="I300" t="s">
        <v>180</v>
      </c>
      <c r="J300" t="s">
        <v>164</v>
      </c>
      <c r="K300">
        <v>4.3016702687801535E-2</v>
      </c>
      <c r="L300" t="s">
        <v>163</v>
      </c>
      <c r="N300" t="s">
        <v>196</v>
      </c>
      <c r="O300" t="s">
        <v>164</v>
      </c>
      <c r="P300">
        <v>1.4147433565153045E-2</v>
      </c>
      <c r="Q300" t="s">
        <v>163</v>
      </c>
      <c r="S300" t="s">
        <v>211</v>
      </c>
      <c r="T300" t="s">
        <v>164</v>
      </c>
      <c r="U300">
        <v>1.3511131881731047E-2</v>
      </c>
      <c r="V300" t="s">
        <v>163</v>
      </c>
    </row>
    <row r="301" spans="9:22" x14ac:dyDescent="0.45">
      <c r="I301" t="s">
        <v>180</v>
      </c>
      <c r="J301" t="s">
        <v>165</v>
      </c>
      <c r="K301">
        <v>7.5378701720726762E-2</v>
      </c>
      <c r="L301" t="s">
        <v>163</v>
      </c>
      <c r="N301" t="s">
        <v>196</v>
      </c>
      <c r="O301" t="s">
        <v>165</v>
      </c>
      <c r="P301">
        <v>2.9129102472929966E-2</v>
      </c>
      <c r="Q301" t="s">
        <v>163</v>
      </c>
      <c r="S301" t="s">
        <v>211</v>
      </c>
      <c r="T301" t="s">
        <v>165</v>
      </c>
      <c r="U301">
        <v>2.1872322308024848E-2</v>
      </c>
      <c r="V301" t="s">
        <v>163</v>
      </c>
    </row>
    <row r="302" spans="9:22" x14ac:dyDescent="0.45">
      <c r="I302" t="s">
        <v>180</v>
      </c>
      <c r="J302" t="s">
        <v>256</v>
      </c>
      <c r="K302">
        <v>1.0142795998964199E-2</v>
      </c>
      <c r="L302" t="s">
        <v>163</v>
      </c>
      <c r="N302" t="s">
        <v>196</v>
      </c>
      <c r="O302" t="s">
        <v>256</v>
      </c>
      <c r="P302">
        <v>4.228890898407593E-3</v>
      </c>
      <c r="Q302" t="s">
        <v>163</v>
      </c>
      <c r="S302" t="s">
        <v>211</v>
      </c>
      <c r="T302" t="s">
        <v>256</v>
      </c>
      <c r="U302">
        <v>4.5880031787646682E-3</v>
      </c>
      <c r="V302" t="s">
        <v>163</v>
      </c>
    </row>
    <row r="303" spans="9:22" x14ac:dyDescent="0.45">
      <c r="I303" t="s">
        <v>180</v>
      </c>
      <c r="J303" t="s">
        <v>257</v>
      </c>
      <c r="K303">
        <v>8.7521249823289699E-3</v>
      </c>
      <c r="L303" t="s">
        <v>163</v>
      </c>
      <c r="N303" t="s">
        <v>196</v>
      </c>
      <c r="O303" t="s">
        <v>257</v>
      </c>
      <c r="P303">
        <v>3.8453558936236377E-3</v>
      </c>
      <c r="Q303" t="s">
        <v>163</v>
      </c>
      <c r="S303" t="s">
        <v>211</v>
      </c>
      <c r="T303" t="s">
        <v>257</v>
      </c>
      <c r="U303">
        <v>4.7784995401055595E-3</v>
      </c>
      <c r="V303" t="s">
        <v>163</v>
      </c>
    </row>
    <row r="304" spans="9:22" x14ac:dyDescent="0.45">
      <c r="I304" t="s">
        <v>180</v>
      </c>
      <c r="J304" t="s">
        <v>258</v>
      </c>
      <c r="K304">
        <v>5.8050739462003516E-3</v>
      </c>
      <c r="L304" t="s">
        <v>163</v>
      </c>
      <c r="N304" t="s">
        <v>196</v>
      </c>
      <c r="O304" t="s">
        <v>258</v>
      </c>
      <c r="P304">
        <v>1.6633785255125651E-2</v>
      </c>
      <c r="Q304" t="s">
        <v>163</v>
      </c>
      <c r="S304" t="s">
        <v>211</v>
      </c>
      <c r="T304" t="s">
        <v>258</v>
      </c>
      <c r="U304">
        <v>2.2954843986737652E-2</v>
      </c>
      <c r="V304" t="s">
        <v>163</v>
      </c>
    </row>
    <row r="305" spans="9:22" x14ac:dyDescent="0.45">
      <c r="I305" t="s">
        <v>180</v>
      </c>
      <c r="J305" t="s">
        <v>166</v>
      </c>
      <c r="K305">
        <v>4.6279090322790461E-3</v>
      </c>
      <c r="L305" t="s">
        <v>163</v>
      </c>
      <c r="N305" t="s">
        <v>196</v>
      </c>
      <c r="O305" t="s">
        <v>166</v>
      </c>
      <c r="P305">
        <v>1.3026134616738001E-2</v>
      </c>
      <c r="Q305" t="s">
        <v>163</v>
      </c>
      <c r="S305" t="s">
        <v>211</v>
      </c>
      <c r="T305" t="s">
        <v>166</v>
      </c>
      <c r="U305">
        <v>1.4453341954504173E-2</v>
      </c>
      <c r="V305" t="s">
        <v>163</v>
      </c>
    </row>
    <row r="306" spans="9:22" x14ac:dyDescent="0.45">
      <c r="I306" t="s">
        <v>180</v>
      </c>
      <c r="J306" t="s">
        <v>167</v>
      </c>
      <c r="K306">
        <v>3.8020572415616953E-2</v>
      </c>
      <c r="L306" t="s">
        <v>163</v>
      </c>
      <c r="N306" t="s">
        <v>196</v>
      </c>
      <c r="O306" t="s">
        <v>167</v>
      </c>
      <c r="P306">
        <v>8.2530557309266634E-3</v>
      </c>
      <c r="Q306" t="s">
        <v>163</v>
      </c>
      <c r="S306" t="s">
        <v>211</v>
      </c>
      <c r="T306" t="s">
        <v>167</v>
      </c>
      <c r="U306">
        <v>6.8540989214898092E-3</v>
      </c>
      <c r="V306" t="s">
        <v>163</v>
      </c>
    </row>
    <row r="307" spans="9:22" x14ac:dyDescent="0.45">
      <c r="I307" t="s">
        <v>180</v>
      </c>
      <c r="J307" t="s">
        <v>168</v>
      </c>
      <c r="K307">
        <v>6.3987618794694168E-2</v>
      </c>
      <c r="L307" t="s">
        <v>163</v>
      </c>
      <c r="N307" t="s">
        <v>196</v>
      </c>
      <c r="O307" t="s">
        <v>168</v>
      </c>
      <c r="P307">
        <v>1.6249851141001175E-2</v>
      </c>
      <c r="Q307" t="s">
        <v>163</v>
      </c>
      <c r="S307" t="s">
        <v>211</v>
      </c>
      <c r="T307" t="s">
        <v>168</v>
      </c>
      <c r="U307">
        <v>9.0054934561915496E-3</v>
      </c>
      <c r="V307" t="s">
        <v>163</v>
      </c>
    </row>
    <row r="308" spans="9:22" x14ac:dyDescent="0.45">
      <c r="I308" t="s">
        <v>180</v>
      </c>
      <c r="J308" t="s">
        <v>259</v>
      </c>
      <c r="K308">
        <v>9.1220088197462371E-3</v>
      </c>
      <c r="L308" t="s">
        <v>163</v>
      </c>
      <c r="N308" t="s">
        <v>196</v>
      </c>
      <c r="O308" t="s">
        <v>259</v>
      </c>
      <c r="P308">
        <v>2.6204717691620844E-3</v>
      </c>
      <c r="Q308" t="s">
        <v>163</v>
      </c>
      <c r="S308" t="s">
        <v>211</v>
      </c>
      <c r="T308" t="s">
        <v>259</v>
      </c>
      <c r="U308">
        <v>2.0607679165430934E-3</v>
      </c>
      <c r="V308" t="s">
        <v>163</v>
      </c>
    </row>
    <row r="309" spans="9:22" x14ac:dyDescent="0.45">
      <c r="I309" t="s">
        <v>180</v>
      </c>
      <c r="J309" t="s">
        <v>260</v>
      </c>
      <c r="K309">
        <v>7.6816152843127055E-3</v>
      </c>
      <c r="L309" t="s">
        <v>163</v>
      </c>
      <c r="N309" t="s">
        <v>196</v>
      </c>
      <c r="O309" t="s">
        <v>260</v>
      </c>
      <c r="P309">
        <v>2.2968932507751263E-3</v>
      </c>
      <c r="Q309" t="s">
        <v>163</v>
      </c>
      <c r="S309" t="s">
        <v>211</v>
      </c>
      <c r="T309" t="s">
        <v>260</v>
      </c>
      <c r="U309">
        <v>2.2833408739701935E-3</v>
      </c>
      <c r="V309" t="s">
        <v>163</v>
      </c>
    </row>
    <row r="310" spans="9:22" x14ac:dyDescent="0.45">
      <c r="I310" t="s">
        <v>180</v>
      </c>
      <c r="J310" t="s">
        <v>261</v>
      </c>
      <c r="K310">
        <v>4.1431286931757592E-3</v>
      </c>
      <c r="L310" t="s">
        <v>163</v>
      </c>
      <c r="N310" t="s">
        <v>196</v>
      </c>
      <c r="O310" t="s">
        <v>261</v>
      </c>
      <c r="P310">
        <v>9.5189914325364625E-3</v>
      </c>
      <c r="Q310" t="s">
        <v>163</v>
      </c>
      <c r="S310" t="s">
        <v>211</v>
      </c>
      <c r="T310" t="s">
        <v>261</v>
      </c>
      <c r="U310">
        <v>1.3355850839878976E-2</v>
      </c>
      <c r="V310" t="s">
        <v>163</v>
      </c>
    </row>
    <row r="311" spans="9:22" x14ac:dyDescent="0.45">
      <c r="I311" t="s">
        <v>180</v>
      </c>
      <c r="J311" t="s">
        <v>169</v>
      </c>
      <c r="K311">
        <v>2.6306639430922341E-4</v>
      </c>
      <c r="L311" t="s">
        <v>163</v>
      </c>
      <c r="N311" t="s">
        <v>196</v>
      </c>
      <c r="O311" t="s">
        <v>169</v>
      </c>
      <c r="P311">
        <v>1.4838842937922836E-2</v>
      </c>
      <c r="Q311" t="s">
        <v>163</v>
      </c>
      <c r="S311" t="s">
        <v>211</v>
      </c>
      <c r="T311" t="s">
        <v>169</v>
      </c>
      <c r="U311">
        <v>1.5086018099939945E-2</v>
      </c>
      <c r="V311" t="s">
        <v>163</v>
      </c>
    </row>
    <row r="312" spans="9:22" x14ac:dyDescent="0.45">
      <c r="I312" t="s">
        <v>180</v>
      </c>
      <c r="J312" t="s">
        <v>170</v>
      </c>
      <c r="K312">
        <v>2.5973200707368221E-2</v>
      </c>
      <c r="L312" t="s">
        <v>163</v>
      </c>
      <c r="N312" t="s">
        <v>196</v>
      </c>
      <c r="O312" t="s">
        <v>170</v>
      </c>
      <c r="P312">
        <v>8.1740984850994843E-3</v>
      </c>
      <c r="Q312" t="s">
        <v>163</v>
      </c>
      <c r="S312" t="s">
        <v>211</v>
      </c>
      <c r="T312" t="s">
        <v>170</v>
      </c>
      <c r="U312">
        <v>8.3527122726753562E-3</v>
      </c>
      <c r="V312" t="s">
        <v>163</v>
      </c>
    </row>
    <row r="313" spans="9:22" x14ac:dyDescent="0.45">
      <c r="I313" t="s">
        <v>180</v>
      </c>
      <c r="J313" t="s">
        <v>171</v>
      </c>
      <c r="K313">
        <v>5.0589744935721957E-2</v>
      </c>
      <c r="L313" t="s">
        <v>163</v>
      </c>
      <c r="N313" t="s">
        <v>196</v>
      </c>
      <c r="O313" t="s">
        <v>171</v>
      </c>
      <c r="P313">
        <v>1.5100289787780784E-2</v>
      </c>
      <c r="Q313" t="s">
        <v>163</v>
      </c>
      <c r="S313" t="s">
        <v>211</v>
      </c>
      <c r="T313" t="s">
        <v>171</v>
      </c>
      <c r="U313">
        <v>1.1267088460832487E-2</v>
      </c>
      <c r="V313" t="s">
        <v>163</v>
      </c>
    </row>
    <row r="314" spans="9:22" x14ac:dyDescent="0.45">
      <c r="I314" t="s">
        <v>180</v>
      </c>
      <c r="J314" t="s">
        <v>262</v>
      </c>
      <c r="K314">
        <v>6.5988622489403541E-3</v>
      </c>
      <c r="L314" t="s">
        <v>163</v>
      </c>
      <c r="N314" t="s">
        <v>196</v>
      </c>
      <c r="O314" t="s">
        <v>262</v>
      </c>
      <c r="P314">
        <v>2.4061813489722255E-3</v>
      </c>
      <c r="Q314" t="s">
        <v>163</v>
      </c>
      <c r="S314" t="s">
        <v>211</v>
      </c>
      <c r="T314" t="s">
        <v>262</v>
      </c>
      <c r="U314">
        <v>2.1968461375600043E-3</v>
      </c>
      <c r="V314" t="s">
        <v>163</v>
      </c>
    </row>
    <row r="315" spans="9:22" x14ac:dyDescent="0.45">
      <c r="I315" t="s">
        <v>180</v>
      </c>
      <c r="J315" t="s">
        <v>263</v>
      </c>
      <c r="K315">
        <v>4.3871784910376023E-3</v>
      </c>
      <c r="L315" t="s">
        <v>163</v>
      </c>
      <c r="N315" t="s">
        <v>196</v>
      </c>
      <c r="O315" t="s">
        <v>263</v>
      </c>
      <c r="P315">
        <v>2.2911617172421588E-3</v>
      </c>
      <c r="Q315" t="s">
        <v>163</v>
      </c>
      <c r="S315" t="s">
        <v>211</v>
      </c>
      <c r="T315" t="s">
        <v>263</v>
      </c>
      <c r="U315">
        <v>2.3663508543528768E-3</v>
      </c>
      <c r="V315" t="s">
        <v>163</v>
      </c>
    </row>
    <row r="316" spans="9:22" x14ac:dyDescent="0.45">
      <c r="I316" t="s">
        <v>180</v>
      </c>
      <c r="J316" t="s">
        <v>264</v>
      </c>
      <c r="K316">
        <v>0</v>
      </c>
      <c r="L316" t="s">
        <v>163</v>
      </c>
      <c r="N316" t="s">
        <v>196</v>
      </c>
      <c r="O316" t="s">
        <v>264</v>
      </c>
      <c r="P316">
        <v>1.0872639461743159E-2</v>
      </c>
      <c r="Q316" t="s">
        <v>163</v>
      </c>
      <c r="S316" t="s">
        <v>211</v>
      </c>
      <c r="T316" t="s">
        <v>264</v>
      </c>
      <c r="U316">
        <v>1.283508426263355E-2</v>
      </c>
      <c r="V316" t="s">
        <v>163</v>
      </c>
    </row>
    <row r="317" spans="9:22" x14ac:dyDescent="0.45">
      <c r="I317" t="s">
        <v>180</v>
      </c>
      <c r="J317" t="s">
        <v>172</v>
      </c>
      <c r="K317">
        <v>0</v>
      </c>
      <c r="L317" t="s">
        <v>163</v>
      </c>
      <c r="N317" t="s">
        <v>196</v>
      </c>
      <c r="O317" t="s">
        <v>172</v>
      </c>
      <c r="P317">
        <v>4.7129181417993812E-2</v>
      </c>
      <c r="Q317" t="s">
        <v>163</v>
      </c>
      <c r="S317" t="s">
        <v>211</v>
      </c>
      <c r="T317" t="s">
        <v>172</v>
      </c>
      <c r="U317">
        <v>5.0925549514566903E-2</v>
      </c>
      <c r="V317" t="s">
        <v>163</v>
      </c>
    </row>
    <row r="318" spans="9:22" x14ac:dyDescent="0.45">
      <c r="I318" t="s">
        <v>180</v>
      </c>
      <c r="J318" t="s">
        <v>173</v>
      </c>
      <c r="K318">
        <v>2.5408172778601995E-2</v>
      </c>
      <c r="L318" t="s">
        <v>163</v>
      </c>
      <c r="N318" t="s">
        <v>196</v>
      </c>
      <c r="O318" t="s">
        <v>173</v>
      </c>
      <c r="P318">
        <v>2.6269694726415192E-2</v>
      </c>
      <c r="Q318" t="s">
        <v>163</v>
      </c>
      <c r="S318" t="s">
        <v>211</v>
      </c>
      <c r="T318" t="s">
        <v>173</v>
      </c>
      <c r="U318">
        <v>2.4527926384777986E-2</v>
      </c>
      <c r="V318" t="s">
        <v>163</v>
      </c>
    </row>
    <row r="319" spans="9:22" x14ac:dyDescent="0.45">
      <c r="I319" t="s">
        <v>180</v>
      </c>
      <c r="J319" t="s">
        <v>174</v>
      </c>
      <c r="K319">
        <v>5.8560001887967526E-2</v>
      </c>
      <c r="L319" t="s">
        <v>163</v>
      </c>
      <c r="N319" t="s">
        <v>196</v>
      </c>
      <c r="O319" t="s">
        <v>174</v>
      </c>
      <c r="P319">
        <v>4.8455321386712158E-2</v>
      </c>
      <c r="Q319" t="s">
        <v>163</v>
      </c>
      <c r="S319" t="s">
        <v>211</v>
      </c>
      <c r="T319" t="s">
        <v>174</v>
      </c>
      <c r="U319">
        <v>3.7659815127222843E-2</v>
      </c>
      <c r="V319" t="s">
        <v>163</v>
      </c>
    </row>
    <row r="320" spans="9:22" x14ac:dyDescent="0.45">
      <c r="I320" t="s">
        <v>180</v>
      </c>
      <c r="J320" t="s">
        <v>265</v>
      </c>
      <c r="K320">
        <v>4.3013885163001074E-3</v>
      </c>
      <c r="L320" t="s">
        <v>163</v>
      </c>
      <c r="N320" t="s">
        <v>196</v>
      </c>
      <c r="O320" t="s">
        <v>265</v>
      </c>
      <c r="P320">
        <v>7.7157054130119725E-3</v>
      </c>
      <c r="Q320" t="s">
        <v>163</v>
      </c>
      <c r="S320" t="s">
        <v>211</v>
      </c>
      <c r="T320" t="s">
        <v>265</v>
      </c>
      <c r="U320">
        <v>6.8837822344948556E-3</v>
      </c>
      <c r="V320" t="s">
        <v>163</v>
      </c>
    </row>
    <row r="321" spans="9:22" x14ac:dyDescent="0.45">
      <c r="I321" t="s">
        <v>180</v>
      </c>
      <c r="J321" t="s">
        <v>266</v>
      </c>
      <c r="K321">
        <v>0</v>
      </c>
      <c r="L321" t="s">
        <v>163</v>
      </c>
      <c r="N321" t="s">
        <v>196</v>
      </c>
      <c r="O321" t="s">
        <v>266</v>
      </c>
      <c r="P321">
        <v>7.5718989843001358E-3</v>
      </c>
      <c r="Q321" t="s">
        <v>163</v>
      </c>
      <c r="S321" t="s">
        <v>211</v>
      </c>
      <c r="T321" t="s">
        <v>266</v>
      </c>
      <c r="U321">
        <v>6.9637851450353727E-3</v>
      </c>
      <c r="V321" t="s">
        <v>163</v>
      </c>
    </row>
    <row r="322" spans="9:22" x14ac:dyDescent="0.45">
      <c r="I322" t="s">
        <v>180</v>
      </c>
      <c r="J322" t="s">
        <v>267</v>
      </c>
      <c r="K322">
        <v>0</v>
      </c>
      <c r="L322" t="s">
        <v>163</v>
      </c>
      <c r="N322" t="s">
        <v>196</v>
      </c>
      <c r="O322" t="s">
        <v>267</v>
      </c>
      <c r="P322">
        <v>3.5800906390282723E-2</v>
      </c>
      <c r="Q322" t="s">
        <v>163</v>
      </c>
      <c r="S322" t="s">
        <v>211</v>
      </c>
      <c r="T322" t="s">
        <v>267</v>
      </c>
      <c r="U322">
        <v>3.5996743274993755E-2</v>
      </c>
      <c r="V322" t="s">
        <v>163</v>
      </c>
    </row>
    <row r="323" spans="9:22" x14ac:dyDescent="0.45">
      <c r="I323" t="s">
        <v>180</v>
      </c>
      <c r="J323" t="s">
        <v>268</v>
      </c>
      <c r="K323">
        <v>0</v>
      </c>
      <c r="L323" t="s">
        <v>163</v>
      </c>
      <c r="N323" t="s">
        <v>196</v>
      </c>
      <c r="O323" t="s">
        <v>268</v>
      </c>
      <c r="P323">
        <v>2.4011614611627256E-2</v>
      </c>
      <c r="Q323" t="s">
        <v>163</v>
      </c>
      <c r="S323" t="s">
        <v>211</v>
      </c>
      <c r="T323" t="s">
        <v>268</v>
      </c>
      <c r="U323">
        <v>2.5497521677904953E-2</v>
      </c>
      <c r="V323" t="s">
        <v>163</v>
      </c>
    </row>
    <row r="324" spans="9:22" x14ac:dyDescent="0.45">
      <c r="I324" t="s">
        <v>180</v>
      </c>
      <c r="J324" t="s">
        <v>269</v>
      </c>
      <c r="K324">
        <v>4.8017274426813477E-3</v>
      </c>
      <c r="L324" t="s">
        <v>163</v>
      </c>
      <c r="N324" t="s">
        <v>196</v>
      </c>
      <c r="O324" t="s">
        <v>269</v>
      </c>
      <c r="P324">
        <v>1.4218734477585036E-2</v>
      </c>
      <c r="Q324" t="s">
        <v>163</v>
      </c>
      <c r="S324" t="s">
        <v>211</v>
      </c>
      <c r="T324" t="s">
        <v>269</v>
      </c>
      <c r="U324">
        <v>1.3794589845748616E-2</v>
      </c>
      <c r="V324" t="s">
        <v>163</v>
      </c>
    </row>
    <row r="325" spans="9:22" x14ac:dyDescent="0.45">
      <c r="I325" t="s">
        <v>180</v>
      </c>
      <c r="J325" t="s">
        <v>270</v>
      </c>
      <c r="K325">
        <v>1.6622886940765851E-2</v>
      </c>
      <c r="L325" t="s">
        <v>163</v>
      </c>
      <c r="N325" t="s">
        <v>196</v>
      </c>
      <c r="O325" t="s">
        <v>270</v>
      </c>
      <c r="P325">
        <v>2.1230309747115875E-2</v>
      </c>
      <c r="Q325" t="s">
        <v>163</v>
      </c>
      <c r="S325" t="s">
        <v>211</v>
      </c>
      <c r="T325" t="s">
        <v>270</v>
      </c>
      <c r="U325">
        <v>2.2633088510285854E-2</v>
      </c>
      <c r="V325" t="s">
        <v>163</v>
      </c>
    </row>
    <row r="326" spans="9:22" x14ac:dyDescent="0.45">
      <c r="I326" t="s">
        <v>180</v>
      </c>
      <c r="J326" t="s">
        <v>271</v>
      </c>
      <c r="K326">
        <v>0</v>
      </c>
      <c r="L326" t="s">
        <v>163</v>
      </c>
      <c r="N326" t="s">
        <v>196</v>
      </c>
      <c r="O326" t="s">
        <v>271</v>
      </c>
      <c r="P326">
        <v>3.4153007824992425E-3</v>
      </c>
      <c r="Q326" t="s">
        <v>163</v>
      </c>
      <c r="S326" t="s">
        <v>211</v>
      </c>
      <c r="T326" t="s">
        <v>271</v>
      </c>
      <c r="U326">
        <v>4.1839476925415427E-3</v>
      </c>
      <c r="V326" t="s">
        <v>163</v>
      </c>
    </row>
    <row r="327" spans="9:22" x14ac:dyDescent="0.45">
      <c r="I327" t="s">
        <v>180</v>
      </c>
      <c r="J327" t="s">
        <v>272</v>
      </c>
      <c r="K327">
        <v>0</v>
      </c>
      <c r="L327" t="s">
        <v>163</v>
      </c>
      <c r="N327" t="s">
        <v>196</v>
      </c>
      <c r="O327" t="s">
        <v>272</v>
      </c>
      <c r="P327">
        <v>3.4700198220850081E-3</v>
      </c>
      <c r="Q327" t="s">
        <v>163</v>
      </c>
      <c r="S327" t="s">
        <v>211</v>
      </c>
      <c r="T327" t="s">
        <v>272</v>
      </c>
      <c r="U327">
        <v>4.1179660008672063E-3</v>
      </c>
      <c r="V327" t="s">
        <v>163</v>
      </c>
    </row>
    <row r="328" spans="9:22" x14ac:dyDescent="0.45">
      <c r="I328" t="s">
        <v>180</v>
      </c>
      <c r="J328" t="s">
        <v>273</v>
      </c>
      <c r="K328">
        <v>0</v>
      </c>
      <c r="L328" t="s">
        <v>163</v>
      </c>
      <c r="N328" t="s">
        <v>196</v>
      </c>
      <c r="O328" t="s">
        <v>273</v>
      </c>
      <c r="P328">
        <v>1.7108054822949168E-2</v>
      </c>
      <c r="Q328" t="s">
        <v>163</v>
      </c>
      <c r="S328" t="s">
        <v>211</v>
      </c>
      <c r="T328" t="s">
        <v>273</v>
      </c>
      <c r="U328">
        <v>1.9607610581620163E-2</v>
      </c>
      <c r="V328" t="s">
        <v>163</v>
      </c>
    </row>
    <row r="329" spans="9:22" x14ac:dyDescent="0.45">
      <c r="I329" t="s">
        <v>180</v>
      </c>
      <c r="J329" t="s">
        <v>274</v>
      </c>
      <c r="K329">
        <v>1.1620306686259321E-4</v>
      </c>
      <c r="L329" t="s">
        <v>163</v>
      </c>
      <c r="N329" t="s">
        <v>196</v>
      </c>
      <c r="O329" t="s">
        <v>274</v>
      </c>
      <c r="P329">
        <v>7.6493442431473491E-2</v>
      </c>
      <c r="Q329" t="s">
        <v>163</v>
      </c>
      <c r="S329" t="s">
        <v>211</v>
      </c>
      <c r="T329" t="s">
        <v>274</v>
      </c>
      <c r="U329">
        <v>8.8777753376816801E-2</v>
      </c>
      <c r="V329" t="s">
        <v>163</v>
      </c>
    </row>
    <row r="330" spans="9:22" x14ac:dyDescent="0.45">
      <c r="I330" t="s">
        <v>180</v>
      </c>
      <c r="J330" t="s">
        <v>275</v>
      </c>
      <c r="K330">
        <v>4.4130977315555868E-2</v>
      </c>
      <c r="L330" t="s">
        <v>163</v>
      </c>
      <c r="N330" t="s">
        <v>196</v>
      </c>
      <c r="O330" t="s">
        <v>275</v>
      </c>
      <c r="P330">
        <v>4.0824759951258283E-2</v>
      </c>
      <c r="Q330" t="s">
        <v>163</v>
      </c>
      <c r="S330" t="s">
        <v>211</v>
      </c>
      <c r="T330" t="s">
        <v>275</v>
      </c>
      <c r="U330">
        <v>4.9257792652321677E-2</v>
      </c>
      <c r="V330" t="s">
        <v>163</v>
      </c>
    </row>
    <row r="331" spans="9:22" x14ac:dyDescent="0.45">
      <c r="I331" t="s">
        <v>180</v>
      </c>
      <c r="J331" t="s">
        <v>276</v>
      </c>
      <c r="K331">
        <v>0.10309230314200243</v>
      </c>
      <c r="L331" t="s">
        <v>163</v>
      </c>
      <c r="N331" t="s">
        <v>196</v>
      </c>
      <c r="O331" t="s">
        <v>276</v>
      </c>
      <c r="P331">
        <v>7.6865815955039912E-2</v>
      </c>
      <c r="Q331" t="s">
        <v>163</v>
      </c>
      <c r="S331" t="s">
        <v>211</v>
      </c>
      <c r="T331" t="s">
        <v>276</v>
      </c>
      <c r="U331">
        <v>7.6960401049888758E-2</v>
      </c>
      <c r="V331" t="s">
        <v>163</v>
      </c>
    </row>
    <row r="332" spans="9:22" x14ac:dyDescent="0.45">
      <c r="I332" t="s">
        <v>180</v>
      </c>
      <c r="J332" t="s">
        <v>277</v>
      </c>
      <c r="K332">
        <v>9.0327774504613215E-3</v>
      </c>
      <c r="L332" t="s">
        <v>163</v>
      </c>
      <c r="N332" t="s">
        <v>196</v>
      </c>
      <c r="O332" t="s">
        <v>277</v>
      </c>
      <c r="P332">
        <v>1.2182775289180704E-2</v>
      </c>
      <c r="Q332" t="s">
        <v>163</v>
      </c>
      <c r="S332" t="s">
        <v>211</v>
      </c>
      <c r="T332" t="s">
        <v>277</v>
      </c>
      <c r="U332">
        <v>1.3003713999639812E-2</v>
      </c>
      <c r="V332" t="s">
        <v>163</v>
      </c>
    </row>
    <row r="333" spans="9:22" x14ac:dyDescent="0.45">
      <c r="I333" t="s">
        <v>180</v>
      </c>
      <c r="J333" t="s">
        <v>278</v>
      </c>
      <c r="K333">
        <v>1.0799001765970948E-3</v>
      </c>
      <c r="L333" t="s">
        <v>163</v>
      </c>
      <c r="N333" t="s">
        <v>196</v>
      </c>
      <c r="O333" t="s">
        <v>278</v>
      </c>
      <c r="P333">
        <v>1.180764414671945E-2</v>
      </c>
      <c r="Q333" t="s">
        <v>163</v>
      </c>
      <c r="S333" t="s">
        <v>211</v>
      </c>
      <c r="T333" t="s">
        <v>278</v>
      </c>
      <c r="U333">
        <v>1.2774296954059919E-2</v>
      </c>
      <c r="V333" t="s">
        <v>163</v>
      </c>
    </row>
    <row r="334" spans="9:22" x14ac:dyDescent="0.45">
      <c r="I334" t="s">
        <v>180</v>
      </c>
      <c r="J334" t="s">
        <v>279</v>
      </c>
      <c r="K334">
        <v>0</v>
      </c>
      <c r="L334" t="s">
        <v>163</v>
      </c>
      <c r="N334" t="s">
        <v>196</v>
      </c>
      <c r="O334" t="s">
        <v>279</v>
      </c>
      <c r="P334">
        <v>5.7326879388878142E-2</v>
      </c>
      <c r="Q334" t="s">
        <v>163</v>
      </c>
      <c r="S334" t="s">
        <v>211</v>
      </c>
      <c r="T334" t="s">
        <v>279</v>
      </c>
      <c r="U334">
        <v>6.2032882400304017E-2</v>
      </c>
      <c r="V334" t="s">
        <v>163</v>
      </c>
    </row>
    <row r="335" spans="9:22" x14ac:dyDescent="0.45">
      <c r="I335" t="s">
        <v>180</v>
      </c>
      <c r="J335" t="s">
        <v>280</v>
      </c>
      <c r="K335">
        <v>4.3776334114469968E-3</v>
      </c>
      <c r="L335" t="s">
        <v>163</v>
      </c>
      <c r="N335" t="s">
        <v>196</v>
      </c>
      <c r="O335" t="s">
        <v>280</v>
      </c>
      <c r="P335">
        <v>3.1581673688520502E-2</v>
      </c>
      <c r="Q335" t="s">
        <v>163</v>
      </c>
      <c r="S335" t="s">
        <v>211</v>
      </c>
      <c r="T335" t="s">
        <v>280</v>
      </c>
      <c r="U335">
        <v>2.7721383716178445E-2</v>
      </c>
      <c r="V335" t="s">
        <v>163</v>
      </c>
    </row>
    <row r="336" spans="9:22" x14ac:dyDescent="0.45">
      <c r="I336" t="s">
        <v>180</v>
      </c>
      <c r="J336" t="s">
        <v>281</v>
      </c>
      <c r="K336">
        <v>3.3685444980821926E-2</v>
      </c>
      <c r="L336" t="s">
        <v>163</v>
      </c>
      <c r="N336" t="s">
        <v>196</v>
      </c>
      <c r="O336" t="s">
        <v>281</v>
      </c>
      <c r="P336">
        <v>1.8998867125564169E-2</v>
      </c>
      <c r="Q336" t="s">
        <v>163</v>
      </c>
      <c r="S336" t="s">
        <v>211</v>
      </c>
      <c r="T336" t="s">
        <v>281</v>
      </c>
      <c r="U336">
        <v>1.4978036078522194E-2</v>
      </c>
      <c r="V336" t="s">
        <v>163</v>
      </c>
    </row>
    <row r="337" spans="9:22" x14ac:dyDescent="0.45">
      <c r="I337" t="s">
        <v>180</v>
      </c>
      <c r="J337" t="s">
        <v>282</v>
      </c>
      <c r="K337">
        <v>6.0343413963922739E-2</v>
      </c>
      <c r="L337" t="s">
        <v>163</v>
      </c>
      <c r="N337" t="s">
        <v>196</v>
      </c>
      <c r="O337" t="s">
        <v>282</v>
      </c>
      <c r="P337">
        <v>4.0509656580713364E-2</v>
      </c>
      <c r="Q337" t="s">
        <v>163</v>
      </c>
      <c r="S337" t="s">
        <v>211</v>
      </c>
      <c r="T337" t="s">
        <v>282</v>
      </c>
      <c r="U337">
        <v>2.6767129611846234E-2</v>
      </c>
      <c r="V337" t="s">
        <v>163</v>
      </c>
    </row>
    <row r="338" spans="9:22" x14ac:dyDescent="0.45">
      <c r="I338" t="s">
        <v>180</v>
      </c>
      <c r="J338" t="s">
        <v>283</v>
      </c>
      <c r="K338">
        <v>7.4475482695628183E-3</v>
      </c>
      <c r="L338" t="s">
        <v>163</v>
      </c>
      <c r="N338" t="s">
        <v>196</v>
      </c>
      <c r="O338" t="s">
        <v>283</v>
      </c>
      <c r="P338">
        <v>6.1400488377712711E-3</v>
      </c>
      <c r="Q338" t="s">
        <v>163</v>
      </c>
      <c r="S338" t="s">
        <v>211</v>
      </c>
      <c r="T338" t="s">
        <v>283</v>
      </c>
      <c r="U338">
        <v>5.3693008065180559E-3</v>
      </c>
      <c r="V338" t="s">
        <v>163</v>
      </c>
    </row>
    <row r="339" spans="9:22" x14ac:dyDescent="0.45">
      <c r="I339" t="s">
        <v>180</v>
      </c>
      <c r="J339" t="s">
        <v>284</v>
      </c>
      <c r="K339">
        <v>5.2622327635085666E-3</v>
      </c>
      <c r="L339" t="s">
        <v>163</v>
      </c>
      <c r="N339" t="s">
        <v>196</v>
      </c>
      <c r="O339" t="s">
        <v>284</v>
      </c>
      <c r="P339">
        <v>6.0268050591794943E-3</v>
      </c>
      <c r="Q339" t="s">
        <v>163</v>
      </c>
      <c r="S339" t="s">
        <v>211</v>
      </c>
      <c r="T339" t="s">
        <v>284</v>
      </c>
      <c r="U339">
        <v>5.4643057166340846E-3</v>
      </c>
      <c r="V339" t="s">
        <v>163</v>
      </c>
    </row>
    <row r="340" spans="9:22" x14ac:dyDescent="0.45">
      <c r="I340" t="s">
        <v>180</v>
      </c>
      <c r="J340" t="s">
        <v>285</v>
      </c>
      <c r="K340">
        <v>0</v>
      </c>
      <c r="L340" t="s">
        <v>163</v>
      </c>
      <c r="N340" t="s">
        <v>196</v>
      </c>
      <c r="O340" t="s">
        <v>285</v>
      </c>
      <c r="P340">
        <v>2.4206086535682927E-2</v>
      </c>
      <c r="Q340" t="s">
        <v>163</v>
      </c>
      <c r="S340" t="s">
        <v>211</v>
      </c>
      <c r="T340" t="s">
        <v>285</v>
      </c>
      <c r="U340">
        <v>2.5402626738500841E-2</v>
      </c>
      <c r="V340" t="s">
        <v>163</v>
      </c>
    </row>
    <row r="341" spans="9:22" x14ac:dyDescent="0.45">
      <c r="I341" t="s">
        <v>180</v>
      </c>
      <c r="J341" t="s">
        <v>286</v>
      </c>
      <c r="K341">
        <v>1.9122052708198299E-2</v>
      </c>
      <c r="L341" t="s">
        <v>163</v>
      </c>
      <c r="N341" t="s">
        <v>196</v>
      </c>
      <c r="O341" t="s">
        <v>286</v>
      </c>
      <c r="P341">
        <v>3.3718295123501635E-2</v>
      </c>
      <c r="Q341" t="s">
        <v>163</v>
      </c>
      <c r="S341" t="s">
        <v>211</v>
      </c>
      <c r="T341" t="s">
        <v>286</v>
      </c>
      <c r="U341">
        <v>4.1676938671042225E-2</v>
      </c>
      <c r="V341" t="s">
        <v>163</v>
      </c>
    </row>
    <row r="342" spans="9:22" x14ac:dyDescent="0.45">
      <c r="I342" t="s">
        <v>180</v>
      </c>
      <c r="J342" t="s">
        <v>287</v>
      </c>
      <c r="K342">
        <v>7.7621874911965746E-2</v>
      </c>
      <c r="L342" t="s">
        <v>163</v>
      </c>
      <c r="N342" t="s">
        <v>196</v>
      </c>
      <c r="O342" t="s">
        <v>287</v>
      </c>
      <c r="P342">
        <v>2.3180621064127469E-2</v>
      </c>
      <c r="Q342" t="s">
        <v>163</v>
      </c>
      <c r="S342" t="s">
        <v>211</v>
      </c>
      <c r="T342" t="s">
        <v>287</v>
      </c>
      <c r="U342">
        <v>2.1094259724393643E-2</v>
      </c>
      <c r="V342" t="s">
        <v>163</v>
      </c>
    </row>
    <row r="343" spans="9:22" x14ac:dyDescent="0.45">
      <c r="I343" t="s">
        <v>180</v>
      </c>
      <c r="J343" t="s">
        <v>288</v>
      </c>
      <c r="K343">
        <v>0.1227972529268966</v>
      </c>
      <c r="L343" t="s">
        <v>163</v>
      </c>
      <c r="N343" t="s">
        <v>196</v>
      </c>
      <c r="O343" t="s">
        <v>288</v>
      </c>
      <c r="P343">
        <v>4.5952837959619706E-2</v>
      </c>
      <c r="Q343" t="s">
        <v>163</v>
      </c>
      <c r="S343" t="s">
        <v>211</v>
      </c>
      <c r="T343" t="s">
        <v>288</v>
      </c>
      <c r="U343">
        <v>3.3586384609483766E-2</v>
      </c>
      <c r="V343" t="s">
        <v>163</v>
      </c>
    </row>
    <row r="344" spans="9:22" x14ac:dyDescent="0.45">
      <c r="I344" t="s">
        <v>180</v>
      </c>
      <c r="J344" t="s">
        <v>289</v>
      </c>
      <c r="K344">
        <v>1.5322877954733539E-2</v>
      </c>
      <c r="L344" t="s">
        <v>163</v>
      </c>
      <c r="N344" t="s">
        <v>196</v>
      </c>
      <c r="O344" t="s">
        <v>289</v>
      </c>
      <c r="P344">
        <v>7.3922064765882369E-3</v>
      </c>
      <c r="Q344" t="s">
        <v>163</v>
      </c>
      <c r="S344" t="s">
        <v>211</v>
      </c>
      <c r="T344" t="s">
        <v>289</v>
      </c>
      <c r="U344">
        <v>6.5198586979317514E-3</v>
      </c>
      <c r="V344" t="s">
        <v>163</v>
      </c>
    </row>
    <row r="345" spans="9:22" x14ac:dyDescent="0.45">
      <c r="I345" t="s">
        <v>180</v>
      </c>
      <c r="J345" t="s">
        <v>290</v>
      </c>
      <c r="K345">
        <v>1.2894979789697574E-2</v>
      </c>
      <c r="L345" t="s">
        <v>163</v>
      </c>
      <c r="N345" t="s">
        <v>196</v>
      </c>
      <c r="O345" t="s">
        <v>290</v>
      </c>
      <c r="P345">
        <v>6.8174038001423704E-3</v>
      </c>
      <c r="Q345" t="s">
        <v>163</v>
      </c>
      <c r="S345" t="s">
        <v>211</v>
      </c>
      <c r="T345" t="s">
        <v>290</v>
      </c>
      <c r="U345">
        <v>6.7131803140201727E-3</v>
      </c>
      <c r="V345" t="s">
        <v>163</v>
      </c>
    </row>
    <row r="346" spans="9:22" x14ac:dyDescent="0.45">
      <c r="I346" t="s">
        <v>180</v>
      </c>
      <c r="J346" t="s">
        <v>291</v>
      </c>
      <c r="K346">
        <v>7.4936914010323413E-3</v>
      </c>
      <c r="L346" t="s">
        <v>163</v>
      </c>
      <c r="N346" t="s">
        <v>196</v>
      </c>
      <c r="O346" t="s">
        <v>291</v>
      </c>
      <c r="P346">
        <v>2.8195457187299506E-2</v>
      </c>
      <c r="Q346" t="s">
        <v>163</v>
      </c>
      <c r="S346" t="s">
        <v>211</v>
      </c>
      <c r="T346" t="s">
        <v>291</v>
      </c>
      <c r="U346">
        <v>3.4514527790690787E-2</v>
      </c>
      <c r="V346" t="s">
        <v>163</v>
      </c>
    </row>
    <row r="347" spans="9:22" x14ac:dyDescent="0.45">
      <c r="I347" t="s">
        <v>181</v>
      </c>
      <c r="J347" t="s">
        <v>162</v>
      </c>
      <c r="K347">
        <v>8.7275638183257793E-3</v>
      </c>
      <c r="L347" t="s">
        <v>163</v>
      </c>
      <c r="N347" t="s">
        <v>197</v>
      </c>
      <c r="O347" t="s">
        <v>162</v>
      </c>
      <c r="P347">
        <v>2.6856037000953282E-2</v>
      </c>
      <c r="Q347" t="s">
        <v>163</v>
      </c>
      <c r="S347" t="s">
        <v>212</v>
      </c>
      <c r="T347" t="s">
        <v>162</v>
      </c>
      <c r="U347">
        <v>2.8776403260890874E-2</v>
      </c>
      <c r="V347" t="s">
        <v>163</v>
      </c>
    </row>
    <row r="348" spans="9:22" x14ac:dyDescent="0.45">
      <c r="I348" t="s">
        <v>181</v>
      </c>
      <c r="J348" t="s">
        <v>164</v>
      </c>
      <c r="K348">
        <v>4.4398380981876297E-2</v>
      </c>
      <c r="L348" t="s">
        <v>163</v>
      </c>
      <c r="N348" t="s">
        <v>197</v>
      </c>
      <c r="O348" t="s">
        <v>164</v>
      </c>
      <c r="P348">
        <v>1.721098787917414E-2</v>
      </c>
      <c r="Q348" t="s">
        <v>163</v>
      </c>
      <c r="S348" t="s">
        <v>212</v>
      </c>
      <c r="T348" t="s">
        <v>164</v>
      </c>
      <c r="U348">
        <v>1.5663439251264451E-2</v>
      </c>
      <c r="V348" t="s">
        <v>163</v>
      </c>
    </row>
    <row r="349" spans="9:22" x14ac:dyDescent="0.45">
      <c r="I349" t="s">
        <v>181</v>
      </c>
      <c r="J349" t="s">
        <v>165</v>
      </c>
      <c r="K349">
        <v>7.5468400665149274E-2</v>
      </c>
      <c r="L349" t="s">
        <v>163</v>
      </c>
      <c r="N349" t="s">
        <v>197</v>
      </c>
      <c r="O349" t="s">
        <v>165</v>
      </c>
      <c r="P349">
        <v>3.7376704024488609E-2</v>
      </c>
      <c r="Q349" t="s">
        <v>163</v>
      </c>
      <c r="S349" t="s">
        <v>212</v>
      </c>
      <c r="T349" t="s">
        <v>165</v>
      </c>
      <c r="U349">
        <v>2.4018859979941735E-2</v>
      </c>
      <c r="V349" t="s">
        <v>163</v>
      </c>
    </row>
    <row r="350" spans="9:22" x14ac:dyDescent="0.45">
      <c r="I350" t="s">
        <v>181</v>
      </c>
      <c r="J350" t="s">
        <v>256</v>
      </c>
      <c r="K350">
        <v>9.8507601668856287E-3</v>
      </c>
      <c r="L350" t="s">
        <v>163</v>
      </c>
      <c r="N350" t="s">
        <v>197</v>
      </c>
      <c r="O350" t="s">
        <v>256</v>
      </c>
      <c r="P350">
        <v>5.6574116204049481E-3</v>
      </c>
      <c r="Q350" t="s">
        <v>163</v>
      </c>
      <c r="S350" t="s">
        <v>212</v>
      </c>
      <c r="T350" t="s">
        <v>256</v>
      </c>
      <c r="U350">
        <v>4.2576248579844211E-3</v>
      </c>
      <c r="V350" t="s">
        <v>163</v>
      </c>
    </row>
    <row r="351" spans="9:22" x14ac:dyDescent="0.45">
      <c r="I351" t="s">
        <v>181</v>
      </c>
      <c r="J351" t="s">
        <v>257</v>
      </c>
      <c r="K351">
        <v>8.4471911576629918E-3</v>
      </c>
      <c r="L351" t="s">
        <v>163</v>
      </c>
      <c r="N351" t="s">
        <v>197</v>
      </c>
      <c r="O351" t="s">
        <v>257</v>
      </c>
      <c r="P351">
        <v>4.7912245924507648E-3</v>
      </c>
      <c r="Q351" t="s">
        <v>163</v>
      </c>
      <c r="S351" t="s">
        <v>212</v>
      </c>
      <c r="T351" t="s">
        <v>257</v>
      </c>
      <c r="U351">
        <v>4.3164016375702666E-3</v>
      </c>
      <c r="V351" t="s">
        <v>163</v>
      </c>
    </row>
    <row r="352" spans="9:22" x14ac:dyDescent="0.45">
      <c r="I352" t="s">
        <v>181</v>
      </c>
      <c r="J352" t="s">
        <v>258</v>
      </c>
      <c r="K352">
        <v>5.6581266569582615E-3</v>
      </c>
      <c r="L352" t="s">
        <v>163</v>
      </c>
      <c r="N352" t="s">
        <v>197</v>
      </c>
      <c r="O352" t="s">
        <v>258</v>
      </c>
      <c r="P352">
        <v>1.831171238796913E-2</v>
      </c>
      <c r="Q352" t="s">
        <v>163</v>
      </c>
      <c r="S352" t="s">
        <v>212</v>
      </c>
      <c r="T352" t="s">
        <v>258</v>
      </c>
      <c r="U352">
        <v>2.1959303922138691E-2</v>
      </c>
      <c r="V352" t="s">
        <v>163</v>
      </c>
    </row>
    <row r="353" spans="9:22" x14ac:dyDescent="0.45">
      <c r="I353" t="s">
        <v>181</v>
      </c>
      <c r="J353" t="s">
        <v>166</v>
      </c>
      <c r="K353">
        <v>3.6672106316072328E-3</v>
      </c>
      <c r="L353" t="s">
        <v>163</v>
      </c>
      <c r="N353" t="s">
        <v>197</v>
      </c>
      <c r="O353" t="s">
        <v>166</v>
      </c>
      <c r="P353">
        <v>1.215200608737574E-2</v>
      </c>
      <c r="Q353" t="s">
        <v>163</v>
      </c>
      <c r="S353" t="s">
        <v>212</v>
      </c>
      <c r="T353" t="s">
        <v>166</v>
      </c>
      <c r="U353">
        <v>2.0858983770134454E-2</v>
      </c>
      <c r="V353" t="s">
        <v>163</v>
      </c>
    </row>
    <row r="354" spans="9:22" x14ac:dyDescent="0.45">
      <c r="I354" t="s">
        <v>181</v>
      </c>
      <c r="J354" t="s">
        <v>167</v>
      </c>
      <c r="K354">
        <v>3.2627770548881913E-2</v>
      </c>
      <c r="L354" t="s">
        <v>163</v>
      </c>
      <c r="N354" t="s">
        <v>197</v>
      </c>
      <c r="O354" t="s">
        <v>167</v>
      </c>
      <c r="P354">
        <v>6.514315930501031E-3</v>
      </c>
      <c r="Q354" t="s">
        <v>163</v>
      </c>
      <c r="S354" t="s">
        <v>212</v>
      </c>
      <c r="T354" t="s">
        <v>167</v>
      </c>
      <c r="U354">
        <v>1.1450746127792275E-2</v>
      </c>
      <c r="V354" t="s">
        <v>163</v>
      </c>
    </row>
    <row r="355" spans="9:22" x14ac:dyDescent="0.45">
      <c r="I355" t="s">
        <v>181</v>
      </c>
      <c r="J355" t="s">
        <v>168</v>
      </c>
      <c r="K355">
        <v>6.0669828842021246E-2</v>
      </c>
      <c r="L355" t="s">
        <v>163</v>
      </c>
      <c r="N355" t="s">
        <v>197</v>
      </c>
      <c r="O355" t="s">
        <v>168</v>
      </c>
      <c r="P355">
        <v>1.9640406884432075E-2</v>
      </c>
      <c r="Q355" t="s">
        <v>163</v>
      </c>
      <c r="S355" t="s">
        <v>212</v>
      </c>
      <c r="T355" t="s">
        <v>168</v>
      </c>
      <c r="U355">
        <v>1.5521339355948674E-2</v>
      </c>
      <c r="V355" t="s">
        <v>163</v>
      </c>
    </row>
    <row r="356" spans="9:22" x14ac:dyDescent="0.45">
      <c r="I356" t="s">
        <v>181</v>
      </c>
      <c r="J356" t="s">
        <v>259</v>
      </c>
      <c r="K356">
        <v>8.1211084030270182E-3</v>
      </c>
      <c r="L356" t="s">
        <v>163</v>
      </c>
      <c r="N356" t="s">
        <v>197</v>
      </c>
      <c r="O356" t="s">
        <v>259</v>
      </c>
      <c r="P356">
        <v>3.0661585996678855E-3</v>
      </c>
      <c r="Q356" t="s">
        <v>163</v>
      </c>
      <c r="S356" t="s">
        <v>212</v>
      </c>
      <c r="T356" t="s">
        <v>259</v>
      </c>
      <c r="U356">
        <v>2.5656600545549638E-3</v>
      </c>
      <c r="V356" t="s">
        <v>163</v>
      </c>
    </row>
    <row r="357" spans="9:22" x14ac:dyDescent="0.45">
      <c r="I357" t="s">
        <v>181</v>
      </c>
      <c r="J357" t="s">
        <v>260</v>
      </c>
      <c r="K357">
        <v>6.4695472224673475E-3</v>
      </c>
      <c r="L357" t="s">
        <v>163</v>
      </c>
      <c r="N357" t="s">
        <v>197</v>
      </c>
      <c r="O357" t="s">
        <v>260</v>
      </c>
      <c r="P357">
        <v>2.6814900009083744E-3</v>
      </c>
      <c r="Q357" t="s">
        <v>163</v>
      </c>
      <c r="S357" t="s">
        <v>212</v>
      </c>
      <c r="T357" t="s">
        <v>260</v>
      </c>
      <c r="U357">
        <v>2.6703265903237025E-3</v>
      </c>
      <c r="V357" t="s">
        <v>163</v>
      </c>
    </row>
    <row r="358" spans="9:22" x14ac:dyDescent="0.45">
      <c r="I358" t="s">
        <v>181</v>
      </c>
      <c r="J358" t="s">
        <v>261</v>
      </c>
      <c r="K358">
        <v>3.4777146489418367E-3</v>
      </c>
      <c r="L358" t="s">
        <v>163</v>
      </c>
      <c r="N358" t="s">
        <v>197</v>
      </c>
      <c r="O358" t="s">
        <v>261</v>
      </c>
      <c r="P358">
        <v>1.0490434072342354E-2</v>
      </c>
      <c r="Q358" t="s">
        <v>163</v>
      </c>
      <c r="S358" t="s">
        <v>212</v>
      </c>
      <c r="T358" t="s">
        <v>261</v>
      </c>
      <c r="U358">
        <v>1.4901137729619585E-2</v>
      </c>
      <c r="V358" t="s">
        <v>163</v>
      </c>
    </row>
    <row r="359" spans="9:22" x14ac:dyDescent="0.45">
      <c r="I359" t="s">
        <v>181</v>
      </c>
      <c r="J359" t="s">
        <v>169</v>
      </c>
      <c r="K359">
        <v>8.1649006898680605E-5</v>
      </c>
      <c r="L359" t="s">
        <v>163</v>
      </c>
      <c r="N359" t="s">
        <v>197</v>
      </c>
      <c r="O359" t="s">
        <v>169</v>
      </c>
      <c r="P359">
        <v>1.6490744595713345E-2</v>
      </c>
      <c r="Q359" t="s">
        <v>163</v>
      </c>
      <c r="S359" t="s">
        <v>212</v>
      </c>
      <c r="T359" t="s">
        <v>169</v>
      </c>
      <c r="U359">
        <v>2.1203175900478727E-2</v>
      </c>
      <c r="V359" t="s">
        <v>163</v>
      </c>
    </row>
    <row r="360" spans="9:22" x14ac:dyDescent="0.45">
      <c r="I360" t="s">
        <v>181</v>
      </c>
      <c r="J360" t="s">
        <v>170</v>
      </c>
      <c r="K360">
        <v>2.4697346779570657E-2</v>
      </c>
      <c r="L360" t="s">
        <v>163</v>
      </c>
      <c r="N360" t="s">
        <v>197</v>
      </c>
      <c r="O360" t="s">
        <v>170</v>
      </c>
      <c r="P360">
        <v>7.7247997430791096E-3</v>
      </c>
      <c r="Q360" t="s">
        <v>163</v>
      </c>
      <c r="S360" t="s">
        <v>212</v>
      </c>
      <c r="T360" t="s">
        <v>170</v>
      </c>
      <c r="U360">
        <v>1.154266237059192E-2</v>
      </c>
      <c r="V360" t="s">
        <v>163</v>
      </c>
    </row>
    <row r="361" spans="9:22" x14ac:dyDescent="0.45">
      <c r="I361" t="s">
        <v>181</v>
      </c>
      <c r="J361" t="s">
        <v>171</v>
      </c>
      <c r="K361">
        <v>4.9015728574135997E-2</v>
      </c>
      <c r="L361" t="s">
        <v>163</v>
      </c>
      <c r="N361" t="s">
        <v>197</v>
      </c>
      <c r="O361" t="s">
        <v>171</v>
      </c>
      <c r="P361">
        <v>2.1087507571700984E-2</v>
      </c>
      <c r="Q361" t="s">
        <v>163</v>
      </c>
      <c r="S361" t="s">
        <v>212</v>
      </c>
      <c r="T361" t="s">
        <v>171</v>
      </c>
      <c r="U361">
        <v>1.7435636672508387E-2</v>
      </c>
      <c r="V361" t="s">
        <v>163</v>
      </c>
    </row>
    <row r="362" spans="9:22" x14ac:dyDescent="0.45">
      <c r="I362" t="s">
        <v>181</v>
      </c>
      <c r="J362" t="s">
        <v>262</v>
      </c>
      <c r="K362">
        <v>6.774290604326722E-3</v>
      </c>
      <c r="L362" t="s">
        <v>163</v>
      </c>
      <c r="N362" t="s">
        <v>197</v>
      </c>
      <c r="O362" t="s">
        <v>262</v>
      </c>
      <c r="P362">
        <v>2.9576242972505205E-3</v>
      </c>
      <c r="Q362" t="s">
        <v>163</v>
      </c>
      <c r="S362" t="s">
        <v>212</v>
      </c>
      <c r="T362" t="s">
        <v>262</v>
      </c>
      <c r="U362">
        <v>3.1159444894412404E-3</v>
      </c>
      <c r="V362" t="s">
        <v>163</v>
      </c>
    </row>
    <row r="363" spans="9:22" x14ac:dyDescent="0.45">
      <c r="I363" t="s">
        <v>181</v>
      </c>
      <c r="J363" t="s">
        <v>263</v>
      </c>
      <c r="K363">
        <v>4.4269768416731652E-3</v>
      </c>
      <c r="L363" t="s">
        <v>163</v>
      </c>
      <c r="N363" t="s">
        <v>197</v>
      </c>
      <c r="O363" t="s">
        <v>263</v>
      </c>
      <c r="P363">
        <v>2.9816912442353107E-3</v>
      </c>
      <c r="Q363" t="s">
        <v>163</v>
      </c>
      <c r="S363" t="s">
        <v>212</v>
      </c>
      <c r="T363" t="s">
        <v>263</v>
      </c>
      <c r="U363">
        <v>3.1884783142946843E-3</v>
      </c>
      <c r="V363" t="s">
        <v>163</v>
      </c>
    </row>
    <row r="364" spans="9:22" x14ac:dyDescent="0.45">
      <c r="I364" t="s">
        <v>181</v>
      </c>
      <c r="J364" t="s">
        <v>264</v>
      </c>
      <c r="K364">
        <v>0</v>
      </c>
      <c r="L364" t="s">
        <v>163</v>
      </c>
      <c r="N364" t="s">
        <v>197</v>
      </c>
      <c r="O364" t="s">
        <v>264</v>
      </c>
      <c r="P364">
        <v>1.3630293045085414E-2</v>
      </c>
      <c r="Q364" t="s">
        <v>163</v>
      </c>
      <c r="S364" t="s">
        <v>212</v>
      </c>
      <c r="T364" t="s">
        <v>264</v>
      </c>
      <c r="U364">
        <v>1.6683271086003794E-2</v>
      </c>
      <c r="V364" t="s">
        <v>163</v>
      </c>
    </row>
    <row r="365" spans="9:22" x14ac:dyDescent="0.45">
      <c r="I365" t="s">
        <v>181</v>
      </c>
      <c r="J365" t="s">
        <v>172</v>
      </c>
      <c r="K365">
        <v>0</v>
      </c>
      <c r="L365" t="s">
        <v>163</v>
      </c>
      <c r="N365" t="s">
        <v>197</v>
      </c>
      <c r="O365" t="s">
        <v>172</v>
      </c>
      <c r="P365">
        <v>4.4077305969373294E-2</v>
      </c>
      <c r="Q365" t="s">
        <v>163</v>
      </c>
      <c r="S365" t="s">
        <v>212</v>
      </c>
      <c r="T365" t="s">
        <v>172</v>
      </c>
      <c r="U365">
        <v>4.6103278698370241E-2</v>
      </c>
      <c r="V365" t="s">
        <v>163</v>
      </c>
    </row>
    <row r="366" spans="9:22" x14ac:dyDescent="0.45">
      <c r="I366" t="s">
        <v>181</v>
      </c>
      <c r="J366" t="s">
        <v>173</v>
      </c>
      <c r="K366">
        <v>2.8028790008895441E-2</v>
      </c>
      <c r="L366" t="s">
        <v>163</v>
      </c>
      <c r="N366" t="s">
        <v>197</v>
      </c>
      <c r="O366" t="s">
        <v>173</v>
      </c>
      <c r="P366">
        <v>2.5886227336375345E-2</v>
      </c>
      <c r="Q366" t="s">
        <v>163</v>
      </c>
      <c r="S366" t="s">
        <v>212</v>
      </c>
      <c r="T366" t="s">
        <v>173</v>
      </c>
      <c r="U366">
        <v>2.3847214482049905E-2</v>
      </c>
      <c r="V366" t="s">
        <v>163</v>
      </c>
    </row>
    <row r="367" spans="9:22" x14ac:dyDescent="0.45">
      <c r="I367" t="s">
        <v>181</v>
      </c>
      <c r="J367" t="s">
        <v>174</v>
      </c>
      <c r="K367">
        <v>5.5886570840875685E-2</v>
      </c>
      <c r="L367" t="s">
        <v>163</v>
      </c>
      <c r="N367" t="s">
        <v>197</v>
      </c>
      <c r="O367" t="s">
        <v>174</v>
      </c>
      <c r="P367">
        <v>5.1165817296527819E-2</v>
      </c>
      <c r="Q367" t="s">
        <v>163</v>
      </c>
      <c r="S367" t="s">
        <v>212</v>
      </c>
      <c r="T367" t="s">
        <v>174</v>
      </c>
      <c r="U367">
        <v>3.7473546558366932E-2</v>
      </c>
      <c r="V367" t="s">
        <v>163</v>
      </c>
    </row>
    <row r="368" spans="9:22" x14ac:dyDescent="0.45">
      <c r="I368" t="s">
        <v>181</v>
      </c>
      <c r="J368" t="s">
        <v>265</v>
      </c>
      <c r="K368">
        <v>3.6684165095946216E-3</v>
      </c>
      <c r="L368" t="s">
        <v>163</v>
      </c>
      <c r="N368" t="s">
        <v>197</v>
      </c>
      <c r="O368" t="s">
        <v>265</v>
      </c>
      <c r="P368">
        <v>7.0625921611514311E-3</v>
      </c>
      <c r="Q368" t="s">
        <v>163</v>
      </c>
      <c r="S368" t="s">
        <v>212</v>
      </c>
      <c r="T368" t="s">
        <v>265</v>
      </c>
      <c r="U368">
        <v>6.690115927944577E-3</v>
      </c>
      <c r="V368" t="s">
        <v>163</v>
      </c>
    </row>
    <row r="369" spans="9:22" x14ac:dyDescent="0.45">
      <c r="I369" t="s">
        <v>181</v>
      </c>
      <c r="J369" t="s">
        <v>266</v>
      </c>
      <c r="K369">
        <v>0</v>
      </c>
      <c r="L369" t="s">
        <v>163</v>
      </c>
      <c r="N369" t="s">
        <v>197</v>
      </c>
      <c r="O369" t="s">
        <v>266</v>
      </c>
      <c r="P369">
        <v>6.3203976863358277E-3</v>
      </c>
      <c r="Q369" t="s">
        <v>163</v>
      </c>
      <c r="S369" t="s">
        <v>212</v>
      </c>
      <c r="T369" t="s">
        <v>266</v>
      </c>
      <c r="U369">
        <v>6.7355825152887391E-3</v>
      </c>
      <c r="V369" t="s">
        <v>163</v>
      </c>
    </row>
    <row r="370" spans="9:22" x14ac:dyDescent="0.45">
      <c r="I370" t="s">
        <v>181</v>
      </c>
      <c r="J370" t="s">
        <v>267</v>
      </c>
      <c r="K370">
        <v>0</v>
      </c>
      <c r="L370" t="s">
        <v>163</v>
      </c>
      <c r="N370" t="s">
        <v>197</v>
      </c>
      <c r="O370" t="s">
        <v>267</v>
      </c>
      <c r="P370">
        <v>2.9223719510988646E-2</v>
      </c>
      <c r="Q370" t="s">
        <v>163</v>
      </c>
      <c r="S370" t="s">
        <v>212</v>
      </c>
      <c r="T370" t="s">
        <v>267</v>
      </c>
      <c r="U370">
        <v>3.3944618470622669E-2</v>
      </c>
      <c r="V370" t="s">
        <v>163</v>
      </c>
    </row>
    <row r="371" spans="9:22" x14ac:dyDescent="0.45">
      <c r="I371" t="s">
        <v>181</v>
      </c>
      <c r="J371" t="s">
        <v>268</v>
      </c>
      <c r="K371">
        <v>0</v>
      </c>
      <c r="L371" t="s">
        <v>163</v>
      </c>
      <c r="N371" t="s">
        <v>197</v>
      </c>
      <c r="O371" t="s">
        <v>268</v>
      </c>
      <c r="P371">
        <v>1.6530321766609079E-2</v>
      </c>
      <c r="Q371" t="s">
        <v>163</v>
      </c>
      <c r="S371" t="s">
        <v>212</v>
      </c>
      <c r="T371" t="s">
        <v>268</v>
      </c>
      <c r="U371">
        <v>2.8034463795117714E-2</v>
      </c>
      <c r="V371" t="s">
        <v>163</v>
      </c>
    </row>
    <row r="372" spans="9:22" x14ac:dyDescent="0.45">
      <c r="I372" t="s">
        <v>181</v>
      </c>
      <c r="J372" t="s">
        <v>269</v>
      </c>
      <c r="K372">
        <v>4.0578929898232698E-3</v>
      </c>
      <c r="L372" t="s">
        <v>163</v>
      </c>
      <c r="N372" t="s">
        <v>197</v>
      </c>
      <c r="O372" t="s">
        <v>269</v>
      </c>
      <c r="P372">
        <v>8.5075013232565454E-3</v>
      </c>
      <c r="Q372" t="s">
        <v>163</v>
      </c>
      <c r="S372" t="s">
        <v>212</v>
      </c>
      <c r="T372" t="s">
        <v>269</v>
      </c>
      <c r="U372">
        <v>1.5630155587733223E-2</v>
      </c>
      <c r="V372" t="s">
        <v>163</v>
      </c>
    </row>
    <row r="373" spans="9:22" x14ac:dyDescent="0.45">
      <c r="I373" t="s">
        <v>181</v>
      </c>
      <c r="J373" t="s">
        <v>270</v>
      </c>
      <c r="K373">
        <v>1.4918121959292744E-2</v>
      </c>
      <c r="L373" t="s">
        <v>163</v>
      </c>
      <c r="N373" t="s">
        <v>197</v>
      </c>
      <c r="O373" t="s">
        <v>270</v>
      </c>
      <c r="P373">
        <v>1.3583948443635908E-2</v>
      </c>
      <c r="Q373" t="s">
        <v>163</v>
      </c>
      <c r="S373" t="s">
        <v>212</v>
      </c>
      <c r="T373" t="s">
        <v>270</v>
      </c>
      <c r="U373">
        <v>2.265074749196978E-2</v>
      </c>
      <c r="V373" t="s">
        <v>163</v>
      </c>
    </row>
    <row r="374" spans="9:22" x14ac:dyDescent="0.45">
      <c r="I374" t="s">
        <v>181</v>
      </c>
      <c r="J374" t="s">
        <v>271</v>
      </c>
      <c r="K374">
        <v>0</v>
      </c>
      <c r="L374" t="s">
        <v>163</v>
      </c>
      <c r="N374" t="s">
        <v>197</v>
      </c>
      <c r="O374" t="s">
        <v>271</v>
      </c>
      <c r="P374">
        <v>2.4908632056733658E-3</v>
      </c>
      <c r="Q374" t="s">
        <v>163</v>
      </c>
      <c r="S374" t="s">
        <v>212</v>
      </c>
      <c r="T374" t="s">
        <v>271</v>
      </c>
      <c r="U374">
        <v>3.8642515978666455E-3</v>
      </c>
      <c r="V374" t="s">
        <v>163</v>
      </c>
    </row>
    <row r="375" spans="9:22" x14ac:dyDescent="0.45">
      <c r="I375" t="s">
        <v>181</v>
      </c>
      <c r="J375" t="s">
        <v>272</v>
      </c>
      <c r="K375">
        <v>0</v>
      </c>
      <c r="L375" t="s">
        <v>163</v>
      </c>
      <c r="N375" t="s">
        <v>197</v>
      </c>
      <c r="O375" t="s">
        <v>272</v>
      </c>
      <c r="P375">
        <v>2.404759079702664E-3</v>
      </c>
      <c r="Q375" t="s">
        <v>163</v>
      </c>
      <c r="S375" t="s">
        <v>212</v>
      </c>
      <c r="T375" t="s">
        <v>272</v>
      </c>
      <c r="U375">
        <v>3.9243834412455245E-3</v>
      </c>
      <c r="V375" t="s">
        <v>163</v>
      </c>
    </row>
    <row r="376" spans="9:22" x14ac:dyDescent="0.45">
      <c r="I376" t="s">
        <v>181</v>
      </c>
      <c r="J376" t="s">
        <v>273</v>
      </c>
      <c r="K376">
        <v>0</v>
      </c>
      <c r="L376" t="s">
        <v>163</v>
      </c>
      <c r="N376" t="s">
        <v>197</v>
      </c>
      <c r="O376" t="s">
        <v>273</v>
      </c>
      <c r="P376">
        <v>1.1876389951930915E-2</v>
      </c>
      <c r="Q376" t="s">
        <v>163</v>
      </c>
      <c r="S376" t="s">
        <v>212</v>
      </c>
      <c r="T376" t="s">
        <v>273</v>
      </c>
      <c r="U376">
        <v>1.963133964767089E-2</v>
      </c>
      <c r="V376" t="s">
        <v>163</v>
      </c>
    </row>
    <row r="377" spans="9:22" x14ac:dyDescent="0.45">
      <c r="I377" t="s">
        <v>181</v>
      </c>
      <c r="J377" t="s">
        <v>274</v>
      </c>
      <c r="K377">
        <v>2.5146919265714234E-4</v>
      </c>
      <c r="L377" t="s">
        <v>163</v>
      </c>
      <c r="N377" t="s">
        <v>197</v>
      </c>
      <c r="O377" t="s">
        <v>274</v>
      </c>
      <c r="P377">
        <v>7.3181701979415134E-2</v>
      </c>
      <c r="Q377" t="s">
        <v>163</v>
      </c>
      <c r="S377" t="s">
        <v>212</v>
      </c>
      <c r="T377" t="s">
        <v>274</v>
      </c>
      <c r="U377">
        <v>8.8337345183020041E-2</v>
      </c>
      <c r="V377" t="s">
        <v>163</v>
      </c>
    </row>
    <row r="378" spans="9:22" x14ac:dyDescent="0.45">
      <c r="I378" t="s">
        <v>181</v>
      </c>
      <c r="J378" t="s">
        <v>275</v>
      </c>
      <c r="K378">
        <v>5.0196319691144194E-2</v>
      </c>
      <c r="L378" t="s">
        <v>163</v>
      </c>
      <c r="N378" t="s">
        <v>197</v>
      </c>
      <c r="O378" t="s">
        <v>275</v>
      </c>
      <c r="P378">
        <v>4.0538157028628667E-2</v>
      </c>
      <c r="Q378" t="s">
        <v>163</v>
      </c>
      <c r="S378" t="s">
        <v>212</v>
      </c>
      <c r="T378" t="s">
        <v>275</v>
      </c>
      <c r="U378">
        <v>4.8539288927033873E-2</v>
      </c>
      <c r="V378" t="s">
        <v>163</v>
      </c>
    </row>
    <row r="379" spans="9:22" x14ac:dyDescent="0.45">
      <c r="I379" t="s">
        <v>181</v>
      </c>
      <c r="J379" t="s">
        <v>276</v>
      </c>
      <c r="K379">
        <v>0.10226761427041312</v>
      </c>
      <c r="L379" t="s">
        <v>163</v>
      </c>
      <c r="N379" t="s">
        <v>197</v>
      </c>
      <c r="O379" t="s">
        <v>276</v>
      </c>
      <c r="P379">
        <v>7.3513189433583537E-2</v>
      </c>
      <c r="Q379" t="s">
        <v>163</v>
      </c>
      <c r="S379" t="s">
        <v>212</v>
      </c>
      <c r="T379" t="s">
        <v>276</v>
      </c>
      <c r="U379">
        <v>7.2713957117199843E-2</v>
      </c>
      <c r="V379" t="s">
        <v>163</v>
      </c>
    </row>
    <row r="380" spans="9:22" x14ac:dyDescent="0.45">
      <c r="I380" t="s">
        <v>181</v>
      </c>
      <c r="J380" t="s">
        <v>277</v>
      </c>
      <c r="K380">
        <v>8.9294099143698517E-3</v>
      </c>
      <c r="L380" t="s">
        <v>163</v>
      </c>
      <c r="N380" t="s">
        <v>197</v>
      </c>
      <c r="O380" t="s">
        <v>277</v>
      </c>
      <c r="P380">
        <v>1.0743045084534851E-2</v>
      </c>
      <c r="Q380" t="s">
        <v>163</v>
      </c>
      <c r="S380" t="s">
        <v>212</v>
      </c>
      <c r="T380" t="s">
        <v>277</v>
      </c>
      <c r="U380">
        <v>1.2162215313917039E-2</v>
      </c>
      <c r="V380" t="s">
        <v>163</v>
      </c>
    </row>
    <row r="381" spans="9:22" x14ac:dyDescent="0.45">
      <c r="I381" t="s">
        <v>181</v>
      </c>
      <c r="J381" t="s">
        <v>278</v>
      </c>
      <c r="K381">
        <v>1.3576921646201816E-3</v>
      </c>
      <c r="L381" t="s">
        <v>163</v>
      </c>
      <c r="N381" t="s">
        <v>197</v>
      </c>
      <c r="O381" t="s">
        <v>278</v>
      </c>
      <c r="P381">
        <v>1.0423302720397513E-2</v>
      </c>
      <c r="Q381" t="s">
        <v>163</v>
      </c>
      <c r="S381" t="s">
        <v>212</v>
      </c>
      <c r="T381" t="s">
        <v>278</v>
      </c>
      <c r="U381">
        <v>1.2152098585984285E-2</v>
      </c>
      <c r="V381" t="s">
        <v>163</v>
      </c>
    </row>
    <row r="382" spans="9:22" x14ac:dyDescent="0.45">
      <c r="I382" t="s">
        <v>181</v>
      </c>
      <c r="J382" t="s">
        <v>279</v>
      </c>
      <c r="K382">
        <v>0</v>
      </c>
      <c r="L382" t="s">
        <v>163</v>
      </c>
      <c r="N382" t="s">
        <v>197</v>
      </c>
      <c r="O382" t="s">
        <v>279</v>
      </c>
      <c r="P382">
        <v>5.1211742200523158E-2</v>
      </c>
      <c r="Q382" t="s">
        <v>163</v>
      </c>
      <c r="S382" t="s">
        <v>212</v>
      </c>
      <c r="T382" t="s">
        <v>279</v>
      </c>
      <c r="U382">
        <v>6.0680234849871652E-2</v>
      </c>
      <c r="V382" t="s">
        <v>163</v>
      </c>
    </row>
    <row r="383" spans="9:22" x14ac:dyDescent="0.45">
      <c r="I383" t="s">
        <v>181</v>
      </c>
      <c r="J383" t="s">
        <v>280</v>
      </c>
      <c r="K383">
        <v>5.9708600217112185E-3</v>
      </c>
      <c r="L383" t="s">
        <v>163</v>
      </c>
      <c r="N383" t="s">
        <v>197</v>
      </c>
      <c r="O383" t="s">
        <v>280</v>
      </c>
      <c r="P383">
        <v>4.6429092779344823E-2</v>
      </c>
      <c r="Q383" t="s">
        <v>163</v>
      </c>
      <c r="S383" t="s">
        <v>212</v>
      </c>
      <c r="T383" t="s">
        <v>280</v>
      </c>
      <c r="U383">
        <v>2.4815310526927297E-2</v>
      </c>
      <c r="V383" t="s">
        <v>163</v>
      </c>
    </row>
    <row r="384" spans="9:22" x14ac:dyDescent="0.45">
      <c r="I384" t="s">
        <v>181</v>
      </c>
      <c r="J384" t="s">
        <v>281</v>
      </c>
      <c r="K384">
        <v>3.8396640869078055E-2</v>
      </c>
      <c r="L384" t="s">
        <v>163</v>
      </c>
      <c r="N384" t="s">
        <v>197</v>
      </c>
      <c r="O384" t="s">
        <v>281</v>
      </c>
      <c r="P384">
        <v>2.8750458687750682E-2</v>
      </c>
      <c r="Q384" t="s">
        <v>163</v>
      </c>
      <c r="S384" t="s">
        <v>212</v>
      </c>
      <c r="T384" t="s">
        <v>281</v>
      </c>
      <c r="U384">
        <v>1.3283938111835127E-2</v>
      </c>
      <c r="V384" t="s">
        <v>163</v>
      </c>
    </row>
    <row r="385" spans="9:22" x14ac:dyDescent="0.45">
      <c r="I385" t="s">
        <v>181</v>
      </c>
      <c r="J385" t="s">
        <v>282</v>
      </c>
      <c r="K385">
        <v>6.1741142750010081E-2</v>
      </c>
      <c r="L385" t="s">
        <v>163</v>
      </c>
      <c r="N385" t="s">
        <v>197</v>
      </c>
      <c r="O385" t="s">
        <v>282</v>
      </c>
      <c r="P385">
        <v>5.3915225522737843E-2</v>
      </c>
      <c r="Q385" t="s">
        <v>163</v>
      </c>
      <c r="S385" t="s">
        <v>212</v>
      </c>
      <c r="T385" t="s">
        <v>282</v>
      </c>
      <c r="U385">
        <v>2.2106651749587432E-2</v>
      </c>
      <c r="V385" t="s">
        <v>163</v>
      </c>
    </row>
    <row r="386" spans="9:22" x14ac:dyDescent="0.45">
      <c r="I386" t="s">
        <v>181</v>
      </c>
      <c r="J386" t="s">
        <v>283</v>
      </c>
      <c r="K386">
        <v>7.5273334577179631E-3</v>
      </c>
      <c r="L386" t="s">
        <v>163</v>
      </c>
      <c r="N386" t="s">
        <v>197</v>
      </c>
      <c r="O386" t="s">
        <v>283</v>
      </c>
      <c r="P386">
        <v>7.4482010419545646E-3</v>
      </c>
      <c r="Q386" t="s">
        <v>163</v>
      </c>
      <c r="S386" t="s">
        <v>212</v>
      </c>
      <c r="T386" t="s">
        <v>283</v>
      </c>
      <c r="U386">
        <v>3.9465986131940129E-3</v>
      </c>
      <c r="V386" t="s">
        <v>163</v>
      </c>
    </row>
    <row r="387" spans="9:22" x14ac:dyDescent="0.45">
      <c r="I387" t="s">
        <v>181</v>
      </c>
      <c r="J387" t="s">
        <v>284</v>
      </c>
      <c r="K387">
        <v>5.4209777018717096E-3</v>
      </c>
      <c r="L387" t="s">
        <v>163</v>
      </c>
      <c r="N387" t="s">
        <v>197</v>
      </c>
      <c r="O387" t="s">
        <v>284</v>
      </c>
      <c r="P387">
        <v>6.9000697247936808E-3</v>
      </c>
      <c r="Q387" t="s">
        <v>163</v>
      </c>
      <c r="S387" t="s">
        <v>212</v>
      </c>
      <c r="T387" t="s">
        <v>284</v>
      </c>
      <c r="U387">
        <v>3.9618059188946658E-3</v>
      </c>
      <c r="V387" t="s">
        <v>163</v>
      </c>
    </row>
    <row r="388" spans="9:22" x14ac:dyDescent="0.45">
      <c r="I388" t="s">
        <v>181</v>
      </c>
      <c r="J388" t="s">
        <v>285</v>
      </c>
      <c r="K388">
        <v>0</v>
      </c>
      <c r="L388" t="s">
        <v>163</v>
      </c>
      <c r="N388" t="s">
        <v>197</v>
      </c>
      <c r="O388" t="s">
        <v>285</v>
      </c>
      <c r="P388">
        <v>2.889275916870505E-2</v>
      </c>
      <c r="Q388" t="s">
        <v>163</v>
      </c>
      <c r="S388" t="s">
        <v>212</v>
      </c>
      <c r="T388" t="s">
        <v>285</v>
      </c>
      <c r="U388">
        <v>1.977058578875868E-2</v>
      </c>
      <c r="V388" t="s">
        <v>163</v>
      </c>
    </row>
    <row r="389" spans="9:22" x14ac:dyDescent="0.45">
      <c r="I389" t="s">
        <v>181</v>
      </c>
      <c r="J389" t="s">
        <v>286</v>
      </c>
      <c r="K389">
        <v>2.0494156987491491E-2</v>
      </c>
      <c r="L389" t="s">
        <v>163</v>
      </c>
      <c r="N389" t="s">
        <v>197</v>
      </c>
      <c r="O389" t="s">
        <v>286</v>
      </c>
      <c r="P389">
        <v>2.2996406081166737E-2</v>
      </c>
      <c r="Q389" t="s">
        <v>163</v>
      </c>
      <c r="S389" t="s">
        <v>212</v>
      </c>
      <c r="T389" t="s">
        <v>286</v>
      </c>
      <c r="U389">
        <v>3.9524144219753254E-2</v>
      </c>
      <c r="V389" t="s">
        <v>163</v>
      </c>
    </row>
    <row r="390" spans="9:22" x14ac:dyDescent="0.45">
      <c r="I390" t="s">
        <v>181</v>
      </c>
      <c r="J390" t="s">
        <v>287</v>
      </c>
      <c r="K390">
        <v>7.8851862714480858E-2</v>
      </c>
      <c r="L390" t="s">
        <v>163</v>
      </c>
      <c r="N390" t="s">
        <v>197</v>
      </c>
      <c r="O390" t="s">
        <v>287</v>
      </c>
      <c r="P390">
        <v>1.9850633932736516E-2</v>
      </c>
      <c r="Q390" t="s">
        <v>163</v>
      </c>
      <c r="S390" t="s">
        <v>212</v>
      </c>
      <c r="T390" t="s">
        <v>287</v>
      </c>
      <c r="U390">
        <v>2.0472879836511595E-2</v>
      </c>
      <c r="V390" t="s">
        <v>163</v>
      </c>
    </row>
    <row r="391" spans="9:22" x14ac:dyDescent="0.45">
      <c r="I391" t="s">
        <v>181</v>
      </c>
      <c r="J391" t="s">
        <v>288</v>
      </c>
      <c r="K391">
        <v>0.12643128192043476</v>
      </c>
      <c r="L391" t="s">
        <v>163</v>
      </c>
      <c r="N391" t="s">
        <v>197</v>
      </c>
      <c r="O391" t="s">
        <v>288</v>
      </c>
      <c r="P391">
        <v>4.7288475426810153E-2</v>
      </c>
      <c r="Q391" t="s">
        <v>163</v>
      </c>
      <c r="S391" t="s">
        <v>212</v>
      </c>
      <c r="T391" t="s">
        <v>288</v>
      </c>
      <c r="U391">
        <v>2.9181832473907227E-2</v>
      </c>
      <c r="V391" t="s">
        <v>163</v>
      </c>
    </row>
    <row r="392" spans="9:22" x14ac:dyDescent="0.45">
      <c r="I392" t="s">
        <v>181</v>
      </c>
      <c r="J392" t="s">
        <v>289</v>
      </c>
      <c r="K392">
        <v>1.4678844404184776E-2</v>
      </c>
      <c r="L392" t="s">
        <v>163</v>
      </c>
      <c r="N392" t="s">
        <v>197</v>
      </c>
      <c r="O392" t="s">
        <v>289</v>
      </c>
      <c r="P392">
        <v>6.0469374891290771E-3</v>
      </c>
      <c r="Q392" t="s">
        <v>163</v>
      </c>
      <c r="S392" t="s">
        <v>212</v>
      </c>
      <c r="T392" t="s">
        <v>289</v>
      </c>
      <c r="U392">
        <v>5.1820957763008902E-3</v>
      </c>
      <c r="V392" t="s">
        <v>163</v>
      </c>
    </row>
    <row r="393" spans="9:22" x14ac:dyDescent="0.45">
      <c r="I393" t="s">
        <v>181</v>
      </c>
      <c r="J393" t="s">
        <v>290</v>
      </c>
      <c r="K393">
        <v>1.1634432047109105E-2</v>
      </c>
      <c r="L393" t="s">
        <v>163</v>
      </c>
      <c r="N393" t="s">
        <v>197</v>
      </c>
      <c r="O393" t="s">
        <v>290</v>
      </c>
      <c r="P393">
        <v>5.0353490160051136E-3</v>
      </c>
      <c r="Q393" t="s">
        <v>163</v>
      </c>
      <c r="S393" t="s">
        <v>212</v>
      </c>
      <c r="T393" t="s">
        <v>290</v>
      </c>
      <c r="U393">
        <v>5.4306017294708424E-3</v>
      </c>
      <c r="V393" t="s">
        <v>163</v>
      </c>
    </row>
    <row r="394" spans="9:22" x14ac:dyDescent="0.45">
      <c r="I394" t="s">
        <v>181</v>
      </c>
      <c r="J394" t="s">
        <v>291</v>
      </c>
      <c r="K394">
        <v>6.7105740338128175E-3</v>
      </c>
      <c r="L394" t="s">
        <v>163</v>
      </c>
      <c r="N394" t="s">
        <v>197</v>
      </c>
      <c r="O394" t="s">
        <v>291</v>
      </c>
      <c r="P394">
        <v>1.8083859372486646E-2</v>
      </c>
      <c r="Q394" t="s">
        <v>163</v>
      </c>
      <c r="S394" t="s">
        <v>212</v>
      </c>
      <c r="T394" t="s">
        <v>291</v>
      </c>
      <c r="U394">
        <v>2.9079321692100611E-2</v>
      </c>
      <c r="V394" t="s">
        <v>163</v>
      </c>
    </row>
    <row r="395" spans="9:22" x14ac:dyDescent="0.45">
      <c r="I395" t="s">
        <v>182</v>
      </c>
      <c r="J395" t="s">
        <v>162</v>
      </c>
      <c r="K395">
        <v>5.3951592681080506E-3</v>
      </c>
      <c r="L395" t="s">
        <v>163</v>
      </c>
      <c r="N395" t="s">
        <v>198</v>
      </c>
      <c r="O395" t="s">
        <v>162</v>
      </c>
      <c r="P395">
        <v>2.6737397812918888E-2</v>
      </c>
      <c r="Q395" t="s">
        <v>163</v>
      </c>
      <c r="S395" t="s">
        <v>213</v>
      </c>
      <c r="T395" t="s">
        <v>162</v>
      </c>
      <c r="U395">
        <v>2.1566374664203341E-2</v>
      </c>
      <c r="V395" t="s">
        <v>163</v>
      </c>
    </row>
    <row r="396" spans="9:22" x14ac:dyDescent="0.45">
      <c r="I396" t="s">
        <v>182</v>
      </c>
      <c r="J396" t="s">
        <v>164</v>
      </c>
      <c r="K396">
        <v>4.0600756363833992E-2</v>
      </c>
      <c r="L396" t="s">
        <v>163</v>
      </c>
      <c r="N396" t="s">
        <v>198</v>
      </c>
      <c r="O396" t="s">
        <v>164</v>
      </c>
      <c r="P396">
        <v>1.4897958491951755E-2</v>
      </c>
      <c r="Q396" t="s">
        <v>163</v>
      </c>
      <c r="S396" t="s">
        <v>213</v>
      </c>
      <c r="T396" t="s">
        <v>164</v>
      </c>
      <c r="U396">
        <v>1.4058846291075943E-2</v>
      </c>
      <c r="V396" t="s">
        <v>163</v>
      </c>
    </row>
    <row r="397" spans="9:22" x14ac:dyDescent="0.45">
      <c r="I397" t="s">
        <v>182</v>
      </c>
      <c r="J397" t="s">
        <v>165</v>
      </c>
      <c r="K397">
        <v>7.6574385446251891E-2</v>
      </c>
      <c r="L397" t="s">
        <v>163</v>
      </c>
      <c r="N397" t="s">
        <v>198</v>
      </c>
      <c r="O397" t="s">
        <v>165</v>
      </c>
      <c r="P397">
        <v>2.5353490289798993E-2</v>
      </c>
      <c r="Q397" t="s">
        <v>163</v>
      </c>
      <c r="S397" t="s">
        <v>213</v>
      </c>
      <c r="T397" t="s">
        <v>165</v>
      </c>
      <c r="U397">
        <v>2.6615899101131962E-2</v>
      </c>
      <c r="V397" t="s">
        <v>163</v>
      </c>
    </row>
    <row r="398" spans="9:22" x14ac:dyDescent="0.45">
      <c r="I398" t="s">
        <v>182</v>
      </c>
      <c r="J398" t="s">
        <v>256</v>
      </c>
      <c r="K398">
        <v>1.0092617892724467E-2</v>
      </c>
      <c r="L398" t="s">
        <v>163</v>
      </c>
      <c r="N398" t="s">
        <v>198</v>
      </c>
      <c r="O398" t="s">
        <v>256</v>
      </c>
      <c r="P398">
        <v>3.9754543683521481E-3</v>
      </c>
      <c r="Q398" t="s">
        <v>163</v>
      </c>
      <c r="S398" t="s">
        <v>213</v>
      </c>
      <c r="T398" t="s">
        <v>256</v>
      </c>
      <c r="U398">
        <v>4.5236354471314914E-3</v>
      </c>
      <c r="V398" t="s">
        <v>163</v>
      </c>
    </row>
    <row r="399" spans="9:22" x14ac:dyDescent="0.45">
      <c r="I399" t="s">
        <v>182</v>
      </c>
      <c r="J399" t="s">
        <v>257</v>
      </c>
      <c r="K399">
        <v>9.0207585007907702E-3</v>
      </c>
      <c r="L399" t="s">
        <v>163</v>
      </c>
      <c r="N399" t="s">
        <v>198</v>
      </c>
      <c r="O399" t="s">
        <v>257</v>
      </c>
      <c r="P399">
        <v>3.7724867646274618E-3</v>
      </c>
      <c r="Q399" t="s">
        <v>163</v>
      </c>
      <c r="S399" t="s">
        <v>213</v>
      </c>
      <c r="T399" t="s">
        <v>257</v>
      </c>
      <c r="U399">
        <v>4.1952299940400213E-3</v>
      </c>
      <c r="V399" t="s">
        <v>163</v>
      </c>
    </row>
    <row r="400" spans="9:22" x14ac:dyDescent="0.45">
      <c r="I400" t="s">
        <v>182</v>
      </c>
      <c r="J400" t="s">
        <v>258</v>
      </c>
      <c r="K400">
        <v>5.9084145227329696E-3</v>
      </c>
      <c r="L400" t="s">
        <v>163</v>
      </c>
      <c r="N400" t="s">
        <v>198</v>
      </c>
      <c r="O400" t="s">
        <v>258</v>
      </c>
      <c r="P400">
        <v>1.7750284376316004E-2</v>
      </c>
      <c r="Q400" t="s">
        <v>163</v>
      </c>
      <c r="S400" t="s">
        <v>213</v>
      </c>
      <c r="T400" t="s">
        <v>258</v>
      </c>
      <c r="U400">
        <v>1.8487675227174458E-2</v>
      </c>
      <c r="V400" t="s">
        <v>163</v>
      </c>
    </row>
    <row r="401" spans="9:22" x14ac:dyDescent="0.45">
      <c r="I401" t="s">
        <v>182</v>
      </c>
      <c r="J401" t="s">
        <v>166</v>
      </c>
      <c r="K401">
        <v>3.4334230520037959E-3</v>
      </c>
      <c r="L401" t="s">
        <v>163</v>
      </c>
      <c r="N401" t="s">
        <v>198</v>
      </c>
      <c r="O401" t="s">
        <v>166</v>
      </c>
      <c r="P401">
        <v>1.6870108046944929E-2</v>
      </c>
      <c r="Q401" t="s">
        <v>163</v>
      </c>
      <c r="S401" t="s">
        <v>213</v>
      </c>
      <c r="T401" t="s">
        <v>166</v>
      </c>
      <c r="U401">
        <v>9.8747472173165117E-3</v>
      </c>
      <c r="V401" t="s">
        <v>163</v>
      </c>
    </row>
    <row r="402" spans="9:22" x14ac:dyDescent="0.45">
      <c r="I402" t="s">
        <v>182</v>
      </c>
      <c r="J402" t="s">
        <v>167</v>
      </c>
      <c r="K402">
        <v>3.3919394455076871E-2</v>
      </c>
      <c r="L402" t="s">
        <v>163</v>
      </c>
      <c r="N402" t="s">
        <v>198</v>
      </c>
      <c r="O402" t="s">
        <v>167</v>
      </c>
      <c r="P402">
        <v>9.0619712315647399E-3</v>
      </c>
      <c r="Q402" t="s">
        <v>163</v>
      </c>
      <c r="S402" t="s">
        <v>213</v>
      </c>
      <c r="T402" t="s">
        <v>167</v>
      </c>
      <c r="U402">
        <v>5.7468643223093138E-3</v>
      </c>
      <c r="V402" t="s">
        <v>163</v>
      </c>
    </row>
    <row r="403" spans="9:22" x14ac:dyDescent="0.45">
      <c r="I403" t="s">
        <v>182</v>
      </c>
      <c r="J403" t="s">
        <v>168</v>
      </c>
      <c r="K403">
        <v>6.5568484995961226E-2</v>
      </c>
      <c r="L403" t="s">
        <v>163</v>
      </c>
      <c r="N403" t="s">
        <v>198</v>
      </c>
      <c r="O403" t="s">
        <v>168</v>
      </c>
      <c r="P403">
        <v>1.7489149045311559E-2</v>
      </c>
      <c r="Q403" t="s">
        <v>163</v>
      </c>
      <c r="S403" t="s">
        <v>213</v>
      </c>
      <c r="T403" t="s">
        <v>168</v>
      </c>
      <c r="U403">
        <v>1.2719337068070569E-2</v>
      </c>
      <c r="V403" t="s">
        <v>163</v>
      </c>
    </row>
    <row r="404" spans="9:22" x14ac:dyDescent="0.45">
      <c r="I404" t="s">
        <v>182</v>
      </c>
      <c r="J404" t="s">
        <v>259</v>
      </c>
      <c r="K404">
        <v>9.3862786900528027E-3</v>
      </c>
      <c r="L404" t="s">
        <v>163</v>
      </c>
      <c r="N404" t="s">
        <v>198</v>
      </c>
      <c r="O404" t="s">
        <v>259</v>
      </c>
      <c r="P404">
        <v>2.9989376058822768E-3</v>
      </c>
      <c r="Q404" t="s">
        <v>163</v>
      </c>
      <c r="S404" t="s">
        <v>213</v>
      </c>
      <c r="T404" t="s">
        <v>259</v>
      </c>
      <c r="U404">
        <v>2.9043316693030778E-3</v>
      </c>
      <c r="V404" t="s">
        <v>163</v>
      </c>
    </row>
    <row r="405" spans="9:22" x14ac:dyDescent="0.45">
      <c r="I405" t="s">
        <v>182</v>
      </c>
      <c r="J405" t="s">
        <v>260</v>
      </c>
      <c r="K405">
        <v>7.9440768516049129E-3</v>
      </c>
      <c r="L405" t="s">
        <v>163</v>
      </c>
      <c r="N405" t="s">
        <v>198</v>
      </c>
      <c r="O405" t="s">
        <v>260</v>
      </c>
      <c r="P405">
        <v>3.0032376335479036E-3</v>
      </c>
      <c r="Q405" t="s">
        <v>163</v>
      </c>
      <c r="S405" t="s">
        <v>213</v>
      </c>
      <c r="T405" t="s">
        <v>260</v>
      </c>
      <c r="U405">
        <v>2.8661976899083852E-3</v>
      </c>
      <c r="V405" t="s">
        <v>163</v>
      </c>
    </row>
    <row r="406" spans="9:22" x14ac:dyDescent="0.45">
      <c r="I406" t="s">
        <v>182</v>
      </c>
      <c r="J406" t="s">
        <v>261</v>
      </c>
      <c r="K406">
        <v>4.9919323415890306E-3</v>
      </c>
      <c r="L406" t="s">
        <v>163</v>
      </c>
      <c r="N406" t="s">
        <v>198</v>
      </c>
      <c r="O406" t="s">
        <v>261</v>
      </c>
      <c r="P406">
        <v>1.3995465621526546E-2</v>
      </c>
      <c r="Q406" t="s">
        <v>163</v>
      </c>
      <c r="S406" t="s">
        <v>213</v>
      </c>
      <c r="T406" t="s">
        <v>261</v>
      </c>
      <c r="U406">
        <v>1.0409961139881232E-2</v>
      </c>
      <c r="V406" t="s">
        <v>163</v>
      </c>
    </row>
    <row r="407" spans="9:22" x14ac:dyDescent="0.45">
      <c r="I407" t="s">
        <v>182</v>
      </c>
      <c r="J407" t="s">
        <v>169</v>
      </c>
      <c r="K407">
        <v>0</v>
      </c>
      <c r="L407" t="s">
        <v>163</v>
      </c>
      <c r="N407" t="s">
        <v>198</v>
      </c>
      <c r="O407" t="s">
        <v>169</v>
      </c>
      <c r="P407">
        <v>1.7734138175326684E-2</v>
      </c>
      <c r="Q407" t="s">
        <v>163</v>
      </c>
      <c r="S407" t="s">
        <v>213</v>
      </c>
      <c r="T407" t="s">
        <v>169</v>
      </c>
      <c r="U407">
        <v>1.0544516593747172E-2</v>
      </c>
      <c r="V407" t="s">
        <v>163</v>
      </c>
    </row>
    <row r="408" spans="9:22" x14ac:dyDescent="0.45">
      <c r="I408" t="s">
        <v>182</v>
      </c>
      <c r="J408" t="s">
        <v>170</v>
      </c>
      <c r="K408">
        <v>2.4458056821217274E-2</v>
      </c>
      <c r="L408" t="s">
        <v>163</v>
      </c>
      <c r="N408" t="s">
        <v>198</v>
      </c>
      <c r="O408" t="s">
        <v>170</v>
      </c>
      <c r="P408">
        <v>8.8109869169107052E-3</v>
      </c>
      <c r="Q408" t="s">
        <v>163</v>
      </c>
      <c r="S408" t="s">
        <v>213</v>
      </c>
      <c r="T408" t="s">
        <v>170</v>
      </c>
      <c r="U408">
        <v>6.6776038431532831E-3</v>
      </c>
      <c r="V408" t="s">
        <v>163</v>
      </c>
    </row>
    <row r="409" spans="9:22" x14ac:dyDescent="0.45">
      <c r="I409" t="s">
        <v>182</v>
      </c>
      <c r="J409" t="s">
        <v>171</v>
      </c>
      <c r="K409">
        <v>5.1096700422266092E-2</v>
      </c>
      <c r="L409" t="s">
        <v>163</v>
      </c>
      <c r="N409" t="s">
        <v>198</v>
      </c>
      <c r="O409" t="s">
        <v>171</v>
      </c>
      <c r="P409">
        <v>1.6491542502155745E-2</v>
      </c>
      <c r="Q409" t="s">
        <v>163</v>
      </c>
      <c r="S409" t="s">
        <v>213</v>
      </c>
      <c r="T409" t="s">
        <v>171</v>
      </c>
      <c r="U409">
        <v>1.3440619449697643E-2</v>
      </c>
      <c r="V409" t="s">
        <v>163</v>
      </c>
    </row>
    <row r="410" spans="9:22" x14ac:dyDescent="0.45">
      <c r="I410" t="s">
        <v>182</v>
      </c>
      <c r="J410" t="s">
        <v>262</v>
      </c>
      <c r="K410">
        <v>7.0833692887296582E-3</v>
      </c>
      <c r="L410" t="s">
        <v>163</v>
      </c>
      <c r="N410" t="s">
        <v>198</v>
      </c>
      <c r="O410" t="s">
        <v>262</v>
      </c>
      <c r="P410">
        <v>2.8905129819456537E-3</v>
      </c>
      <c r="Q410" t="s">
        <v>163</v>
      </c>
      <c r="S410" t="s">
        <v>213</v>
      </c>
      <c r="T410" t="s">
        <v>262</v>
      </c>
      <c r="U410">
        <v>2.6834192108476668E-3</v>
      </c>
      <c r="V410" t="s">
        <v>163</v>
      </c>
    </row>
    <row r="411" spans="9:22" x14ac:dyDescent="0.45">
      <c r="I411" t="s">
        <v>182</v>
      </c>
      <c r="J411" t="s">
        <v>263</v>
      </c>
      <c r="K411">
        <v>5.4959725082033535E-3</v>
      </c>
      <c r="L411" t="s">
        <v>163</v>
      </c>
      <c r="N411" t="s">
        <v>198</v>
      </c>
      <c r="O411" t="s">
        <v>263</v>
      </c>
      <c r="P411">
        <v>2.9783718716865876E-3</v>
      </c>
      <c r="Q411" t="s">
        <v>163</v>
      </c>
      <c r="S411" t="s">
        <v>213</v>
      </c>
      <c r="T411" t="s">
        <v>263</v>
      </c>
      <c r="U411">
        <v>2.5912416120513564E-3</v>
      </c>
      <c r="V411" t="s">
        <v>163</v>
      </c>
    </row>
    <row r="412" spans="9:22" x14ac:dyDescent="0.45">
      <c r="I412" t="s">
        <v>182</v>
      </c>
      <c r="J412" t="s">
        <v>264</v>
      </c>
      <c r="K412">
        <v>0</v>
      </c>
      <c r="L412" t="s">
        <v>163</v>
      </c>
      <c r="N412" t="s">
        <v>198</v>
      </c>
      <c r="O412" t="s">
        <v>264</v>
      </c>
      <c r="P412">
        <v>1.4809099685823236E-2</v>
      </c>
      <c r="Q412" t="s">
        <v>163</v>
      </c>
      <c r="S412" t="s">
        <v>213</v>
      </c>
      <c r="T412" t="s">
        <v>264</v>
      </c>
      <c r="U412">
        <v>9.4380232853920523E-3</v>
      </c>
      <c r="V412" t="s">
        <v>163</v>
      </c>
    </row>
    <row r="413" spans="9:22" x14ac:dyDescent="0.45">
      <c r="I413" t="s">
        <v>182</v>
      </c>
      <c r="J413" t="s">
        <v>172</v>
      </c>
      <c r="K413">
        <v>0</v>
      </c>
      <c r="L413" t="s">
        <v>163</v>
      </c>
      <c r="N413" t="s">
        <v>198</v>
      </c>
      <c r="O413" t="s">
        <v>172</v>
      </c>
      <c r="P413">
        <v>5.2551990845177102E-2</v>
      </c>
      <c r="Q413" t="s">
        <v>163</v>
      </c>
      <c r="S413" t="s">
        <v>213</v>
      </c>
      <c r="T413" t="s">
        <v>172</v>
      </c>
      <c r="U413">
        <v>4.7175946438178122E-2</v>
      </c>
      <c r="V413" t="s">
        <v>163</v>
      </c>
    </row>
    <row r="414" spans="9:22" x14ac:dyDescent="0.45">
      <c r="I414" t="s">
        <v>182</v>
      </c>
      <c r="J414" t="s">
        <v>173</v>
      </c>
      <c r="K414">
        <v>2.5337374036576002E-2</v>
      </c>
      <c r="L414" t="s">
        <v>163</v>
      </c>
      <c r="N414" t="s">
        <v>198</v>
      </c>
      <c r="O414" t="s">
        <v>173</v>
      </c>
      <c r="P414">
        <v>2.9525760686179448E-2</v>
      </c>
      <c r="Q414" t="s">
        <v>163</v>
      </c>
      <c r="S414" t="s">
        <v>213</v>
      </c>
      <c r="T414" t="s">
        <v>173</v>
      </c>
      <c r="U414">
        <v>2.2664159999563383E-2</v>
      </c>
      <c r="V414" t="s">
        <v>163</v>
      </c>
    </row>
    <row r="415" spans="9:22" x14ac:dyDescent="0.45">
      <c r="I415" t="s">
        <v>182</v>
      </c>
      <c r="J415" t="s">
        <v>174</v>
      </c>
      <c r="K415">
        <v>5.9581209446498994E-2</v>
      </c>
      <c r="L415" t="s">
        <v>163</v>
      </c>
      <c r="N415" t="s">
        <v>198</v>
      </c>
      <c r="O415" t="s">
        <v>174</v>
      </c>
      <c r="P415">
        <v>4.7893694264945275E-2</v>
      </c>
      <c r="Q415" t="s">
        <v>163</v>
      </c>
      <c r="S415" t="s">
        <v>213</v>
      </c>
      <c r="T415" t="s">
        <v>174</v>
      </c>
      <c r="U415">
        <v>4.1153611984491661E-2</v>
      </c>
      <c r="V415" t="s">
        <v>163</v>
      </c>
    </row>
    <row r="416" spans="9:22" x14ac:dyDescent="0.45">
      <c r="I416" t="s">
        <v>182</v>
      </c>
      <c r="J416" t="s">
        <v>265</v>
      </c>
      <c r="K416">
        <v>4.809034222390529E-3</v>
      </c>
      <c r="L416" t="s">
        <v>163</v>
      </c>
      <c r="N416" t="s">
        <v>198</v>
      </c>
      <c r="O416" t="s">
        <v>265</v>
      </c>
      <c r="P416">
        <v>8.0150172609641055E-3</v>
      </c>
      <c r="Q416" t="s">
        <v>163</v>
      </c>
      <c r="S416" t="s">
        <v>213</v>
      </c>
      <c r="T416" t="s">
        <v>265</v>
      </c>
      <c r="U416">
        <v>6.7792481481870883E-3</v>
      </c>
      <c r="V416" t="s">
        <v>163</v>
      </c>
    </row>
    <row r="417" spans="9:22" x14ac:dyDescent="0.45">
      <c r="I417" t="s">
        <v>182</v>
      </c>
      <c r="J417" t="s">
        <v>266</v>
      </c>
      <c r="K417">
        <v>8.7079376234935778E-6</v>
      </c>
      <c r="L417" t="s">
        <v>163</v>
      </c>
      <c r="N417" t="s">
        <v>198</v>
      </c>
      <c r="O417" t="s">
        <v>266</v>
      </c>
      <c r="P417">
        <v>8.00505245204307E-3</v>
      </c>
      <c r="Q417" t="s">
        <v>163</v>
      </c>
      <c r="S417" t="s">
        <v>213</v>
      </c>
      <c r="T417" t="s">
        <v>266</v>
      </c>
      <c r="U417">
        <v>6.9625990318921841E-3</v>
      </c>
      <c r="V417" t="s">
        <v>163</v>
      </c>
    </row>
    <row r="418" spans="9:22" x14ac:dyDescent="0.45">
      <c r="I418" t="s">
        <v>182</v>
      </c>
      <c r="J418" t="s">
        <v>267</v>
      </c>
      <c r="K418">
        <v>0</v>
      </c>
      <c r="L418" t="s">
        <v>163</v>
      </c>
      <c r="N418" t="s">
        <v>198</v>
      </c>
      <c r="O418" t="s">
        <v>267</v>
      </c>
      <c r="P418">
        <v>3.8258365050309974E-2</v>
      </c>
      <c r="Q418" t="s">
        <v>163</v>
      </c>
      <c r="S418" t="s">
        <v>213</v>
      </c>
      <c r="T418" t="s">
        <v>267</v>
      </c>
      <c r="U418">
        <v>3.5636926425942531E-2</v>
      </c>
      <c r="V418" t="s">
        <v>163</v>
      </c>
    </row>
    <row r="419" spans="9:22" x14ac:dyDescent="0.45">
      <c r="I419" t="s">
        <v>182</v>
      </c>
      <c r="J419" t="s">
        <v>268</v>
      </c>
      <c r="K419">
        <v>0</v>
      </c>
      <c r="L419" t="s">
        <v>163</v>
      </c>
      <c r="N419" t="s">
        <v>198</v>
      </c>
      <c r="O419" t="s">
        <v>268</v>
      </c>
      <c r="P419">
        <v>2.2891213090244854E-2</v>
      </c>
      <c r="Q419" t="s">
        <v>163</v>
      </c>
      <c r="S419" t="s">
        <v>213</v>
      </c>
      <c r="T419" t="s">
        <v>268</v>
      </c>
      <c r="U419">
        <v>2.3483256315902482E-2</v>
      </c>
      <c r="V419" t="s">
        <v>163</v>
      </c>
    </row>
    <row r="420" spans="9:22" x14ac:dyDescent="0.45">
      <c r="I420" t="s">
        <v>182</v>
      </c>
      <c r="J420" t="s">
        <v>269</v>
      </c>
      <c r="K420">
        <v>5.2421829193682757E-3</v>
      </c>
      <c r="L420" t="s">
        <v>163</v>
      </c>
      <c r="N420" t="s">
        <v>198</v>
      </c>
      <c r="O420" t="s">
        <v>269</v>
      </c>
      <c r="P420">
        <v>1.22540742362561E-2</v>
      </c>
      <c r="Q420" t="s">
        <v>163</v>
      </c>
      <c r="S420" t="s">
        <v>213</v>
      </c>
      <c r="T420" t="s">
        <v>269</v>
      </c>
      <c r="U420">
        <v>1.4625557307105871E-2</v>
      </c>
      <c r="V420" t="s">
        <v>163</v>
      </c>
    </row>
    <row r="421" spans="9:22" x14ac:dyDescent="0.45">
      <c r="I421" t="s">
        <v>182</v>
      </c>
      <c r="J421" t="s">
        <v>270</v>
      </c>
      <c r="K421">
        <v>1.8754639795785816E-2</v>
      </c>
      <c r="L421" t="s">
        <v>163</v>
      </c>
      <c r="N421" t="s">
        <v>198</v>
      </c>
      <c r="O421" t="s">
        <v>270</v>
      </c>
      <c r="P421">
        <v>1.8488682589242956E-2</v>
      </c>
      <c r="Q421" t="s">
        <v>163</v>
      </c>
      <c r="S421" t="s">
        <v>213</v>
      </c>
      <c r="T421" t="s">
        <v>270</v>
      </c>
      <c r="U421">
        <v>2.5565764285149166E-2</v>
      </c>
      <c r="V421" t="s">
        <v>163</v>
      </c>
    </row>
    <row r="422" spans="9:22" x14ac:dyDescent="0.45">
      <c r="I422" t="s">
        <v>182</v>
      </c>
      <c r="J422" t="s">
        <v>271</v>
      </c>
      <c r="K422">
        <v>0</v>
      </c>
      <c r="L422" t="s">
        <v>163</v>
      </c>
      <c r="N422" t="s">
        <v>198</v>
      </c>
      <c r="O422" t="s">
        <v>271</v>
      </c>
      <c r="P422">
        <v>3.162596383689232E-3</v>
      </c>
      <c r="Q422" t="s">
        <v>163</v>
      </c>
      <c r="S422" t="s">
        <v>213</v>
      </c>
      <c r="T422" t="s">
        <v>271</v>
      </c>
      <c r="U422">
        <v>3.8525049719523303E-3</v>
      </c>
      <c r="V422" t="s">
        <v>163</v>
      </c>
    </row>
    <row r="423" spans="9:22" x14ac:dyDescent="0.45">
      <c r="I423" t="s">
        <v>182</v>
      </c>
      <c r="J423" t="s">
        <v>272</v>
      </c>
      <c r="K423">
        <v>0</v>
      </c>
      <c r="L423" t="s">
        <v>163</v>
      </c>
      <c r="N423" t="s">
        <v>198</v>
      </c>
      <c r="O423" t="s">
        <v>272</v>
      </c>
      <c r="P423">
        <v>3.2285340818708095E-3</v>
      </c>
      <c r="Q423" t="s">
        <v>163</v>
      </c>
      <c r="S423" t="s">
        <v>213</v>
      </c>
      <c r="T423" t="s">
        <v>272</v>
      </c>
      <c r="U423">
        <v>3.6671465749262078E-3</v>
      </c>
      <c r="V423" t="s">
        <v>163</v>
      </c>
    </row>
    <row r="424" spans="9:22" x14ac:dyDescent="0.45">
      <c r="I424" t="s">
        <v>182</v>
      </c>
      <c r="J424" t="s">
        <v>273</v>
      </c>
      <c r="K424">
        <v>0</v>
      </c>
      <c r="L424" t="s">
        <v>163</v>
      </c>
      <c r="N424" t="s">
        <v>198</v>
      </c>
      <c r="O424" t="s">
        <v>273</v>
      </c>
      <c r="P424">
        <v>1.6533581599300833E-2</v>
      </c>
      <c r="Q424" t="s">
        <v>163</v>
      </c>
      <c r="S424" t="s">
        <v>213</v>
      </c>
      <c r="T424" t="s">
        <v>273</v>
      </c>
      <c r="U424">
        <v>1.508832613004998E-2</v>
      </c>
      <c r="V424" t="s">
        <v>163</v>
      </c>
    </row>
    <row r="425" spans="9:22" x14ac:dyDescent="0.45">
      <c r="I425" t="s">
        <v>182</v>
      </c>
      <c r="J425" t="s">
        <v>274</v>
      </c>
      <c r="K425">
        <v>3.638748555392258E-6</v>
      </c>
      <c r="L425" t="s">
        <v>163</v>
      </c>
      <c r="N425" t="s">
        <v>198</v>
      </c>
      <c r="O425" t="s">
        <v>274</v>
      </c>
      <c r="P425">
        <v>7.3956819345248948E-2</v>
      </c>
      <c r="Q425" t="s">
        <v>163</v>
      </c>
      <c r="S425" t="s">
        <v>213</v>
      </c>
      <c r="T425" t="s">
        <v>274</v>
      </c>
      <c r="U425">
        <v>8.9956997130008265E-2</v>
      </c>
      <c r="V425" t="s">
        <v>163</v>
      </c>
    </row>
    <row r="426" spans="9:22" x14ac:dyDescent="0.45">
      <c r="I426" t="s">
        <v>182</v>
      </c>
      <c r="J426" t="s">
        <v>275</v>
      </c>
      <c r="K426">
        <v>4.3877847372907515E-2</v>
      </c>
      <c r="L426" t="s">
        <v>163</v>
      </c>
      <c r="N426" t="s">
        <v>198</v>
      </c>
      <c r="O426" t="s">
        <v>275</v>
      </c>
      <c r="P426">
        <v>4.1289444507265141E-2</v>
      </c>
      <c r="Q426" t="s">
        <v>163</v>
      </c>
      <c r="S426" t="s">
        <v>213</v>
      </c>
      <c r="T426" t="s">
        <v>275</v>
      </c>
      <c r="U426">
        <v>4.820518291528262E-2</v>
      </c>
      <c r="V426" t="s">
        <v>163</v>
      </c>
    </row>
    <row r="427" spans="9:22" x14ac:dyDescent="0.45">
      <c r="I427" t="s">
        <v>182</v>
      </c>
      <c r="J427" t="s">
        <v>276</v>
      </c>
      <c r="K427">
        <v>0.1021248492625698</v>
      </c>
      <c r="L427" t="s">
        <v>163</v>
      </c>
      <c r="N427" t="s">
        <v>198</v>
      </c>
      <c r="O427" t="s">
        <v>276</v>
      </c>
      <c r="P427">
        <v>6.5821699355129132E-2</v>
      </c>
      <c r="Q427" t="s">
        <v>163</v>
      </c>
      <c r="S427" t="s">
        <v>213</v>
      </c>
      <c r="T427" t="s">
        <v>276</v>
      </c>
      <c r="U427">
        <v>8.4404372711171557E-2</v>
      </c>
      <c r="V427" t="s">
        <v>163</v>
      </c>
    </row>
    <row r="428" spans="9:22" x14ac:dyDescent="0.45">
      <c r="I428" t="s">
        <v>182</v>
      </c>
      <c r="J428" t="s">
        <v>277</v>
      </c>
      <c r="K428">
        <v>9.3778440460033467E-3</v>
      </c>
      <c r="L428" t="s">
        <v>163</v>
      </c>
      <c r="N428" t="s">
        <v>198</v>
      </c>
      <c r="O428" t="s">
        <v>277</v>
      </c>
      <c r="P428">
        <v>1.0907116321902536E-2</v>
      </c>
      <c r="Q428" t="s">
        <v>163</v>
      </c>
      <c r="S428" t="s">
        <v>213</v>
      </c>
      <c r="T428" t="s">
        <v>277</v>
      </c>
      <c r="U428">
        <v>1.2343758856444257E-2</v>
      </c>
      <c r="V428" t="s">
        <v>163</v>
      </c>
    </row>
    <row r="429" spans="9:22" x14ac:dyDescent="0.45">
      <c r="I429" t="s">
        <v>182</v>
      </c>
      <c r="J429" t="s">
        <v>278</v>
      </c>
      <c r="K429">
        <v>1.8325513322048274E-3</v>
      </c>
      <c r="L429" t="s">
        <v>163</v>
      </c>
      <c r="N429" t="s">
        <v>198</v>
      </c>
      <c r="O429" t="s">
        <v>278</v>
      </c>
      <c r="P429">
        <v>1.0832293336517928E-2</v>
      </c>
      <c r="Q429" t="s">
        <v>163</v>
      </c>
      <c r="S429" t="s">
        <v>213</v>
      </c>
      <c r="T429" t="s">
        <v>278</v>
      </c>
      <c r="U429">
        <v>1.2178624216611566E-2</v>
      </c>
      <c r="V429" t="s">
        <v>163</v>
      </c>
    </row>
    <row r="430" spans="9:22" x14ac:dyDescent="0.45">
      <c r="I430" t="s">
        <v>182</v>
      </c>
      <c r="J430" t="s">
        <v>279</v>
      </c>
      <c r="K430">
        <v>0</v>
      </c>
      <c r="L430" t="s">
        <v>163</v>
      </c>
      <c r="N430" t="s">
        <v>198</v>
      </c>
      <c r="O430" t="s">
        <v>279</v>
      </c>
      <c r="P430">
        <v>5.3982225848233263E-2</v>
      </c>
      <c r="Q430" t="s">
        <v>163</v>
      </c>
      <c r="S430" t="s">
        <v>213</v>
      </c>
      <c r="T430" t="s">
        <v>279</v>
      </c>
      <c r="U430">
        <v>6.3207083602928871E-2</v>
      </c>
      <c r="V430" t="s">
        <v>163</v>
      </c>
    </row>
    <row r="431" spans="9:22" x14ac:dyDescent="0.45">
      <c r="I431" t="s">
        <v>182</v>
      </c>
      <c r="J431" t="s">
        <v>280</v>
      </c>
      <c r="K431">
        <v>2.6059346406185936E-3</v>
      </c>
      <c r="L431" t="s">
        <v>163</v>
      </c>
      <c r="N431" t="s">
        <v>198</v>
      </c>
      <c r="O431" t="s">
        <v>280</v>
      </c>
      <c r="P431">
        <v>3.6039238990891904E-2</v>
      </c>
      <c r="Q431" t="s">
        <v>163</v>
      </c>
      <c r="S431" t="s">
        <v>213</v>
      </c>
      <c r="T431" t="s">
        <v>280</v>
      </c>
      <c r="U431">
        <v>3.0927611018422434E-2</v>
      </c>
      <c r="V431" t="s">
        <v>163</v>
      </c>
    </row>
    <row r="432" spans="9:22" x14ac:dyDescent="0.45">
      <c r="I432" t="s">
        <v>182</v>
      </c>
      <c r="J432" t="s">
        <v>281</v>
      </c>
      <c r="K432">
        <v>2.81175246507336E-2</v>
      </c>
      <c r="L432" t="s">
        <v>163</v>
      </c>
      <c r="N432" t="s">
        <v>198</v>
      </c>
      <c r="O432" t="s">
        <v>281</v>
      </c>
      <c r="P432">
        <v>2.0342322261232809E-2</v>
      </c>
      <c r="Q432" t="s">
        <v>163</v>
      </c>
      <c r="S432" t="s">
        <v>213</v>
      </c>
      <c r="T432" t="s">
        <v>281</v>
      </c>
      <c r="U432">
        <v>2.1504624224803759E-2</v>
      </c>
      <c r="V432" t="s">
        <v>163</v>
      </c>
    </row>
    <row r="433" spans="9:22" x14ac:dyDescent="0.45">
      <c r="I433" t="s">
        <v>182</v>
      </c>
      <c r="J433" t="s">
        <v>282</v>
      </c>
      <c r="K433">
        <v>5.6222643760957564E-2</v>
      </c>
      <c r="L433" t="s">
        <v>163</v>
      </c>
      <c r="N433" t="s">
        <v>198</v>
      </c>
      <c r="O433" t="s">
        <v>282</v>
      </c>
      <c r="P433">
        <v>3.3774648279891982E-2</v>
      </c>
      <c r="Q433" t="s">
        <v>163</v>
      </c>
      <c r="S433" t="s">
        <v>213</v>
      </c>
      <c r="T433" t="s">
        <v>282</v>
      </c>
      <c r="U433">
        <v>3.9428538214683513E-2</v>
      </c>
      <c r="V433" t="s">
        <v>163</v>
      </c>
    </row>
    <row r="434" spans="9:22" x14ac:dyDescent="0.45">
      <c r="I434" t="s">
        <v>182</v>
      </c>
      <c r="J434" t="s">
        <v>283</v>
      </c>
      <c r="K434">
        <v>6.3934001151168254E-3</v>
      </c>
      <c r="L434" t="s">
        <v>163</v>
      </c>
      <c r="N434" t="s">
        <v>198</v>
      </c>
      <c r="O434" t="s">
        <v>283</v>
      </c>
      <c r="P434">
        <v>5.3308276753781785E-3</v>
      </c>
      <c r="Q434" t="s">
        <v>163</v>
      </c>
      <c r="S434" t="s">
        <v>213</v>
      </c>
      <c r="T434" t="s">
        <v>283</v>
      </c>
      <c r="U434">
        <v>5.6869820238452705E-3</v>
      </c>
      <c r="V434" t="s">
        <v>163</v>
      </c>
    </row>
    <row r="435" spans="9:22" x14ac:dyDescent="0.45">
      <c r="I435" t="s">
        <v>182</v>
      </c>
      <c r="J435" t="s">
        <v>284</v>
      </c>
      <c r="K435">
        <v>4.5137519173658507E-3</v>
      </c>
      <c r="L435" t="s">
        <v>163</v>
      </c>
      <c r="N435" t="s">
        <v>198</v>
      </c>
      <c r="O435" t="s">
        <v>284</v>
      </c>
      <c r="P435">
        <v>5.1572915100120834E-3</v>
      </c>
      <c r="Q435" t="s">
        <v>163</v>
      </c>
      <c r="S435" t="s">
        <v>213</v>
      </c>
      <c r="T435" t="s">
        <v>284</v>
      </c>
      <c r="U435">
        <v>5.3879018516007444E-3</v>
      </c>
      <c r="V435" t="s">
        <v>163</v>
      </c>
    </row>
    <row r="436" spans="9:22" x14ac:dyDescent="0.45">
      <c r="I436" t="s">
        <v>182</v>
      </c>
      <c r="J436" t="s">
        <v>285</v>
      </c>
      <c r="K436">
        <v>0</v>
      </c>
      <c r="L436" t="s">
        <v>163</v>
      </c>
      <c r="N436" t="s">
        <v>198</v>
      </c>
      <c r="O436" t="s">
        <v>285</v>
      </c>
      <c r="P436">
        <v>2.337073628720826E-2</v>
      </c>
      <c r="Q436" t="s">
        <v>163</v>
      </c>
      <c r="S436" t="s">
        <v>213</v>
      </c>
      <c r="T436" t="s">
        <v>285</v>
      </c>
      <c r="U436">
        <v>2.4082885601091068E-2</v>
      </c>
      <c r="V436" t="s">
        <v>163</v>
      </c>
    </row>
    <row r="437" spans="9:22" x14ac:dyDescent="0.45">
      <c r="I437" t="s">
        <v>182</v>
      </c>
      <c r="J437" t="s">
        <v>286</v>
      </c>
      <c r="K437">
        <v>1.6726073556446456E-2</v>
      </c>
      <c r="L437" t="s">
        <v>163</v>
      </c>
      <c r="N437" t="s">
        <v>198</v>
      </c>
      <c r="O437" t="s">
        <v>286</v>
      </c>
      <c r="P437">
        <v>3.6384021890880296E-2</v>
      </c>
      <c r="Q437" t="s">
        <v>163</v>
      </c>
      <c r="S437" t="s">
        <v>213</v>
      </c>
      <c r="T437" t="s">
        <v>286</v>
      </c>
      <c r="U437">
        <v>3.4348310335693709E-2</v>
      </c>
      <c r="V437" t="s">
        <v>163</v>
      </c>
    </row>
    <row r="438" spans="9:22" x14ac:dyDescent="0.45">
      <c r="I438" t="s">
        <v>182</v>
      </c>
      <c r="J438" t="s">
        <v>287</v>
      </c>
      <c r="K438">
        <v>7.798854401818435E-2</v>
      </c>
      <c r="L438" t="s">
        <v>163</v>
      </c>
      <c r="N438" t="s">
        <v>198</v>
      </c>
      <c r="O438" t="s">
        <v>287</v>
      </c>
      <c r="P438">
        <v>2.35796297081926E-2</v>
      </c>
      <c r="Q438" t="s">
        <v>163</v>
      </c>
      <c r="S438" t="s">
        <v>213</v>
      </c>
      <c r="T438" t="s">
        <v>287</v>
      </c>
      <c r="U438">
        <v>2.2268794308779417E-2</v>
      </c>
      <c r="V438" t="s">
        <v>163</v>
      </c>
    </row>
    <row r="439" spans="9:22" x14ac:dyDescent="0.45">
      <c r="I439" t="s">
        <v>182</v>
      </c>
      <c r="J439" t="s">
        <v>288</v>
      </c>
      <c r="K439">
        <v>0.13462620167734274</v>
      </c>
      <c r="L439" t="s">
        <v>163</v>
      </c>
      <c r="N439" t="s">
        <v>198</v>
      </c>
      <c r="O439" t="s">
        <v>288</v>
      </c>
      <c r="P439">
        <v>3.9961125128135822E-2</v>
      </c>
      <c r="Q439" t="s">
        <v>163</v>
      </c>
      <c r="S439" t="s">
        <v>213</v>
      </c>
      <c r="T439" t="s">
        <v>288</v>
      </c>
      <c r="U439">
        <v>3.9520917998404556E-2</v>
      </c>
      <c r="V439" t="s">
        <v>163</v>
      </c>
    </row>
    <row r="440" spans="9:22" x14ac:dyDescent="0.45">
      <c r="I440" t="s">
        <v>182</v>
      </c>
      <c r="J440" t="s">
        <v>289</v>
      </c>
      <c r="K440">
        <v>1.7237288238229665E-2</v>
      </c>
      <c r="L440" t="s">
        <v>163</v>
      </c>
      <c r="N440" t="s">
        <v>198</v>
      </c>
      <c r="O440" t="s">
        <v>289</v>
      </c>
      <c r="P440">
        <v>6.2813768233772414E-3</v>
      </c>
      <c r="Q440" t="s">
        <v>163</v>
      </c>
      <c r="S440" t="s">
        <v>213</v>
      </c>
      <c r="T440" t="s">
        <v>289</v>
      </c>
      <c r="U440">
        <v>6.7434624551525628E-3</v>
      </c>
      <c r="V440" t="s">
        <v>163</v>
      </c>
    </row>
    <row r="441" spans="9:22" x14ac:dyDescent="0.45">
      <c r="I441" t="s">
        <v>182</v>
      </c>
      <c r="J441" t="s">
        <v>290</v>
      </c>
      <c r="K441">
        <v>1.4595946110348925E-2</v>
      </c>
      <c r="L441" t="s">
        <v>163</v>
      </c>
      <c r="N441" t="s">
        <v>198</v>
      </c>
      <c r="O441" t="s">
        <v>290</v>
      </c>
      <c r="P441">
        <v>5.9354292472444375E-3</v>
      </c>
      <c r="Q441" t="s">
        <v>163</v>
      </c>
      <c r="S441" t="s">
        <v>213</v>
      </c>
      <c r="T441" t="s">
        <v>290</v>
      </c>
      <c r="U441">
        <v>6.4474431217434978E-3</v>
      </c>
      <c r="V441" t="s">
        <v>163</v>
      </c>
    </row>
    <row r="442" spans="9:22" x14ac:dyDescent="0.45">
      <c r="I442" t="s">
        <v>182</v>
      </c>
      <c r="J442" t="s">
        <v>291</v>
      </c>
      <c r="K442">
        <v>9.0530307730243859E-3</v>
      </c>
      <c r="L442" t="s">
        <v>163</v>
      </c>
      <c r="N442" t="s">
        <v>198</v>
      </c>
      <c r="O442" t="s">
        <v>291</v>
      </c>
      <c r="P442">
        <v>2.6624597520442141E-2</v>
      </c>
      <c r="Q442" t="s">
        <v>163</v>
      </c>
      <c r="S442" t="s">
        <v>213</v>
      </c>
      <c r="T442" t="s">
        <v>291</v>
      </c>
      <c r="U442">
        <v>2.7356937973557899E-2</v>
      </c>
      <c r="V442" t="s">
        <v>163</v>
      </c>
    </row>
    <row r="443" spans="9:22" x14ac:dyDescent="0.45">
      <c r="I443" t="s">
        <v>183</v>
      </c>
      <c r="J443" t="s">
        <v>162</v>
      </c>
      <c r="K443">
        <v>5.4810360802704534E-3</v>
      </c>
      <c r="L443" t="s">
        <v>163</v>
      </c>
      <c r="N443" t="s">
        <v>199</v>
      </c>
      <c r="O443" t="s">
        <v>162</v>
      </c>
      <c r="P443">
        <v>2.6298944304332321E-2</v>
      </c>
      <c r="Q443" t="s">
        <v>163</v>
      </c>
      <c r="S443" t="s">
        <v>214</v>
      </c>
      <c r="T443" t="s">
        <v>162</v>
      </c>
      <c r="U443">
        <v>2.7096631865888152E-2</v>
      </c>
      <c r="V443" t="s">
        <v>163</v>
      </c>
    </row>
    <row r="444" spans="9:22" x14ac:dyDescent="0.45">
      <c r="I444" t="s">
        <v>183</v>
      </c>
      <c r="J444" t="s">
        <v>164</v>
      </c>
      <c r="K444">
        <v>4.2257375949130829E-2</v>
      </c>
      <c r="L444" t="s">
        <v>163</v>
      </c>
      <c r="N444" t="s">
        <v>199</v>
      </c>
      <c r="O444" t="s">
        <v>164</v>
      </c>
      <c r="P444">
        <v>1.4599110728906987E-2</v>
      </c>
      <c r="Q444" t="s">
        <v>163</v>
      </c>
      <c r="S444" t="s">
        <v>214</v>
      </c>
      <c r="T444" t="s">
        <v>164</v>
      </c>
      <c r="U444">
        <v>1.4798103429585267E-2</v>
      </c>
      <c r="V444" t="s">
        <v>163</v>
      </c>
    </row>
    <row r="445" spans="9:22" x14ac:dyDescent="0.45">
      <c r="I445" t="s">
        <v>183</v>
      </c>
      <c r="J445" t="s">
        <v>165</v>
      </c>
      <c r="K445">
        <v>7.8901411001671348E-2</v>
      </c>
      <c r="L445" t="s">
        <v>163</v>
      </c>
      <c r="N445" t="s">
        <v>199</v>
      </c>
      <c r="O445" t="s">
        <v>165</v>
      </c>
      <c r="P445">
        <v>2.8797937605648742E-2</v>
      </c>
      <c r="Q445" t="s">
        <v>163</v>
      </c>
      <c r="S445" t="s">
        <v>214</v>
      </c>
      <c r="T445" t="s">
        <v>165</v>
      </c>
      <c r="U445">
        <v>2.1276095973441638E-2</v>
      </c>
      <c r="V445" t="s">
        <v>163</v>
      </c>
    </row>
    <row r="446" spans="9:22" x14ac:dyDescent="0.45">
      <c r="I446" t="s">
        <v>183</v>
      </c>
      <c r="J446" t="s">
        <v>256</v>
      </c>
      <c r="K446">
        <v>1.034257296855828E-2</v>
      </c>
      <c r="L446" t="s">
        <v>163</v>
      </c>
      <c r="N446" t="s">
        <v>199</v>
      </c>
      <c r="O446" t="s">
        <v>256</v>
      </c>
      <c r="P446">
        <v>4.446314591512862E-3</v>
      </c>
      <c r="Q446" t="s">
        <v>163</v>
      </c>
      <c r="S446" t="s">
        <v>214</v>
      </c>
      <c r="T446" t="s">
        <v>256</v>
      </c>
      <c r="U446">
        <v>3.9485148743854904E-3</v>
      </c>
      <c r="V446" t="s">
        <v>163</v>
      </c>
    </row>
    <row r="447" spans="9:22" x14ac:dyDescent="0.45">
      <c r="I447" t="s">
        <v>183</v>
      </c>
      <c r="J447" t="s">
        <v>257</v>
      </c>
      <c r="K447">
        <v>9.0868628331636798E-3</v>
      </c>
      <c r="L447" t="s">
        <v>163</v>
      </c>
      <c r="N447" t="s">
        <v>199</v>
      </c>
      <c r="O447" t="s">
        <v>257</v>
      </c>
      <c r="P447">
        <v>4.1547173969965013E-3</v>
      </c>
      <c r="Q447" t="s">
        <v>163</v>
      </c>
      <c r="S447" t="s">
        <v>214</v>
      </c>
      <c r="T447" t="s">
        <v>257</v>
      </c>
      <c r="U447">
        <v>3.9918682532394728E-3</v>
      </c>
      <c r="V447" t="s">
        <v>163</v>
      </c>
    </row>
    <row r="448" spans="9:22" x14ac:dyDescent="0.45">
      <c r="I448" t="s">
        <v>183</v>
      </c>
      <c r="J448" t="s">
        <v>258</v>
      </c>
      <c r="K448">
        <v>6.8819857248610047E-3</v>
      </c>
      <c r="L448" t="s">
        <v>163</v>
      </c>
      <c r="N448" t="s">
        <v>199</v>
      </c>
      <c r="O448" t="s">
        <v>258</v>
      </c>
      <c r="P448">
        <v>1.8483297995409289E-2</v>
      </c>
      <c r="Q448" t="s">
        <v>163</v>
      </c>
      <c r="S448" t="s">
        <v>214</v>
      </c>
      <c r="T448" t="s">
        <v>258</v>
      </c>
      <c r="U448">
        <v>1.9445521658160193E-2</v>
      </c>
      <c r="V448" t="s">
        <v>163</v>
      </c>
    </row>
    <row r="449" spans="9:22" x14ac:dyDescent="0.45">
      <c r="I449" t="s">
        <v>183</v>
      </c>
      <c r="J449" t="s">
        <v>166</v>
      </c>
      <c r="K449">
        <v>2.3946908398427631E-3</v>
      </c>
      <c r="L449" t="s">
        <v>163</v>
      </c>
      <c r="N449" t="s">
        <v>199</v>
      </c>
      <c r="O449" t="s">
        <v>166</v>
      </c>
      <c r="P449">
        <v>1.433338694179196E-2</v>
      </c>
      <c r="Q449" t="s">
        <v>163</v>
      </c>
      <c r="S449" t="s">
        <v>214</v>
      </c>
      <c r="T449" t="s">
        <v>166</v>
      </c>
      <c r="U449">
        <v>1.1721354460029329E-2</v>
      </c>
      <c r="V449" t="s">
        <v>163</v>
      </c>
    </row>
    <row r="450" spans="9:22" x14ac:dyDescent="0.45">
      <c r="I450" t="s">
        <v>183</v>
      </c>
      <c r="J450" t="s">
        <v>167</v>
      </c>
      <c r="K450">
        <v>3.1797288960364802E-2</v>
      </c>
      <c r="L450" t="s">
        <v>163</v>
      </c>
      <c r="N450" t="s">
        <v>199</v>
      </c>
      <c r="O450" t="s">
        <v>167</v>
      </c>
      <c r="P450">
        <v>8.692534788224196E-3</v>
      </c>
      <c r="Q450" t="s">
        <v>163</v>
      </c>
      <c r="S450" t="s">
        <v>214</v>
      </c>
      <c r="T450" t="s">
        <v>167</v>
      </c>
      <c r="U450">
        <v>6.1502461796275791E-3</v>
      </c>
      <c r="V450" t="s">
        <v>163</v>
      </c>
    </row>
    <row r="451" spans="9:22" x14ac:dyDescent="0.45">
      <c r="I451" t="s">
        <v>183</v>
      </c>
      <c r="J451" t="s">
        <v>168</v>
      </c>
      <c r="K451">
        <v>6.6053791580189425E-2</v>
      </c>
      <c r="L451" t="s">
        <v>163</v>
      </c>
      <c r="N451" t="s">
        <v>199</v>
      </c>
      <c r="O451" t="s">
        <v>168</v>
      </c>
      <c r="P451">
        <v>1.8027381498578771E-2</v>
      </c>
      <c r="Q451" t="s">
        <v>163</v>
      </c>
      <c r="S451" t="s">
        <v>214</v>
      </c>
      <c r="T451" t="s">
        <v>168</v>
      </c>
      <c r="U451">
        <v>1.007897744373668E-2</v>
      </c>
      <c r="V451" t="s">
        <v>163</v>
      </c>
    </row>
    <row r="452" spans="9:22" x14ac:dyDescent="0.45">
      <c r="I452" t="s">
        <v>183</v>
      </c>
      <c r="J452" t="s">
        <v>259</v>
      </c>
      <c r="K452">
        <v>8.7848650003079804E-3</v>
      </c>
      <c r="L452" t="s">
        <v>163</v>
      </c>
      <c r="N452" t="s">
        <v>199</v>
      </c>
      <c r="O452" t="s">
        <v>259</v>
      </c>
      <c r="P452">
        <v>3.0099031770532618E-3</v>
      </c>
      <c r="Q452" t="s">
        <v>163</v>
      </c>
      <c r="S452" t="s">
        <v>214</v>
      </c>
      <c r="T452" t="s">
        <v>259</v>
      </c>
      <c r="U452">
        <v>2.1937910098261217E-3</v>
      </c>
      <c r="V452" t="s">
        <v>163</v>
      </c>
    </row>
    <row r="453" spans="9:22" x14ac:dyDescent="0.45">
      <c r="I453" t="s">
        <v>183</v>
      </c>
      <c r="J453" t="s">
        <v>260</v>
      </c>
      <c r="K453">
        <v>7.0841371891588517E-3</v>
      </c>
      <c r="L453" t="s">
        <v>163</v>
      </c>
      <c r="N453" t="s">
        <v>199</v>
      </c>
      <c r="O453" t="s">
        <v>260</v>
      </c>
      <c r="P453">
        <v>2.7732986265369178E-3</v>
      </c>
      <c r="Q453" t="s">
        <v>163</v>
      </c>
      <c r="S453" t="s">
        <v>214</v>
      </c>
      <c r="T453" t="s">
        <v>260</v>
      </c>
      <c r="U453">
        <v>2.2693221543286864E-3</v>
      </c>
      <c r="V453" t="s">
        <v>163</v>
      </c>
    </row>
    <row r="454" spans="9:22" x14ac:dyDescent="0.45">
      <c r="I454" t="s">
        <v>183</v>
      </c>
      <c r="J454" t="s">
        <v>261</v>
      </c>
      <c r="K454">
        <v>4.405188835812977E-3</v>
      </c>
      <c r="L454" t="s">
        <v>163</v>
      </c>
      <c r="N454" t="s">
        <v>199</v>
      </c>
      <c r="O454" t="s">
        <v>261</v>
      </c>
      <c r="P454">
        <v>1.1589804666326671E-2</v>
      </c>
      <c r="Q454" t="s">
        <v>163</v>
      </c>
      <c r="S454" t="s">
        <v>214</v>
      </c>
      <c r="T454" t="s">
        <v>261</v>
      </c>
      <c r="U454">
        <v>1.0090398312237516E-2</v>
      </c>
      <c r="V454" t="s">
        <v>163</v>
      </c>
    </row>
    <row r="455" spans="9:22" x14ac:dyDescent="0.45">
      <c r="I455" t="s">
        <v>183</v>
      </c>
      <c r="J455" t="s">
        <v>169</v>
      </c>
      <c r="K455">
        <v>0</v>
      </c>
      <c r="L455" t="s">
        <v>163</v>
      </c>
      <c r="N455" t="s">
        <v>199</v>
      </c>
      <c r="O455" t="s">
        <v>169</v>
      </c>
      <c r="P455">
        <v>2.0585899374762549E-2</v>
      </c>
      <c r="Q455" t="s">
        <v>163</v>
      </c>
      <c r="S455" t="s">
        <v>214</v>
      </c>
      <c r="T455" t="s">
        <v>169</v>
      </c>
      <c r="U455">
        <v>1.4031061802012548E-2</v>
      </c>
      <c r="V455" t="s">
        <v>163</v>
      </c>
    </row>
    <row r="456" spans="9:22" x14ac:dyDescent="0.45">
      <c r="I456" t="s">
        <v>183</v>
      </c>
      <c r="J456" t="s">
        <v>170</v>
      </c>
      <c r="K456">
        <v>2.411405886929258E-2</v>
      </c>
      <c r="L456" t="s">
        <v>163</v>
      </c>
      <c r="N456" t="s">
        <v>199</v>
      </c>
      <c r="O456" t="s">
        <v>170</v>
      </c>
      <c r="P456">
        <v>1.080239660736901E-2</v>
      </c>
      <c r="Q456" t="s">
        <v>163</v>
      </c>
      <c r="S456" t="s">
        <v>214</v>
      </c>
      <c r="T456" t="s">
        <v>170</v>
      </c>
      <c r="U456">
        <v>7.0282174910019724E-3</v>
      </c>
      <c r="V456" t="s">
        <v>163</v>
      </c>
    </row>
    <row r="457" spans="9:22" x14ac:dyDescent="0.45">
      <c r="I457" t="s">
        <v>183</v>
      </c>
      <c r="J457" t="s">
        <v>171</v>
      </c>
      <c r="K457">
        <v>5.3891259546445539E-2</v>
      </c>
      <c r="L457" t="s">
        <v>163</v>
      </c>
      <c r="N457" t="s">
        <v>199</v>
      </c>
      <c r="O457" t="s">
        <v>171</v>
      </c>
      <c r="P457">
        <v>2.0097654608048243E-2</v>
      </c>
      <c r="Q457" t="s">
        <v>163</v>
      </c>
      <c r="S457" t="s">
        <v>214</v>
      </c>
      <c r="T457" t="s">
        <v>171</v>
      </c>
      <c r="U457">
        <v>1.2163233565380634E-2</v>
      </c>
      <c r="V457" t="s">
        <v>163</v>
      </c>
    </row>
    <row r="458" spans="9:22" x14ac:dyDescent="0.45">
      <c r="I458" t="s">
        <v>183</v>
      </c>
      <c r="J458" t="s">
        <v>262</v>
      </c>
      <c r="K458">
        <v>6.9335207898558685E-3</v>
      </c>
      <c r="L458" t="s">
        <v>163</v>
      </c>
      <c r="N458" t="s">
        <v>199</v>
      </c>
      <c r="O458" t="s">
        <v>262</v>
      </c>
      <c r="P458">
        <v>3.1735553293621944E-3</v>
      </c>
      <c r="Q458" t="s">
        <v>163</v>
      </c>
      <c r="S458" t="s">
        <v>214</v>
      </c>
      <c r="T458" t="s">
        <v>262</v>
      </c>
      <c r="U458">
        <v>2.6629295673722521E-3</v>
      </c>
      <c r="V458" t="s">
        <v>163</v>
      </c>
    </row>
    <row r="459" spans="9:22" x14ac:dyDescent="0.45">
      <c r="I459" t="s">
        <v>183</v>
      </c>
      <c r="J459" t="s">
        <v>263</v>
      </c>
      <c r="K459">
        <v>5.1256197124648507E-3</v>
      </c>
      <c r="L459" t="s">
        <v>163</v>
      </c>
      <c r="N459" t="s">
        <v>199</v>
      </c>
      <c r="O459" t="s">
        <v>263</v>
      </c>
      <c r="P459">
        <v>3.0876184378047394E-3</v>
      </c>
      <c r="Q459" t="s">
        <v>163</v>
      </c>
      <c r="S459" t="s">
        <v>214</v>
      </c>
      <c r="T459" t="s">
        <v>263</v>
      </c>
      <c r="U459">
        <v>2.7264976840545817E-3</v>
      </c>
      <c r="V459" t="s">
        <v>163</v>
      </c>
    </row>
    <row r="460" spans="9:22" x14ac:dyDescent="0.45">
      <c r="I460" t="s">
        <v>183</v>
      </c>
      <c r="J460" t="s">
        <v>264</v>
      </c>
      <c r="K460">
        <v>4.8718751896851696E-7</v>
      </c>
      <c r="L460" t="s">
        <v>163</v>
      </c>
      <c r="N460" t="s">
        <v>199</v>
      </c>
      <c r="O460" t="s">
        <v>264</v>
      </c>
      <c r="P460">
        <v>1.5385679085646429E-2</v>
      </c>
      <c r="Q460" t="s">
        <v>163</v>
      </c>
      <c r="S460" t="s">
        <v>214</v>
      </c>
      <c r="T460" t="s">
        <v>264</v>
      </c>
      <c r="U460">
        <v>1.2357229691437415E-2</v>
      </c>
      <c r="V460" t="s">
        <v>163</v>
      </c>
    </row>
    <row r="461" spans="9:22" x14ac:dyDescent="0.45">
      <c r="I461" t="s">
        <v>183</v>
      </c>
      <c r="J461" t="s">
        <v>172</v>
      </c>
      <c r="K461">
        <v>0</v>
      </c>
      <c r="L461" t="s">
        <v>163</v>
      </c>
      <c r="N461" t="s">
        <v>199</v>
      </c>
      <c r="O461" t="s">
        <v>172</v>
      </c>
      <c r="P461">
        <v>4.5644102638238829E-2</v>
      </c>
      <c r="Q461" t="s">
        <v>163</v>
      </c>
      <c r="S461" t="s">
        <v>214</v>
      </c>
      <c r="T461" t="s">
        <v>172</v>
      </c>
      <c r="U461">
        <v>5.2612719840430811E-2</v>
      </c>
      <c r="V461" t="s">
        <v>163</v>
      </c>
    </row>
    <row r="462" spans="9:22" x14ac:dyDescent="0.45">
      <c r="I462" t="s">
        <v>183</v>
      </c>
      <c r="J462" t="s">
        <v>173</v>
      </c>
      <c r="K462">
        <v>2.3015145900720121E-2</v>
      </c>
      <c r="L462" t="s">
        <v>163</v>
      </c>
      <c r="N462" t="s">
        <v>199</v>
      </c>
      <c r="O462" t="s">
        <v>173</v>
      </c>
      <c r="P462">
        <v>2.4639217328588196E-2</v>
      </c>
      <c r="Q462" t="s">
        <v>163</v>
      </c>
      <c r="S462" t="s">
        <v>214</v>
      </c>
      <c r="T462" t="s">
        <v>173</v>
      </c>
      <c r="U462">
        <v>2.7433757868646626E-2</v>
      </c>
      <c r="V462" t="s">
        <v>163</v>
      </c>
    </row>
    <row r="463" spans="9:22" x14ac:dyDescent="0.45">
      <c r="I463" t="s">
        <v>183</v>
      </c>
      <c r="J463" t="s">
        <v>174</v>
      </c>
      <c r="K463">
        <v>5.1385350151998951E-2</v>
      </c>
      <c r="L463" t="s">
        <v>163</v>
      </c>
      <c r="N463" t="s">
        <v>199</v>
      </c>
      <c r="O463" t="s">
        <v>174</v>
      </c>
      <c r="P463">
        <v>4.3215375066777841E-2</v>
      </c>
      <c r="Q463" t="s">
        <v>163</v>
      </c>
      <c r="S463" t="s">
        <v>214</v>
      </c>
      <c r="T463" t="s">
        <v>174</v>
      </c>
      <c r="U463">
        <v>4.116481284456007E-2</v>
      </c>
      <c r="V463" t="s">
        <v>163</v>
      </c>
    </row>
    <row r="464" spans="9:22" x14ac:dyDescent="0.45">
      <c r="I464" t="s">
        <v>183</v>
      </c>
      <c r="J464" t="s">
        <v>265</v>
      </c>
      <c r="K464">
        <v>4.1375581829691671E-3</v>
      </c>
      <c r="L464" t="s">
        <v>163</v>
      </c>
      <c r="N464" t="s">
        <v>199</v>
      </c>
      <c r="O464" t="s">
        <v>265</v>
      </c>
      <c r="P464">
        <v>6.8806710772194935E-3</v>
      </c>
      <c r="Q464" t="s">
        <v>163</v>
      </c>
      <c r="S464" t="s">
        <v>214</v>
      </c>
      <c r="T464" t="s">
        <v>265</v>
      </c>
      <c r="U464">
        <v>7.0063201973499635E-3</v>
      </c>
      <c r="V464" t="s">
        <v>163</v>
      </c>
    </row>
    <row r="465" spans="9:22" x14ac:dyDescent="0.45">
      <c r="I465" t="s">
        <v>183</v>
      </c>
      <c r="J465" t="s">
        <v>266</v>
      </c>
      <c r="K465">
        <v>1.3617096505845339E-4</v>
      </c>
      <c r="L465" t="s">
        <v>163</v>
      </c>
      <c r="N465" t="s">
        <v>199</v>
      </c>
      <c r="O465" t="s">
        <v>266</v>
      </c>
      <c r="P465">
        <v>6.5488401182963738E-3</v>
      </c>
      <c r="Q465" t="s">
        <v>163</v>
      </c>
      <c r="S465" t="s">
        <v>214</v>
      </c>
      <c r="T465" t="s">
        <v>266</v>
      </c>
      <c r="U465">
        <v>7.1617247156027519E-3</v>
      </c>
      <c r="V465" t="s">
        <v>163</v>
      </c>
    </row>
    <row r="466" spans="9:22" x14ac:dyDescent="0.45">
      <c r="I466" t="s">
        <v>183</v>
      </c>
      <c r="J466" t="s">
        <v>267</v>
      </c>
      <c r="K466">
        <v>0</v>
      </c>
      <c r="L466" t="s">
        <v>163</v>
      </c>
      <c r="N466" t="s">
        <v>199</v>
      </c>
      <c r="O466" t="s">
        <v>267</v>
      </c>
      <c r="P466">
        <v>3.1138887409747518E-2</v>
      </c>
      <c r="Q466" t="s">
        <v>163</v>
      </c>
      <c r="S466" t="s">
        <v>214</v>
      </c>
      <c r="T466" t="s">
        <v>267</v>
      </c>
      <c r="U466">
        <v>3.643573429957269E-2</v>
      </c>
      <c r="V466" t="s">
        <v>163</v>
      </c>
    </row>
    <row r="467" spans="9:22" x14ac:dyDescent="0.45">
      <c r="I467" t="s">
        <v>183</v>
      </c>
      <c r="J467" t="s">
        <v>268</v>
      </c>
      <c r="K467">
        <v>0</v>
      </c>
      <c r="L467" t="s">
        <v>163</v>
      </c>
      <c r="N467" t="s">
        <v>199</v>
      </c>
      <c r="O467" t="s">
        <v>268</v>
      </c>
      <c r="P467">
        <v>2.3754323343922305E-2</v>
      </c>
      <c r="Q467" t="s">
        <v>163</v>
      </c>
      <c r="S467" t="s">
        <v>214</v>
      </c>
      <c r="T467" t="s">
        <v>268</v>
      </c>
      <c r="U467">
        <v>3.3598059796341395E-2</v>
      </c>
      <c r="V467" t="s">
        <v>163</v>
      </c>
    </row>
    <row r="468" spans="9:22" x14ac:dyDescent="0.45">
      <c r="I468" t="s">
        <v>183</v>
      </c>
      <c r="J468" t="s">
        <v>269</v>
      </c>
      <c r="K468">
        <v>4.596299960005751E-3</v>
      </c>
      <c r="L468" t="s">
        <v>163</v>
      </c>
      <c r="N468" t="s">
        <v>199</v>
      </c>
      <c r="O468" t="s">
        <v>269</v>
      </c>
      <c r="P468">
        <v>1.384957236949369E-2</v>
      </c>
      <c r="Q468" t="s">
        <v>163</v>
      </c>
      <c r="S468" t="s">
        <v>214</v>
      </c>
      <c r="T468" t="s">
        <v>269</v>
      </c>
      <c r="U468">
        <v>1.7513553380436815E-2</v>
      </c>
      <c r="V468" t="s">
        <v>163</v>
      </c>
    </row>
    <row r="469" spans="9:22" x14ac:dyDescent="0.45">
      <c r="I469" t="s">
        <v>183</v>
      </c>
      <c r="J469" t="s">
        <v>270</v>
      </c>
      <c r="K469">
        <v>1.6352829205644834E-2</v>
      </c>
      <c r="L469" t="s">
        <v>163</v>
      </c>
      <c r="N469" t="s">
        <v>199</v>
      </c>
      <c r="O469" t="s">
        <v>270</v>
      </c>
      <c r="P469">
        <v>2.2525278538618399E-2</v>
      </c>
      <c r="Q469" t="s">
        <v>163</v>
      </c>
      <c r="S469" t="s">
        <v>214</v>
      </c>
      <c r="T469" t="s">
        <v>270</v>
      </c>
      <c r="U469">
        <v>2.6660419317233865E-2</v>
      </c>
      <c r="V469" t="s">
        <v>163</v>
      </c>
    </row>
    <row r="470" spans="9:22" x14ac:dyDescent="0.45">
      <c r="I470" t="s">
        <v>183</v>
      </c>
      <c r="J470" t="s">
        <v>271</v>
      </c>
      <c r="K470">
        <v>0</v>
      </c>
      <c r="L470" t="s">
        <v>163</v>
      </c>
      <c r="N470" t="s">
        <v>199</v>
      </c>
      <c r="O470" t="s">
        <v>271</v>
      </c>
      <c r="P470">
        <v>3.6612009584248992E-3</v>
      </c>
      <c r="Q470" t="s">
        <v>163</v>
      </c>
      <c r="S470" t="s">
        <v>214</v>
      </c>
      <c r="T470" t="s">
        <v>271</v>
      </c>
      <c r="U470">
        <v>4.3489495011924334E-3</v>
      </c>
      <c r="V470" t="s">
        <v>163</v>
      </c>
    </row>
    <row r="471" spans="9:22" x14ac:dyDescent="0.45">
      <c r="I471" t="s">
        <v>183</v>
      </c>
      <c r="J471" t="s">
        <v>272</v>
      </c>
      <c r="K471">
        <v>0</v>
      </c>
      <c r="L471" t="s">
        <v>163</v>
      </c>
      <c r="N471" t="s">
        <v>199</v>
      </c>
      <c r="O471" t="s">
        <v>272</v>
      </c>
      <c r="P471">
        <v>3.5486323989117894E-3</v>
      </c>
      <c r="Q471" t="s">
        <v>163</v>
      </c>
      <c r="S471" t="s">
        <v>214</v>
      </c>
      <c r="T471" t="s">
        <v>272</v>
      </c>
      <c r="U471">
        <v>4.3571221085741954E-3</v>
      </c>
      <c r="V471" t="s">
        <v>163</v>
      </c>
    </row>
    <row r="472" spans="9:22" x14ac:dyDescent="0.45">
      <c r="I472" t="s">
        <v>183</v>
      </c>
      <c r="J472" t="s">
        <v>273</v>
      </c>
      <c r="K472">
        <v>0</v>
      </c>
      <c r="L472" t="s">
        <v>163</v>
      </c>
      <c r="N472" t="s">
        <v>199</v>
      </c>
      <c r="O472" t="s">
        <v>273</v>
      </c>
      <c r="P472">
        <v>1.6407534767917731E-2</v>
      </c>
      <c r="Q472" t="s">
        <v>163</v>
      </c>
      <c r="S472" t="s">
        <v>214</v>
      </c>
      <c r="T472" t="s">
        <v>273</v>
      </c>
      <c r="U472">
        <v>2.1890592481761003E-2</v>
      </c>
      <c r="V472" t="s">
        <v>163</v>
      </c>
    </row>
    <row r="473" spans="9:22" x14ac:dyDescent="0.45">
      <c r="I473" t="s">
        <v>183</v>
      </c>
      <c r="J473" t="s">
        <v>274</v>
      </c>
      <c r="K473">
        <v>0</v>
      </c>
      <c r="L473" t="s">
        <v>163</v>
      </c>
      <c r="N473" t="s">
        <v>199</v>
      </c>
      <c r="O473" t="s">
        <v>274</v>
      </c>
      <c r="P473">
        <v>7.6810961611780776E-2</v>
      </c>
      <c r="Q473" t="s">
        <v>163</v>
      </c>
      <c r="S473" t="s">
        <v>214</v>
      </c>
      <c r="T473" t="s">
        <v>274</v>
      </c>
      <c r="U473">
        <v>9.2702847070353422E-2</v>
      </c>
      <c r="V473" t="s">
        <v>163</v>
      </c>
    </row>
    <row r="474" spans="9:22" x14ac:dyDescent="0.45">
      <c r="I474" t="s">
        <v>183</v>
      </c>
      <c r="J474" t="s">
        <v>275</v>
      </c>
      <c r="K474">
        <v>4.1659362870992034E-2</v>
      </c>
      <c r="L474" t="s">
        <v>163</v>
      </c>
      <c r="N474" t="s">
        <v>199</v>
      </c>
      <c r="O474" t="s">
        <v>275</v>
      </c>
      <c r="P474">
        <v>4.0725652962111773E-2</v>
      </c>
      <c r="Q474" t="s">
        <v>163</v>
      </c>
      <c r="S474" t="s">
        <v>214</v>
      </c>
      <c r="T474" t="s">
        <v>275</v>
      </c>
      <c r="U474">
        <v>4.876424877435135E-2</v>
      </c>
      <c r="V474" t="s">
        <v>163</v>
      </c>
    </row>
    <row r="475" spans="9:22" x14ac:dyDescent="0.45">
      <c r="I475" t="s">
        <v>183</v>
      </c>
      <c r="J475" t="s">
        <v>276</v>
      </c>
      <c r="K475">
        <v>9.4856725115775947E-2</v>
      </c>
      <c r="L475" t="s">
        <v>163</v>
      </c>
      <c r="N475" t="s">
        <v>199</v>
      </c>
      <c r="O475" t="s">
        <v>276</v>
      </c>
      <c r="P475">
        <v>7.0744441347115786E-2</v>
      </c>
      <c r="Q475" t="s">
        <v>163</v>
      </c>
      <c r="S475" t="s">
        <v>214</v>
      </c>
      <c r="T475" t="s">
        <v>276</v>
      </c>
      <c r="U475">
        <v>7.2943586234170243E-2</v>
      </c>
      <c r="V475" t="s">
        <v>163</v>
      </c>
    </row>
    <row r="476" spans="9:22" x14ac:dyDescent="0.45">
      <c r="I476" t="s">
        <v>183</v>
      </c>
      <c r="J476" t="s">
        <v>277</v>
      </c>
      <c r="K476">
        <v>9.2201555280243524E-3</v>
      </c>
      <c r="L476" t="s">
        <v>163</v>
      </c>
      <c r="N476" t="s">
        <v>199</v>
      </c>
      <c r="O476" t="s">
        <v>277</v>
      </c>
      <c r="P476">
        <v>1.1365680251801187E-2</v>
      </c>
      <c r="Q476" t="s">
        <v>163</v>
      </c>
      <c r="S476" t="s">
        <v>214</v>
      </c>
      <c r="T476" t="s">
        <v>277</v>
      </c>
      <c r="U476">
        <v>1.244929128496684E-2</v>
      </c>
      <c r="V476" t="s">
        <v>163</v>
      </c>
    </row>
    <row r="477" spans="9:22" x14ac:dyDescent="0.45">
      <c r="I477" t="s">
        <v>183</v>
      </c>
      <c r="J477" t="s">
        <v>278</v>
      </c>
      <c r="K477">
        <v>2.3344371037711956E-3</v>
      </c>
      <c r="L477" t="s">
        <v>163</v>
      </c>
      <c r="N477" t="s">
        <v>199</v>
      </c>
      <c r="O477" t="s">
        <v>278</v>
      </c>
      <c r="P477">
        <v>1.1158080869860292E-2</v>
      </c>
      <c r="Q477" t="s">
        <v>163</v>
      </c>
      <c r="S477" t="s">
        <v>214</v>
      </c>
      <c r="T477" t="s">
        <v>278</v>
      </c>
      <c r="U477">
        <v>1.2662625989308106E-2</v>
      </c>
      <c r="V477" t="s">
        <v>163</v>
      </c>
    </row>
    <row r="478" spans="9:22" x14ac:dyDescent="0.45">
      <c r="I478" t="s">
        <v>183</v>
      </c>
      <c r="J478" t="s">
        <v>279</v>
      </c>
      <c r="K478">
        <v>0</v>
      </c>
      <c r="L478" t="s">
        <v>163</v>
      </c>
      <c r="N478" t="s">
        <v>199</v>
      </c>
      <c r="O478" t="s">
        <v>279</v>
      </c>
      <c r="P478">
        <v>5.525200409659313E-2</v>
      </c>
      <c r="Q478" t="s">
        <v>163</v>
      </c>
      <c r="S478" t="s">
        <v>214</v>
      </c>
      <c r="T478" t="s">
        <v>279</v>
      </c>
      <c r="U478">
        <v>6.5537422001502699E-2</v>
      </c>
      <c r="V478" t="s">
        <v>163</v>
      </c>
    </row>
    <row r="479" spans="9:22" x14ac:dyDescent="0.45">
      <c r="I479" t="s">
        <v>183</v>
      </c>
      <c r="J479" t="s">
        <v>280</v>
      </c>
      <c r="K479">
        <v>3.1704906536423145E-3</v>
      </c>
      <c r="L479" t="s">
        <v>163</v>
      </c>
      <c r="N479" t="s">
        <v>199</v>
      </c>
      <c r="O479" t="s">
        <v>280</v>
      </c>
      <c r="P479">
        <v>3.3166430356322954E-2</v>
      </c>
      <c r="Q479" t="s">
        <v>163</v>
      </c>
      <c r="S479" t="s">
        <v>214</v>
      </c>
      <c r="T479" t="s">
        <v>280</v>
      </c>
      <c r="U479">
        <v>2.9723548158579072E-2</v>
      </c>
      <c r="V479" t="s">
        <v>163</v>
      </c>
    </row>
    <row r="480" spans="9:22" x14ac:dyDescent="0.45">
      <c r="I480" t="s">
        <v>183</v>
      </c>
      <c r="J480" t="s">
        <v>281</v>
      </c>
      <c r="K480">
        <v>2.8674416117201628E-2</v>
      </c>
      <c r="L480" t="s">
        <v>163</v>
      </c>
      <c r="N480" t="s">
        <v>199</v>
      </c>
      <c r="O480" t="s">
        <v>281</v>
      </c>
      <c r="P480">
        <v>2.1233074418298307E-2</v>
      </c>
      <c r="Q480" t="s">
        <v>163</v>
      </c>
      <c r="S480" t="s">
        <v>214</v>
      </c>
      <c r="T480" t="s">
        <v>281</v>
      </c>
      <c r="U480">
        <v>1.6439529333190567E-2</v>
      </c>
      <c r="V480" t="s">
        <v>163</v>
      </c>
    </row>
    <row r="481" spans="9:22" x14ac:dyDescent="0.45">
      <c r="I481" t="s">
        <v>183</v>
      </c>
      <c r="J481" t="s">
        <v>282</v>
      </c>
      <c r="K481">
        <v>5.9899728327068504E-2</v>
      </c>
      <c r="L481" t="s">
        <v>163</v>
      </c>
      <c r="N481" t="s">
        <v>199</v>
      </c>
      <c r="O481" t="s">
        <v>282</v>
      </c>
      <c r="P481">
        <v>3.4569113911047195E-2</v>
      </c>
      <c r="Q481" t="s">
        <v>163</v>
      </c>
      <c r="S481" t="s">
        <v>214</v>
      </c>
      <c r="T481" t="s">
        <v>282</v>
      </c>
      <c r="U481">
        <v>2.5732996552744754E-2</v>
      </c>
      <c r="V481" t="s">
        <v>163</v>
      </c>
    </row>
    <row r="482" spans="9:22" x14ac:dyDescent="0.45">
      <c r="I482" t="s">
        <v>183</v>
      </c>
      <c r="J482" t="s">
        <v>283</v>
      </c>
      <c r="K482">
        <v>7.3735128957192076E-3</v>
      </c>
      <c r="L482" t="s">
        <v>163</v>
      </c>
      <c r="N482" t="s">
        <v>199</v>
      </c>
      <c r="O482" t="s">
        <v>283</v>
      </c>
      <c r="P482">
        <v>5.1432486802389134E-3</v>
      </c>
      <c r="Q482" t="s">
        <v>163</v>
      </c>
      <c r="S482" t="s">
        <v>214</v>
      </c>
      <c r="T482" t="s">
        <v>283</v>
      </c>
      <c r="U482">
        <v>4.3303576243324199E-3</v>
      </c>
      <c r="V482" t="s">
        <v>163</v>
      </c>
    </row>
    <row r="483" spans="9:22" x14ac:dyDescent="0.45">
      <c r="I483" t="s">
        <v>183</v>
      </c>
      <c r="J483" t="s">
        <v>284</v>
      </c>
      <c r="K483">
        <v>5.1560614933850108E-3</v>
      </c>
      <c r="L483" t="s">
        <v>163</v>
      </c>
      <c r="N483" t="s">
        <v>199</v>
      </c>
      <c r="O483" t="s">
        <v>284</v>
      </c>
      <c r="P483">
        <v>4.7842912788210812E-3</v>
      </c>
      <c r="Q483" t="s">
        <v>163</v>
      </c>
      <c r="S483" t="s">
        <v>214</v>
      </c>
      <c r="T483" t="s">
        <v>284</v>
      </c>
      <c r="U483">
        <v>4.3283922598744903E-3</v>
      </c>
      <c r="V483" t="s">
        <v>163</v>
      </c>
    </row>
    <row r="484" spans="9:22" x14ac:dyDescent="0.45">
      <c r="I484" t="s">
        <v>183</v>
      </c>
      <c r="J484" t="s">
        <v>285</v>
      </c>
      <c r="K484">
        <v>1.7116198804172192E-4</v>
      </c>
      <c r="L484" t="s">
        <v>163</v>
      </c>
      <c r="N484" t="s">
        <v>199</v>
      </c>
      <c r="O484" t="s">
        <v>285</v>
      </c>
      <c r="P484">
        <v>2.0937023588950082E-2</v>
      </c>
      <c r="Q484" t="s">
        <v>163</v>
      </c>
      <c r="S484" t="s">
        <v>214</v>
      </c>
      <c r="T484" t="s">
        <v>285</v>
      </c>
      <c r="U484">
        <v>2.1343590075391487E-2</v>
      </c>
      <c r="V484" t="s">
        <v>163</v>
      </c>
    </row>
    <row r="485" spans="9:22" x14ac:dyDescent="0.45">
      <c r="I485" t="s">
        <v>183</v>
      </c>
      <c r="J485" t="s">
        <v>286</v>
      </c>
      <c r="K485">
        <v>1.7273012569314846E-2</v>
      </c>
      <c r="L485" t="s">
        <v>163</v>
      </c>
      <c r="N485" t="s">
        <v>199</v>
      </c>
      <c r="O485" t="s">
        <v>286</v>
      </c>
      <c r="P485">
        <v>3.5449875092470391E-2</v>
      </c>
      <c r="Q485" t="s">
        <v>163</v>
      </c>
      <c r="S485" t="s">
        <v>214</v>
      </c>
      <c r="T485" t="s">
        <v>286</v>
      </c>
      <c r="U485">
        <v>3.8227705409135983E-2</v>
      </c>
      <c r="V485" t="s">
        <v>163</v>
      </c>
    </row>
    <row r="486" spans="9:22" x14ac:dyDescent="0.45">
      <c r="I486" t="s">
        <v>183</v>
      </c>
      <c r="J486" t="s">
        <v>287</v>
      </c>
      <c r="K486">
        <v>8.3006031720868984E-2</v>
      </c>
      <c r="L486" t="s">
        <v>163</v>
      </c>
      <c r="N486" t="s">
        <v>199</v>
      </c>
      <c r="O486" t="s">
        <v>287</v>
      </c>
      <c r="P486">
        <v>2.3051760366313134E-2</v>
      </c>
      <c r="Q486" t="s">
        <v>163</v>
      </c>
      <c r="S486" t="s">
        <v>214</v>
      </c>
      <c r="T486" t="s">
        <v>287</v>
      </c>
      <c r="U486">
        <v>1.91189389653184E-2</v>
      </c>
      <c r="V486" t="s">
        <v>163</v>
      </c>
    </row>
    <row r="487" spans="9:22" x14ac:dyDescent="0.45">
      <c r="I487" t="s">
        <v>183</v>
      </c>
      <c r="J487" t="s">
        <v>288</v>
      </c>
      <c r="K487">
        <v>0.1416233333702776</v>
      </c>
      <c r="L487" t="s">
        <v>163</v>
      </c>
      <c r="N487" t="s">
        <v>199</v>
      </c>
      <c r="O487" t="s">
        <v>288</v>
      </c>
      <c r="P487">
        <v>4.4497332455093366E-2</v>
      </c>
      <c r="Q487" t="s">
        <v>163</v>
      </c>
      <c r="S487" t="s">
        <v>214</v>
      </c>
      <c r="T487" t="s">
        <v>288</v>
      </c>
      <c r="U487">
        <v>3.0204231667981338E-2</v>
      </c>
      <c r="V487" t="s">
        <v>163</v>
      </c>
    </row>
    <row r="488" spans="9:22" x14ac:dyDescent="0.45">
      <c r="I488" t="s">
        <v>183</v>
      </c>
      <c r="J488" t="s">
        <v>289</v>
      </c>
      <c r="K488">
        <v>1.79356328901875E-2</v>
      </c>
      <c r="L488" t="s">
        <v>163</v>
      </c>
      <c r="N488" t="s">
        <v>199</v>
      </c>
      <c r="O488" t="s">
        <v>289</v>
      </c>
      <c r="P488">
        <v>6.9915441203288065E-3</v>
      </c>
      <c r="Q488" t="s">
        <v>163</v>
      </c>
      <c r="S488" t="s">
        <v>214</v>
      </c>
      <c r="T488" t="s">
        <v>289</v>
      </c>
      <c r="U488">
        <v>5.8039289603464021E-3</v>
      </c>
      <c r="V488" t="s">
        <v>163</v>
      </c>
    </row>
    <row r="489" spans="9:22" x14ac:dyDescent="0.45">
      <c r="I489" t="s">
        <v>183</v>
      </c>
      <c r="J489" t="s">
        <v>290</v>
      </c>
      <c r="K489">
        <v>1.429257330959316E-2</v>
      </c>
      <c r="L489" t="s">
        <v>163</v>
      </c>
      <c r="N489" t="s">
        <v>199</v>
      </c>
      <c r="O489" t="s">
        <v>290</v>
      </c>
      <c r="P489">
        <v>6.4637679568531579E-3</v>
      </c>
      <c r="Q489" t="s">
        <v>163</v>
      </c>
      <c r="S489" t="s">
        <v>214</v>
      </c>
      <c r="T489" t="s">
        <v>290</v>
      </c>
      <c r="U489">
        <v>5.9214290658938769E-3</v>
      </c>
      <c r="V489" t="s">
        <v>163</v>
      </c>
    </row>
    <row r="490" spans="9:22" x14ac:dyDescent="0.45">
      <c r="I490" t="s">
        <v>183</v>
      </c>
      <c r="J490" t="s">
        <v>291</v>
      </c>
      <c r="K490">
        <v>1.0193856610830677E-2</v>
      </c>
      <c r="L490" t="s">
        <v>163</v>
      </c>
      <c r="N490" t="s">
        <v>199</v>
      </c>
      <c r="O490" t="s">
        <v>291</v>
      </c>
      <c r="P490">
        <v>2.7502644855531829E-2</v>
      </c>
      <c r="Q490" t="s">
        <v>163</v>
      </c>
      <c r="S490" t="s">
        <v>214</v>
      </c>
      <c r="T490" t="s">
        <v>291</v>
      </c>
      <c r="U490">
        <v>2.9551568805111641E-2</v>
      </c>
      <c r="V490" t="s">
        <v>163</v>
      </c>
    </row>
    <row r="491" spans="9:22" x14ac:dyDescent="0.45">
      <c r="I491" t="s">
        <v>184</v>
      </c>
      <c r="J491" t="s">
        <v>162</v>
      </c>
      <c r="K491">
        <v>7.4313291490238865E-3</v>
      </c>
      <c r="L491" t="s">
        <v>163</v>
      </c>
      <c r="N491" t="s">
        <v>200</v>
      </c>
      <c r="O491" t="s">
        <v>162</v>
      </c>
      <c r="P491">
        <v>2.6217419216599029E-2</v>
      </c>
      <c r="Q491" t="s">
        <v>163</v>
      </c>
      <c r="S491" t="s">
        <v>215</v>
      </c>
      <c r="T491" t="s">
        <v>162</v>
      </c>
      <c r="U491">
        <v>2.8655790058485137E-2</v>
      </c>
      <c r="V491" t="s">
        <v>163</v>
      </c>
    </row>
    <row r="492" spans="9:22" x14ac:dyDescent="0.45">
      <c r="I492" t="s">
        <v>184</v>
      </c>
      <c r="J492" t="s">
        <v>164</v>
      </c>
      <c r="K492">
        <v>4.3636616900282151E-2</v>
      </c>
      <c r="L492" t="s">
        <v>163</v>
      </c>
      <c r="N492" t="s">
        <v>200</v>
      </c>
      <c r="O492" t="s">
        <v>164</v>
      </c>
      <c r="P492">
        <v>1.3386232471581534E-2</v>
      </c>
      <c r="Q492" t="s">
        <v>163</v>
      </c>
      <c r="S492" t="s">
        <v>215</v>
      </c>
      <c r="T492" t="s">
        <v>164</v>
      </c>
      <c r="U492">
        <v>1.6600524445164088E-2</v>
      </c>
      <c r="V492" t="s">
        <v>163</v>
      </c>
    </row>
    <row r="493" spans="9:22" x14ac:dyDescent="0.45">
      <c r="I493" t="s">
        <v>184</v>
      </c>
      <c r="J493" t="s">
        <v>165</v>
      </c>
      <c r="K493">
        <v>7.851595897168076E-2</v>
      </c>
      <c r="L493" t="s">
        <v>163</v>
      </c>
      <c r="N493" t="s">
        <v>200</v>
      </c>
      <c r="O493" t="s">
        <v>165</v>
      </c>
      <c r="P493">
        <v>2.9252563508920262E-2</v>
      </c>
      <c r="Q493" t="s">
        <v>163</v>
      </c>
      <c r="S493" t="s">
        <v>215</v>
      </c>
      <c r="T493" t="s">
        <v>165</v>
      </c>
      <c r="U493">
        <v>2.6115957848483456E-2</v>
      </c>
      <c r="V493" t="s">
        <v>163</v>
      </c>
    </row>
    <row r="494" spans="9:22" x14ac:dyDescent="0.45">
      <c r="I494" t="s">
        <v>184</v>
      </c>
      <c r="J494" t="s">
        <v>256</v>
      </c>
      <c r="K494">
        <v>1.0445649491522655E-2</v>
      </c>
      <c r="L494" t="s">
        <v>163</v>
      </c>
      <c r="N494" t="s">
        <v>200</v>
      </c>
      <c r="O494" t="s">
        <v>256</v>
      </c>
      <c r="P494">
        <v>5.7664882034913264E-3</v>
      </c>
      <c r="Q494" t="s">
        <v>163</v>
      </c>
      <c r="S494" t="s">
        <v>215</v>
      </c>
      <c r="T494" t="s">
        <v>256</v>
      </c>
      <c r="U494">
        <v>4.7549478107384389E-3</v>
      </c>
      <c r="V494" t="s">
        <v>163</v>
      </c>
    </row>
    <row r="495" spans="9:22" x14ac:dyDescent="0.45">
      <c r="I495" t="s">
        <v>184</v>
      </c>
      <c r="J495" t="s">
        <v>257</v>
      </c>
      <c r="K495">
        <v>9.2555845114997808E-3</v>
      </c>
      <c r="L495" t="s">
        <v>163</v>
      </c>
      <c r="N495" t="s">
        <v>200</v>
      </c>
      <c r="O495" t="s">
        <v>257</v>
      </c>
      <c r="P495">
        <v>5.4619792971663502E-3</v>
      </c>
      <c r="Q495" t="s">
        <v>163</v>
      </c>
      <c r="S495" t="s">
        <v>215</v>
      </c>
      <c r="T495" t="s">
        <v>257</v>
      </c>
      <c r="U495">
        <v>4.7430689726686891E-3</v>
      </c>
      <c r="V495" t="s">
        <v>163</v>
      </c>
    </row>
    <row r="496" spans="9:22" x14ac:dyDescent="0.45">
      <c r="I496" t="s">
        <v>184</v>
      </c>
      <c r="J496" t="s">
        <v>258</v>
      </c>
      <c r="K496">
        <v>6.6087472309461675E-3</v>
      </c>
      <c r="L496" t="s">
        <v>163</v>
      </c>
      <c r="N496" t="s">
        <v>200</v>
      </c>
      <c r="O496" t="s">
        <v>258</v>
      </c>
      <c r="P496">
        <v>2.3826105509913299E-2</v>
      </c>
      <c r="Q496" t="s">
        <v>163</v>
      </c>
      <c r="S496" t="s">
        <v>215</v>
      </c>
      <c r="T496" t="s">
        <v>258</v>
      </c>
      <c r="U496">
        <v>2.2273221385129976E-2</v>
      </c>
      <c r="V496" t="s">
        <v>163</v>
      </c>
    </row>
    <row r="497" spans="9:22" x14ac:dyDescent="0.45">
      <c r="I497" t="s">
        <v>184</v>
      </c>
      <c r="J497" t="s">
        <v>166</v>
      </c>
      <c r="K497">
        <v>3.1158003007841551E-3</v>
      </c>
      <c r="L497" t="s">
        <v>163</v>
      </c>
      <c r="N497" t="s">
        <v>200</v>
      </c>
      <c r="O497" t="s">
        <v>166</v>
      </c>
      <c r="P497">
        <v>1.2478194946551691E-2</v>
      </c>
      <c r="Q497" t="s">
        <v>163</v>
      </c>
      <c r="S497" t="s">
        <v>215</v>
      </c>
      <c r="T497" t="s">
        <v>166</v>
      </c>
      <c r="U497">
        <v>1.2217242057196976E-2</v>
      </c>
      <c r="V497" t="s">
        <v>163</v>
      </c>
    </row>
    <row r="498" spans="9:22" x14ac:dyDescent="0.45">
      <c r="I498" t="s">
        <v>184</v>
      </c>
      <c r="J498" t="s">
        <v>167</v>
      </c>
      <c r="K498">
        <v>3.1470479768856655E-2</v>
      </c>
      <c r="L498" t="s">
        <v>163</v>
      </c>
      <c r="N498" t="s">
        <v>200</v>
      </c>
      <c r="O498" t="s">
        <v>167</v>
      </c>
      <c r="P498">
        <v>6.0520542883449931E-3</v>
      </c>
      <c r="Q498" t="s">
        <v>163</v>
      </c>
      <c r="S498" t="s">
        <v>215</v>
      </c>
      <c r="T498" t="s">
        <v>167</v>
      </c>
      <c r="U498">
        <v>8.0011802412825635E-3</v>
      </c>
      <c r="V498" t="s">
        <v>163</v>
      </c>
    </row>
    <row r="499" spans="9:22" x14ac:dyDescent="0.45">
      <c r="I499" t="s">
        <v>184</v>
      </c>
      <c r="J499" t="s">
        <v>168</v>
      </c>
      <c r="K499">
        <v>6.3008186838969374E-2</v>
      </c>
      <c r="L499" t="s">
        <v>163</v>
      </c>
      <c r="N499" t="s">
        <v>200</v>
      </c>
      <c r="O499" t="s">
        <v>168</v>
      </c>
      <c r="P499">
        <v>1.4851256362527992E-2</v>
      </c>
      <c r="Q499" t="s">
        <v>163</v>
      </c>
      <c r="S499" t="s">
        <v>215</v>
      </c>
      <c r="T499" t="s">
        <v>168</v>
      </c>
      <c r="U499">
        <v>1.3321415237507428E-2</v>
      </c>
      <c r="V499" t="s">
        <v>163</v>
      </c>
    </row>
    <row r="500" spans="9:22" x14ac:dyDescent="0.45">
      <c r="I500" t="s">
        <v>184</v>
      </c>
      <c r="J500" t="s">
        <v>259</v>
      </c>
      <c r="K500">
        <v>8.5961785156902486E-3</v>
      </c>
      <c r="L500" t="s">
        <v>163</v>
      </c>
      <c r="N500" t="s">
        <v>200</v>
      </c>
      <c r="O500" t="s">
        <v>259</v>
      </c>
      <c r="P500">
        <v>3.2252713980023251E-3</v>
      </c>
      <c r="Q500" t="s">
        <v>163</v>
      </c>
      <c r="S500" t="s">
        <v>215</v>
      </c>
      <c r="T500" t="s">
        <v>259</v>
      </c>
      <c r="U500">
        <v>2.5647492508883373E-3</v>
      </c>
      <c r="V500" t="s">
        <v>163</v>
      </c>
    </row>
    <row r="501" spans="9:22" x14ac:dyDescent="0.45">
      <c r="I501" t="s">
        <v>184</v>
      </c>
      <c r="J501" t="s">
        <v>260</v>
      </c>
      <c r="K501">
        <v>7.0712911517493461E-3</v>
      </c>
      <c r="L501" t="s">
        <v>163</v>
      </c>
      <c r="N501" t="s">
        <v>200</v>
      </c>
      <c r="O501" t="s">
        <v>260</v>
      </c>
      <c r="P501">
        <v>3.0885075581466278E-3</v>
      </c>
      <c r="Q501" t="s">
        <v>163</v>
      </c>
      <c r="S501" t="s">
        <v>215</v>
      </c>
      <c r="T501" t="s">
        <v>260</v>
      </c>
      <c r="U501">
        <v>2.4995451917439611E-3</v>
      </c>
      <c r="V501" t="s">
        <v>163</v>
      </c>
    </row>
    <row r="502" spans="9:22" x14ac:dyDescent="0.45">
      <c r="I502" t="s">
        <v>184</v>
      </c>
      <c r="J502" t="s">
        <v>261</v>
      </c>
      <c r="K502">
        <v>4.2367631049650698E-3</v>
      </c>
      <c r="L502" t="s">
        <v>163</v>
      </c>
      <c r="N502" t="s">
        <v>200</v>
      </c>
      <c r="O502" t="s">
        <v>261</v>
      </c>
      <c r="P502">
        <v>1.3044724090842244E-2</v>
      </c>
      <c r="Q502" t="s">
        <v>163</v>
      </c>
      <c r="S502" t="s">
        <v>215</v>
      </c>
      <c r="T502" t="s">
        <v>261</v>
      </c>
      <c r="U502">
        <v>1.0037398093766081E-2</v>
      </c>
      <c r="V502" t="s">
        <v>163</v>
      </c>
    </row>
    <row r="503" spans="9:22" x14ac:dyDescent="0.45">
      <c r="I503" t="s">
        <v>184</v>
      </c>
      <c r="J503" t="s">
        <v>169</v>
      </c>
      <c r="K503">
        <v>8.3612627583293689E-7</v>
      </c>
      <c r="L503" t="s">
        <v>163</v>
      </c>
      <c r="N503" t="s">
        <v>200</v>
      </c>
      <c r="O503" t="s">
        <v>169</v>
      </c>
      <c r="P503">
        <v>1.3233747263713517E-2</v>
      </c>
      <c r="Q503" t="s">
        <v>163</v>
      </c>
      <c r="S503" t="s">
        <v>215</v>
      </c>
      <c r="T503" t="s">
        <v>169</v>
      </c>
      <c r="U503">
        <v>1.4655081471141151E-2</v>
      </c>
      <c r="V503" t="s">
        <v>163</v>
      </c>
    </row>
    <row r="504" spans="9:22" x14ac:dyDescent="0.45">
      <c r="I504" t="s">
        <v>184</v>
      </c>
      <c r="J504" t="s">
        <v>170</v>
      </c>
      <c r="K504">
        <v>2.3967148864570749E-2</v>
      </c>
      <c r="L504" t="s">
        <v>163</v>
      </c>
      <c r="N504" t="s">
        <v>200</v>
      </c>
      <c r="O504" t="s">
        <v>170</v>
      </c>
      <c r="P504">
        <v>7.0380197369844279E-3</v>
      </c>
      <c r="Q504" t="s">
        <v>163</v>
      </c>
      <c r="S504" t="s">
        <v>215</v>
      </c>
      <c r="T504" t="s">
        <v>170</v>
      </c>
      <c r="U504">
        <v>8.2477659042895762E-3</v>
      </c>
      <c r="V504" t="s">
        <v>163</v>
      </c>
    </row>
    <row r="505" spans="9:22" x14ac:dyDescent="0.45">
      <c r="I505" t="s">
        <v>184</v>
      </c>
      <c r="J505" t="s">
        <v>171</v>
      </c>
      <c r="K505">
        <v>5.1354278716071337E-2</v>
      </c>
      <c r="L505" t="s">
        <v>163</v>
      </c>
      <c r="N505" t="s">
        <v>200</v>
      </c>
      <c r="O505" t="s">
        <v>171</v>
      </c>
      <c r="P505">
        <v>1.4750289007634736E-2</v>
      </c>
      <c r="Q505" t="s">
        <v>163</v>
      </c>
      <c r="S505" t="s">
        <v>215</v>
      </c>
      <c r="T505" t="s">
        <v>171</v>
      </c>
      <c r="U505">
        <v>1.3849733091287442E-2</v>
      </c>
      <c r="V505" t="s">
        <v>163</v>
      </c>
    </row>
    <row r="506" spans="9:22" x14ac:dyDescent="0.45">
      <c r="I506" t="s">
        <v>184</v>
      </c>
      <c r="J506" t="s">
        <v>262</v>
      </c>
      <c r="K506">
        <v>6.9641228690033976E-3</v>
      </c>
      <c r="L506" t="s">
        <v>163</v>
      </c>
      <c r="N506" t="s">
        <v>200</v>
      </c>
      <c r="O506" t="s">
        <v>262</v>
      </c>
      <c r="P506">
        <v>3.2866092664959098E-3</v>
      </c>
      <c r="Q506" t="s">
        <v>163</v>
      </c>
      <c r="S506" t="s">
        <v>215</v>
      </c>
      <c r="T506" t="s">
        <v>262</v>
      </c>
      <c r="U506">
        <v>2.8427125022976569E-3</v>
      </c>
      <c r="V506" t="s">
        <v>163</v>
      </c>
    </row>
    <row r="507" spans="9:22" x14ac:dyDescent="0.45">
      <c r="I507" t="s">
        <v>184</v>
      </c>
      <c r="J507" t="s">
        <v>263</v>
      </c>
      <c r="K507">
        <v>5.0193769566182957E-3</v>
      </c>
      <c r="L507" t="s">
        <v>163</v>
      </c>
      <c r="N507" t="s">
        <v>200</v>
      </c>
      <c r="O507" t="s">
        <v>263</v>
      </c>
      <c r="P507">
        <v>3.3997942397586247E-3</v>
      </c>
      <c r="Q507" t="s">
        <v>163</v>
      </c>
      <c r="S507" t="s">
        <v>215</v>
      </c>
      <c r="T507" t="s">
        <v>263</v>
      </c>
      <c r="U507">
        <v>2.8952807491155327E-3</v>
      </c>
      <c r="V507" t="s">
        <v>163</v>
      </c>
    </row>
    <row r="508" spans="9:22" x14ac:dyDescent="0.45">
      <c r="I508" t="s">
        <v>184</v>
      </c>
      <c r="J508" t="s">
        <v>264</v>
      </c>
      <c r="K508">
        <v>0</v>
      </c>
      <c r="L508" t="s">
        <v>163</v>
      </c>
      <c r="N508" t="s">
        <v>200</v>
      </c>
      <c r="O508" t="s">
        <v>264</v>
      </c>
      <c r="P508">
        <v>1.4978845609519132E-2</v>
      </c>
      <c r="Q508" t="s">
        <v>163</v>
      </c>
      <c r="S508" t="s">
        <v>215</v>
      </c>
      <c r="T508" t="s">
        <v>264</v>
      </c>
      <c r="U508">
        <v>1.2845521512559847E-2</v>
      </c>
      <c r="V508" t="s">
        <v>163</v>
      </c>
    </row>
    <row r="509" spans="9:22" x14ac:dyDescent="0.45">
      <c r="I509" t="s">
        <v>184</v>
      </c>
      <c r="J509" t="s">
        <v>172</v>
      </c>
      <c r="K509">
        <v>0</v>
      </c>
      <c r="L509" t="s">
        <v>163</v>
      </c>
      <c r="N509" t="s">
        <v>200</v>
      </c>
      <c r="O509" t="s">
        <v>172</v>
      </c>
      <c r="P509">
        <v>5.0527447965463351E-2</v>
      </c>
      <c r="Q509" t="s">
        <v>163</v>
      </c>
      <c r="S509" t="s">
        <v>215</v>
      </c>
      <c r="T509" t="s">
        <v>172</v>
      </c>
      <c r="U509">
        <v>4.754984389497053E-2</v>
      </c>
      <c r="V509" t="s">
        <v>163</v>
      </c>
    </row>
    <row r="510" spans="9:22" x14ac:dyDescent="0.45">
      <c r="I510" t="s">
        <v>184</v>
      </c>
      <c r="J510" t="s">
        <v>173</v>
      </c>
      <c r="K510">
        <v>2.3781214059691091E-2</v>
      </c>
      <c r="L510" t="s">
        <v>163</v>
      </c>
      <c r="N510" t="s">
        <v>200</v>
      </c>
      <c r="O510" t="s">
        <v>173</v>
      </c>
      <c r="P510">
        <v>2.4321929677503851E-2</v>
      </c>
      <c r="Q510" t="s">
        <v>163</v>
      </c>
      <c r="S510" t="s">
        <v>215</v>
      </c>
      <c r="T510" t="s">
        <v>173</v>
      </c>
      <c r="U510">
        <v>2.5479907216612138E-2</v>
      </c>
      <c r="V510" t="s">
        <v>163</v>
      </c>
    </row>
    <row r="511" spans="9:22" x14ac:dyDescent="0.45">
      <c r="I511" t="s">
        <v>184</v>
      </c>
      <c r="J511" t="s">
        <v>174</v>
      </c>
      <c r="K511">
        <v>5.279952479128263E-2</v>
      </c>
      <c r="L511" t="s">
        <v>163</v>
      </c>
      <c r="N511" t="s">
        <v>200</v>
      </c>
      <c r="O511" t="s">
        <v>174</v>
      </c>
      <c r="P511">
        <v>3.7712188710925368E-2</v>
      </c>
      <c r="Q511" t="s">
        <v>163</v>
      </c>
      <c r="S511" t="s">
        <v>215</v>
      </c>
      <c r="T511" t="s">
        <v>174</v>
      </c>
      <c r="U511">
        <v>4.3050318182027085E-2</v>
      </c>
      <c r="V511" t="s">
        <v>163</v>
      </c>
    </row>
    <row r="512" spans="9:22" x14ac:dyDescent="0.45">
      <c r="I512" t="s">
        <v>184</v>
      </c>
      <c r="J512" t="s">
        <v>265</v>
      </c>
      <c r="K512">
        <v>3.7940068906161927E-3</v>
      </c>
      <c r="L512" t="s">
        <v>163</v>
      </c>
      <c r="N512" t="s">
        <v>200</v>
      </c>
      <c r="O512" t="s">
        <v>265</v>
      </c>
      <c r="P512">
        <v>7.0929978113453539E-3</v>
      </c>
      <c r="Q512" t="s">
        <v>163</v>
      </c>
      <c r="S512" t="s">
        <v>215</v>
      </c>
      <c r="T512" t="s">
        <v>265</v>
      </c>
      <c r="U512">
        <v>6.9532029142235358E-3</v>
      </c>
      <c r="V512" t="s">
        <v>163</v>
      </c>
    </row>
    <row r="513" spans="9:22" x14ac:dyDescent="0.45">
      <c r="I513" t="s">
        <v>184</v>
      </c>
      <c r="J513" t="s">
        <v>266</v>
      </c>
      <c r="K513">
        <v>0</v>
      </c>
      <c r="L513" t="s">
        <v>163</v>
      </c>
      <c r="N513" t="s">
        <v>200</v>
      </c>
      <c r="O513" t="s">
        <v>266</v>
      </c>
      <c r="P513">
        <v>7.2332947459020826E-3</v>
      </c>
      <c r="Q513" t="s">
        <v>163</v>
      </c>
      <c r="S513" t="s">
        <v>215</v>
      </c>
      <c r="T513" t="s">
        <v>266</v>
      </c>
      <c r="U513">
        <v>6.8396473679706738E-3</v>
      </c>
      <c r="V513" t="s">
        <v>163</v>
      </c>
    </row>
    <row r="514" spans="9:22" x14ac:dyDescent="0.45">
      <c r="I514" t="s">
        <v>184</v>
      </c>
      <c r="J514" t="s">
        <v>267</v>
      </c>
      <c r="K514">
        <v>0</v>
      </c>
      <c r="L514" t="s">
        <v>163</v>
      </c>
      <c r="N514" t="s">
        <v>200</v>
      </c>
      <c r="O514" t="s">
        <v>267</v>
      </c>
      <c r="P514">
        <v>3.6263471539435273E-2</v>
      </c>
      <c r="Q514" t="s">
        <v>163</v>
      </c>
      <c r="S514" t="s">
        <v>215</v>
      </c>
      <c r="T514" t="s">
        <v>267</v>
      </c>
      <c r="U514">
        <v>3.367873428126774E-2</v>
      </c>
      <c r="V514" t="s">
        <v>163</v>
      </c>
    </row>
    <row r="515" spans="9:22" x14ac:dyDescent="0.45">
      <c r="I515" t="s">
        <v>184</v>
      </c>
      <c r="J515" t="s">
        <v>268</v>
      </c>
      <c r="K515">
        <v>0</v>
      </c>
      <c r="L515" t="s">
        <v>163</v>
      </c>
      <c r="N515" t="s">
        <v>200</v>
      </c>
      <c r="O515" t="s">
        <v>268</v>
      </c>
      <c r="P515">
        <v>2.2388871296472802E-2</v>
      </c>
      <c r="Q515" t="s">
        <v>163</v>
      </c>
      <c r="S515" t="s">
        <v>215</v>
      </c>
      <c r="T515" t="s">
        <v>268</v>
      </c>
      <c r="U515">
        <v>3.1711543811118438E-2</v>
      </c>
      <c r="V515" t="s">
        <v>163</v>
      </c>
    </row>
    <row r="516" spans="9:22" x14ac:dyDescent="0.45">
      <c r="I516" t="s">
        <v>184</v>
      </c>
      <c r="J516" t="s">
        <v>269</v>
      </c>
      <c r="K516">
        <v>3.9628298923690165E-3</v>
      </c>
      <c r="L516" t="s">
        <v>163</v>
      </c>
      <c r="N516" t="s">
        <v>200</v>
      </c>
      <c r="O516" t="s">
        <v>269</v>
      </c>
      <c r="P516">
        <v>1.2708251953238693E-2</v>
      </c>
      <c r="Q516" t="s">
        <v>163</v>
      </c>
      <c r="S516" t="s">
        <v>215</v>
      </c>
      <c r="T516" t="s">
        <v>269</v>
      </c>
      <c r="U516">
        <v>1.7531605309083011E-2</v>
      </c>
      <c r="V516" t="s">
        <v>163</v>
      </c>
    </row>
    <row r="517" spans="9:22" x14ac:dyDescent="0.45">
      <c r="I517" t="s">
        <v>184</v>
      </c>
      <c r="J517" t="s">
        <v>270</v>
      </c>
      <c r="K517">
        <v>1.5510550689622159E-2</v>
      </c>
      <c r="L517" t="s">
        <v>163</v>
      </c>
      <c r="N517" t="s">
        <v>200</v>
      </c>
      <c r="O517" t="s">
        <v>270</v>
      </c>
      <c r="P517">
        <v>1.989927069914953E-2</v>
      </c>
      <c r="Q517" t="s">
        <v>163</v>
      </c>
      <c r="S517" t="s">
        <v>215</v>
      </c>
      <c r="T517" t="s">
        <v>270</v>
      </c>
      <c r="U517">
        <v>2.6929896339791905E-2</v>
      </c>
      <c r="V517" t="s">
        <v>163</v>
      </c>
    </row>
    <row r="518" spans="9:22" x14ac:dyDescent="0.45">
      <c r="I518" t="s">
        <v>184</v>
      </c>
      <c r="J518" t="s">
        <v>271</v>
      </c>
      <c r="K518">
        <v>0</v>
      </c>
      <c r="L518" t="s">
        <v>163</v>
      </c>
      <c r="N518" t="s">
        <v>200</v>
      </c>
      <c r="O518" t="s">
        <v>271</v>
      </c>
      <c r="P518">
        <v>3.562002669943254E-3</v>
      </c>
      <c r="Q518" t="s">
        <v>163</v>
      </c>
      <c r="S518" t="s">
        <v>215</v>
      </c>
      <c r="T518" t="s">
        <v>271</v>
      </c>
      <c r="U518">
        <v>4.2920079553615776E-3</v>
      </c>
      <c r="V518" t="s">
        <v>163</v>
      </c>
    </row>
    <row r="519" spans="9:22" x14ac:dyDescent="0.45">
      <c r="I519" t="s">
        <v>184</v>
      </c>
      <c r="J519" t="s">
        <v>272</v>
      </c>
      <c r="K519">
        <v>0</v>
      </c>
      <c r="L519" t="s">
        <v>163</v>
      </c>
      <c r="N519" t="s">
        <v>200</v>
      </c>
      <c r="O519" t="s">
        <v>272</v>
      </c>
      <c r="P519">
        <v>3.5992642106557429E-3</v>
      </c>
      <c r="Q519" t="s">
        <v>163</v>
      </c>
      <c r="S519" t="s">
        <v>215</v>
      </c>
      <c r="T519" t="s">
        <v>272</v>
      </c>
      <c r="U519">
        <v>4.2394385848742678E-3</v>
      </c>
      <c r="V519" t="s">
        <v>163</v>
      </c>
    </row>
    <row r="520" spans="9:22" x14ac:dyDescent="0.45">
      <c r="I520" t="s">
        <v>184</v>
      </c>
      <c r="J520" t="s">
        <v>273</v>
      </c>
      <c r="K520">
        <v>0</v>
      </c>
      <c r="L520" t="s">
        <v>163</v>
      </c>
      <c r="N520" t="s">
        <v>200</v>
      </c>
      <c r="O520" t="s">
        <v>273</v>
      </c>
      <c r="P520">
        <v>1.7709639099583549E-2</v>
      </c>
      <c r="Q520" t="s">
        <v>163</v>
      </c>
      <c r="S520" t="s">
        <v>215</v>
      </c>
      <c r="T520" t="s">
        <v>273</v>
      </c>
      <c r="U520">
        <v>2.1358680405191708E-2</v>
      </c>
      <c r="V520" t="s">
        <v>163</v>
      </c>
    </row>
    <row r="521" spans="9:22" x14ac:dyDescent="0.45">
      <c r="I521" t="s">
        <v>184</v>
      </c>
      <c r="J521" t="s">
        <v>274</v>
      </c>
      <c r="K521">
        <v>4.5929808816063733E-5</v>
      </c>
      <c r="L521" t="s">
        <v>163</v>
      </c>
      <c r="N521" t="s">
        <v>200</v>
      </c>
      <c r="O521" t="s">
        <v>274</v>
      </c>
      <c r="P521">
        <v>8.9011914651969809E-2</v>
      </c>
      <c r="Q521" t="s">
        <v>163</v>
      </c>
      <c r="S521" t="s">
        <v>215</v>
      </c>
      <c r="T521" t="s">
        <v>274</v>
      </c>
      <c r="U521">
        <v>9.0760447580114367E-2</v>
      </c>
      <c r="V521" t="s">
        <v>163</v>
      </c>
    </row>
    <row r="522" spans="9:22" x14ac:dyDescent="0.45">
      <c r="I522" t="s">
        <v>184</v>
      </c>
      <c r="J522" t="s">
        <v>275</v>
      </c>
      <c r="K522">
        <v>4.421038568379998E-2</v>
      </c>
      <c r="L522" t="s">
        <v>163</v>
      </c>
      <c r="N522" t="s">
        <v>200</v>
      </c>
      <c r="O522" t="s">
        <v>275</v>
      </c>
      <c r="P522">
        <v>4.0420488145238583E-2</v>
      </c>
      <c r="Q522" t="s">
        <v>163</v>
      </c>
      <c r="S522" t="s">
        <v>215</v>
      </c>
      <c r="T522" t="s">
        <v>275</v>
      </c>
      <c r="U522">
        <v>4.9952366460510447E-2</v>
      </c>
      <c r="V522" t="s">
        <v>163</v>
      </c>
    </row>
    <row r="523" spans="9:22" x14ac:dyDescent="0.45">
      <c r="I523" t="s">
        <v>184</v>
      </c>
      <c r="J523" t="s">
        <v>276</v>
      </c>
      <c r="K523">
        <v>9.8469762718099679E-2</v>
      </c>
      <c r="L523" t="s">
        <v>163</v>
      </c>
      <c r="N523" t="s">
        <v>200</v>
      </c>
      <c r="O523" t="s">
        <v>276</v>
      </c>
      <c r="P523">
        <v>6.1283109672058189E-2</v>
      </c>
      <c r="Q523" t="s">
        <v>163</v>
      </c>
      <c r="S523" t="s">
        <v>215</v>
      </c>
      <c r="T523" t="s">
        <v>276</v>
      </c>
      <c r="U523">
        <v>7.8332793135388726E-2</v>
      </c>
      <c r="V523" t="s">
        <v>163</v>
      </c>
    </row>
    <row r="524" spans="9:22" x14ac:dyDescent="0.45">
      <c r="I524" t="s">
        <v>184</v>
      </c>
      <c r="J524" t="s">
        <v>277</v>
      </c>
      <c r="K524">
        <v>8.9843152419157961E-3</v>
      </c>
      <c r="L524" t="s">
        <v>163</v>
      </c>
      <c r="N524" t="s">
        <v>200</v>
      </c>
      <c r="O524" t="s">
        <v>277</v>
      </c>
      <c r="P524">
        <v>1.2039143570017447E-2</v>
      </c>
      <c r="Q524" t="s">
        <v>163</v>
      </c>
      <c r="S524" t="s">
        <v>215</v>
      </c>
      <c r="T524" t="s">
        <v>277</v>
      </c>
      <c r="U524">
        <v>1.2754899317041888E-2</v>
      </c>
      <c r="V524" t="s">
        <v>163</v>
      </c>
    </row>
    <row r="525" spans="9:22" x14ac:dyDescent="0.45">
      <c r="I525" t="s">
        <v>184</v>
      </c>
      <c r="J525" t="s">
        <v>278</v>
      </c>
      <c r="K525">
        <v>1.6616754787803509E-3</v>
      </c>
      <c r="L525" t="s">
        <v>163</v>
      </c>
      <c r="N525" t="s">
        <v>200</v>
      </c>
      <c r="O525" t="s">
        <v>278</v>
      </c>
      <c r="P525">
        <v>1.2414719054285773E-2</v>
      </c>
      <c r="Q525" t="s">
        <v>163</v>
      </c>
      <c r="S525" t="s">
        <v>215</v>
      </c>
      <c r="T525" t="s">
        <v>278</v>
      </c>
      <c r="U525">
        <v>1.2745071766745535E-2</v>
      </c>
      <c r="V525" t="s">
        <v>163</v>
      </c>
    </row>
    <row r="526" spans="9:22" x14ac:dyDescent="0.45">
      <c r="I526" t="s">
        <v>184</v>
      </c>
      <c r="J526" t="s">
        <v>279</v>
      </c>
      <c r="K526">
        <v>0</v>
      </c>
      <c r="L526" t="s">
        <v>163</v>
      </c>
      <c r="N526" t="s">
        <v>200</v>
      </c>
      <c r="O526" t="s">
        <v>279</v>
      </c>
      <c r="P526">
        <v>6.5656006055173272E-2</v>
      </c>
      <c r="Q526" t="s">
        <v>163</v>
      </c>
      <c r="S526" t="s">
        <v>215</v>
      </c>
      <c r="T526" t="s">
        <v>279</v>
      </c>
      <c r="U526">
        <v>6.4827850822728808E-2</v>
      </c>
      <c r="V526" t="s">
        <v>163</v>
      </c>
    </row>
    <row r="527" spans="9:22" x14ac:dyDescent="0.45">
      <c r="I527" t="s">
        <v>184</v>
      </c>
      <c r="J527" t="s">
        <v>280</v>
      </c>
      <c r="K527">
        <v>4.2960277786146918E-3</v>
      </c>
      <c r="L527" t="s">
        <v>163</v>
      </c>
      <c r="N527" t="s">
        <v>200</v>
      </c>
      <c r="O527" t="s">
        <v>280</v>
      </c>
      <c r="P527">
        <v>3.4098063053861094E-2</v>
      </c>
      <c r="Q527" t="s">
        <v>163</v>
      </c>
      <c r="S527" t="s">
        <v>215</v>
      </c>
      <c r="T527" t="s">
        <v>280</v>
      </c>
      <c r="U527">
        <v>2.7163701457744816E-2</v>
      </c>
      <c r="V527" t="s">
        <v>163</v>
      </c>
    </row>
    <row r="528" spans="9:22" x14ac:dyDescent="0.45">
      <c r="I528" t="s">
        <v>184</v>
      </c>
      <c r="J528" t="s">
        <v>281</v>
      </c>
      <c r="K528">
        <v>3.3625874408341951E-2</v>
      </c>
      <c r="L528" t="s">
        <v>163</v>
      </c>
      <c r="N528" t="s">
        <v>200</v>
      </c>
      <c r="O528" t="s">
        <v>281</v>
      </c>
      <c r="P528">
        <v>1.8365174225727549E-2</v>
      </c>
      <c r="Q528" t="s">
        <v>163</v>
      </c>
      <c r="S528" t="s">
        <v>215</v>
      </c>
      <c r="T528" t="s">
        <v>281</v>
      </c>
      <c r="U528">
        <v>1.5432876483805686E-2</v>
      </c>
      <c r="V528" t="s">
        <v>163</v>
      </c>
    </row>
    <row r="529" spans="9:22" x14ac:dyDescent="0.45">
      <c r="I529" t="s">
        <v>184</v>
      </c>
      <c r="J529" t="s">
        <v>282</v>
      </c>
      <c r="K529">
        <v>6.2191464533922547E-2</v>
      </c>
      <c r="L529" t="s">
        <v>163</v>
      </c>
      <c r="N529" t="s">
        <v>200</v>
      </c>
      <c r="O529" t="s">
        <v>282</v>
      </c>
      <c r="P529">
        <v>3.1922928994636716E-2</v>
      </c>
      <c r="Q529" t="s">
        <v>163</v>
      </c>
      <c r="S529" t="s">
        <v>215</v>
      </c>
      <c r="T529" t="s">
        <v>282</v>
      </c>
      <c r="U529">
        <v>2.6016476570710032E-2</v>
      </c>
      <c r="V529" t="s">
        <v>163</v>
      </c>
    </row>
    <row r="530" spans="9:22" x14ac:dyDescent="0.45">
      <c r="I530" t="s">
        <v>184</v>
      </c>
      <c r="J530" t="s">
        <v>283</v>
      </c>
      <c r="K530">
        <v>7.82319592783433E-3</v>
      </c>
      <c r="L530" t="s">
        <v>163</v>
      </c>
      <c r="N530" t="s">
        <v>200</v>
      </c>
      <c r="O530" t="s">
        <v>283</v>
      </c>
      <c r="P530">
        <v>5.6830429541787153E-3</v>
      </c>
      <c r="Q530" t="s">
        <v>163</v>
      </c>
      <c r="S530" t="s">
        <v>215</v>
      </c>
      <c r="T530" t="s">
        <v>283</v>
      </c>
      <c r="U530">
        <v>4.0956242913790701E-3</v>
      </c>
      <c r="V530" t="s">
        <v>163</v>
      </c>
    </row>
    <row r="531" spans="9:22" x14ac:dyDescent="0.45">
      <c r="I531" t="s">
        <v>184</v>
      </c>
      <c r="J531" t="s">
        <v>284</v>
      </c>
      <c r="K531">
        <v>5.8154038913764156E-3</v>
      </c>
      <c r="L531" t="s">
        <v>163</v>
      </c>
      <c r="N531" t="s">
        <v>200</v>
      </c>
      <c r="O531" t="s">
        <v>284</v>
      </c>
      <c r="P531">
        <v>5.7625121025661388E-3</v>
      </c>
      <c r="Q531" t="s">
        <v>163</v>
      </c>
      <c r="S531" t="s">
        <v>215</v>
      </c>
      <c r="T531" t="s">
        <v>284</v>
      </c>
      <c r="U531">
        <v>3.9623874020764992E-3</v>
      </c>
      <c r="V531" t="s">
        <v>163</v>
      </c>
    </row>
    <row r="532" spans="9:22" x14ac:dyDescent="0.45">
      <c r="I532" t="s">
        <v>184</v>
      </c>
      <c r="J532" t="s">
        <v>285</v>
      </c>
      <c r="K532">
        <v>2.9499727082831689E-5</v>
      </c>
      <c r="L532" t="s">
        <v>163</v>
      </c>
      <c r="N532" t="s">
        <v>200</v>
      </c>
      <c r="O532" t="s">
        <v>285</v>
      </c>
      <c r="P532">
        <v>2.8070952048314016E-2</v>
      </c>
      <c r="Q532" t="s">
        <v>163</v>
      </c>
      <c r="S532" t="s">
        <v>215</v>
      </c>
      <c r="T532" t="s">
        <v>285</v>
      </c>
      <c r="U532">
        <v>1.8798704123521796E-2</v>
      </c>
      <c r="V532" t="s">
        <v>163</v>
      </c>
    </row>
    <row r="533" spans="9:22" x14ac:dyDescent="0.45">
      <c r="I533" t="s">
        <v>184</v>
      </c>
      <c r="J533" t="s">
        <v>286</v>
      </c>
      <c r="K533">
        <v>1.8877185427288213E-2</v>
      </c>
      <c r="L533" t="s">
        <v>163</v>
      </c>
      <c r="N533" t="s">
        <v>200</v>
      </c>
      <c r="O533" t="s">
        <v>286</v>
      </c>
      <c r="P533">
        <v>3.7109024659178744E-2</v>
      </c>
      <c r="Q533" t="s">
        <v>163</v>
      </c>
      <c r="S533" t="s">
        <v>215</v>
      </c>
      <c r="T533" t="s">
        <v>286</v>
      </c>
      <c r="U533">
        <v>3.2591160643461098E-2</v>
      </c>
      <c r="V533" t="s">
        <v>163</v>
      </c>
    </row>
    <row r="534" spans="9:22" x14ac:dyDescent="0.45">
      <c r="I534" t="s">
        <v>184</v>
      </c>
      <c r="J534" t="s">
        <v>287</v>
      </c>
      <c r="K534">
        <v>8.0685371202061401E-2</v>
      </c>
      <c r="L534" t="s">
        <v>163</v>
      </c>
      <c r="N534" t="s">
        <v>200</v>
      </c>
      <c r="O534" t="s">
        <v>287</v>
      </c>
      <c r="P534">
        <v>1.6882012085657129E-2</v>
      </c>
      <c r="Q534" t="s">
        <v>163</v>
      </c>
      <c r="S534" t="s">
        <v>215</v>
      </c>
      <c r="T534" t="s">
        <v>287</v>
      </c>
      <c r="U534">
        <v>1.7857121055738015E-2</v>
      </c>
      <c r="V534" t="s">
        <v>163</v>
      </c>
    </row>
    <row r="535" spans="9:22" x14ac:dyDescent="0.45">
      <c r="I535" t="s">
        <v>184</v>
      </c>
      <c r="J535" t="s">
        <v>288</v>
      </c>
      <c r="K535">
        <v>0.13483129739711405</v>
      </c>
      <c r="L535" t="s">
        <v>163</v>
      </c>
      <c r="N535" t="s">
        <v>200</v>
      </c>
      <c r="O535" t="s">
        <v>288</v>
      </c>
      <c r="P535">
        <v>3.7490699487124163E-2</v>
      </c>
      <c r="Q535" t="s">
        <v>163</v>
      </c>
      <c r="S535" t="s">
        <v>215</v>
      </c>
      <c r="T535" t="s">
        <v>288</v>
      </c>
      <c r="U535">
        <v>3.1666231110146853E-2</v>
      </c>
      <c r="V535" t="s">
        <v>163</v>
      </c>
    </row>
    <row r="536" spans="9:22" x14ac:dyDescent="0.45">
      <c r="I536" t="s">
        <v>184</v>
      </c>
      <c r="J536" t="s">
        <v>289</v>
      </c>
      <c r="K536">
        <v>1.6209048220661739E-2</v>
      </c>
      <c r="L536" t="s">
        <v>163</v>
      </c>
      <c r="N536" t="s">
        <v>200</v>
      </c>
      <c r="O536" t="s">
        <v>289</v>
      </c>
      <c r="P536">
        <v>7.1713665363881953E-3</v>
      </c>
      <c r="Q536" t="s">
        <v>163</v>
      </c>
      <c r="S536" t="s">
        <v>215</v>
      </c>
      <c r="T536" t="s">
        <v>289</v>
      </c>
      <c r="U536">
        <v>5.6074783819856427E-3</v>
      </c>
      <c r="V536" t="s">
        <v>163</v>
      </c>
    </row>
    <row r="537" spans="9:22" x14ac:dyDescent="0.45">
      <c r="I537" t="s">
        <v>184</v>
      </c>
      <c r="J537" t="s">
        <v>290</v>
      </c>
      <c r="K537">
        <v>1.3223746575845217E-2</v>
      </c>
      <c r="L537" t="s">
        <v>163</v>
      </c>
      <c r="N537" t="s">
        <v>200</v>
      </c>
      <c r="O537" t="s">
        <v>290</v>
      </c>
      <c r="P537">
        <v>6.9424769392644921E-3</v>
      </c>
      <c r="Q537" t="s">
        <v>163</v>
      </c>
      <c r="S537" t="s">
        <v>215</v>
      </c>
      <c r="T537" t="s">
        <v>290</v>
      </c>
      <c r="U537">
        <v>5.5228650057575273E-3</v>
      </c>
      <c r="V537" t="s">
        <v>163</v>
      </c>
    </row>
    <row r="538" spans="9:22" x14ac:dyDescent="0.45">
      <c r="I538" t="s">
        <v>184</v>
      </c>
      <c r="J538" t="s">
        <v>291</v>
      </c>
      <c r="K538">
        <v>8.4733401863554721E-3</v>
      </c>
      <c r="L538" t="s">
        <v>163</v>
      </c>
      <c r="N538" t="s">
        <v>200</v>
      </c>
      <c r="O538" t="s">
        <v>291</v>
      </c>
      <c r="P538">
        <v>3.3319633408546413E-2</v>
      </c>
      <c r="Q538" t="s">
        <v>163</v>
      </c>
      <c r="S538" t="s">
        <v>215</v>
      </c>
      <c r="T538" t="s">
        <v>291</v>
      </c>
      <c r="U538">
        <v>2.5175982304905798E-2</v>
      </c>
      <c r="V538" t="s">
        <v>163</v>
      </c>
    </row>
    <row r="539" spans="9:22" x14ac:dyDescent="0.45">
      <c r="I539" t="s">
        <v>185</v>
      </c>
      <c r="J539" t="s">
        <v>162</v>
      </c>
      <c r="K539">
        <v>1.0569467710853648E-2</v>
      </c>
      <c r="L539" t="s">
        <v>163</v>
      </c>
      <c r="N539" t="s">
        <v>201</v>
      </c>
      <c r="O539" t="s">
        <v>162</v>
      </c>
      <c r="P539">
        <v>2.3692498832477864E-2</v>
      </c>
      <c r="Q539" t="s">
        <v>163</v>
      </c>
      <c r="S539" t="s">
        <v>216</v>
      </c>
      <c r="T539" t="s">
        <v>162</v>
      </c>
      <c r="U539">
        <v>2.6074265083958111E-2</v>
      </c>
      <c r="V539" t="s">
        <v>163</v>
      </c>
    </row>
    <row r="540" spans="9:22" x14ac:dyDescent="0.45">
      <c r="I540" t="s">
        <v>185</v>
      </c>
      <c r="J540" t="s">
        <v>164</v>
      </c>
      <c r="K540">
        <v>4.4280260446683636E-2</v>
      </c>
      <c r="L540" t="s">
        <v>163</v>
      </c>
      <c r="N540" t="s">
        <v>201</v>
      </c>
      <c r="O540" t="s">
        <v>164</v>
      </c>
      <c r="P540">
        <v>1.6641039972999948E-2</v>
      </c>
      <c r="Q540" t="s">
        <v>163</v>
      </c>
      <c r="S540" t="s">
        <v>216</v>
      </c>
      <c r="T540" t="s">
        <v>164</v>
      </c>
      <c r="U540">
        <v>1.3926704328176732E-2</v>
      </c>
      <c r="V540" t="s">
        <v>163</v>
      </c>
    </row>
    <row r="541" spans="9:22" x14ac:dyDescent="0.45">
      <c r="I541" t="s">
        <v>185</v>
      </c>
      <c r="J541" t="s">
        <v>165</v>
      </c>
      <c r="K541">
        <v>7.2832822396131175E-2</v>
      </c>
      <c r="L541" t="s">
        <v>163</v>
      </c>
      <c r="N541" t="s">
        <v>201</v>
      </c>
      <c r="O541" t="s">
        <v>165</v>
      </c>
      <c r="P541">
        <v>3.8812731897328881E-2</v>
      </c>
      <c r="Q541" t="s">
        <v>163</v>
      </c>
      <c r="S541" t="s">
        <v>216</v>
      </c>
      <c r="T541" t="s">
        <v>165</v>
      </c>
      <c r="U541">
        <v>2.2644682228604381E-2</v>
      </c>
      <c r="V541" t="s">
        <v>163</v>
      </c>
    </row>
    <row r="542" spans="9:22" x14ac:dyDescent="0.45">
      <c r="I542" t="s">
        <v>185</v>
      </c>
      <c r="J542" t="s">
        <v>256</v>
      </c>
      <c r="K542">
        <v>1.0307345103050685E-2</v>
      </c>
      <c r="L542" t="s">
        <v>163</v>
      </c>
      <c r="N542" t="s">
        <v>201</v>
      </c>
      <c r="O542" t="s">
        <v>256</v>
      </c>
      <c r="P542">
        <v>6.0916366873519168E-3</v>
      </c>
      <c r="Q542" t="s">
        <v>163</v>
      </c>
      <c r="S542" t="s">
        <v>216</v>
      </c>
      <c r="T542" t="s">
        <v>256</v>
      </c>
      <c r="U542">
        <v>3.6836937728957865E-3</v>
      </c>
      <c r="V542" t="s">
        <v>163</v>
      </c>
    </row>
    <row r="543" spans="9:22" x14ac:dyDescent="0.45">
      <c r="I543" t="s">
        <v>185</v>
      </c>
      <c r="J543" t="s">
        <v>257</v>
      </c>
      <c r="K543">
        <v>8.8141815352942143E-3</v>
      </c>
      <c r="L543" t="s">
        <v>163</v>
      </c>
      <c r="N543" t="s">
        <v>201</v>
      </c>
      <c r="O543" t="s">
        <v>257</v>
      </c>
      <c r="P543">
        <v>5.2567247068525929E-3</v>
      </c>
      <c r="Q543" t="s">
        <v>163</v>
      </c>
      <c r="S543" t="s">
        <v>216</v>
      </c>
      <c r="T543" t="s">
        <v>257</v>
      </c>
      <c r="U543">
        <v>3.4702893340075088E-3</v>
      </c>
      <c r="V543" t="s">
        <v>163</v>
      </c>
    </row>
    <row r="544" spans="9:22" x14ac:dyDescent="0.45">
      <c r="I544" t="s">
        <v>185</v>
      </c>
      <c r="J544" t="s">
        <v>258</v>
      </c>
      <c r="K544">
        <v>5.6117460445020192E-3</v>
      </c>
      <c r="L544" t="s">
        <v>163</v>
      </c>
      <c r="N544" t="s">
        <v>201</v>
      </c>
      <c r="O544" t="s">
        <v>258</v>
      </c>
      <c r="P544">
        <v>2.0472367229854564E-2</v>
      </c>
      <c r="Q544" t="s">
        <v>163</v>
      </c>
      <c r="S544" t="s">
        <v>216</v>
      </c>
      <c r="T544" t="s">
        <v>258</v>
      </c>
      <c r="U544">
        <v>1.6153868789769765E-2</v>
      </c>
      <c r="V544" t="s">
        <v>163</v>
      </c>
    </row>
    <row r="545" spans="9:22" x14ac:dyDescent="0.45">
      <c r="I545" t="s">
        <v>185</v>
      </c>
      <c r="J545" t="s">
        <v>166</v>
      </c>
      <c r="K545">
        <v>5.0897735822694233E-3</v>
      </c>
      <c r="L545" t="s">
        <v>163</v>
      </c>
      <c r="N545" t="s">
        <v>201</v>
      </c>
      <c r="O545" t="s">
        <v>166</v>
      </c>
      <c r="P545">
        <v>1.4435422794503733E-2</v>
      </c>
      <c r="Q545" t="s">
        <v>163</v>
      </c>
      <c r="S545" t="s">
        <v>216</v>
      </c>
      <c r="T545" t="s">
        <v>166</v>
      </c>
      <c r="U545">
        <v>1.6037244619754743E-2</v>
      </c>
      <c r="V545" t="s">
        <v>163</v>
      </c>
    </row>
    <row r="546" spans="9:22" x14ac:dyDescent="0.45">
      <c r="I546" t="s">
        <v>185</v>
      </c>
      <c r="J546" t="s">
        <v>167</v>
      </c>
      <c r="K546">
        <v>3.6789502648551575E-2</v>
      </c>
      <c r="L546" t="s">
        <v>163</v>
      </c>
      <c r="N546" t="s">
        <v>201</v>
      </c>
      <c r="O546" t="s">
        <v>167</v>
      </c>
      <c r="P546">
        <v>8.4562556919307655E-3</v>
      </c>
      <c r="Q546" t="s">
        <v>163</v>
      </c>
      <c r="S546" t="s">
        <v>216</v>
      </c>
      <c r="T546" t="s">
        <v>167</v>
      </c>
      <c r="U546">
        <v>8.1943243261623517E-3</v>
      </c>
      <c r="V546" t="s">
        <v>163</v>
      </c>
    </row>
    <row r="547" spans="9:22" x14ac:dyDescent="0.45">
      <c r="I547" t="s">
        <v>185</v>
      </c>
      <c r="J547" t="s">
        <v>168</v>
      </c>
      <c r="K547">
        <v>6.3150870421646424E-2</v>
      </c>
      <c r="L547" t="s">
        <v>163</v>
      </c>
      <c r="N547" t="s">
        <v>201</v>
      </c>
      <c r="O547" t="s">
        <v>168</v>
      </c>
      <c r="P547">
        <v>1.7856341236170709E-2</v>
      </c>
      <c r="Q547" t="s">
        <v>163</v>
      </c>
      <c r="S547" t="s">
        <v>216</v>
      </c>
      <c r="T547" t="s">
        <v>168</v>
      </c>
      <c r="U547">
        <v>1.401520977886251E-2</v>
      </c>
      <c r="V547" t="s">
        <v>163</v>
      </c>
    </row>
    <row r="548" spans="9:22" x14ac:dyDescent="0.45">
      <c r="I548" t="s">
        <v>185</v>
      </c>
      <c r="J548" t="s">
        <v>259</v>
      </c>
      <c r="K548">
        <v>8.8396283294991124E-3</v>
      </c>
      <c r="L548" t="s">
        <v>163</v>
      </c>
      <c r="N548" t="s">
        <v>201</v>
      </c>
      <c r="O548" t="s">
        <v>259</v>
      </c>
      <c r="P548">
        <v>2.9439813830411722E-3</v>
      </c>
      <c r="Q548" t="s">
        <v>163</v>
      </c>
      <c r="S548" t="s">
        <v>216</v>
      </c>
      <c r="T548" t="s">
        <v>259</v>
      </c>
      <c r="U548">
        <v>2.4916878240448439E-3</v>
      </c>
      <c r="V548" t="s">
        <v>163</v>
      </c>
    </row>
    <row r="549" spans="9:22" x14ac:dyDescent="0.45">
      <c r="I549" t="s">
        <v>185</v>
      </c>
      <c r="J549" t="s">
        <v>260</v>
      </c>
      <c r="K549">
        <v>6.8428999681725581E-3</v>
      </c>
      <c r="L549" t="s">
        <v>163</v>
      </c>
      <c r="N549" t="s">
        <v>201</v>
      </c>
      <c r="O549" t="s">
        <v>260</v>
      </c>
      <c r="P549">
        <v>2.6758019335911707E-3</v>
      </c>
      <c r="Q549" t="s">
        <v>163</v>
      </c>
      <c r="S549" t="s">
        <v>216</v>
      </c>
      <c r="T549" t="s">
        <v>260</v>
      </c>
      <c r="U549">
        <v>2.5560881943331362E-3</v>
      </c>
      <c r="V549" t="s">
        <v>163</v>
      </c>
    </row>
    <row r="550" spans="9:22" x14ac:dyDescent="0.45">
      <c r="I550" t="s">
        <v>185</v>
      </c>
      <c r="J550" t="s">
        <v>261</v>
      </c>
      <c r="K550">
        <v>1.956564565014684E-3</v>
      </c>
      <c r="L550" t="s">
        <v>163</v>
      </c>
      <c r="N550" t="s">
        <v>201</v>
      </c>
      <c r="O550" t="s">
        <v>261</v>
      </c>
      <c r="P550">
        <v>1.1041917446935728E-2</v>
      </c>
      <c r="Q550" t="s">
        <v>163</v>
      </c>
      <c r="S550" t="s">
        <v>216</v>
      </c>
      <c r="T550" t="s">
        <v>261</v>
      </c>
      <c r="U550">
        <v>1.2522229782680973E-2</v>
      </c>
      <c r="V550" t="s">
        <v>163</v>
      </c>
    </row>
    <row r="551" spans="9:22" x14ac:dyDescent="0.45">
      <c r="I551" t="s">
        <v>185</v>
      </c>
      <c r="J551" t="s">
        <v>169</v>
      </c>
      <c r="K551">
        <v>1.2382428885157957E-3</v>
      </c>
      <c r="L551" t="s">
        <v>163</v>
      </c>
      <c r="N551" t="s">
        <v>201</v>
      </c>
      <c r="O551" t="s">
        <v>169</v>
      </c>
      <c r="P551">
        <v>1.1175387851651669E-2</v>
      </c>
      <c r="Q551" t="s">
        <v>163</v>
      </c>
      <c r="S551" t="s">
        <v>216</v>
      </c>
      <c r="T551" t="s">
        <v>169</v>
      </c>
      <c r="U551">
        <v>1.6264522898314728E-2</v>
      </c>
      <c r="V551" t="s">
        <v>163</v>
      </c>
    </row>
    <row r="552" spans="9:22" x14ac:dyDescent="0.45">
      <c r="I552" t="s">
        <v>185</v>
      </c>
      <c r="J552" t="s">
        <v>170</v>
      </c>
      <c r="K552">
        <v>2.8667186472056686E-2</v>
      </c>
      <c r="L552" t="s">
        <v>163</v>
      </c>
      <c r="N552" t="s">
        <v>201</v>
      </c>
      <c r="O552" t="s">
        <v>170</v>
      </c>
      <c r="P552">
        <v>6.7407602532087848E-3</v>
      </c>
      <c r="Q552" t="s">
        <v>163</v>
      </c>
      <c r="S552" t="s">
        <v>216</v>
      </c>
      <c r="T552" t="s">
        <v>170</v>
      </c>
      <c r="U552">
        <v>8.2480648082283517E-3</v>
      </c>
      <c r="V552" t="s">
        <v>163</v>
      </c>
    </row>
    <row r="553" spans="9:22" x14ac:dyDescent="0.45">
      <c r="I553" t="s">
        <v>185</v>
      </c>
      <c r="J553" t="s">
        <v>171</v>
      </c>
      <c r="K553">
        <v>5.3183332318810381E-2</v>
      </c>
      <c r="L553" t="s">
        <v>163</v>
      </c>
      <c r="N553" t="s">
        <v>201</v>
      </c>
      <c r="O553" t="s">
        <v>171</v>
      </c>
      <c r="P553">
        <v>1.6285203915126122E-2</v>
      </c>
      <c r="Q553" t="s">
        <v>163</v>
      </c>
      <c r="S553" t="s">
        <v>216</v>
      </c>
      <c r="T553" t="s">
        <v>171</v>
      </c>
      <c r="U553">
        <v>1.3875300866793949E-2</v>
      </c>
      <c r="V553" t="s">
        <v>163</v>
      </c>
    </row>
    <row r="554" spans="9:22" x14ac:dyDescent="0.45">
      <c r="I554" t="s">
        <v>185</v>
      </c>
      <c r="J554" t="s">
        <v>262</v>
      </c>
      <c r="K554">
        <v>6.6404702118600294E-3</v>
      </c>
      <c r="L554" t="s">
        <v>163</v>
      </c>
      <c r="N554" t="s">
        <v>201</v>
      </c>
      <c r="O554" t="s">
        <v>262</v>
      </c>
      <c r="P554">
        <v>2.3917939972821515E-3</v>
      </c>
      <c r="Q554" t="s">
        <v>163</v>
      </c>
      <c r="S554" t="s">
        <v>216</v>
      </c>
      <c r="T554" t="s">
        <v>262</v>
      </c>
      <c r="U554">
        <v>2.5530173497557767E-3</v>
      </c>
      <c r="V554" t="s">
        <v>163</v>
      </c>
    </row>
    <row r="555" spans="9:22" x14ac:dyDescent="0.45">
      <c r="I555" t="s">
        <v>185</v>
      </c>
      <c r="J555" t="s">
        <v>263</v>
      </c>
      <c r="K555">
        <v>3.0812648175063688E-3</v>
      </c>
      <c r="L555" t="s">
        <v>163</v>
      </c>
      <c r="N555" t="s">
        <v>201</v>
      </c>
      <c r="O555" t="s">
        <v>263</v>
      </c>
      <c r="P555">
        <v>2.2622754965160715E-3</v>
      </c>
      <c r="Q555" t="s">
        <v>163</v>
      </c>
      <c r="S555" t="s">
        <v>216</v>
      </c>
      <c r="T555" t="s">
        <v>263</v>
      </c>
      <c r="U555">
        <v>2.6662144692009733E-3</v>
      </c>
      <c r="V555" t="s">
        <v>163</v>
      </c>
    </row>
    <row r="556" spans="9:22" x14ac:dyDescent="0.45">
      <c r="I556" t="s">
        <v>185</v>
      </c>
      <c r="J556" t="s">
        <v>264</v>
      </c>
      <c r="K556">
        <v>0</v>
      </c>
      <c r="L556" t="s">
        <v>163</v>
      </c>
      <c r="N556" t="s">
        <v>201</v>
      </c>
      <c r="O556" t="s">
        <v>264</v>
      </c>
      <c r="P556">
        <v>8.7641773920065277E-3</v>
      </c>
      <c r="Q556" t="s">
        <v>163</v>
      </c>
      <c r="S556" t="s">
        <v>216</v>
      </c>
      <c r="T556" t="s">
        <v>264</v>
      </c>
      <c r="U556">
        <v>1.3527246105237875E-2</v>
      </c>
      <c r="V556" t="s">
        <v>163</v>
      </c>
    </row>
    <row r="557" spans="9:22" x14ac:dyDescent="0.45">
      <c r="I557" t="s">
        <v>185</v>
      </c>
      <c r="J557" t="s">
        <v>172</v>
      </c>
      <c r="K557">
        <v>0</v>
      </c>
      <c r="L557" t="s">
        <v>163</v>
      </c>
      <c r="N557" t="s">
        <v>201</v>
      </c>
      <c r="O557" t="s">
        <v>172</v>
      </c>
      <c r="P557">
        <v>4.3105907991286302E-2</v>
      </c>
      <c r="Q557" t="s">
        <v>163</v>
      </c>
      <c r="S557" t="s">
        <v>216</v>
      </c>
      <c r="T557" t="s">
        <v>172</v>
      </c>
      <c r="U557">
        <v>5.555796142097754E-2</v>
      </c>
      <c r="V557" t="s">
        <v>163</v>
      </c>
    </row>
    <row r="558" spans="9:22" x14ac:dyDescent="0.45">
      <c r="I558" t="s">
        <v>185</v>
      </c>
      <c r="J558" t="s">
        <v>173</v>
      </c>
      <c r="K558">
        <v>2.8591516433526795E-2</v>
      </c>
      <c r="L558" t="s">
        <v>163</v>
      </c>
      <c r="N558" t="s">
        <v>201</v>
      </c>
      <c r="O558" t="s">
        <v>173</v>
      </c>
      <c r="P558">
        <v>2.4886392392217044E-2</v>
      </c>
      <c r="Q558" t="s">
        <v>163</v>
      </c>
      <c r="S558" t="s">
        <v>216</v>
      </c>
      <c r="T558" t="s">
        <v>173</v>
      </c>
      <c r="U558">
        <v>3.1312137459478265E-2</v>
      </c>
      <c r="V558" t="s">
        <v>163</v>
      </c>
    </row>
    <row r="559" spans="9:22" x14ac:dyDescent="0.45">
      <c r="I559" t="s">
        <v>185</v>
      </c>
      <c r="J559" t="s">
        <v>174</v>
      </c>
      <c r="K559">
        <v>5.7250622261700773E-2</v>
      </c>
      <c r="L559" t="s">
        <v>163</v>
      </c>
      <c r="N559" t="s">
        <v>201</v>
      </c>
      <c r="O559" t="s">
        <v>174</v>
      </c>
      <c r="P559">
        <v>4.1320079159233698E-2</v>
      </c>
      <c r="Q559" t="s">
        <v>163</v>
      </c>
      <c r="S559" t="s">
        <v>216</v>
      </c>
      <c r="T559" t="s">
        <v>174</v>
      </c>
      <c r="U559">
        <v>4.9870141855744878E-2</v>
      </c>
      <c r="V559" t="s">
        <v>163</v>
      </c>
    </row>
    <row r="560" spans="9:22" x14ac:dyDescent="0.45">
      <c r="I560" t="s">
        <v>185</v>
      </c>
      <c r="J560" t="s">
        <v>265</v>
      </c>
      <c r="K560">
        <v>3.0485399567326617E-3</v>
      </c>
      <c r="L560" t="s">
        <v>163</v>
      </c>
      <c r="N560" t="s">
        <v>201</v>
      </c>
      <c r="O560" t="s">
        <v>265</v>
      </c>
      <c r="P560">
        <v>6.2523635699188685E-3</v>
      </c>
      <c r="Q560" t="s">
        <v>163</v>
      </c>
      <c r="S560" t="s">
        <v>216</v>
      </c>
      <c r="T560" t="s">
        <v>265</v>
      </c>
      <c r="U560">
        <v>8.5024729154321785E-3</v>
      </c>
      <c r="V560" t="s">
        <v>163</v>
      </c>
    </row>
    <row r="561" spans="9:22" x14ac:dyDescent="0.45">
      <c r="I561" t="s">
        <v>185</v>
      </c>
      <c r="J561" t="s">
        <v>266</v>
      </c>
      <c r="K561">
        <v>0</v>
      </c>
      <c r="L561" t="s">
        <v>163</v>
      </c>
      <c r="N561" t="s">
        <v>201</v>
      </c>
      <c r="O561" t="s">
        <v>266</v>
      </c>
      <c r="P561">
        <v>5.9850686243967674E-3</v>
      </c>
      <c r="Q561" t="s">
        <v>163</v>
      </c>
      <c r="S561" t="s">
        <v>216</v>
      </c>
      <c r="T561" t="s">
        <v>266</v>
      </c>
      <c r="U561">
        <v>8.4868779773090534E-3</v>
      </c>
      <c r="V561" t="s">
        <v>163</v>
      </c>
    </row>
    <row r="562" spans="9:22" x14ac:dyDescent="0.45">
      <c r="I562" t="s">
        <v>185</v>
      </c>
      <c r="J562" t="s">
        <v>267</v>
      </c>
      <c r="K562">
        <v>0</v>
      </c>
      <c r="L562" t="s">
        <v>163</v>
      </c>
      <c r="N562" t="s">
        <v>201</v>
      </c>
      <c r="O562" t="s">
        <v>267</v>
      </c>
      <c r="P562">
        <v>2.9169235705118739E-2</v>
      </c>
      <c r="Q562" t="s">
        <v>163</v>
      </c>
      <c r="S562" t="s">
        <v>216</v>
      </c>
      <c r="T562" t="s">
        <v>267</v>
      </c>
      <c r="U562">
        <v>4.0807235024072311E-2</v>
      </c>
      <c r="V562" t="s">
        <v>163</v>
      </c>
    </row>
    <row r="563" spans="9:22" x14ac:dyDescent="0.45">
      <c r="I563" t="s">
        <v>185</v>
      </c>
      <c r="J563" t="s">
        <v>268</v>
      </c>
      <c r="K563">
        <v>0</v>
      </c>
      <c r="L563" t="s">
        <v>163</v>
      </c>
      <c r="N563" t="s">
        <v>201</v>
      </c>
      <c r="O563" t="s">
        <v>268</v>
      </c>
      <c r="P563">
        <v>3.0413577682965057E-2</v>
      </c>
      <c r="Q563" t="s">
        <v>163</v>
      </c>
      <c r="S563" t="s">
        <v>216</v>
      </c>
      <c r="T563" t="s">
        <v>268</v>
      </c>
      <c r="U563">
        <v>2.4491384466228033E-2</v>
      </c>
      <c r="V563" t="s">
        <v>163</v>
      </c>
    </row>
    <row r="564" spans="9:22" x14ac:dyDescent="0.45">
      <c r="I564" t="s">
        <v>185</v>
      </c>
      <c r="J564" t="s">
        <v>269</v>
      </c>
      <c r="K564">
        <v>7.5493227299475857E-3</v>
      </c>
      <c r="L564" t="s">
        <v>163</v>
      </c>
      <c r="N564" t="s">
        <v>201</v>
      </c>
      <c r="O564" t="s">
        <v>269</v>
      </c>
      <c r="P564">
        <v>1.4189002342011805E-2</v>
      </c>
      <c r="Q564" t="s">
        <v>163</v>
      </c>
      <c r="S564" t="s">
        <v>216</v>
      </c>
      <c r="T564" t="s">
        <v>269</v>
      </c>
      <c r="U564">
        <v>1.294739271561865E-2</v>
      </c>
      <c r="V564" t="s">
        <v>163</v>
      </c>
    </row>
    <row r="565" spans="9:22" x14ac:dyDescent="0.45">
      <c r="I565" t="s">
        <v>185</v>
      </c>
      <c r="J565" t="s">
        <v>270</v>
      </c>
      <c r="K565">
        <v>1.702736404507689E-2</v>
      </c>
      <c r="L565" t="s">
        <v>163</v>
      </c>
      <c r="N565" t="s">
        <v>201</v>
      </c>
      <c r="O565" t="s">
        <v>270</v>
      </c>
      <c r="P565">
        <v>2.3603645406903805E-2</v>
      </c>
      <c r="Q565" t="s">
        <v>163</v>
      </c>
      <c r="S565" t="s">
        <v>216</v>
      </c>
      <c r="T565" t="s">
        <v>270</v>
      </c>
      <c r="U565">
        <v>1.9355823600533603E-2</v>
      </c>
      <c r="V565" t="s">
        <v>163</v>
      </c>
    </row>
    <row r="566" spans="9:22" x14ac:dyDescent="0.45">
      <c r="I566" t="s">
        <v>185</v>
      </c>
      <c r="J566" t="s">
        <v>271</v>
      </c>
      <c r="K566">
        <v>0</v>
      </c>
      <c r="L566" t="s">
        <v>163</v>
      </c>
      <c r="N566" t="s">
        <v>201</v>
      </c>
      <c r="O566" t="s">
        <v>271</v>
      </c>
      <c r="P566">
        <v>4.5655382026745205E-3</v>
      </c>
      <c r="Q566" t="s">
        <v>163</v>
      </c>
      <c r="S566" t="s">
        <v>216</v>
      </c>
      <c r="T566" t="s">
        <v>271</v>
      </c>
      <c r="U566">
        <v>3.3504576840955869E-3</v>
      </c>
      <c r="V566" t="s">
        <v>163</v>
      </c>
    </row>
    <row r="567" spans="9:22" x14ac:dyDescent="0.45">
      <c r="I567" t="s">
        <v>185</v>
      </c>
      <c r="J567" t="s">
        <v>272</v>
      </c>
      <c r="K567">
        <v>0</v>
      </c>
      <c r="L567" t="s">
        <v>163</v>
      </c>
      <c r="N567" t="s">
        <v>201</v>
      </c>
      <c r="O567" t="s">
        <v>272</v>
      </c>
      <c r="P567">
        <v>4.6796569460688386E-3</v>
      </c>
      <c r="Q567" t="s">
        <v>163</v>
      </c>
      <c r="S567" t="s">
        <v>216</v>
      </c>
      <c r="T567" t="s">
        <v>272</v>
      </c>
      <c r="U567">
        <v>3.3921671058951752E-3</v>
      </c>
      <c r="V567" t="s">
        <v>163</v>
      </c>
    </row>
    <row r="568" spans="9:22" x14ac:dyDescent="0.45">
      <c r="I568" t="s">
        <v>185</v>
      </c>
      <c r="J568" t="s">
        <v>273</v>
      </c>
      <c r="K568">
        <v>0</v>
      </c>
      <c r="L568" t="s">
        <v>163</v>
      </c>
      <c r="N568" t="s">
        <v>201</v>
      </c>
      <c r="O568" t="s">
        <v>273</v>
      </c>
      <c r="P568">
        <v>2.3542446463128051E-2</v>
      </c>
      <c r="Q568" t="s">
        <v>163</v>
      </c>
      <c r="S568" t="s">
        <v>216</v>
      </c>
      <c r="T568" t="s">
        <v>273</v>
      </c>
      <c r="U568">
        <v>1.7278051159957623E-2</v>
      </c>
      <c r="V568" t="s">
        <v>163</v>
      </c>
    </row>
    <row r="569" spans="9:22" x14ac:dyDescent="0.45">
      <c r="I569" t="s">
        <v>185</v>
      </c>
      <c r="J569" t="s">
        <v>274</v>
      </c>
      <c r="K569">
        <v>5.3705299028858485E-4</v>
      </c>
      <c r="L569" t="s">
        <v>163</v>
      </c>
      <c r="N569" t="s">
        <v>201</v>
      </c>
      <c r="O569" t="s">
        <v>274</v>
      </c>
      <c r="P569">
        <v>7.8260730844081541E-2</v>
      </c>
      <c r="Q569" t="s">
        <v>163</v>
      </c>
      <c r="S569" t="s">
        <v>216</v>
      </c>
      <c r="T569" t="s">
        <v>274</v>
      </c>
      <c r="U569">
        <v>7.6824532962582612E-2</v>
      </c>
      <c r="V569" t="s">
        <v>163</v>
      </c>
    </row>
    <row r="570" spans="9:22" x14ac:dyDescent="0.45">
      <c r="I570" t="s">
        <v>185</v>
      </c>
      <c r="J570" t="s">
        <v>275</v>
      </c>
      <c r="K570">
        <v>4.9140152158142894E-2</v>
      </c>
      <c r="L570" t="s">
        <v>163</v>
      </c>
      <c r="N570" t="s">
        <v>201</v>
      </c>
      <c r="O570" t="s">
        <v>275</v>
      </c>
      <c r="P570">
        <v>4.2654547748789164E-2</v>
      </c>
      <c r="Q570" t="s">
        <v>163</v>
      </c>
      <c r="S570" t="s">
        <v>216</v>
      </c>
      <c r="T570" t="s">
        <v>275</v>
      </c>
      <c r="U570">
        <v>4.2348665016144184E-2</v>
      </c>
      <c r="V570" t="s">
        <v>163</v>
      </c>
    </row>
    <row r="571" spans="9:22" x14ac:dyDescent="0.45">
      <c r="I571" t="s">
        <v>185</v>
      </c>
      <c r="J571" t="s">
        <v>276</v>
      </c>
      <c r="K571">
        <v>0.10100859299780293</v>
      </c>
      <c r="L571" t="s">
        <v>163</v>
      </c>
      <c r="N571" t="s">
        <v>201</v>
      </c>
      <c r="O571" t="s">
        <v>276</v>
      </c>
      <c r="P571">
        <v>7.2838418629081178E-2</v>
      </c>
      <c r="Q571" t="s">
        <v>163</v>
      </c>
      <c r="S571" t="s">
        <v>216</v>
      </c>
      <c r="T571" t="s">
        <v>276</v>
      </c>
      <c r="U571">
        <v>6.6824847411718735E-2</v>
      </c>
      <c r="V571" t="s">
        <v>163</v>
      </c>
    </row>
    <row r="572" spans="9:22" x14ac:dyDescent="0.45">
      <c r="I572" t="s">
        <v>185</v>
      </c>
      <c r="J572" t="s">
        <v>277</v>
      </c>
      <c r="K572">
        <v>8.0455898049147431E-3</v>
      </c>
      <c r="L572" t="s">
        <v>163</v>
      </c>
      <c r="N572" t="s">
        <v>201</v>
      </c>
      <c r="O572" t="s">
        <v>277</v>
      </c>
      <c r="P572">
        <v>1.1399817878388153E-2</v>
      </c>
      <c r="Q572" t="s">
        <v>163</v>
      </c>
      <c r="S572" t="s">
        <v>216</v>
      </c>
      <c r="T572" t="s">
        <v>277</v>
      </c>
      <c r="U572">
        <v>1.1294845710458846E-2</v>
      </c>
      <c r="V572" t="s">
        <v>163</v>
      </c>
    </row>
    <row r="573" spans="9:22" x14ac:dyDescent="0.45">
      <c r="I573" t="s">
        <v>185</v>
      </c>
      <c r="J573" t="s">
        <v>278</v>
      </c>
      <c r="K573">
        <v>0</v>
      </c>
      <c r="L573" t="s">
        <v>163</v>
      </c>
      <c r="N573" t="s">
        <v>201</v>
      </c>
      <c r="O573" t="s">
        <v>278</v>
      </c>
      <c r="P573">
        <v>1.1318318400431465E-2</v>
      </c>
      <c r="Q573" t="s">
        <v>163</v>
      </c>
      <c r="S573" t="s">
        <v>216</v>
      </c>
      <c r="T573" t="s">
        <v>278</v>
      </c>
      <c r="U573">
        <v>1.1367588974145052E-2</v>
      </c>
      <c r="V573" t="s">
        <v>163</v>
      </c>
    </row>
    <row r="574" spans="9:22" x14ac:dyDescent="0.45">
      <c r="I574" t="s">
        <v>185</v>
      </c>
      <c r="J574" t="s">
        <v>279</v>
      </c>
      <c r="K574">
        <v>0</v>
      </c>
      <c r="L574" t="s">
        <v>163</v>
      </c>
      <c r="N574" t="s">
        <v>201</v>
      </c>
      <c r="O574" t="s">
        <v>279</v>
      </c>
      <c r="P574">
        <v>5.5469039948866351E-2</v>
      </c>
      <c r="Q574" t="s">
        <v>163</v>
      </c>
      <c r="S574" t="s">
        <v>216</v>
      </c>
      <c r="T574" t="s">
        <v>279</v>
      </c>
      <c r="U574">
        <v>5.6565964416525748E-2</v>
      </c>
      <c r="V574" t="s">
        <v>163</v>
      </c>
    </row>
    <row r="575" spans="9:22" x14ac:dyDescent="0.45">
      <c r="I575" t="s">
        <v>185</v>
      </c>
      <c r="J575" t="s">
        <v>280</v>
      </c>
      <c r="K575">
        <v>6.031559674484625E-3</v>
      </c>
      <c r="L575" t="s">
        <v>163</v>
      </c>
      <c r="N575" t="s">
        <v>201</v>
      </c>
      <c r="O575" t="s">
        <v>280</v>
      </c>
      <c r="P575">
        <v>2.7163182806202071E-2</v>
      </c>
      <c r="Q575" t="s">
        <v>163</v>
      </c>
      <c r="S575" t="s">
        <v>216</v>
      </c>
      <c r="T575" t="s">
        <v>280</v>
      </c>
      <c r="U575">
        <v>3.4948205247675279E-2</v>
      </c>
      <c r="V575" t="s">
        <v>163</v>
      </c>
    </row>
    <row r="576" spans="9:22" x14ac:dyDescent="0.45">
      <c r="I576" t="s">
        <v>185</v>
      </c>
      <c r="J576" t="s">
        <v>281</v>
      </c>
      <c r="K576">
        <v>3.516286729981527E-2</v>
      </c>
      <c r="L576" t="s">
        <v>163</v>
      </c>
      <c r="N576" t="s">
        <v>201</v>
      </c>
      <c r="O576" t="s">
        <v>281</v>
      </c>
      <c r="P576">
        <v>2.0087749990774308E-2</v>
      </c>
      <c r="Q576" t="s">
        <v>163</v>
      </c>
      <c r="S576" t="s">
        <v>216</v>
      </c>
      <c r="T576" t="s">
        <v>281</v>
      </c>
      <c r="U576">
        <v>1.9983878493963041E-2</v>
      </c>
      <c r="V576" t="s">
        <v>163</v>
      </c>
    </row>
    <row r="577" spans="9:22" x14ac:dyDescent="0.45">
      <c r="I577" t="s">
        <v>185</v>
      </c>
      <c r="J577" t="s">
        <v>282</v>
      </c>
      <c r="K577">
        <v>5.8391454744174627E-2</v>
      </c>
      <c r="L577" t="s">
        <v>163</v>
      </c>
      <c r="N577" t="s">
        <v>201</v>
      </c>
      <c r="O577" t="s">
        <v>282</v>
      </c>
      <c r="P577">
        <v>4.0267052949103072E-2</v>
      </c>
      <c r="Q577" t="s">
        <v>163</v>
      </c>
      <c r="S577" t="s">
        <v>216</v>
      </c>
      <c r="T577" t="s">
        <v>282</v>
      </c>
      <c r="U577">
        <v>3.1736738732596859E-2</v>
      </c>
      <c r="V577" t="s">
        <v>163</v>
      </c>
    </row>
    <row r="578" spans="9:22" x14ac:dyDescent="0.45">
      <c r="I578" t="s">
        <v>185</v>
      </c>
      <c r="J578" t="s">
        <v>283</v>
      </c>
      <c r="K578">
        <v>6.600559299367665E-3</v>
      </c>
      <c r="L578" t="s">
        <v>163</v>
      </c>
      <c r="N578" t="s">
        <v>201</v>
      </c>
      <c r="O578" t="s">
        <v>283</v>
      </c>
      <c r="P578">
        <v>5.2236582682863584E-3</v>
      </c>
      <c r="Q578" t="s">
        <v>163</v>
      </c>
      <c r="S578" t="s">
        <v>216</v>
      </c>
      <c r="T578" t="s">
        <v>283</v>
      </c>
      <c r="U578">
        <v>5.1459183833175992E-3</v>
      </c>
      <c r="V578" t="s">
        <v>163</v>
      </c>
    </row>
    <row r="579" spans="9:22" x14ac:dyDescent="0.45">
      <c r="I579" t="s">
        <v>185</v>
      </c>
      <c r="J579" t="s">
        <v>284</v>
      </c>
      <c r="K579">
        <v>3.8605911591348529E-3</v>
      </c>
      <c r="L579" t="s">
        <v>163</v>
      </c>
      <c r="N579" t="s">
        <v>201</v>
      </c>
      <c r="O579" t="s">
        <v>284</v>
      </c>
      <c r="P579">
        <v>4.6675364037311205E-3</v>
      </c>
      <c r="Q579" t="s">
        <v>163</v>
      </c>
      <c r="S579" t="s">
        <v>216</v>
      </c>
      <c r="T579" t="s">
        <v>284</v>
      </c>
      <c r="U579">
        <v>5.0273159863112506E-3</v>
      </c>
      <c r="V579" t="s">
        <v>163</v>
      </c>
    </row>
    <row r="580" spans="9:22" x14ac:dyDescent="0.45">
      <c r="I580" t="s">
        <v>185</v>
      </c>
      <c r="J580" t="s">
        <v>285</v>
      </c>
      <c r="K580">
        <v>0</v>
      </c>
      <c r="L580" t="s">
        <v>163</v>
      </c>
      <c r="N580" t="s">
        <v>201</v>
      </c>
      <c r="O580" t="s">
        <v>285</v>
      </c>
      <c r="P580">
        <v>2.1009554231722988E-2</v>
      </c>
      <c r="Q580" t="s">
        <v>163</v>
      </c>
      <c r="S580" t="s">
        <v>216</v>
      </c>
      <c r="T580" t="s">
        <v>285</v>
      </c>
      <c r="U580">
        <v>2.3062471056127978E-2</v>
      </c>
      <c r="V580" t="s">
        <v>163</v>
      </c>
    </row>
    <row r="581" spans="9:22" x14ac:dyDescent="0.45">
      <c r="I581" t="s">
        <v>185</v>
      </c>
      <c r="J581" t="s">
        <v>286</v>
      </c>
      <c r="K581">
        <v>1.9808088774423815E-2</v>
      </c>
      <c r="L581" t="s">
        <v>163</v>
      </c>
      <c r="N581" t="s">
        <v>201</v>
      </c>
      <c r="O581" t="s">
        <v>286</v>
      </c>
      <c r="P581">
        <v>3.4472999382024083E-2</v>
      </c>
      <c r="Q581" t="s">
        <v>163</v>
      </c>
      <c r="S581" t="s">
        <v>216</v>
      </c>
      <c r="T581" t="s">
        <v>286</v>
      </c>
      <c r="U581">
        <v>3.7923115182970799E-2</v>
      </c>
      <c r="V581" t="s">
        <v>163</v>
      </c>
    </row>
    <row r="582" spans="9:22" x14ac:dyDescent="0.45">
      <c r="I582" t="s">
        <v>185</v>
      </c>
      <c r="J582" t="s">
        <v>287</v>
      </c>
      <c r="K582">
        <v>7.6680914221898114E-2</v>
      </c>
      <c r="L582" t="s">
        <v>163</v>
      </c>
      <c r="N582" t="s">
        <v>201</v>
      </c>
      <c r="O582" t="s">
        <v>287</v>
      </c>
      <c r="P582">
        <v>2.217662512419764E-2</v>
      </c>
      <c r="Q582" t="s">
        <v>163</v>
      </c>
      <c r="S582" t="s">
        <v>216</v>
      </c>
      <c r="T582" t="s">
        <v>287</v>
      </c>
      <c r="U582">
        <v>2.4053169844634403E-2</v>
      </c>
      <c r="V582" t="s">
        <v>163</v>
      </c>
    </row>
    <row r="583" spans="9:22" x14ac:dyDescent="0.45">
      <c r="I583" t="s">
        <v>185</v>
      </c>
      <c r="J583" t="s">
        <v>288</v>
      </c>
      <c r="K583">
        <v>0.12392407001610239</v>
      </c>
      <c r="L583" t="s">
        <v>163</v>
      </c>
      <c r="N583" t="s">
        <v>201</v>
      </c>
      <c r="O583" t="s">
        <v>288</v>
      </c>
      <c r="P583">
        <v>4.8797769494153216E-2</v>
      </c>
      <c r="Q583" t="s">
        <v>163</v>
      </c>
      <c r="S583" t="s">
        <v>216</v>
      </c>
      <c r="T583" t="s">
        <v>288</v>
      </c>
      <c r="U583">
        <v>3.8252166143805236E-2</v>
      </c>
      <c r="V583" t="s">
        <v>163</v>
      </c>
    </row>
    <row r="584" spans="9:22" x14ac:dyDescent="0.45">
      <c r="I584" t="s">
        <v>185</v>
      </c>
      <c r="J584" t="s">
        <v>289</v>
      </c>
      <c r="K584">
        <v>1.4418531529876266E-2</v>
      </c>
      <c r="L584" t="s">
        <v>163</v>
      </c>
      <c r="N584" t="s">
        <v>201</v>
      </c>
      <c r="O584" t="s">
        <v>289</v>
      </c>
      <c r="P584">
        <v>6.4015860507597305E-3</v>
      </c>
      <c r="Q584" t="s">
        <v>163</v>
      </c>
      <c r="S584" t="s">
        <v>216</v>
      </c>
      <c r="T584" t="s">
        <v>289</v>
      </c>
      <c r="U584">
        <v>6.4291935185904082E-3</v>
      </c>
      <c r="V584" t="s">
        <v>163</v>
      </c>
    </row>
    <row r="585" spans="9:22" x14ac:dyDescent="0.45">
      <c r="I585" t="s">
        <v>185</v>
      </c>
      <c r="J585" t="s">
        <v>290</v>
      </c>
      <c r="K585">
        <v>1.0924727654186263E-2</v>
      </c>
      <c r="L585" t="s">
        <v>163</v>
      </c>
      <c r="N585" t="s">
        <v>201</v>
      </c>
      <c r="O585" t="s">
        <v>290</v>
      </c>
      <c r="P585">
        <v>5.682592370026363E-3</v>
      </c>
      <c r="Q585" t="s">
        <v>163</v>
      </c>
      <c r="S585" t="s">
        <v>216</v>
      </c>
      <c r="T585" t="s">
        <v>290</v>
      </c>
      <c r="U585">
        <v>6.0135221289521323E-3</v>
      </c>
      <c r="V585" t="s">
        <v>163</v>
      </c>
    </row>
    <row r="586" spans="9:22" x14ac:dyDescent="0.45">
      <c r="I586" t="s">
        <v>185</v>
      </c>
      <c r="J586" t="s">
        <v>291</v>
      </c>
      <c r="K586">
        <v>4.1023227879827973E-3</v>
      </c>
      <c r="L586" t="s">
        <v>163</v>
      </c>
      <c r="N586" t="s">
        <v>201</v>
      </c>
      <c r="O586" t="s">
        <v>291</v>
      </c>
      <c r="P586">
        <v>2.439958627462583E-2</v>
      </c>
      <c r="Q586" t="s">
        <v>163</v>
      </c>
      <c r="S586" t="s">
        <v>216</v>
      </c>
      <c r="T586" t="s">
        <v>291</v>
      </c>
      <c r="U586">
        <v>2.7941102843352775E-2</v>
      </c>
      <c r="V586" t="s">
        <v>163</v>
      </c>
    </row>
    <row r="587" spans="9:22" x14ac:dyDescent="0.45">
      <c r="I587" t="s">
        <v>186</v>
      </c>
      <c r="J587" t="s">
        <v>162</v>
      </c>
      <c r="K587">
        <v>9.8004702223207004E-3</v>
      </c>
      <c r="L587" t="s">
        <v>163</v>
      </c>
      <c r="N587" t="s">
        <v>202</v>
      </c>
      <c r="O587" t="s">
        <v>162</v>
      </c>
      <c r="P587">
        <v>3.084723282405985E-2</v>
      </c>
      <c r="Q587" t="s">
        <v>163</v>
      </c>
      <c r="S587" t="s">
        <v>217</v>
      </c>
      <c r="T587" t="s">
        <v>162</v>
      </c>
      <c r="U587">
        <v>2.4732841006062167E-2</v>
      </c>
      <c r="V587" t="s">
        <v>163</v>
      </c>
    </row>
    <row r="588" spans="9:22" x14ac:dyDescent="0.45">
      <c r="I588" t="s">
        <v>186</v>
      </c>
      <c r="J588" t="s">
        <v>164</v>
      </c>
      <c r="K588">
        <v>4.3949579347565527E-2</v>
      </c>
      <c r="L588" t="s">
        <v>163</v>
      </c>
      <c r="N588" t="s">
        <v>202</v>
      </c>
      <c r="O588" t="s">
        <v>164</v>
      </c>
      <c r="P588">
        <v>1.8884934122020677E-2</v>
      </c>
      <c r="Q588" t="s">
        <v>163</v>
      </c>
      <c r="S588" t="s">
        <v>217</v>
      </c>
      <c r="T588" t="s">
        <v>164</v>
      </c>
      <c r="U588">
        <v>1.3695981676393422E-2</v>
      </c>
      <c r="V588" t="s">
        <v>163</v>
      </c>
    </row>
    <row r="589" spans="9:22" x14ac:dyDescent="0.45">
      <c r="I589" t="s">
        <v>186</v>
      </c>
      <c r="J589" t="s">
        <v>165</v>
      </c>
      <c r="K589">
        <v>7.3410036099189113E-2</v>
      </c>
      <c r="L589" t="s">
        <v>163</v>
      </c>
      <c r="N589" t="s">
        <v>202</v>
      </c>
      <c r="O589" t="s">
        <v>165</v>
      </c>
      <c r="P589">
        <v>4.1715712211050603E-2</v>
      </c>
      <c r="Q589" t="s">
        <v>163</v>
      </c>
      <c r="S589" t="s">
        <v>217</v>
      </c>
      <c r="T589" t="s">
        <v>165</v>
      </c>
      <c r="U589">
        <v>1.9885578234954373E-2</v>
      </c>
      <c r="V589" t="s">
        <v>163</v>
      </c>
    </row>
    <row r="590" spans="9:22" x14ac:dyDescent="0.45">
      <c r="I590" t="s">
        <v>186</v>
      </c>
      <c r="J590" t="s">
        <v>256</v>
      </c>
      <c r="K590">
        <v>9.9997574550196866E-3</v>
      </c>
      <c r="L590" t="s">
        <v>163</v>
      </c>
      <c r="N590" t="s">
        <v>202</v>
      </c>
      <c r="O590" t="s">
        <v>256</v>
      </c>
      <c r="P590">
        <v>5.6096840386403541E-3</v>
      </c>
      <c r="Q590" t="s">
        <v>163</v>
      </c>
      <c r="S590" t="s">
        <v>217</v>
      </c>
      <c r="T590" t="s">
        <v>256</v>
      </c>
      <c r="U590">
        <v>3.3043183414472074E-3</v>
      </c>
      <c r="V590" t="s">
        <v>163</v>
      </c>
    </row>
    <row r="591" spans="9:22" x14ac:dyDescent="0.45">
      <c r="I591" t="s">
        <v>186</v>
      </c>
      <c r="J591" t="s">
        <v>257</v>
      </c>
      <c r="K591">
        <v>8.4357264821257501E-3</v>
      </c>
      <c r="L591" t="s">
        <v>163</v>
      </c>
      <c r="N591" t="s">
        <v>202</v>
      </c>
      <c r="O591" t="s">
        <v>257</v>
      </c>
      <c r="P591">
        <v>4.7523659010750485E-3</v>
      </c>
      <c r="Q591" t="s">
        <v>163</v>
      </c>
      <c r="S591" t="s">
        <v>217</v>
      </c>
      <c r="T591" t="s">
        <v>257</v>
      </c>
      <c r="U591">
        <v>3.2509584872203565E-3</v>
      </c>
      <c r="V591" t="s">
        <v>163</v>
      </c>
    </row>
    <row r="592" spans="9:22" x14ac:dyDescent="0.45">
      <c r="I592" t="s">
        <v>186</v>
      </c>
      <c r="J592" t="s">
        <v>258</v>
      </c>
      <c r="K592">
        <v>5.4410028281286112E-3</v>
      </c>
      <c r="L592" t="s">
        <v>163</v>
      </c>
      <c r="N592" t="s">
        <v>202</v>
      </c>
      <c r="O592" t="s">
        <v>258</v>
      </c>
      <c r="P592">
        <v>2.160416093003846E-2</v>
      </c>
      <c r="Q592" t="s">
        <v>163</v>
      </c>
      <c r="S592" t="s">
        <v>217</v>
      </c>
      <c r="T592" t="s">
        <v>258</v>
      </c>
      <c r="U592">
        <v>1.609055933664031E-2</v>
      </c>
      <c r="V592" t="s">
        <v>163</v>
      </c>
    </row>
    <row r="593" spans="9:22" x14ac:dyDescent="0.45">
      <c r="I593" t="s">
        <v>186</v>
      </c>
      <c r="J593" t="s">
        <v>166</v>
      </c>
      <c r="K593">
        <v>4.9621981549336641E-3</v>
      </c>
      <c r="L593" t="s">
        <v>163</v>
      </c>
      <c r="N593" t="s">
        <v>202</v>
      </c>
      <c r="O593" t="s">
        <v>166</v>
      </c>
      <c r="P593">
        <v>8.2758184535614478E-3</v>
      </c>
      <c r="Q593" t="s">
        <v>163</v>
      </c>
      <c r="S593" t="s">
        <v>217</v>
      </c>
      <c r="T593" t="s">
        <v>166</v>
      </c>
      <c r="U593">
        <v>1.9146016721932207E-2</v>
      </c>
      <c r="V593" t="s">
        <v>163</v>
      </c>
    </row>
    <row r="594" spans="9:22" x14ac:dyDescent="0.45">
      <c r="I594" t="s">
        <v>186</v>
      </c>
      <c r="J594" t="s">
        <v>167</v>
      </c>
      <c r="K594">
        <v>3.7149994041470305E-2</v>
      </c>
      <c r="L594" t="s">
        <v>163</v>
      </c>
      <c r="N594" t="s">
        <v>202</v>
      </c>
      <c r="O594" t="s">
        <v>167</v>
      </c>
      <c r="P594">
        <v>3.4715389835871381E-3</v>
      </c>
      <c r="Q594" t="s">
        <v>163</v>
      </c>
      <c r="S594" t="s">
        <v>217</v>
      </c>
      <c r="T594" t="s">
        <v>167</v>
      </c>
      <c r="U594">
        <v>1.0310761637381854E-2</v>
      </c>
      <c r="V594" t="s">
        <v>163</v>
      </c>
    </row>
    <row r="595" spans="9:22" x14ac:dyDescent="0.45">
      <c r="I595" t="s">
        <v>186</v>
      </c>
      <c r="J595" t="s">
        <v>168</v>
      </c>
      <c r="K595">
        <v>6.2133541738378713E-2</v>
      </c>
      <c r="L595" t="s">
        <v>163</v>
      </c>
      <c r="N595" t="s">
        <v>202</v>
      </c>
      <c r="O595" t="s">
        <v>168</v>
      </c>
      <c r="P595">
        <v>7.3490462503780123E-3</v>
      </c>
      <c r="Q595" t="s">
        <v>163</v>
      </c>
      <c r="S595" t="s">
        <v>217</v>
      </c>
      <c r="T595" t="s">
        <v>168</v>
      </c>
      <c r="U595">
        <v>1.6333535323388073E-2</v>
      </c>
      <c r="V595" t="s">
        <v>163</v>
      </c>
    </row>
    <row r="596" spans="9:22" x14ac:dyDescent="0.45">
      <c r="I596" t="s">
        <v>186</v>
      </c>
      <c r="J596" t="s">
        <v>259</v>
      </c>
      <c r="K596">
        <v>8.2902377758074988E-3</v>
      </c>
      <c r="L596" t="s">
        <v>163</v>
      </c>
      <c r="N596" t="s">
        <v>202</v>
      </c>
      <c r="O596" t="s">
        <v>259</v>
      </c>
      <c r="P596">
        <v>1.013319861896891E-3</v>
      </c>
      <c r="Q596" t="s">
        <v>163</v>
      </c>
      <c r="S596" t="s">
        <v>217</v>
      </c>
      <c r="T596" t="s">
        <v>259</v>
      </c>
      <c r="U596">
        <v>2.738239892841061E-3</v>
      </c>
      <c r="V596" t="s">
        <v>163</v>
      </c>
    </row>
    <row r="597" spans="9:22" x14ac:dyDescent="0.45">
      <c r="I597" t="s">
        <v>186</v>
      </c>
      <c r="J597" t="s">
        <v>260</v>
      </c>
      <c r="K597">
        <v>6.6326526502750996E-3</v>
      </c>
      <c r="L597" t="s">
        <v>163</v>
      </c>
      <c r="N597" t="s">
        <v>202</v>
      </c>
      <c r="O597" t="s">
        <v>260</v>
      </c>
      <c r="P597">
        <v>8.4314014699707904E-4</v>
      </c>
      <c r="Q597" t="s">
        <v>163</v>
      </c>
      <c r="S597" t="s">
        <v>217</v>
      </c>
      <c r="T597" t="s">
        <v>260</v>
      </c>
      <c r="U597">
        <v>2.8040924183898698E-3</v>
      </c>
      <c r="V597" t="s">
        <v>163</v>
      </c>
    </row>
    <row r="598" spans="9:22" x14ac:dyDescent="0.45">
      <c r="I598" t="s">
        <v>186</v>
      </c>
      <c r="J598" t="s">
        <v>261</v>
      </c>
      <c r="K598">
        <v>2.726933391547128E-3</v>
      </c>
      <c r="L598" t="s">
        <v>163</v>
      </c>
      <c r="N598" t="s">
        <v>202</v>
      </c>
      <c r="O598" t="s">
        <v>261</v>
      </c>
      <c r="P598">
        <v>4.8118704933755941E-3</v>
      </c>
      <c r="Q598" t="s">
        <v>163</v>
      </c>
      <c r="S598" t="s">
        <v>217</v>
      </c>
      <c r="T598" t="s">
        <v>261</v>
      </c>
      <c r="U598">
        <v>1.4104582678227161E-2</v>
      </c>
      <c r="V598" t="s">
        <v>163</v>
      </c>
    </row>
    <row r="599" spans="9:22" x14ac:dyDescent="0.45">
      <c r="I599" t="s">
        <v>186</v>
      </c>
      <c r="J599" t="s">
        <v>169</v>
      </c>
      <c r="K599">
        <v>4.8590255878886313E-4</v>
      </c>
      <c r="L599" t="s">
        <v>163</v>
      </c>
      <c r="N599" t="s">
        <v>202</v>
      </c>
      <c r="O599" t="s">
        <v>169</v>
      </c>
      <c r="P599">
        <v>1.1762497153529996E-2</v>
      </c>
      <c r="Q599" t="s">
        <v>163</v>
      </c>
      <c r="S599" t="s">
        <v>217</v>
      </c>
      <c r="T599" t="s">
        <v>169</v>
      </c>
      <c r="U599">
        <v>1.9313755126550199E-2</v>
      </c>
      <c r="V599" t="s">
        <v>163</v>
      </c>
    </row>
    <row r="600" spans="9:22" x14ac:dyDescent="0.45">
      <c r="I600" t="s">
        <v>186</v>
      </c>
      <c r="J600" t="s">
        <v>170</v>
      </c>
      <c r="K600">
        <v>2.578825539757176E-2</v>
      </c>
      <c r="L600" t="s">
        <v>163</v>
      </c>
      <c r="N600" t="s">
        <v>202</v>
      </c>
      <c r="O600" t="s">
        <v>170</v>
      </c>
      <c r="P600">
        <v>5.9759923457386663E-3</v>
      </c>
      <c r="Q600" t="s">
        <v>163</v>
      </c>
      <c r="S600" t="s">
        <v>217</v>
      </c>
      <c r="T600" t="s">
        <v>170</v>
      </c>
      <c r="U600">
        <v>9.9571666792329493E-3</v>
      </c>
      <c r="V600" t="s">
        <v>163</v>
      </c>
    </row>
    <row r="601" spans="9:22" x14ac:dyDescent="0.45">
      <c r="I601" t="s">
        <v>186</v>
      </c>
      <c r="J601" t="s">
        <v>171</v>
      </c>
      <c r="K601">
        <v>4.899911942339371E-2</v>
      </c>
      <c r="L601" t="s">
        <v>163</v>
      </c>
      <c r="N601" t="s">
        <v>202</v>
      </c>
      <c r="O601" t="s">
        <v>171</v>
      </c>
      <c r="P601">
        <v>1.4527748571235052E-2</v>
      </c>
      <c r="Q601" t="s">
        <v>163</v>
      </c>
      <c r="S601" t="s">
        <v>217</v>
      </c>
      <c r="T601" t="s">
        <v>171</v>
      </c>
      <c r="U601">
        <v>1.6558535796570892E-2</v>
      </c>
      <c r="V601" t="s">
        <v>163</v>
      </c>
    </row>
    <row r="602" spans="9:22" x14ac:dyDescent="0.45">
      <c r="I602" t="s">
        <v>186</v>
      </c>
      <c r="J602" t="s">
        <v>262</v>
      </c>
      <c r="K602">
        <v>5.9184543551179169E-3</v>
      </c>
      <c r="L602" t="s">
        <v>163</v>
      </c>
      <c r="N602" t="s">
        <v>202</v>
      </c>
      <c r="O602" t="s">
        <v>262</v>
      </c>
      <c r="P602">
        <v>1.9939480544942795E-3</v>
      </c>
      <c r="Q602" t="s">
        <v>163</v>
      </c>
      <c r="S602" t="s">
        <v>217</v>
      </c>
      <c r="T602" t="s">
        <v>262</v>
      </c>
      <c r="U602">
        <v>2.9780429108499026E-3</v>
      </c>
      <c r="V602" t="s">
        <v>163</v>
      </c>
    </row>
    <row r="603" spans="9:22" x14ac:dyDescent="0.45">
      <c r="I603" t="s">
        <v>186</v>
      </c>
      <c r="J603" t="s">
        <v>263</v>
      </c>
      <c r="K603">
        <v>3.0387328633165456E-3</v>
      </c>
      <c r="L603" t="s">
        <v>163</v>
      </c>
      <c r="N603" t="s">
        <v>202</v>
      </c>
      <c r="O603" t="s">
        <v>263</v>
      </c>
      <c r="P603">
        <v>1.8307440103109652E-3</v>
      </c>
      <c r="Q603" t="s">
        <v>163</v>
      </c>
      <c r="S603" t="s">
        <v>217</v>
      </c>
      <c r="T603" t="s">
        <v>263</v>
      </c>
      <c r="U603">
        <v>3.0561890233099208E-3</v>
      </c>
      <c r="V603" t="s">
        <v>163</v>
      </c>
    </row>
    <row r="604" spans="9:22" x14ac:dyDescent="0.45">
      <c r="I604" t="s">
        <v>186</v>
      </c>
      <c r="J604" t="s">
        <v>264</v>
      </c>
      <c r="K604">
        <v>0</v>
      </c>
      <c r="L604" t="s">
        <v>163</v>
      </c>
      <c r="N604" t="s">
        <v>202</v>
      </c>
      <c r="O604" t="s">
        <v>264</v>
      </c>
      <c r="P604">
        <v>8.7033896228036738E-3</v>
      </c>
      <c r="Q604" t="s">
        <v>163</v>
      </c>
      <c r="S604" t="s">
        <v>217</v>
      </c>
      <c r="T604" t="s">
        <v>264</v>
      </c>
      <c r="U604">
        <v>1.5120728516727577E-2</v>
      </c>
      <c r="V604" t="s">
        <v>163</v>
      </c>
    </row>
    <row r="605" spans="9:22" x14ac:dyDescent="0.45">
      <c r="I605" t="s">
        <v>186</v>
      </c>
      <c r="J605" t="s">
        <v>172</v>
      </c>
      <c r="K605">
        <v>0</v>
      </c>
      <c r="L605" t="s">
        <v>163</v>
      </c>
      <c r="N605" t="s">
        <v>202</v>
      </c>
      <c r="O605" t="s">
        <v>172</v>
      </c>
      <c r="P605">
        <v>4.8357674696335069E-2</v>
      </c>
      <c r="Q605" t="s">
        <v>163</v>
      </c>
      <c r="S605" t="s">
        <v>217</v>
      </c>
      <c r="T605" t="s">
        <v>172</v>
      </c>
      <c r="U605">
        <v>5.5643638174273799E-2</v>
      </c>
      <c r="V605" t="s">
        <v>163</v>
      </c>
    </row>
    <row r="606" spans="9:22" x14ac:dyDescent="0.45">
      <c r="I606" t="s">
        <v>186</v>
      </c>
      <c r="J606" t="s">
        <v>173</v>
      </c>
      <c r="K606">
        <v>2.8621555684472843E-2</v>
      </c>
      <c r="L606" t="s">
        <v>163</v>
      </c>
      <c r="N606" t="s">
        <v>202</v>
      </c>
      <c r="O606" t="s">
        <v>173</v>
      </c>
      <c r="P606">
        <v>2.239915664764771E-2</v>
      </c>
      <c r="Q606" t="s">
        <v>163</v>
      </c>
      <c r="S606" t="s">
        <v>217</v>
      </c>
      <c r="T606" t="s">
        <v>173</v>
      </c>
      <c r="U606">
        <v>3.1528023106814226E-2</v>
      </c>
      <c r="V606" t="s">
        <v>163</v>
      </c>
    </row>
    <row r="607" spans="9:22" x14ac:dyDescent="0.45">
      <c r="I607" t="s">
        <v>186</v>
      </c>
      <c r="J607" t="s">
        <v>174</v>
      </c>
      <c r="K607">
        <v>5.7294988543536221E-2</v>
      </c>
      <c r="L607" t="s">
        <v>163</v>
      </c>
      <c r="N607" t="s">
        <v>202</v>
      </c>
      <c r="O607" t="s">
        <v>174</v>
      </c>
      <c r="P607">
        <v>3.9664996995191923E-2</v>
      </c>
      <c r="Q607" t="s">
        <v>163</v>
      </c>
      <c r="S607" t="s">
        <v>217</v>
      </c>
      <c r="T607" t="s">
        <v>174</v>
      </c>
      <c r="U607">
        <v>4.5932441141495695E-2</v>
      </c>
      <c r="V607" t="s">
        <v>163</v>
      </c>
    </row>
    <row r="608" spans="9:22" x14ac:dyDescent="0.45">
      <c r="I608" t="s">
        <v>186</v>
      </c>
      <c r="J608" t="s">
        <v>265</v>
      </c>
      <c r="K608">
        <v>3.6162917425553412E-3</v>
      </c>
      <c r="L608" t="s">
        <v>163</v>
      </c>
      <c r="N608" t="s">
        <v>202</v>
      </c>
      <c r="O608" t="s">
        <v>265</v>
      </c>
      <c r="P608">
        <v>6.4013966897552149E-3</v>
      </c>
      <c r="Q608" t="s">
        <v>163</v>
      </c>
      <c r="S608" t="s">
        <v>217</v>
      </c>
      <c r="T608" t="s">
        <v>265</v>
      </c>
      <c r="U608">
        <v>7.6406380655779076E-3</v>
      </c>
      <c r="V608" t="s">
        <v>163</v>
      </c>
    </row>
    <row r="609" spans="9:22" x14ac:dyDescent="0.45">
      <c r="I609" t="s">
        <v>186</v>
      </c>
      <c r="J609" t="s">
        <v>266</v>
      </c>
      <c r="K609">
        <v>0</v>
      </c>
      <c r="L609" t="s">
        <v>163</v>
      </c>
      <c r="N609" t="s">
        <v>202</v>
      </c>
      <c r="O609" t="s">
        <v>266</v>
      </c>
      <c r="P609">
        <v>6.1956681011670692E-3</v>
      </c>
      <c r="Q609" t="s">
        <v>163</v>
      </c>
      <c r="S609" t="s">
        <v>217</v>
      </c>
      <c r="T609" t="s">
        <v>266</v>
      </c>
      <c r="U609">
        <v>7.6501272734189165E-3</v>
      </c>
      <c r="V609" t="s">
        <v>163</v>
      </c>
    </row>
    <row r="610" spans="9:22" x14ac:dyDescent="0.45">
      <c r="I610" t="s">
        <v>186</v>
      </c>
      <c r="J610" t="s">
        <v>267</v>
      </c>
      <c r="K610">
        <v>0</v>
      </c>
      <c r="L610" t="s">
        <v>163</v>
      </c>
      <c r="N610" t="s">
        <v>202</v>
      </c>
      <c r="O610" t="s">
        <v>267</v>
      </c>
      <c r="P610">
        <v>2.9798163842051067E-2</v>
      </c>
      <c r="Q610" t="s">
        <v>163</v>
      </c>
      <c r="S610" t="s">
        <v>217</v>
      </c>
      <c r="T610" t="s">
        <v>267</v>
      </c>
      <c r="U610">
        <v>3.8404881104856486E-2</v>
      </c>
      <c r="V610" t="s">
        <v>163</v>
      </c>
    </row>
    <row r="611" spans="9:22" x14ac:dyDescent="0.45">
      <c r="I611" t="s">
        <v>186</v>
      </c>
      <c r="J611" t="s">
        <v>268</v>
      </c>
      <c r="K611">
        <v>0</v>
      </c>
      <c r="L611" t="s">
        <v>163</v>
      </c>
      <c r="N611" t="s">
        <v>202</v>
      </c>
      <c r="O611" t="s">
        <v>268</v>
      </c>
      <c r="P611">
        <v>1.9325228665810452E-2</v>
      </c>
      <c r="Q611" t="s">
        <v>163</v>
      </c>
      <c r="S611" t="s">
        <v>217</v>
      </c>
      <c r="T611" t="s">
        <v>268</v>
      </c>
      <c r="U611">
        <v>2.3630493928983448E-2</v>
      </c>
      <c r="V611" t="s">
        <v>163</v>
      </c>
    </row>
    <row r="612" spans="9:22" x14ac:dyDescent="0.45">
      <c r="I612" t="s">
        <v>186</v>
      </c>
      <c r="J612" t="s">
        <v>269</v>
      </c>
      <c r="K612">
        <v>7.2316106539265824E-3</v>
      </c>
      <c r="L612" t="s">
        <v>163</v>
      </c>
      <c r="N612" t="s">
        <v>202</v>
      </c>
      <c r="O612" t="s">
        <v>269</v>
      </c>
      <c r="P612">
        <v>9.6656565830672315E-3</v>
      </c>
      <c r="Q612" t="s">
        <v>163</v>
      </c>
      <c r="S612" t="s">
        <v>217</v>
      </c>
      <c r="T612" t="s">
        <v>269</v>
      </c>
      <c r="U612">
        <v>1.3574065363552528E-2</v>
      </c>
      <c r="V612" t="s">
        <v>163</v>
      </c>
    </row>
    <row r="613" spans="9:22" x14ac:dyDescent="0.45">
      <c r="I613" t="s">
        <v>186</v>
      </c>
      <c r="J613" t="s">
        <v>270</v>
      </c>
      <c r="K613">
        <v>1.803533298447578E-2</v>
      </c>
      <c r="L613" t="s">
        <v>163</v>
      </c>
      <c r="N613" t="s">
        <v>202</v>
      </c>
      <c r="O613" t="s">
        <v>270</v>
      </c>
      <c r="P613">
        <v>1.8624563653044116E-2</v>
      </c>
      <c r="Q613" t="s">
        <v>163</v>
      </c>
      <c r="S613" t="s">
        <v>217</v>
      </c>
      <c r="T613" t="s">
        <v>270</v>
      </c>
      <c r="U613">
        <v>2.0767253631381599E-2</v>
      </c>
      <c r="V613" t="s">
        <v>163</v>
      </c>
    </row>
    <row r="614" spans="9:22" x14ac:dyDescent="0.45">
      <c r="I614" t="s">
        <v>186</v>
      </c>
      <c r="J614" t="s">
        <v>271</v>
      </c>
      <c r="K614">
        <v>0</v>
      </c>
      <c r="L614" t="s">
        <v>163</v>
      </c>
      <c r="N614" t="s">
        <v>202</v>
      </c>
      <c r="O614" t="s">
        <v>271</v>
      </c>
      <c r="P614">
        <v>3.2684298528021837E-3</v>
      </c>
      <c r="Q614" t="s">
        <v>163</v>
      </c>
      <c r="S614" t="s">
        <v>217</v>
      </c>
      <c r="T614" t="s">
        <v>271</v>
      </c>
      <c r="U614">
        <v>3.4348807402839617E-3</v>
      </c>
      <c r="V614" t="s">
        <v>163</v>
      </c>
    </row>
    <row r="615" spans="9:22" x14ac:dyDescent="0.45">
      <c r="I615" t="s">
        <v>186</v>
      </c>
      <c r="J615" t="s">
        <v>272</v>
      </c>
      <c r="K615">
        <v>0</v>
      </c>
      <c r="L615" t="s">
        <v>163</v>
      </c>
      <c r="N615" t="s">
        <v>202</v>
      </c>
      <c r="O615" t="s">
        <v>272</v>
      </c>
      <c r="P615">
        <v>3.3046339338901544E-3</v>
      </c>
      <c r="Q615" t="s">
        <v>163</v>
      </c>
      <c r="S615" t="s">
        <v>217</v>
      </c>
      <c r="T615" t="s">
        <v>272</v>
      </c>
      <c r="U615">
        <v>3.4268699040939971E-3</v>
      </c>
      <c r="V615" t="s">
        <v>163</v>
      </c>
    </row>
    <row r="616" spans="9:22" x14ac:dyDescent="0.45">
      <c r="I616" t="s">
        <v>186</v>
      </c>
      <c r="J616" t="s">
        <v>273</v>
      </c>
      <c r="K616">
        <v>0</v>
      </c>
      <c r="L616" t="s">
        <v>163</v>
      </c>
      <c r="N616" t="s">
        <v>202</v>
      </c>
      <c r="O616" t="s">
        <v>273</v>
      </c>
      <c r="P616">
        <v>1.5322500863095069E-2</v>
      </c>
      <c r="Q616" t="s">
        <v>163</v>
      </c>
      <c r="S616" t="s">
        <v>217</v>
      </c>
      <c r="T616" t="s">
        <v>273</v>
      </c>
      <c r="U616">
        <v>1.7375779880388287E-2</v>
      </c>
      <c r="V616" t="s">
        <v>163</v>
      </c>
    </row>
    <row r="617" spans="9:22" x14ac:dyDescent="0.45">
      <c r="I617" t="s">
        <v>186</v>
      </c>
      <c r="J617" t="s">
        <v>274</v>
      </c>
      <c r="K617">
        <v>4.5721840421858424E-4</v>
      </c>
      <c r="L617" t="s">
        <v>163</v>
      </c>
      <c r="N617" t="s">
        <v>202</v>
      </c>
      <c r="O617" t="s">
        <v>274</v>
      </c>
      <c r="P617">
        <v>9.015644568210765E-2</v>
      </c>
      <c r="Q617" t="s">
        <v>163</v>
      </c>
      <c r="S617" t="s">
        <v>217</v>
      </c>
      <c r="T617" t="s">
        <v>274</v>
      </c>
      <c r="U617">
        <v>8.0366998483211147E-2</v>
      </c>
      <c r="V617" t="s">
        <v>163</v>
      </c>
    </row>
    <row r="618" spans="9:22" x14ac:dyDescent="0.45">
      <c r="I618" t="s">
        <v>186</v>
      </c>
      <c r="J618" t="s">
        <v>275</v>
      </c>
      <c r="K618">
        <v>5.143943174393082E-2</v>
      </c>
      <c r="L618" t="s">
        <v>163</v>
      </c>
      <c r="N618" t="s">
        <v>202</v>
      </c>
      <c r="O618" t="s">
        <v>275</v>
      </c>
      <c r="P618">
        <v>4.3285976118008655E-2</v>
      </c>
      <c r="Q618" t="s">
        <v>163</v>
      </c>
      <c r="S618" t="s">
        <v>217</v>
      </c>
      <c r="T618" t="s">
        <v>275</v>
      </c>
      <c r="U618">
        <v>4.4618723639762131E-2</v>
      </c>
      <c r="V618" t="s">
        <v>163</v>
      </c>
    </row>
    <row r="619" spans="9:22" x14ac:dyDescent="0.45">
      <c r="I619" t="s">
        <v>186</v>
      </c>
      <c r="J619" t="s">
        <v>276</v>
      </c>
      <c r="K619">
        <v>0.10429951102834174</v>
      </c>
      <c r="L619" t="s">
        <v>163</v>
      </c>
      <c r="N619" t="s">
        <v>202</v>
      </c>
      <c r="O619" t="s">
        <v>276</v>
      </c>
      <c r="P619">
        <v>7.918965431207492E-2</v>
      </c>
      <c r="Q619" t="s">
        <v>163</v>
      </c>
      <c r="S619" t="s">
        <v>217</v>
      </c>
      <c r="T619" t="s">
        <v>276</v>
      </c>
      <c r="U619">
        <v>6.6242610569680269E-2</v>
      </c>
      <c r="V619" t="s">
        <v>163</v>
      </c>
    </row>
    <row r="620" spans="9:22" x14ac:dyDescent="0.45">
      <c r="I620" t="s">
        <v>186</v>
      </c>
      <c r="J620" t="s">
        <v>277</v>
      </c>
      <c r="K620">
        <v>8.3453891465247003E-3</v>
      </c>
      <c r="L620" t="s">
        <v>163</v>
      </c>
      <c r="N620" t="s">
        <v>202</v>
      </c>
      <c r="O620" t="s">
        <v>277</v>
      </c>
      <c r="P620">
        <v>1.2291101133543975E-2</v>
      </c>
      <c r="Q620" t="s">
        <v>163</v>
      </c>
      <c r="S620" t="s">
        <v>217</v>
      </c>
      <c r="T620" t="s">
        <v>277</v>
      </c>
      <c r="U620">
        <v>1.073518853018912E-2</v>
      </c>
      <c r="V620" t="s">
        <v>163</v>
      </c>
    </row>
    <row r="621" spans="9:22" x14ac:dyDescent="0.45">
      <c r="I621" t="s">
        <v>186</v>
      </c>
      <c r="J621" t="s">
        <v>278</v>
      </c>
      <c r="K621">
        <v>2.9362694483487745E-4</v>
      </c>
      <c r="L621" t="s">
        <v>163</v>
      </c>
      <c r="N621" t="s">
        <v>202</v>
      </c>
      <c r="O621" t="s">
        <v>278</v>
      </c>
      <c r="P621">
        <v>1.1666343379583314E-2</v>
      </c>
      <c r="Q621" t="s">
        <v>163</v>
      </c>
      <c r="S621" t="s">
        <v>217</v>
      </c>
      <c r="T621" t="s">
        <v>278</v>
      </c>
      <c r="U621">
        <v>1.0776218359796254E-2</v>
      </c>
      <c r="V621" t="s">
        <v>163</v>
      </c>
    </row>
    <row r="622" spans="9:22" x14ac:dyDescent="0.45">
      <c r="I622" t="s">
        <v>186</v>
      </c>
      <c r="J622" t="s">
        <v>279</v>
      </c>
      <c r="K622">
        <v>0</v>
      </c>
      <c r="L622" t="s">
        <v>163</v>
      </c>
      <c r="N622" t="s">
        <v>202</v>
      </c>
      <c r="O622" t="s">
        <v>279</v>
      </c>
      <c r="P622">
        <v>5.8968015009592062E-2</v>
      </c>
      <c r="Q622" t="s">
        <v>163</v>
      </c>
      <c r="S622" t="s">
        <v>217</v>
      </c>
      <c r="T622" t="s">
        <v>279</v>
      </c>
      <c r="U622">
        <v>5.5441462108522577E-2</v>
      </c>
      <c r="V622" t="s">
        <v>163</v>
      </c>
    </row>
    <row r="623" spans="9:22" x14ac:dyDescent="0.45">
      <c r="I623" t="s">
        <v>186</v>
      </c>
      <c r="J623" t="s">
        <v>280</v>
      </c>
      <c r="K623">
        <v>5.923476720890556E-3</v>
      </c>
      <c r="L623" t="s">
        <v>163</v>
      </c>
      <c r="N623" t="s">
        <v>202</v>
      </c>
      <c r="O623" t="s">
        <v>280</v>
      </c>
      <c r="P623">
        <v>4.3992627699099361E-2</v>
      </c>
      <c r="Q623" t="s">
        <v>163</v>
      </c>
      <c r="S623" t="s">
        <v>217</v>
      </c>
      <c r="T623" t="s">
        <v>280</v>
      </c>
      <c r="U623">
        <v>3.0935515394399409E-2</v>
      </c>
      <c r="V623" t="s">
        <v>163</v>
      </c>
    </row>
    <row r="624" spans="9:22" x14ac:dyDescent="0.45">
      <c r="I624" t="s">
        <v>186</v>
      </c>
      <c r="J624" t="s">
        <v>281</v>
      </c>
      <c r="K624">
        <v>3.7122875895711289E-2</v>
      </c>
      <c r="L624" t="s">
        <v>163</v>
      </c>
      <c r="N624" t="s">
        <v>202</v>
      </c>
      <c r="O624" t="s">
        <v>281</v>
      </c>
      <c r="P624">
        <v>2.5225488740595287E-2</v>
      </c>
      <c r="Q624" t="s">
        <v>163</v>
      </c>
      <c r="S624" t="s">
        <v>217</v>
      </c>
      <c r="T624" t="s">
        <v>281</v>
      </c>
      <c r="U624">
        <v>1.7572926631604521E-2</v>
      </c>
      <c r="V624" t="s">
        <v>163</v>
      </c>
    </row>
    <row r="625" spans="9:22" x14ac:dyDescent="0.45">
      <c r="I625" t="s">
        <v>186</v>
      </c>
      <c r="J625" t="s">
        <v>282</v>
      </c>
      <c r="K625">
        <v>5.8457494345351989E-2</v>
      </c>
      <c r="L625" t="s">
        <v>163</v>
      </c>
      <c r="N625" t="s">
        <v>202</v>
      </c>
      <c r="O625" t="s">
        <v>282</v>
      </c>
      <c r="P625">
        <v>4.9632320873343856E-2</v>
      </c>
      <c r="Q625" t="s">
        <v>163</v>
      </c>
      <c r="S625" t="s">
        <v>217</v>
      </c>
      <c r="T625" t="s">
        <v>282</v>
      </c>
      <c r="U625">
        <v>2.4849386402485421E-2</v>
      </c>
      <c r="V625" t="s">
        <v>163</v>
      </c>
    </row>
    <row r="626" spans="9:22" x14ac:dyDescent="0.45">
      <c r="I626" t="s">
        <v>186</v>
      </c>
      <c r="J626" t="s">
        <v>283</v>
      </c>
      <c r="K626">
        <v>6.9507673561605985E-3</v>
      </c>
      <c r="L626" t="s">
        <v>163</v>
      </c>
      <c r="N626" t="s">
        <v>202</v>
      </c>
      <c r="O626" t="s">
        <v>283</v>
      </c>
      <c r="P626">
        <v>7.3063462951719659E-3</v>
      </c>
      <c r="Q626" t="s">
        <v>163</v>
      </c>
      <c r="S626" t="s">
        <v>217</v>
      </c>
      <c r="T626" t="s">
        <v>283</v>
      </c>
      <c r="U626">
        <v>4.0081615066770914E-3</v>
      </c>
      <c r="V626" t="s">
        <v>163</v>
      </c>
    </row>
    <row r="627" spans="9:22" x14ac:dyDescent="0.45">
      <c r="I627" t="s">
        <v>186</v>
      </c>
      <c r="J627" t="s">
        <v>284</v>
      </c>
      <c r="K627">
        <v>4.7718450207092523E-3</v>
      </c>
      <c r="L627" t="s">
        <v>163</v>
      </c>
      <c r="N627" t="s">
        <v>202</v>
      </c>
      <c r="O627" t="s">
        <v>284</v>
      </c>
      <c r="P627">
        <v>7.3364372670507976E-3</v>
      </c>
      <c r="Q627" t="s">
        <v>163</v>
      </c>
      <c r="S627" t="s">
        <v>217</v>
      </c>
      <c r="T627" t="s">
        <v>284</v>
      </c>
      <c r="U627">
        <v>4.0095881548222285E-3</v>
      </c>
      <c r="V627" t="s">
        <v>163</v>
      </c>
    </row>
    <row r="628" spans="9:22" x14ac:dyDescent="0.45">
      <c r="I628" t="s">
        <v>186</v>
      </c>
      <c r="J628" t="s">
        <v>285</v>
      </c>
      <c r="K628">
        <v>0</v>
      </c>
      <c r="L628" t="s">
        <v>163</v>
      </c>
      <c r="N628" t="s">
        <v>202</v>
      </c>
      <c r="O628" t="s">
        <v>285</v>
      </c>
      <c r="P628">
        <v>3.2737632269379979E-2</v>
      </c>
      <c r="Q628" t="s">
        <v>163</v>
      </c>
      <c r="S628" t="s">
        <v>217</v>
      </c>
      <c r="T628" t="s">
        <v>285</v>
      </c>
      <c r="U628">
        <v>1.9782508073854871E-2</v>
      </c>
      <c r="V628" t="s">
        <v>163</v>
      </c>
    </row>
    <row r="629" spans="9:22" x14ac:dyDescent="0.45">
      <c r="I629" t="s">
        <v>186</v>
      </c>
      <c r="J629" t="s">
        <v>286</v>
      </c>
      <c r="K629">
        <v>1.8985846721786874E-2</v>
      </c>
      <c r="L629" t="s">
        <v>163</v>
      </c>
      <c r="N629" t="s">
        <v>202</v>
      </c>
      <c r="O629" t="s">
        <v>286</v>
      </c>
      <c r="P629">
        <v>2.9387869774383332E-2</v>
      </c>
      <c r="Q629" t="s">
        <v>163</v>
      </c>
      <c r="S629" t="s">
        <v>217</v>
      </c>
      <c r="T629" t="s">
        <v>286</v>
      </c>
      <c r="U629">
        <v>4.1785871737382053E-2</v>
      </c>
      <c r="V629" t="s">
        <v>163</v>
      </c>
    </row>
    <row r="630" spans="9:22" x14ac:dyDescent="0.45">
      <c r="I630" t="s">
        <v>186</v>
      </c>
      <c r="J630" t="s">
        <v>287</v>
      </c>
      <c r="K630">
        <v>7.6998722547808207E-2</v>
      </c>
      <c r="L630" t="s">
        <v>163</v>
      </c>
      <c r="N630" t="s">
        <v>202</v>
      </c>
      <c r="O630" t="s">
        <v>287</v>
      </c>
      <c r="P630">
        <v>2.0259789507420599E-2</v>
      </c>
      <c r="Q630" t="s">
        <v>163</v>
      </c>
      <c r="S630" t="s">
        <v>217</v>
      </c>
      <c r="T630" t="s">
        <v>287</v>
      </c>
      <c r="U630">
        <v>2.5335392081438143E-2</v>
      </c>
      <c r="V630" t="s">
        <v>163</v>
      </c>
    </row>
    <row r="631" spans="9:22" x14ac:dyDescent="0.45">
      <c r="I631" t="s">
        <v>186</v>
      </c>
      <c r="J631" t="s">
        <v>288</v>
      </c>
      <c r="K631">
        <v>0.12304060007140553</v>
      </c>
      <c r="L631" t="s">
        <v>163</v>
      </c>
      <c r="N631" t="s">
        <v>202</v>
      </c>
      <c r="O631" t="s">
        <v>288</v>
      </c>
      <c r="P631">
        <v>4.1262061428438183E-2</v>
      </c>
      <c r="Q631" t="s">
        <v>163</v>
      </c>
      <c r="S631" t="s">
        <v>217</v>
      </c>
      <c r="T631" t="s">
        <v>288</v>
      </c>
      <c r="U631">
        <v>3.85118802418047E-2</v>
      </c>
      <c r="V631" t="s">
        <v>163</v>
      </c>
    </row>
    <row r="632" spans="9:22" x14ac:dyDescent="0.45">
      <c r="I632" t="s">
        <v>186</v>
      </c>
      <c r="J632" t="s">
        <v>289</v>
      </c>
      <c r="K632">
        <v>1.4345273699341656E-2</v>
      </c>
      <c r="L632" t="s">
        <v>163</v>
      </c>
      <c r="N632" t="s">
        <v>202</v>
      </c>
      <c r="O632" t="s">
        <v>289</v>
      </c>
      <c r="P632">
        <v>5.3064123461391286E-3</v>
      </c>
      <c r="Q632" t="s">
        <v>163</v>
      </c>
      <c r="S632" t="s">
        <v>217</v>
      </c>
      <c r="T632" t="s">
        <v>289</v>
      </c>
      <c r="U632">
        <v>6.2426114266501548E-3</v>
      </c>
      <c r="V632" t="s">
        <v>163</v>
      </c>
    </row>
    <row r="633" spans="9:22" x14ac:dyDescent="0.45">
      <c r="I633" t="s">
        <v>186</v>
      </c>
      <c r="J633" t="s">
        <v>290</v>
      </c>
      <c r="K633">
        <v>1.1233169627808771E-2</v>
      </c>
      <c r="L633" t="s">
        <v>163</v>
      </c>
      <c r="N633" t="s">
        <v>202</v>
      </c>
      <c r="O633" t="s">
        <v>290</v>
      </c>
      <c r="P633">
        <v>4.7153378753077534E-3</v>
      </c>
      <c r="Q633" t="s">
        <v>163</v>
      </c>
      <c r="S633" t="s">
        <v>217</v>
      </c>
      <c r="T633" t="s">
        <v>290</v>
      </c>
      <c r="U633">
        <v>6.1208900653655328E-3</v>
      </c>
      <c r="V633" t="s">
        <v>163</v>
      </c>
    </row>
    <row r="634" spans="9:22" x14ac:dyDescent="0.45">
      <c r="I634" t="s">
        <v>186</v>
      </c>
      <c r="J634" t="s">
        <v>291</v>
      </c>
      <c r="K634">
        <v>5.3723763312593306E-3</v>
      </c>
      <c r="L634" t="s">
        <v>163</v>
      </c>
      <c r="N634" t="s">
        <v>202</v>
      </c>
      <c r="O634" t="s">
        <v>291</v>
      </c>
      <c r="P634">
        <v>2.0978925790106663E-2</v>
      </c>
      <c r="Q634" t="s">
        <v>163</v>
      </c>
      <c r="S634" t="s">
        <v>217</v>
      </c>
      <c r="T634" t="s">
        <v>291</v>
      </c>
      <c r="U634">
        <v>3.0273090469109358E-2</v>
      </c>
      <c r="V634" t="s">
        <v>163</v>
      </c>
    </row>
    <row r="635" spans="9:22" x14ac:dyDescent="0.45">
      <c r="I635" t="s">
        <v>187</v>
      </c>
      <c r="J635" t="s">
        <v>162</v>
      </c>
      <c r="K635">
        <v>7.8689247455969308E-3</v>
      </c>
      <c r="L635" t="s">
        <v>163</v>
      </c>
      <c r="N635" t="s">
        <v>203</v>
      </c>
      <c r="O635" t="s">
        <v>162</v>
      </c>
      <c r="P635">
        <v>3.0234411892928473E-2</v>
      </c>
      <c r="Q635" t="s">
        <v>163</v>
      </c>
      <c r="S635" t="s">
        <v>218</v>
      </c>
      <c r="T635" t="s">
        <v>162</v>
      </c>
      <c r="U635">
        <v>2.7622189813516242E-2</v>
      </c>
      <c r="V635" t="s">
        <v>163</v>
      </c>
    </row>
    <row r="636" spans="9:22" x14ac:dyDescent="0.45">
      <c r="I636" t="s">
        <v>187</v>
      </c>
      <c r="J636" t="s">
        <v>164</v>
      </c>
      <c r="K636">
        <v>4.2206940841194265E-2</v>
      </c>
      <c r="L636" t="s">
        <v>163</v>
      </c>
      <c r="N636" t="s">
        <v>203</v>
      </c>
      <c r="O636" t="s">
        <v>164</v>
      </c>
      <c r="P636">
        <v>1.8589164763721654E-2</v>
      </c>
      <c r="Q636" t="s">
        <v>163</v>
      </c>
      <c r="S636" t="s">
        <v>218</v>
      </c>
      <c r="T636" t="s">
        <v>164</v>
      </c>
      <c r="U636">
        <v>1.498690679321452E-2</v>
      </c>
      <c r="V636" t="s">
        <v>163</v>
      </c>
    </row>
    <row r="637" spans="9:22" x14ac:dyDescent="0.45">
      <c r="I637" t="s">
        <v>187</v>
      </c>
      <c r="J637" t="s">
        <v>165</v>
      </c>
      <c r="K637">
        <v>7.3063158657969168E-2</v>
      </c>
      <c r="L637" t="s">
        <v>163</v>
      </c>
      <c r="N637" t="s">
        <v>203</v>
      </c>
      <c r="O637" t="s">
        <v>165</v>
      </c>
      <c r="P637">
        <v>4.5955778777863041E-2</v>
      </c>
      <c r="Q637" t="s">
        <v>163</v>
      </c>
      <c r="S637" t="s">
        <v>218</v>
      </c>
      <c r="T637" t="s">
        <v>165</v>
      </c>
      <c r="U637">
        <v>2.3793434384621677E-2</v>
      </c>
      <c r="V637" t="s">
        <v>163</v>
      </c>
    </row>
    <row r="638" spans="9:22" x14ac:dyDescent="0.45">
      <c r="I638" t="s">
        <v>187</v>
      </c>
      <c r="J638" t="s">
        <v>256</v>
      </c>
      <c r="K638">
        <v>9.755589166489791E-3</v>
      </c>
      <c r="L638" t="s">
        <v>163</v>
      </c>
      <c r="N638" t="s">
        <v>203</v>
      </c>
      <c r="O638" t="s">
        <v>256</v>
      </c>
      <c r="P638">
        <v>6.2004279116260243E-3</v>
      </c>
      <c r="Q638" t="s">
        <v>163</v>
      </c>
      <c r="S638" t="s">
        <v>218</v>
      </c>
      <c r="T638" t="s">
        <v>256</v>
      </c>
      <c r="U638">
        <v>3.9796565796406938E-3</v>
      </c>
      <c r="V638" t="s">
        <v>163</v>
      </c>
    </row>
    <row r="639" spans="9:22" x14ac:dyDescent="0.45">
      <c r="I639" t="s">
        <v>187</v>
      </c>
      <c r="J639" t="s">
        <v>257</v>
      </c>
      <c r="K639">
        <v>7.8940946927161821E-3</v>
      </c>
      <c r="L639" t="s">
        <v>163</v>
      </c>
      <c r="N639" t="s">
        <v>203</v>
      </c>
      <c r="O639" t="s">
        <v>257</v>
      </c>
      <c r="P639">
        <v>5.2626427027845394E-3</v>
      </c>
      <c r="Q639" t="s">
        <v>163</v>
      </c>
      <c r="S639" t="s">
        <v>218</v>
      </c>
      <c r="T639" t="s">
        <v>257</v>
      </c>
      <c r="U639">
        <v>3.9365544851663247E-3</v>
      </c>
      <c r="V639" t="s">
        <v>163</v>
      </c>
    </row>
    <row r="640" spans="9:22" x14ac:dyDescent="0.45">
      <c r="I640" t="s">
        <v>187</v>
      </c>
      <c r="J640" t="s">
        <v>258</v>
      </c>
      <c r="K640">
        <v>5.0730033218508285E-3</v>
      </c>
      <c r="L640" t="s">
        <v>163</v>
      </c>
      <c r="N640" t="s">
        <v>203</v>
      </c>
      <c r="O640" t="s">
        <v>258</v>
      </c>
      <c r="P640">
        <v>2.0406927972919386E-2</v>
      </c>
      <c r="Q640" t="s">
        <v>163</v>
      </c>
      <c r="S640" t="s">
        <v>218</v>
      </c>
      <c r="T640" t="s">
        <v>258</v>
      </c>
      <c r="U640">
        <v>1.9386539854685317E-2</v>
      </c>
      <c r="V640" t="s">
        <v>163</v>
      </c>
    </row>
    <row r="641" spans="9:22" x14ac:dyDescent="0.45">
      <c r="I641" t="s">
        <v>187</v>
      </c>
      <c r="J641" t="s">
        <v>166</v>
      </c>
      <c r="K641">
        <v>4.8269881957877792E-3</v>
      </c>
      <c r="L641" t="s">
        <v>163</v>
      </c>
      <c r="N641" t="s">
        <v>203</v>
      </c>
      <c r="O641" t="s">
        <v>166</v>
      </c>
      <c r="P641">
        <v>7.9285091650605315E-3</v>
      </c>
      <c r="Q641" t="s">
        <v>163</v>
      </c>
      <c r="S641" t="s">
        <v>218</v>
      </c>
      <c r="T641" t="s">
        <v>166</v>
      </c>
      <c r="U641">
        <v>2.0763672095782029E-2</v>
      </c>
      <c r="V641" t="s">
        <v>163</v>
      </c>
    </row>
    <row r="642" spans="9:22" x14ac:dyDescent="0.45">
      <c r="I642" t="s">
        <v>187</v>
      </c>
      <c r="J642" t="s">
        <v>167</v>
      </c>
      <c r="K642">
        <v>3.8921361338752188E-2</v>
      </c>
      <c r="L642" t="s">
        <v>163</v>
      </c>
      <c r="N642" t="s">
        <v>203</v>
      </c>
      <c r="O642" t="s">
        <v>167</v>
      </c>
      <c r="P642">
        <v>3.6955113341145518E-3</v>
      </c>
      <c r="Q642" t="s">
        <v>163</v>
      </c>
      <c r="S642" t="s">
        <v>218</v>
      </c>
      <c r="T642" t="s">
        <v>167</v>
      </c>
      <c r="U642">
        <v>1.1944120965313266E-2</v>
      </c>
      <c r="V642" t="s">
        <v>163</v>
      </c>
    </row>
    <row r="643" spans="9:22" x14ac:dyDescent="0.45">
      <c r="I643" t="s">
        <v>187</v>
      </c>
      <c r="J643" t="s">
        <v>168</v>
      </c>
      <c r="K643">
        <v>6.686520301789671E-2</v>
      </c>
      <c r="L643" t="s">
        <v>163</v>
      </c>
      <c r="N643" t="s">
        <v>203</v>
      </c>
      <c r="O643" t="s">
        <v>168</v>
      </c>
      <c r="P643">
        <v>1.7089285986710692E-2</v>
      </c>
      <c r="Q643" t="s">
        <v>163</v>
      </c>
      <c r="S643" t="s">
        <v>218</v>
      </c>
      <c r="T643" t="s">
        <v>168</v>
      </c>
      <c r="U643">
        <v>2.0136322698289685E-2</v>
      </c>
      <c r="V643" t="s">
        <v>163</v>
      </c>
    </row>
    <row r="644" spans="9:22" x14ac:dyDescent="0.45">
      <c r="I644" t="s">
        <v>187</v>
      </c>
      <c r="J644" t="s">
        <v>259</v>
      </c>
      <c r="K644">
        <v>9.3215433900745749E-3</v>
      </c>
      <c r="L644" t="s">
        <v>163</v>
      </c>
      <c r="N644" t="s">
        <v>203</v>
      </c>
      <c r="O644" t="s">
        <v>259</v>
      </c>
      <c r="P644">
        <v>2.9653034046993503E-3</v>
      </c>
      <c r="Q644" t="s">
        <v>163</v>
      </c>
      <c r="S644" t="s">
        <v>218</v>
      </c>
      <c r="T644" t="s">
        <v>259</v>
      </c>
      <c r="U644">
        <v>3.380897543066533E-3</v>
      </c>
      <c r="V644" t="s">
        <v>163</v>
      </c>
    </row>
    <row r="645" spans="9:22" x14ac:dyDescent="0.45">
      <c r="I645" t="s">
        <v>187</v>
      </c>
      <c r="J645" t="s">
        <v>260</v>
      </c>
      <c r="K645">
        <v>7.1967942071195432E-3</v>
      </c>
      <c r="L645" t="s">
        <v>163</v>
      </c>
      <c r="N645" t="s">
        <v>203</v>
      </c>
      <c r="O645" t="s">
        <v>260</v>
      </c>
      <c r="P645">
        <v>2.4103870040889357E-3</v>
      </c>
      <c r="Q645" t="s">
        <v>163</v>
      </c>
      <c r="S645" t="s">
        <v>218</v>
      </c>
      <c r="T645" t="s">
        <v>260</v>
      </c>
      <c r="U645">
        <v>3.3107331865567255E-3</v>
      </c>
      <c r="V645" t="s">
        <v>163</v>
      </c>
    </row>
    <row r="646" spans="9:22" x14ac:dyDescent="0.45">
      <c r="I646" t="s">
        <v>187</v>
      </c>
      <c r="J646" t="s">
        <v>261</v>
      </c>
      <c r="K646">
        <v>1.9423651635141288E-3</v>
      </c>
      <c r="L646" t="s">
        <v>163</v>
      </c>
      <c r="N646" t="s">
        <v>203</v>
      </c>
      <c r="O646" t="s">
        <v>261</v>
      </c>
      <c r="P646">
        <v>6.681562102148219E-3</v>
      </c>
      <c r="Q646" t="s">
        <v>163</v>
      </c>
      <c r="S646" t="s">
        <v>218</v>
      </c>
      <c r="T646" t="s">
        <v>261</v>
      </c>
      <c r="U646">
        <v>1.5292488037663084E-2</v>
      </c>
      <c r="V646" t="s">
        <v>163</v>
      </c>
    </row>
    <row r="647" spans="9:22" x14ac:dyDescent="0.45">
      <c r="I647" t="s">
        <v>187</v>
      </c>
      <c r="J647" t="s">
        <v>169</v>
      </c>
      <c r="K647">
        <v>1.4619897285317383E-3</v>
      </c>
      <c r="L647" t="s">
        <v>163</v>
      </c>
      <c r="N647" t="s">
        <v>203</v>
      </c>
      <c r="O647" t="s">
        <v>169</v>
      </c>
      <c r="P647">
        <v>1.1598945932399846E-2</v>
      </c>
      <c r="Q647" t="s">
        <v>163</v>
      </c>
      <c r="S647" t="s">
        <v>218</v>
      </c>
      <c r="T647" t="s">
        <v>169</v>
      </c>
      <c r="U647">
        <v>1.9994821911606012E-2</v>
      </c>
      <c r="V647" t="s">
        <v>163</v>
      </c>
    </row>
    <row r="648" spans="9:22" x14ac:dyDescent="0.45">
      <c r="I648" t="s">
        <v>187</v>
      </c>
      <c r="J648" t="s">
        <v>170</v>
      </c>
      <c r="K648">
        <v>3.0434031224902125E-2</v>
      </c>
      <c r="L648" t="s">
        <v>163</v>
      </c>
      <c r="N648" t="s">
        <v>203</v>
      </c>
      <c r="O648" t="s">
        <v>170</v>
      </c>
      <c r="P648">
        <v>8.2828625262770933E-3</v>
      </c>
      <c r="Q648" t="s">
        <v>163</v>
      </c>
      <c r="S648" t="s">
        <v>218</v>
      </c>
      <c r="T648" t="s">
        <v>170</v>
      </c>
      <c r="U648">
        <v>1.1048670497596046E-2</v>
      </c>
      <c r="V648" t="s">
        <v>163</v>
      </c>
    </row>
    <row r="649" spans="9:22" x14ac:dyDescent="0.45">
      <c r="I649" t="s">
        <v>187</v>
      </c>
      <c r="J649" t="s">
        <v>171</v>
      </c>
      <c r="K649">
        <v>5.3570824399440137E-2</v>
      </c>
      <c r="L649" t="s">
        <v>163</v>
      </c>
      <c r="N649" t="s">
        <v>203</v>
      </c>
      <c r="O649" t="s">
        <v>171</v>
      </c>
      <c r="P649">
        <v>1.8319406349124181E-2</v>
      </c>
      <c r="Q649" t="s">
        <v>163</v>
      </c>
      <c r="S649" t="s">
        <v>218</v>
      </c>
      <c r="T649" t="s">
        <v>171</v>
      </c>
      <c r="U649">
        <v>1.9583103833294039E-2</v>
      </c>
      <c r="V649" t="s">
        <v>163</v>
      </c>
    </row>
    <row r="650" spans="9:22" x14ac:dyDescent="0.45">
      <c r="I650" t="s">
        <v>187</v>
      </c>
      <c r="J650" t="s">
        <v>262</v>
      </c>
      <c r="K650">
        <v>6.8592331785753942E-3</v>
      </c>
      <c r="L650" t="s">
        <v>163</v>
      </c>
      <c r="N650" t="s">
        <v>203</v>
      </c>
      <c r="O650" t="s">
        <v>262</v>
      </c>
      <c r="P650">
        <v>2.1069584718610311E-3</v>
      </c>
      <c r="Q650" t="s">
        <v>163</v>
      </c>
      <c r="S650" t="s">
        <v>218</v>
      </c>
      <c r="T650" t="s">
        <v>262</v>
      </c>
      <c r="U650">
        <v>3.4447618699712441E-3</v>
      </c>
      <c r="V650" t="s">
        <v>163</v>
      </c>
    </row>
    <row r="651" spans="9:22" x14ac:dyDescent="0.45">
      <c r="I651" t="s">
        <v>187</v>
      </c>
      <c r="J651" t="s">
        <v>263</v>
      </c>
      <c r="K651">
        <v>3.5103487080904959E-3</v>
      </c>
      <c r="L651" t="s">
        <v>163</v>
      </c>
      <c r="N651" t="s">
        <v>203</v>
      </c>
      <c r="O651" t="s">
        <v>263</v>
      </c>
      <c r="P651">
        <v>1.764171141508251E-3</v>
      </c>
      <c r="Q651" t="s">
        <v>163</v>
      </c>
      <c r="S651" t="s">
        <v>218</v>
      </c>
      <c r="T651" t="s">
        <v>263</v>
      </c>
      <c r="U651">
        <v>3.3940939008119588E-3</v>
      </c>
      <c r="V651" t="s">
        <v>163</v>
      </c>
    </row>
    <row r="652" spans="9:22" x14ac:dyDescent="0.45">
      <c r="I652" t="s">
        <v>187</v>
      </c>
      <c r="J652" t="s">
        <v>264</v>
      </c>
      <c r="K652">
        <v>0</v>
      </c>
      <c r="L652" t="s">
        <v>163</v>
      </c>
      <c r="N652" t="s">
        <v>203</v>
      </c>
      <c r="O652" t="s">
        <v>264</v>
      </c>
      <c r="P652">
        <v>6.8421414692288697E-3</v>
      </c>
      <c r="Q652" t="s">
        <v>163</v>
      </c>
      <c r="S652" t="s">
        <v>218</v>
      </c>
      <c r="T652" t="s">
        <v>264</v>
      </c>
      <c r="U652">
        <v>1.5826386824544084E-2</v>
      </c>
      <c r="V652" t="s">
        <v>163</v>
      </c>
    </row>
    <row r="653" spans="9:22" x14ac:dyDescent="0.45">
      <c r="I653" t="s">
        <v>187</v>
      </c>
      <c r="J653" t="s">
        <v>172</v>
      </c>
      <c r="K653">
        <v>0</v>
      </c>
      <c r="L653" t="s">
        <v>163</v>
      </c>
      <c r="N653" t="s">
        <v>203</v>
      </c>
      <c r="O653" t="s">
        <v>172</v>
      </c>
      <c r="P653">
        <v>4.4356652037910602E-2</v>
      </c>
      <c r="Q653" t="s">
        <v>163</v>
      </c>
      <c r="S653" t="s">
        <v>218</v>
      </c>
      <c r="T653" t="s">
        <v>172</v>
      </c>
      <c r="U653">
        <v>5.0491886516312666E-2</v>
      </c>
      <c r="V653" t="s">
        <v>163</v>
      </c>
    </row>
    <row r="654" spans="9:22" x14ac:dyDescent="0.45">
      <c r="I654" t="s">
        <v>187</v>
      </c>
      <c r="J654" t="s">
        <v>173</v>
      </c>
      <c r="K654">
        <v>2.8924237119134055E-2</v>
      </c>
      <c r="L654" t="s">
        <v>163</v>
      </c>
      <c r="N654" t="s">
        <v>203</v>
      </c>
      <c r="O654" t="s">
        <v>173</v>
      </c>
      <c r="P654">
        <v>2.0340725988062299E-2</v>
      </c>
      <c r="Q654" t="s">
        <v>163</v>
      </c>
      <c r="S654" t="s">
        <v>218</v>
      </c>
      <c r="T654" t="s">
        <v>173</v>
      </c>
      <c r="U654">
        <v>2.79471345419301E-2</v>
      </c>
      <c r="V654" t="s">
        <v>163</v>
      </c>
    </row>
    <row r="655" spans="9:22" x14ac:dyDescent="0.45">
      <c r="I655" t="s">
        <v>187</v>
      </c>
      <c r="J655" t="s">
        <v>174</v>
      </c>
      <c r="K655">
        <v>6.000054887558786E-2</v>
      </c>
      <c r="L655" t="s">
        <v>163</v>
      </c>
      <c r="N655" t="s">
        <v>203</v>
      </c>
      <c r="O655" t="s">
        <v>174</v>
      </c>
      <c r="P655">
        <v>3.3815906948483118E-2</v>
      </c>
      <c r="Q655" t="s">
        <v>163</v>
      </c>
      <c r="S655" t="s">
        <v>218</v>
      </c>
      <c r="T655" t="s">
        <v>174</v>
      </c>
      <c r="U655">
        <v>4.2844864978287156E-2</v>
      </c>
      <c r="V655" t="s">
        <v>163</v>
      </c>
    </row>
    <row r="656" spans="9:22" x14ac:dyDescent="0.45">
      <c r="I656" t="s">
        <v>187</v>
      </c>
      <c r="J656" t="s">
        <v>265</v>
      </c>
      <c r="K656">
        <v>3.5180478560695614E-3</v>
      </c>
      <c r="L656" t="s">
        <v>163</v>
      </c>
      <c r="N656" t="s">
        <v>203</v>
      </c>
      <c r="O656" t="s">
        <v>265</v>
      </c>
      <c r="P656">
        <v>5.7829502277545871E-3</v>
      </c>
      <c r="Q656" t="s">
        <v>163</v>
      </c>
      <c r="S656" t="s">
        <v>218</v>
      </c>
      <c r="T656" t="s">
        <v>265</v>
      </c>
      <c r="U656">
        <v>7.4766900643619214E-3</v>
      </c>
      <c r="V656" t="s">
        <v>163</v>
      </c>
    </row>
    <row r="657" spans="9:22" x14ac:dyDescent="0.45">
      <c r="I657" t="s">
        <v>187</v>
      </c>
      <c r="J657" t="s">
        <v>266</v>
      </c>
      <c r="K657">
        <v>0</v>
      </c>
      <c r="L657" t="s">
        <v>163</v>
      </c>
      <c r="N657" t="s">
        <v>203</v>
      </c>
      <c r="O657" t="s">
        <v>266</v>
      </c>
      <c r="P657">
        <v>5.4417490566023227E-3</v>
      </c>
      <c r="Q657" t="s">
        <v>163</v>
      </c>
      <c r="S657" t="s">
        <v>218</v>
      </c>
      <c r="T657" t="s">
        <v>266</v>
      </c>
      <c r="U657">
        <v>7.544162352915224E-3</v>
      </c>
      <c r="V657" t="s">
        <v>163</v>
      </c>
    </row>
    <row r="658" spans="9:22" x14ac:dyDescent="0.45">
      <c r="I658" t="s">
        <v>187</v>
      </c>
      <c r="J658" t="s">
        <v>267</v>
      </c>
      <c r="K658">
        <v>0</v>
      </c>
      <c r="L658" t="s">
        <v>163</v>
      </c>
      <c r="N658" t="s">
        <v>203</v>
      </c>
      <c r="O658" t="s">
        <v>267</v>
      </c>
      <c r="P658">
        <v>2.5078244752899586E-2</v>
      </c>
      <c r="Q658" t="s">
        <v>163</v>
      </c>
      <c r="S658" t="s">
        <v>218</v>
      </c>
      <c r="T658" t="s">
        <v>267</v>
      </c>
      <c r="U658">
        <v>3.6415847309771453E-2</v>
      </c>
      <c r="V658" t="s">
        <v>163</v>
      </c>
    </row>
    <row r="659" spans="9:22" x14ac:dyDescent="0.45">
      <c r="I659" t="s">
        <v>187</v>
      </c>
      <c r="J659" t="s">
        <v>268</v>
      </c>
      <c r="K659">
        <v>0</v>
      </c>
      <c r="L659" t="s">
        <v>163</v>
      </c>
      <c r="N659" t="s">
        <v>203</v>
      </c>
      <c r="O659" t="s">
        <v>268</v>
      </c>
      <c r="P659">
        <v>2.4773677081486617E-2</v>
      </c>
      <c r="Q659" t="s">
        <v>163</v>
      </c>
      <c r="S659" t="s">
        <v>218</v>
      </c>
      <c r="T659" t="s">
        <v>268</v>
      </c>
      <c r="U659">
        <v>2.5421454831915397E-2</v>
      </c>
      <c r="V659" t="s">
        <v>163</v>
      </c>
    </row>
    <row r="660" spans="9:22" x14ac:dyDescent="0.45">
      <c r="I660" t="s">
        <v>187</v>
      </c>
      <c r="J660" t="s">
        <v>269</v>
      </c>
      <c r="K660">
        <v>8.4780324640729501E-3</v>
      </c>
      <c r="L660" t="s">
        <v>163</v>
      </c>
      <c r="N660" t="s">
        <v>203</v>
      </c>
      <c r="O660" t="s">
        <v>269</v>
      </c>
      <c r="P660">
        <v>1.2796249944196611E-2</v>
      </c>
      <c r="Q660" t="s">
        <v>163</v>
      </c>
      <c r="S660" t="s">
        <v>218</v>
      </c>
      <c r="T660" t="s">
        <v>269</v>
      </c>
      <c r="U660">
        <v>1.4336406212466514E-2</v>
      </c>
      <c r="V660" t="s">
        <v>163</v>
      </c>
    </row>
    <row r="661" spans="9:22" x14ac:dyDescent="0.45">
      <c r="I661" t="s">
        <v>187</v>
      </c>
      <c r="J661" t="s">
        <v>270</v>
      </c>
      <c r="K661">
        <v>1.9470632344799354E-2</v>
      </c>
      <c r="L661" t="s">
        <v>163</v>
      </c>
      <c r="N661" t="s">
        <v>203</v>
      </c>
      <c r="O661" t="s">
        <v>270</v>
      </c>
      <c r="P661">
        <v>2.4262424167650558E-2</v>
      </c>
      <c r="Q661" t="s">
        <v>163</v>
      </c>
      <c r="S661" t="s">
        <v>218</v>
      </c>
      <c r="T661" t="s">
        <v>270</v>
      </c>
      <c r="U661">
        <v>2.1041391300447663E-2</v>
      </c>
      <c r="V661" t="s">
        <v>163</v>
      </c>
    </row>
    <row r="662" spans="9:22" x14ac:dyDescent="0.45">
      <c r="I662" t="s">
        <v>187</v>
      </c>
      <c r="J662" t="s">
        <v>271</v>
      </c>
      <c r="K662">
        <v>0</v>
      </c>
      <c r="L662" t="s">
        <v>163</v>
      </c>
      <c r="N662" t="s">
        <v>203</v>
      </c>
      <c r="O662" t="s">
        <v>271</v>
      </c>
      <c r="P662">
        <v>4.4558877720098566E-3</v>
      </c>
      <c r="Q662" t="s">
        <v>163</v>
      </c>
      <c r="S662" t="s">
        <v>218</v>
      </c>
      <c r="T662" t="s">
        <v>271</v>
      </c>
      <c r="U662">
        <v>3.4888047626839237E-3</v>
      </c>
      <c r="V662" t="s">
        <v>163</v>
      </c>
    </row>
    <row r="663" spans="9:22" x14ac:dyDescent="0.45">
      <c r="I663" t="s">
        <v>187</v>
      </c>
      <c r="J663" t="s">
        <v>272</v>
      </c>
      <c r="K663">
        <v>0</v>
      </c>
      <c r="L663" t="s">
        <v>163</v>
      </c>
      <c r="N663" t="s">
        <v>203</v>
      </c>
      <c r="O663" t="s">
        <v>272</v>
      </c>
      <c r="P663">
        <v>4.4812595989914463E-3</v>
      </c>
      <c r="Q663" t="s">
        <v>163</v>
      </c>
      <c r="S663" t="s">
        <v>218</v>
      </c>
      <c r="T663" t="s">
        <v>272</v>
      </c>
      <c r="U663">
        <v>3.5055799787997877E-3</v>
      </c>
      <c r="V663" t="s">
        <v>163</v>
      </c>
    </row>
    <row r="664" spans="9:22" x14ac:dyDescent="0.45">
      <c r="I664" t="s">
        <v>187</v>
      </c>
      <c r="J664" t="s">
        <v>273</v>
      </c>
      <c r="K664">
        <v>0</v>
      </c>
      <c r="L664" t="s">
        <v>163</v>
      </c>
      <c r="N664" t="s">
        <v>203</v>
      </c>
      <c r="O664" t="s">
        <v>273</v>
      </c>
      <c r="P664">
        <v>1.9821097378717178E-2</v>
      </c>
      <c r="Q664" t="s">
        <v>163</v>
      </c>
      <c r="S664" t="s">
        <v>218</v>
      </c>
      <c r="T664" t="s">
        <v>273</v>
      </c>
      <c r="U664">
        <v>1.7598034964049613E-2</v>
      </c>
      <c r="V664" t="s">
        <v>163</v>
      </c>
    </row>
    <row r="665" spans="9:22" x14ac:dyDescent="0.45">
      <c r="I665" t="s">
        <v>187</v>
      </c>
      <c r="J665" t="s">
        <v>274</v>
      </c>
      <c r="K665">
        <v>6.624241165516146E-4</v>
      </c>
      <c r="L665" t="s">
        <v>163</v>
      </c>
      <c r="N665" t="s">
        <v>203</v>
      </c>
      <c r="O665" t="s">
        <v>274</v>
      </c>
      <c r="P665">
        <v>7.7765129152561105E-2</v>
      </c>
      <c r="Q665" t="s">
        <v>163</v>
      </c>
      <c r="S665" t="s">
        <v>218</v>
      </c>
      <c r="T665" t="s">
        <v>274</v>
      </c>
      <c r="U665">
        <v>7.0992122690983553E-2</v>
      </c>
      <c r="V665" t="s">
        <v>163</v>
      </c>
    </row>
    <row r="666" spans="9:22" x14ac:dyDescent="0.45">
      <c r="I666" t="s">
        <v>187</v>
      </c>
      <c r="J666" t="s">
        <v>275</v>
      </c>
      <c r="K666">
        <v>4.7750787502385067E-2</v>
      </c>
      <c r="L666" t="s">
        <v>163</v>
      </c>
      <c r="N666" t="s">
        <v>203</v>
      </c>
      <c r="O666" t="s">
        <v>275</v>
      </c>
      <c r="P666">
        <v>3.8887723008755898E-2</v>
      </c>
      <c r="Q666" t="s">
        <v>163</v>
      </c>
      <c r="S666" t="s">
        <v>218</v>
      </c>
      <c r="T666" t="s">
        <v>275</v>
      </c>
      <c r="U666">
        <v>4.0061163927580676E-2</v>
      </c>
      <c r="V666" t="s">
        <v>163</v>
      </c>
    </row>
    <row r="667" spans="9:22" x14ac:dyDescent="0.45">
      <c r="I667" t="s">
        <v>187</v>
      </c>
      <c r="J667" t="s">
        <v>276</v>
      </c>
      <c r="K667">
        <v>9.9973587729481617E-2</v>
      </c>
      <c r="L667" t="s">
        <v>163</v>
      </c>
      <c r="N667" t="s">
        <v>203</v>
      </c>
      <c r="O667" t="s">
        <v>276</v>
      </c>
      <c r="P667">
        <v>7.8703181074602849E-2</v>
      </c>
      <c r="Q667" t="s">
        <v>163</v>
      </c>
      <c r="S667" t="s">
        <v>218</v>
      </c>
      <c r="T667" t="s">
        <v>276</v>
      </c>
      <c r="U667">
        <v>6.3016381617968603E-2</v>
      </c>
      <c r="V667" t="s">
        <v>163</v>
      </c>
    </row>
    <row r="668" spans="9:22" x14ac:dyDescent="0.45">
      <c r="I668" t="s">
        <v>187</v>
      </c>
      <c r="J668" t="s">
        <v>277</v>
      </c>
      <c r="K668">
        <v>7.3712706264163269E-3</v>
      </c>
      <c r="L668" t="s">
        <v>163</v>
      </c>
      <c r="N668" t="s">
        <v>203</v>
      </c>
      <c r="O668" t="s">
        <v>277</v>
      </c>
      <c r="P668">
        <v>1.1871887200903913E-2</v>
      </c>
      <c r="Q668" t="s">
        <v>163</v>
      </c>
      <c r="S668" t="s">
        <v>218</v>
      </c>
      <c r="T668" t="s">
        <v>277</v>
      </c>
      <c r="U668">
        <v>1.0549542744023341E-2</v>
      </c>
      <c r="V668" t="s">
        <v>163</v>
      </c>
    </row>
    <row r="669" spans="9:22" x14ac:dyDescent="0.45">
      <c r="I669" t="s">
        <v>187</v>
      </c>
      <c r="J669" t="s">
        <v>278</v>
      </c>
      <c r="K669">
        <v>0</v>
      </c>
      <c r="L669" t="s">
        <v>163</v>
      </c>
      <c r="N669" t="s">
        <v>203</v>
      </c>
      <c r="O669" t="s">
        <v>278</v>
      </c>
      <c r="P669">
        <v>1.075096764641667E-2</v>
      </c>
      <c r="Q669" t="s">
        <v>163</v>
      </c>
      <c r="S669" t="s">
        <v>218</v>
      </c>
      <c r="T669" t="s">
        <v>278</v>
      </c>
      <c r="U669">
        <v>1.0462410233181604E-2</v>
      </c>
      <c r="V669" t="s">
        <v>163</v>
      </c>
    </row>
    <row r="670" spans="9:22" x14ac:dyDescent="0.45">
      <c r="I670" t="s">
        <v>187</v>
      </c>
      <c r="J670" t="s">
        <v>279</v>
      </c>
      <c r="K670">
        <v>0</v>
      </c>
      <c r="L670" t="s">
        <v>163</v>
      </c>
      <c r="N670" t="s">
        <v>203</v>
      </c>
      <c r="O670" t="s">
        <v>279</v>
      </c>
      <c r="P670">
        <v>5.4143473130265005E-2</v>
      </c>
      <c r="Q670" t="s">
        <v>163</v>
      </c>
      <c r="S670" t="s">
        <v>218</v>
      </c>
      <c r="T670" t="s">
        <v>279</v>
      </c>
      <c r="U670">
        <v>5.1141287288163202E-2</v>
      </c>
      <c r="V670" t="s">
        <v>163</v>
      </c>
    </row>
    <row r="671" spans="9:22" x14ac:dyDescent="0.45">
      <c r="I671" t="s">
        <v>187</v>
      </c>
      <c r="J671" t="s">
        <v>280</v>
      </c>
      <c r="K671">
        <v>3.7805990652306025E-3</v>
      </c>
      <c r="L671" t="s">
        <v>163</v>
      </c>
      <c r="N671" t="s">
        <v>203</v>
      </c>
      <c r="O671" t="s">
        <v>280</v>
      </c>
      <c r="P671">
        <v>3.4865440743709418E-2</v>
      </c>
      <c r="Q671" t="s">
        <v>163</v>
      </c>
      <c r="S671" t="s">
        <v>218</v>
      </c>
      <c r="T671" t="s">
        <v>280</v>
      </c>
      <c r="U671">
        <v>3.0030360407989592E-2</v>
      </c>
      <c r="V671" t="s">
        <v>163</v>
      </c>
    </row>
    <row r="672" spans="9:22" x14ac:dyDescent="0.45">
      <c r="I672" t="s">
        <v>187</v>
      </c>
      <c r="J672" t="s">
        <v>281</v>
      </c>
      <c r="K672">
        <v>2.9294532773603995E-2</v>
      </c>
      <c r="L672" t="s">
        <v>163</v>
      </c>
      <c r="N672" t="s">
        <v>203</v>
      </c>
      <c r="O672" t="s">
        <v>281</v>
      </c>
      <c r="P672">
        <v>2.2366144649463897E-2</v>
      </c>
      <c r="Q672" t="s">
        <v>163</v>
      </c>
      <c r="S672" t="s">
        <v>218</v>
      </c>
      <c r="T672" t="s">
        <v>281</v>
      </c>
      <c r="U672">
        <v>1.7104142370135533E-2</v>
      </c>
      <c r="V672" t="s">
        <v>163</v>
      </c>
    </row>
    <row r="673" spans="9:22" x14ac:dyDescent="0.45">
      <c r="I673" t="s">
        <v>187</v>
      </c>
      <c r="J673" t="s">
        <v>282</v>
      </c>
      <c r="K673">
        <v>5.2241919962164624E-2</v>
      </c>
      <c r="L673" t="s">
        <v>163</v>
      </c>
      <c r="N673" t="s">
        <v>203</v>
      </c>
      <c r="O673" t="s">
        <v>282</v>
      </c>
      <c r="P673">
        <v>5.0771960089677486E-2</v>
      </c>
      <c r="Q673" t="s">
        <v>163</v>
      </c>
      <c r="S673" t="s">
        <v>218</v>
      </c>
      <c r="T673" t="s">
        <v>282</v>
      </c>
      <c r="U673">
        <v>2.5604832877953218E-2</v>
      </c>
      <c r="V673" t="s">
        <v>163</v>
      </c>
    </row>
    <row r="674" spans="9:22" x14ac:dyDescent="0.45">
      <c r="I674" t="s">
        <v>187</v>
      </c>
      <c r="J674" t="s">
        <v>283</v>
      </c>
      <c r="K674">
        <v>5.5943604774878718E-3</v>
      </c>
      <c r="L674" t="s">
        <v>163</v>
      </c>
      <c r="N674" t="s">
        <v>203</v>
      </c>
      <c r="O674" t="s">
        <v>283</v>
      </c>
      <c r="P674">
        <v>7.0999345981317043E-3</v>
      </c>
      <c r="Q674" t="s">
        <v>163</v>
      </c>
      <c r="S674" t="s">
        <v>218</v>
      </c>
      <c r="T674" t="s">
        <v>283</v>
      </c>
      <c r="U674">
        <v>4.1043811889370186E-3</v>
      </c>
      <c r="V674" t="s">
        <v>163</v>
      </c>
    </row>
    <row r="675" spans="9:22" x14ac:dyDescent="0.45">
      <c r="I675" t="s">
        <v>187</v>
      </c>
      <c r="J675" t="s">
        <v>284</v>
      </c>
      <c r="K675">
        <v>3.0123789268459741E-3</v>
      </c>
      <c r="L675" t="s">
        <v>163</v>
      </c>
      <c r="N675" t="s">
        <v>203</v>
      </c>
      <c r="O675" t="s">
        <v>284</v>
      </c>
      <c r="P675">
        <v>6.4077309297815811E-3</v>
      </c>
      <c r="Q675" t="s">
        <v>163</v>
      </c>
      <c r="S675" t="s">
        <v>218</v>
      </c>
      <c r="T675" t="s">
        <v>284</v>
      </c>
      <c r="U675">
        <v>4.0001504258168636E-3</v>
      </c>
      <c r="V675" t="s">
        <v>163</v>
      </c>
    </row>
    <row r="676" spans="9:22" x14ac:dyDescent="0.45">
      <c r="I676" t="s">
        <v>187</v>
      </c>
      <c r="J676" t="s">
        <v>285</v>
      </c>
      <c r="K676">
        <v>0</v>
      </c>
      <c r="L676" t="s">
        <v>163</v>
      </c>
      <c r="N676" t="s">
        <v>203</v>
      </c>
      <c r="O676" t="s">
        <v>285</v>
      </c>
      <c r="P676">
        <v>2.5224830631769449E-2</v>
      </c>
      <c r="Q676" t="s">
        <v>163</v>
      </c>
      <c r="S676" t="s">
        <v>218</v>
      </c>
      <c r="T676" t="s">
        <v>285</v>
      </c>
      <c r="U676">
        <v>1.9641040448424841E-2</v>
      </c>
      <c r="V676" t="s">
        <v>163</v>
      </c>
    </row>
    <row r="677" spans="9:22" x14ac:dyDescent="0.45">
      <c r="I677" t="s">
        <v>187</v>
      </c>
      <c r="J677" t="s">
        <v>286</v>
      </c>
      <c r="K677">
        <v>1.9668344742704812E-2</v>
      </c>
      <c r="L677" t="s">
        <v>163</v>
      </c>
      <c r="N677" t="s">
        <v>203</v>
      </c>
      <c r="O677" t="s">
        <v>286</v>
      </c>
      <c r="P677">
        <v>3.0183045257418613E-2</v>
      </c>
      <c r="Q677" t="s">
        <v>163</v>
      </c>
      <c r="S677" t="s">
        <v>218</v>
      </c>
      <c r="T677" t="s">
        <v>286</v>
      </c>
      <c r="U677">
        <v>4.4795528367682191E-2</v>
      </c>
      <c r="V677" t="s">
        <v>163</v>
      </c>
    </row>
    <row r="678" spans="9:22" x14ac:dyDescent="0.45">
      <c r="I678" t="s">
        <v>187</v>
      </c>
      <c r="J678" t="s">
        <v>287</v>
      </c>
      <c r="K678">
        <v>7.9856619077721888E-2</v>
      </c>
      <c r="L678" t="s">
        <v>163</v>
      </c>
      <c r="N678" t="s">
        <v>203</v>
      </c>
      <c r="O678" t="s">
        <v>287</v>
      </c>
      <c r="P678">
        <v>2.135009313213437E-2</v>
      </c>
      <c r="Q678" t="s">
        <v>163</v>
      </c>
      <c r="S678" t="s">
        <v>218</v>
      </c>
      <c r="T678" t="s">
        <v>287</v>
      </c>
      <c r="U678">
        <v>2.58591200459862E-2</v>
      </c>
      <c r="V678" t="s">
        <v>163</v>
      </c>
    </row>
    <row r="679" spans="9:22" x14ac:dyDescent="0.45">
      <c r="I679" t="s">
        <v>187</v>
      </c>
      <c r="J679" t="s">
        <v>288</v>
      </c>
      <c r="K679">
        <v>0.12862001426787459</v>
      </c>
      <c r="L679" t="s">
        <v>163</v>
      </c>
      <c r="N679" t="s">
        <v>203</v>
      </c>
      <c r="O679" t="s">
        <v>288</v>
      </c>
      <c r="P679">
        <v>4.8778025191433413E-2</v>
      </c>
      <c r="Q679" t="s">
        <v>163</v>
      </c>
      <c r="S679" t="s">
        <v>218</v>
      </c>
      <c r="T679" t="s">
        <v>288</v>
      </c>
      <c r="U679">
        <v>3.8526079442153985E-2</v>
      </c>
      <c r="V679" t="s">
        <v>163</v>
      </c>
    </row>
    <row r="680" spans="9:22" x14ac:dyDescent="0.45">
      <c r="I680" t="s">
        <v>187</v>
      </c>
      <c r="J680" t="s">
        <v>289</v>
      </c>
      <c r="K680">
        <v>1.5466572472763432E-2</v>
      </c>
      <c r="L680" t="s">
        <v>163</v>
      </c>
      <c r="N680" t="s">
        <v>203</v>
      </c>
      <c r="O680" t="s">
        <v>289</v>
      </c>
      <c r="P680">
        <v>7.0099708925841289E-3</v>
      </c>
      <c r="Q680" t="s">
        <v>163</v>
      </c>
      <c r="S680" t="s">
        <v>218</v>
      </c>
      <c r="T680" t="s">
        <v>289</v>
      </c>
      <c r="U680">
        <v>6.4233158406594298E-3</v>
      </c>
      <c r="V680" t="s">
        <v>163</v>
      </c>
    </row>
    <row r="681" spans="9:22" x14ac:dyDescent="0.45">
      <c r="I681" t="s">
        <v>187</v>
      </c>
      <c r="J681" t="s">
        <v>290</v>
      </c>
      <c r="K681">
        <v>1.1585168148437068E-2</v>
      </c>
      <c r="L681" t="s">
        <v>163</v>
      </c>
      <c r="N681" t="s">
        <v>203</v>
      </c>
      <c r="O681" t="s">
        <v>290</v>
      </c>
      <c r="P681">
        <v>6.2608958217227097E-3</v>
      </c>
      <c r="Q681" t="s">
        <v>163</v>
      </c>
      <c r="S681" t="s">
        <v>218</v>
      </c>
      <c r="T681" t="s">
        <v>290</v>
      </c>
      <c r="U681">
        <v>6.3877909448065368E-3</v>
      </c>
      <c r="V681" t="s">
        <v>163</v>
      </c>
    </row>
    <row r="682" spans="9:22" x14ac:dyDescent="0.45">
      <c r="I682" t="s">
        <v>187</v>
      </c>
      <c r="J682" t="s">
        <v>291</v>
      </c>
      <c r="K682">
        <v>3.9575274721653604E-3</v>
      </c>
      <c r="L682" t="s">
        <v>163</v>
      </c>
      <c r="N682" t="s">
        <v>203</v>
      </c>
      <c r="O682" t="s">
        <v>291</v>
      </c>
      <c r="P682">
        <v>2.5818342984832949E-2</v>
      </c>
      <c r="Q682" t="s">
        <v>163</v>
      </c>
      <c r="S682" t="s">
        <v>218</v>
      </c>
      <c r="T682" t="s">
        <v>291</v>
      </c>
      <c r="U682">
        <v>3.1362736048274151E-2</v>
      </c>
      <c r="V682" t="s">
        <v>163</v>
      </c>
    </row>
    <row r="683" spans="9:22" x14ac:dyDescent="0.45">
      <c r="I683" t="s">
        <v>188</v>
      </c>
      <c r="J683" t="s">
        <v>162</v>
      </c>
      <c r="K683">
        <v>6.4804943132863143E-3</v>
      </c>
      <c r="L683" t="s">
        <v>163</v>
      </c>
      <c r="N683" t="s">
        <v>204</v>
      </c>
      <c r="O683" t="s">
        <v>162</v>
      </c>
      <c r="P683">
        <v>2.7668691795904723E-2</v>
      </c>
      <c r="Q683" t="s">
        <v>163</v>
      </c>
      <c r="S683" t="s">
        <v>219</v>
      </c>
      <c r="T683" t="s">
        <v>162</v>
      </c>
      <c r="U683">
        <v>2.6394632723858773E-2</v>
      </c>
      <c r="V683" t="s">
        <v>163</v>
      </c>
    </row>
    <row r="684" spans="9:22" x14ac:dyDescent="0.45">
      <c r="I684" t="s">
        <v>188</v>
      </c>
      <c r="J684" t="s">
        <v>164</v>
      </c>
      <c r="K684">
        <v>4.0058575649439418E-2</v>
      </c>
      <c r="L684" t="s">
        <v>163</v>
      </c>
      <c r="N684" t="s">
        <v>204</v>
      </c>
      <c r="O684" t="s">
        <v>164</v>
      </c>
      <c r="P684">
        <v>1.7978264972615982E-2</v>
      </c>
      <c r="Q684" t="s">
        <v>163</v>
      </c>
      <c r="S684" t="s">
        <v>219</v>
      </c>
      <c r="T684" t="s">
        <v>164</v>
      </c>
      <c r="U684">
        <v>1.4733934385751763E-2</v>
      </c>
      <c r="V684" t="s">
        <v>163</v>
      </c>
    </row>
    <row r="685" spans="9:22" x14ac:dyDescent="0.45">
      <c r="I685" t="s">
        <v>188</v>
      </c>
      <c r="J685" t="s">
        <v>165</v>
      </c>
      <c r="K685">
        <v>7.3579785674152534E-2</v>
      </c>
      <c r="L685" t="s">
        <v>163</v>
      </c>
      <c r="N685" t="s">
        <v>204</v>
      </c>
      <c r="O685" t="s">
        <v>165</v>
      </c>
      <c r="P685">
        <v>3.8937232824128178E-2</v>
      </c>
      <c r="Q685" t="s">
        <v>163</v>
      </c>
      <c r="S685" t="s">
        <v>219</v>
      </c>
      <c r="T685" t="s">
        <v>165</v>
      </c>
      <c r="U685">
        <v>2.2172066205958345E-2</v>
      </c>
      <c r="V685" t="s">
        <v>163</v>
      </c>
    </row>
    <row r="686" spans="9:22" x14ac:dyDescent="0.45">
      <c r="I686" t="s">
        <v>188</v>
      </c>
      <c r="J686" t="s">
        <v>256</v>
      </c>
      <c r="K686">
        <v>1.0289303259231143E-2</v>
      </c>
      <c r="L686" t="s">
        <v>163</v>
      </c>
      <c r="N686" t="s">
        <v>204</v>
      </c>
      <c r="O686" t="s">
        <v>256</v>
      </c>
      <c r="P686">
        <v>5.9258829572101423E-3</v>
      </c>
      <c r="Q686" t="s">
        <v>163</v>
      </c>
      <c r="S686" t="s">
        <v>219</v>
      </c>
      <c r="T686" t="s">
        <v>256</v>
      </c>
      <c r="U686">
        <v>3.6481706473961584E-3</v>
      </c>
      <c r="V686" t="s">
        <v>163</v>
      </c>
    </row>
    <row r="687" spans="9:22" x14ac:dyDescent="0.45">
      <c r="I687" t="s">
        <v>188</v>
      </c>
      <c r="J687" t="s">
        <v>257</v>
      </c>
      <c r="K687">
        <v>8.6009385681431114E-3</v>
      </c>
      <c r="L687" t="s">
        <v>163</v>
      </c>
      <c r="N687" t="s">
        <v>204</v>
      </c>
      <c r="O687" t="s">
        <v>257</v>
      </c>
      <c r="P687">
        <v>5.2769975255166643E-3</v>
      </c>
      <c r="Q687" t="s">
        <v>163</v>
      </c>
      <c r="S687" t="s">
        <v>219</v>
      </c>
      <c r="T687" t="s">
        <v>257</v>
      </c>
      <c r="U687">
        <v>3.6030711146931055E-3</v>
      </c>
      <c r="V687" t="s">
        <v>163</v>
      </c>
    </row>
    <row r="688" spans="9:22" x14ac:dyDescent="0.45">
      <c r="I688" t="s">
        <v>188</v>
      </c>
      <c r="J688" t="s">
        <v>258</v>
      </c>
      <c r="K688">
        <v>5.6079484782675226E-3</v>
      </c>
      <c r="L688" t="s">
        <v>163</v>
      </c>
      <c r="N688" t="s">
        <v>204</v>
      </c>
      <c r="O688" t="s">
        <v>258</v>
      </c>
      <c r="P688">
        <v>1.9441252636168447E-2</v>
      </c>
      <c r="Q688" t="s">
        <v>163</v>
      </c>
      <c r="S688" t="s">
        <v>219</v>
      </c>
      <c r="T688" t="s">
        <v>258</v>
      </c>
      <c r="U688">
        <v>1.7781540464478593E-2</v>
      </c>
      <c r="V688" t="s">
        <v>163</v>
      </c>
    </row>
    <row r="689" spans="9:22" x14ac:dyDescent="0.45">
      <c r="I689" t="s">
        <v>188</v>
      </c>
      <c r="J689" t="s">
        <v>166</v>
      </c>
      <c r="K689">
        <v>4.8029504940799708E-3</v>
      </c>
      <c r="L689" t="s">
        <v>163</v>
      </c>
      <c r="N689" t="s">
        <v>204</v>
      </c>
      <c r="O689" t="s">
        <v>166</v>
      </c>
      <c r="P689">
        <v>9.6490747620266541E-3</v>
      </c>
      <c r="Q689" t="s">
        <v>163</v>
      </c>
      <c r="S689" t="s">
        <v>219</v>
      </c>
      <c r="T689" t="s">
        <v>166</v>
      </c>
      <c r="U689">
        <v>2.3004507480100175E-2</v>
      </c>
      <c r="V689" t="s">
        <v>163</v>
      </c>
    </row>
    <row r="690" spans="9:22" x14ac:dyDescent="0.45">
      <c r="I690" t="s">
        <v>188</v>
      </c>
      <c r="J690" t="s">
        <v>167</v>
      </c>
      <c r="K690">
        <v>3.9207349110897058E-2</v>
      </c>
      <c r="L690" t="s">
        <v>163</v>
      </c>
      <c r="N690" t="s">
        <v>204</v>
      </c>
      <c r="O690" t="s">
        <v>167</v>
      </c>
      <c r="P690">
        <v>5.5071113630654383E-3</v>
      </c>
      <c r="Q690" t="s">
        <v>163</v>
      </c>
      <c r="S690" t="s">
        <v>219</v>
      </c>
      <c r="T690" t="s">
        <v>167</v>
      </c>
      <c r="U690">
        <v>1.2807916322584774E-2</v>
      </c>
      <c r="V690" t="s">
        <v>163</v>
      </c>
    </row>
    <row r="691" spans="9:22" x14ac:dyDescent="0.45">
      <c r="I691" t="s">
        <v>188</v>
      </c>
      <c r="J691" t="s">
        <v>168</v>
      </c>
      <c r="K691">
        <v>6.6919098242915351E-2</v>
      </c>
      <c r="L691" t="s">
        <v>163</v>
      </c>
      <c r="N691" t="s">
        <v>204</v>
      </c>
      <c r="O691" t="s">
        <v>168</v>
      </c>
      <c r="P691">
        <v>1.4132430639370183E-2</v>
      </c>
      <c r="Q691" t="s">
        <v>163</v>
      </c>
      <c r="S691" t="s">
        <v>219</v>
      </c>
      <c r="T691" t="s">
        <v>168</v>
      </c>
      <c r="U691">
        <v>2.039562309359574E-2</v>
      </c>
      <c r="V691" t="s">
        <v>163</v>
      </c>
    </row>
    <row r="692" spans="9:22" x14ac:dyDescent="0.45">
      <c r="I692" t="s">
        <v>188</v>
      </c>
      <c r="J692" t="s">
        <v>259</v>
      </c>
      <c r="K692">
        <v>9.4067952679785429E-3</v>
      </c>
      <c r="L692" t="s">
        <v>163</v>
      </c>
      <c r="N692" t="s">
        <v>204</v>
      </c>
      <c r="O692" t="s">
        <v>259</v>
      </c>
      <c r="P692">
        <v>2.4108505660984589E-3</v>
      </c>
      <c r="Q692" t="s">
        <v>163</v>
      </c>
      <c r="S692" t="s">
        <v>219</v>
      </c>
      <c r="T692" t="s">
        <v>259</v>
      </c>
      <c r="U692">
        <v>3.4760003706426376E-3</v>
      </c>
      <c r="V692" t="s">
        <v>163</v>
      </c>
    </row>
    <row r="693" spans="9:22" x14ac:dyDescent="0.45">
      <c r="I693" t="s">
        <v>188</v>
      </c>
      <c r="J693" t="s">
        <v>260</v>
      </c>
      <c r="K693">
        <v>8.1676007960314548E-3</v>
      </c>
      <c r="L693" t="s">
        <v>163</v>
      </c>
      <c r="N693" t="s">
        <v>204</v>
      </c>
      <c r="O693" t="s">
        <v>260</v>
      </c>
      <c r="P693">
        <v>2.1719033433450332E-3</v>
      </c>
      <c r="Q693" t="s">
        <v>163</v>
      </c>
      <c r="S693" t="s">
        <v>219</v>
      </c>
      <c r="T693" t="s">
        <v>260</v>
      </c>
      <c r="U693">
        <v>3.4538346211941589E-3</v>
      </c>
      <c r="V693" t="s">
        <v>163</v>
      </c>
    </row>
    <row r="694" spans="9:22" x14ac:dyDescent="0.45">
      <c r="I694" t="s">
        <v>188</v>
      </c>
      <c r="J694" t="s">
        <v>261</v>
      </c>
      <c r="K694">
        <v>4.1092772446790892E-3</v>
      </c>
      <c r="L694" t="s">
        <v>163</v>
      </c>
      <c r="N694" t="s">
        <v>204</v>
      </c>
      <c r="O694" t="s">
        <v>261</v>
      </c>
      <c r="P694">
        <v>7.8921904814285467E-3</v>
      </c>
      <c r="Q694" t="s">
        <v>163</v>
      </c>
      <c r="S694" t="s">
        <v>219</v>
      </c>
      <c r="T694" t="s">
        <v>261</v>
      </c>
      <c r="U694">
        <v>1.6729887262114308E-2</v>
      </c>
      <c r="V694" t="s">
        <v>163</v>
      </c>
    </row>
    <row r="695" spans="9:22" x14ac:dyDescent="0.45">
      <c r="I695" t="s">
        <v>188</v>
      </c>
      <c r="J695" t="s">
        <v>169</v>
      </c>
      <c r="K695">
        <v>1.4619111061697998E-4</v>
      </c>
      <c r="L695" t="s">
        <v>163</v>
      </c>
      <c r="N695" t="s">
        <v>204</v>
      </c>
      <c r="O695" t="s">
        <v>169</v>
      </c>
      <c r="P695">
        <v>9.0180909127396281E-3</v>
      </c>
      <c r="Q695" t="s">
        <v>163</v>
      </c>
      <c r="S695" t="s">
        <v>219</v>
      </c>
      <c r="T695" t="s">
        <v>169</v>
      </c>
      <c r="U695">
        <v>1.9860478983530175E-2</v>
      </c>
      <c r="V695" t="s">
        <v>163</v>
      </c>
    </row>
    <row r="696" spans="9:22" x14ac:dyDescent="0.45">
      <c r="I696" t="s">
        <v>188</v>
      </c>
      <c r="J696" t="s">
        <v>170</v>
      </c>
      <c r="K696">
        <v>2.667485381696531E-2</v>
      </c>
      <c r="L696" t="s">
        <v>163</v>
      </c>
      <c r="N696" t="s">
        <v>204</v>
      </c>
      <c r="O696" t="s">
        <v>170</v>
      </c>
      <c r="P696">
        <v>7.3154980903954326E-3</v>
      </c>
      <c r="Q696" t="s">
        <v>163</v>
      </c>
      <c r="S696" t="s">
        <v>219</v>
      </c>
      <c r="T696" t="s">
        <v>170</v>
      </c>
      <c r="U696">
        <v>1.1803186568235032E-2</v>
      </c>
      <c r="V696" t="s">
        <v>163</v>
      </c>
    </row>
    <row r="697" spans="9:22" x14ac:dyDescent="0.45">
      <c r="I697" t="s">
        <v>188</v>
      </c>
      <c r="J697" t="s">
        <v>171</v>
      </c>
      <c r="K697">
        <v>5.1253332218843005E-2</v>
      </c>
      <c r="L697" t="s">
        <v>163</v>
      </c>
      <c r="N697" t="s">
        <v>204</v>
      </c>
      <c r="O697" t="s">
        <v>171</v>
      </c>
      <c r="P697">
        <v>1.6768209181046437E-2</v>
      </c>
      <c r="Q697" t="s">
        <v>163</v>
      </c>
      <c r="S697" t="s">
        <v>219</v>
      </c>
      <c r="T697" t="s">
        <v>171</v>
      </c>
      <c r="U697">
        <v>1.9485279214457293E-2</v>
      </c>
      <c r="V697" t="s">
        <v>163</v>
      </c>
    </row>
    <row r="698" spans="9:22" x14ac:dyDescent="0.45">
      <c r="I698" t="s">
        <v>188</v>
      </c>
      <c r="J698" t="s">
        <v>262</v>
      </c>
      <c r="K698">
        <v>6.3098007401626265E-3</v>
      </c>
      <c r="L698" t="s">
        <v>163</v>
      </c>
      <c r="N698" t="s">
        <v>204</v>
      </c>
      <c r="O698" t="s">
        <v>262</v>
      </c>
      <c r="P698">
        <v>2.0833136400649748E-3</v>
      </c>
      <c r="Q698" t="s">
        <v>163</v>
      </c>
      <c r="S698" t="s">
        <v>219</v>
      </c>
      <c r="T698" t="s">
        <v>262</v>
      </c>
      <c r="U698">
        <v>3.2589041935357508E-3</v>
      </c>
      <c r="V698" t="s">
        <v>163</v>
      </c>
    </row>
    <row r="699" spans="9:22" x14ac:dyDescent="0.45">
      <c r="I699" t="s">
        <v>188</v>
      </c>
      <c r="J699" t="s">
        <v>263</v>
      </c>
      <c r="K699">
        <v>4.0345837979169968E-3</v>
      </c>
      <c r="L699" t="s">
        <v>163</v>
      </c>
      <c r="N699" t="s">
        <v>204</v>
      </c>
      <c r="O699" t="s">
        <v>263</v>
      </c>
      <c r="P699">
        <v>1.6954496256347542E-3</v>
      </c>
      <c r="Q699" t="s">
        <v>163</v>
      </c>
      <c r="S699" t="s">
        <v>219</v>
      </c>
      <c r="T699" t="s">
        <v>263</v>
      </c>
      <c r="U699">
        <v>3.2084702485644738E-3</v>
      </c>
      <c r="V699" t="s">
        <v>163</v>
      </c>
    </row>
    <row r="700" spans="9:22" x14ac:dyDescent="0.45">
      <c r="I700" t="s">
        <v>188</v>
      </c>
      <c r="J700" t="s">
        <v>264</v>
      </c>
      <c r="K700">
        <v>0</v>
      </c>
      <c r="L700" t="s">
        <v>163</v>
      </c>
      <c r="N700" t="s">
        <v>204</v>
      </c>
      <c r="O700" t="s">
        <v>264</v>
      </c>
      <c r="P700">
        <v>5.1070034793149633E-3</v>
      </c>
      <c r="Q700" t="s">
        <v>163</v>
      </c>
      <c r="S700" t="s">
        <v>219</v>
      </c>
      <c r="T700" t="s">
        <v>264</v>
      </c>
      <c r="U700">
        <v>1.4868573809334389E-2</v>
      </c>
      <c r="V700" t="s">
        <v>163</v>
      </c>
    </row>
    <row r="701" spans="9:22" x14ac:dyDescent="0.45">
      <c r="I701" t="s">
        <v>188</v>
      </c>
      <c r="J701" t="s">
        <v>172</v>
      </c>
      <c r="K701">
        <v>0</v>
      </c>
      <c r="L701" t="s">
        <v>163</v>
      </c>
      <c r="N701" t="s">
        <v>204</v>
      </c>
      <c r="O701" t="s">
        <v>172</v>
      </c>
      <c r="P701">
        <v>3.7866747749738194E-2</v>
      </c>
      <c r="Q701" t="s">
        <v>163</v>
      </c>
      <c r="S701" t="s">
        <v>219</v>
      </c>
      <c r="T701" t="s">
        <v>172</v>
      </c>
      <c r="U701">
        <v>4.9652108277665849E-2</v>
      </c>
      <c r="V701" t="s">
        <v>163</v>
      </c>
    </row>
    <row r="702" spans="9:22" x14ac:dyDescent="0.45">
      <c r="I702" t="s">
        <v>188</v>
      </c>
      <c r="J702" t="s">
        <v>173</v>
      </c>
      <c r="K702">
        <v>2.715347293091849E-2</v>
      </c>
      <c r="L702" t="s">
        <v>163</v>
      </c>
      <c r="N702" t="s">
        <v>204</v>
      </c>
      <c r="O702" t="s">
        <v>173</v>
      </c>
      <c r="P702">
        <v>2.0214366801352975E-2</v>
      </c>
      <c r="Q702" t="s">
        <v>163</v>
      </c>
      <c r="S702" t="s">
        <v>219</v>
      </c>
      <c r="T702" t="s">
        <v>173</v>
      </c>
      <c r="U702">
        <v>2.748295998658104E-2</v>
      </c>
      <c r="V702" t="s">
        <v>163</v>
      </c>
    </row>
    <row r="703" spans="9:22" x14ac:dyDescent="0.45">
      <c r="I703" t="s">
        <v>188</v>
      </c>
      <c r="J703" t="s">
        <v>174</v>
      </c>
      <c r="K703">
        <v>5.9717619972053874E-2</v>
      </c>
      <c r="L703" t="s">
        <v>163</v>
      </c>
      <c r="N703" t="s">
        <v>204</v>
      </c>
      <c r="O703" t="s">
        <v>174</v>
      </c>
      <c r="P703">
        <v>3.7474258702978783E-2</v>
      </c>
      <c r="Q703" t="s">
        <v>163</v>
      </c>
      <c r="S703" t="s">
        <v>219</v>
      </c>
      <c r="T703" t="s">
        <v>174</v>
      </c>
      <c r="U703">
        <v>4.1763211432098143E-2</v>
      </c>
      <c r="V703" t="s">
        <v>163</v>
      </c>
    </row>
    <row r="704" spans="9:22" x14ac:dyDescent="0.45">
      <c r="I704" t="s">
        <v>188</v>
      </c>
      <c r="J704" t="s">
        <v>265</v>
      </c>
      <c r="K704">
        <v>4.4102043178563645E-3</v>
      </c>
      <c r="L704" t="s">
        <v>163</v>
      </c>
      <c r="N704" t="s">
        <v>204</v>
      </c>
      <c r="O704" t="s">
        <v>265</v>
      </c>
      <c r="P704">
        <v>6.1745714610533893E-3</v>
      </c>
      <c r="Q704" t="s">
        <v>163</v>
      </c>
      <c r="S704" t="s">
        <v>219</v>
      </c>
      <c r="T704" t="s">
        <v>265</v>
      </c>
      <c r="U704">
        <v>7.061961337650133E-3</v>
      </c>
      <c r="V704" t="s">
        <v>163</v>
      </c>
    </row>
    <row r="705" spans="9:22" x14ac:dyDescent="0.45">
      <c r="I705" t="s">
        <v>188</v>
      </c>
      <c r="J705" t="s">
        <v>266</v>
      </c>
      <c r="K705">
        <v>0</v>
      </c>
      <c r="L705" t="s">
        <v>163</v>
      </c>
      <c r="N705" t="s">
        <v>204</v>
      </c>
      <c r="O705" t="s">
        <v>266</v>
      </c>
      <c r="P705">
        <v>6.1147336470159432E-3</v>
      </c>
      <c r="Q705" t="s">
        <v>163</v>
      </c>
      <c r="S705" t="s">
        <v>219</v>
      </c>
      <c r="T705" t="s">
        <v>266</v>
      </c>
      <c r="U705">
        <v>7.0672524763113467E-3</v>
      </c>
      <c r="V705" t="s">
        <v>163</v>
      </c>
    </row>
    <row r="706" spans="9:22" x14ac:dyDescent="0.45">
      <c r="I706" t="s">
        <v>188</v>
      </c>
      <c r="J706" t="s">
        <v>267</v>
      </c>
      <c r="K706">
        <v>0</v>
      </c>
      <c r="L706" t="s">
        <v>163</v>
      </c>
      <c r="N706" t="s">
        <v>204</v>
      </c>
      <c r="O706" t="s">
        <v>267</v>
      </c>
      <c r="P706">
        <v>2.7382192396604794E-2</v>
      </c>
      <c r="Q706" t="s">
        <v>163</v>
      </c>
      <c r="S706" t="s">
        <v>219</v>
      </c>
      <c r="T706" t="s">
        <v>267</v>
      </c>
      <c r="U706">
        <v>3.4829133228465543E-2</v>
      </c>
      <c r="V706" t="s">
        <v>163</v>
      </c>
    </row>
    <row r="707" spans="9:22" x14ac:dyDescent="0.45">
      <c r="I707" t="s">
        <v>188</v>
      </c>
      <c r="J707" t="s">
        <v>268</v>
      </c>
      <c r="K707">
        <v>0</v>
      </c>
      <c r="L707" t="s">
        <v>163</v>
      </c>
      <c r="N707" t="s">
        <v>204</v>
      </c>
      <c r="O707" t="s">
        <v>268</v>
      </c>
      <c r="P707">
        <v>1.9566584485678516E-2</v>
      </c>
      <c r="Q707" t="s">
        <v>163</v>
      </c>
      <c r="S707" t="s">
        <v>219</v>
      </c>
      <c r="T707" t="s">
        <v>268</v>
      </c>
      <c r="U707">
        <v>2.2939933051683264E-2</v>
      </c>
      <c r="V707" t="s">
        <v>163</v>
      </c>
    </row>
    <row r="708" spans="9:22" x14ac:dyDescent="0.45">
      <c r="I708" t="s">
        <v>188</v>
      </c>
      <c r="J708" t="s">
        <v>269</v>
      </c>
      <c r="K708">
        <v>7.3575715268832838E-3</v>
      </c>
      <c r="L708" t="s">
        <v>163</v>
      </c>
      <c r="N708" t="s">
        <v>204</v>
      </c>
      <c r="O708" t="s">
        <v>269</v>
      </c>
      <c r="P708">
        <v>9.5915544996636407E-3</v>
      </c>
      <c r="Q708" t="s">
        <v>163</v>
      </c>
      <c r="S708" t="s">
        <v>219</v>
      </c>
      <c r="T708" t="s">
        <v>269</v>
      </c>
      <c r="U708">
        <v>1.3454504545124472E-2</v>
      </c>
      <c r="V708" t="s">
        <v>163</v>
      </c>
    </row>
    <row r="709" spans="9:22" x14ac:dyDescent="0.45">
      <c r="I709" t="s">
        <v>188</v>
      </c>
      <c r="J709" t="s">
        <v>270</v>
      </c>
      <c r="K709">
        <v>1.8646107846336926E-2</v>
      </c>
      <c r="L709" t="s">
        <v>163</v>
      </c>
      <c r="N709" t="s">
        <v>204</v>
      </c>
      <c r="O709" t="s">
        <v>270</v>
      </c>
      <c r="P709">
        <v>1.8461226946433627E-2</v>
      </c>
      <c r="Q709" t="s">
        <v>163</v>
      </c>
      <c r="S709" t="s">
        <v>219</v>
      </c>
      <c r="T709" t="s">
        <v>270</v>
      </c>
      <c r="U709">
        <v>2.0595512232079123E-2</v>
      </c>
      <c r="V709" t="s">
        <v>163</v>
      </c>
    </row>
    <row r="710" spans="9:22" x14ac:dyDescent="0.45">
      <c r="I710" t="s">
        <v>188</v>
      </c>
      <c r="J710" t="s">
        <v>271</v>
      </c>
      <c r="K710">
        <v>0</v>
      </c>
      <c r="L710" t="s">
        <v>163</v>
      </c>
      <c r="N710" t="s">
        <v>204</v>
      </c>
      <c r="O710" t="s">
        <v>271</v>
      </c>
      <c r="P710">
        <v>3.562856652647477E-3</v>
      </c>
      <c r="Q710" t="s">
        <v>163</v>
      </c>
      <c r="S710" t="s">
        <v>219</v>
      </c>
      <c r="T710" t="s">
        <v>271</v>
      </c>
      <c r="U710">
        <v>3.4306825574770368E-3</v>
      </c>
      <c r="V710" t="s">
        <v>163</v>
      </c>
    </row>
    <row r="711" spans="9:22" x14ac:dyDescent="0.45">
      <c r="I711" t="s">
        <v>188</v>
      </c>
      <c r="J711" t="s">
        <v>272</v>
      </c>
      <c r="K711">
        <v>0</v>
      </c>
      <c r="L711" t="s">
        <v>163</v>
      </c>
      <c r="N711" t="s">
        <v>204</v>
      </c>
      <c r="O711" t="s">
        <v>272</v>
      </c>
      <c r="P711">
        <v>3.6069548487003768E-3</v>
      </c>
      <c r="Q711" t="s">
        <v>163</v>
      </c>
      <c r="S711" t="s">
        <v>219</v>
      </c>
      <c r="T711" t="s">
        <v>272</v>
      </c>
      <c r="U711">
        <v>3.4232964571158397E-3</v>
      </c>
      <c r="V711" t="s">
        <v>163</v>
      </c>
    </row>
    <row r="712" spans="9:22" x14ac:dyDescent="0.45">
      <c r="I712" t="s">
        <v>188</v>
      </c>
      <c r="J712" t="s">
        <v>273</v>
      </c>
      <c r="K712">
        <v>0</v>
      </c>
      <c r="L712" t="s">
        <v>163</v>
      </c>
      <c r="N712" t="s">
        <v>204</v>
      </c>
      <c r="O712" t="s">
        <v>273</v>
      </c>
      <c r="P712">
        <v>1.7443412655984009E-2</v>
      </c>
      <c r="Q712" t="s">
        <v>163</v>
      </c>
      <c r="S712" t="s">
        <v>219</v>
      </c>
      <c r="T712" t="s">
        <v>273</v>
      </c>
      <c r="U712">
        <v>1.6784342995629538E-2</v>
      </c>
      <c r="V712" t="s">
        <v>163</v>
      </c>
    </row>
    <row r="713" spans="9:22" x14ac:dyDescent="0.45">
      <c r="I713" t="s">
        <v>188</v>
      </c>
      <c r="J713" t="s">
        <v>274</v>
      </c>
      <c r="K713">
        <v>2.0788978413507632E-4</v>
      </c>
      <c r="L713" t="s">
        <v>163</v>
      </c>
      <c r="N713" t="s">
        <v>204</v>
      </c>
      <c r="O713" t="s">
        <v>274</v>
      </c>
      <c r="P713">
        <v>7.9291429695622723E-2</v>
      </c>
      <c r="Q713" t="s">
        <v>163</v>
      </c>
      <c r="S713" t="s">
        <v>219</v>
      </c>
      <c r="T713" t="s">
        <v>274</v>
      </c>
      <c r="U713">
        <v>7.5903178081017916E-2</v>
      </c>
      <c r="V713" t="s">
        <v>163</v>
      </c>
    </row>
    <row r="714" spans="9:22" x14ac:dyDescent="0.45">
      <c r="I714" t="s">
        <v>188</v>
      </c>
      <c r="J714" t="s">
        <v>275</v>
      </c>
      <c r="K714">
        <v>4.6227692719839585E-2</v>
      </c>
      <c r="L714" t="s">
        <v>163</v>
      </c>
      <c r="N714" t="s">
        <v>204</v>
      </c>
      <c r="O714" t="s">
        <v>275</v>
      </c>
      <c r="P714">
        <v>4.2521325933070439E-2</v>
      </c>
      <c r="Q714" t="s">
        <v>163</v>
      </c>
      <c r="S714" t="s">
        <v>219</v>
      </c>
      <c r="T714" t="s">
        <v>275</v>
      </c>
      <c r="U714">
        <v>4.2262620475374851E-2</v>
      </c>
      <c r="V714" t="s">
        <v>163</v>
      </c>
    </row>
    <row r="715" spans="9:22" x14ac:dyDescent="0.45">
      <c r="I715" t="s">
        <v>188</v>
      </c>
      <c r="J715" t="s">
        <v>276</v>
      </c>
      <c r="K715">
        <v>0.10032524647841683</v>
      </c>
      <c r="L715" t="s">
        <v>163</v>
      </c>
      <c r="N715" t="s">
        <v>204</v>
      </c>
      <c r="O715" t="s">
        <v>276</v>
      </c>
      <c r="P715">
        <v>8.8201433945088573E-2</v>
      </c>
      <c r="Q715" t="s">
        <v>163</v>
      </c>
      <c r="S715" t="s">
        <v>219</v>
      </c>
      <c r="T715" t="s">
        <v>276</v>
      </c>
      <c r="U715">
        <v>6.3925473988822826E-2</v>
      </c>
      <c r="V715" t="s">
        <v>163</v>
      </c>
    </row>
    <row r="716" spans="9:22" x14ac:dyDescent="0.45">
      <c r="I716" t="s">
        <v>188</v>
      </c>
      <c r="J716" t="s">
        <v>277</v>
      </c>
      <c r="K716">
        <v>8.430882964640618E-3</v>
      </c>
      <c r="L716" t="s">
        <v>163</v>
      </c>
      <c r="N716" t="s">
        <v>204</v>
      </c>
      <c r="O716" t="s">
        <v>277</v>
      </c>
      <c r="P716">
        <v>1.4129549064022627E-2</v>
      </c>
      <c r="Q716" t="s">
        <v>163</v>
      </c>
      <c r="S716" t="s">
        <v>219</v>
      </c>
      <c r="T716" t="s">
        <v>277</v>
      </c>
      <c r="U716">
        <v>1.0558673029891155E-2</v>
      </c>
      <c r="V716" t="s">
        <v>163</v>
      </c>
    </row>
    <row r="717" spans="9:22" x14ac:dyDescent="0.45">
      <c r="I717" t="s">
        <v>188</v>
      </c>
      <c r="J717" t="s">
        <v>278</v>
      </c>
      <c r="K717">
        <v>1.0663499935002088E-3</v>
      </c>
      <c r="L717" t="s">
        <v>163</v>
      </c>
      <c r="N717" t="s">
        <v>204</v>
      </c>
      <c r="O717" t="s">
        <v>278</v>
      </c>
      <c r="P717">
        <v>1.3221892755380738E-2</v>
      </c>
      <c r="Q717" t="s">
        <v>163</v>
      </c>
      <c r="S717" t="s">
        <v>219</v>
      </c>
      <c r="T717" t="s">
        <v>278</v>
      </c>
      <c r="U717">
        <v>1.0519126648928036E-2</v>
      </c>
      <c r="V717" t="s">
        <v>163</v>
      </c>
    </row>
    <row r="718" spans="9:22" x14ac:dyDescent="0.45">
      <c r="I718" t="s">
        <v>188</v>
      </c>
      <c r="J718" t="s">
        <v>279</v>
      </c>
      <c r="K718">
        <v>0</v>
      </c>
      <c r="L718" t="s">
        <v>163</v>
      </c>
      <c r="N718" t="s">
        <v>204</v>
      </c>
      <c r="O718" t="s">
        <v>279</v>
      </c>
      <c r="P718">
        <v>5.9343709022926537E-2</v>
      </c>
      <c r="Q718" t="s">
        <v>163</v>
      </c>
      <c r="S718" t="s">
        <v>219</v>
      </c>
      <c r="T718" t="s">
        <v>279</v>
      </c>
      <c r="U718">
        <v>5.2693166585641889E-2</v>
      </c>
      <c r="V718" t="s">
        <v>163</v>
      </c>
    </row>
    <row r="719" spans="9:22" x14ac:dyDescent="0.45">
      <c r="I719" t="s">
        <v>188</v>
      </c>
      <c r="J719" t="s">
        <v>280</v>
      </c>
      <c r="K719">
        <v>2.7933404987983759E-3</v>
      </c>
      <c r="L719" t="s">
        <v>163</v>
      </c>
      <c r="N719" t="s">
        <v>204</v>
      </c>
      <c r="O719" t="s">
        <v>280</v>
      </c>
      <c r="P719">
        <v>3.7953039678333751E-2</v>
      </c>
      <c r="Q719" t="s">
        <v>163</v>
      </c>
      <c r="S719" t="s">
        <v>219</v>
      </c>
      <c r="T719" t="s">
        <v>280</v>
      </c>
      <c r="U719">
        <v>3.016743426856739E-2</v>
      </c>
      <c r="V719" t="s">
        <v>163</v>
      </c>
    </row>
    <row r="720" spans="9:22" x14ac:dyDescent="0.45">
      <c r="I720" t="s">
        <v>188</v>
      </c>
      <c r="J720" t="s">
        <v>281</v>
      </c>
      <c r="K720">
        <v>2.691086339741219E-2</v>
      </c>
      <c r="L720" t="s">
        <v>163</v>
      </c>
      <c r="N720" t="s">
        <v>204</v>
      </c>
      <c r="O720" t="s">
        <v>281</v>
      </c>
      <c r="P720">
        <v>2.2159494960901423E-2</v>
      </c>
      <c r="Q720" t="s">
        <v>163</v>
      </c>
      <c r="S720" t="s">
        <v>219</v>
      </c>
      <c r="T720" t="s">
        <v>281</v>
      </c>
      <c r="U720">
        <v>1.6840940872470504E-2</v>
      </c>
      <c r="V720" t="s">
        <v>163</v>
      </c>
    </row>
    <row r="721" spans="9:22" x14ac:dyDescent="0.45">
      <c r="I721" t="s">
        <v>188</v>
      </c>
      <c r="J721" t="s">
        <v>282</v>
      </c>
      <c r="K721">
        <v>5.2733831023632147E-2</v>
      </c>
      <c r="L721" t="s">
        <v>163</v>
      </c>
      <c r="N721" t="s">
        <v>204</v>
      </c>
      <c r="O721" t="s">
        <v>282</v>
      </c>
      <c r="P721">
        <v>4.6507655420957285E-2</v>
      </c>
      <c r="Q721" t="s">
        <v>163</v>
      </c>
      <c r="S721" t="s">
        <v>219</v>
      </c>
      <c r="T721" t="s">
        <v>282</v>
      </c>
      <c r="U721">
        <v>2.4543737737156124E-2</v>
      </c>
      <c r="V721" t="s">
        <v>163</v>
      </c>
    </row>
    <row r="722" spans="9:22" x14ac:dyDescent="0.45">
      <c r="I722" t="s">
        <v>188</v>
      </c>
      <c r="J722" t="s">
        <v>283</v>
      </c>
      <c r="K722">
        <v>5.66209130245499E-3</v>
      </c>
      <c r="L722" t="s">
        <v>163</v>
      </c>
      <c r="N722" t="s">
        <v>204</v>
      </c>
      <c r="O722" t="s">
        <v>283</v>
      </c>
      <c r="P722">
        <v>7.1073222339101162E-3</v>
      </c>
      <c r="Q722" t="s">
        <v>163</v>
      </c>
      <c r="S722" t="s">
        <v>219</v>
      </c>
      <c r="T722" t="s">
        <v>283</v>
      </c>
      <c r="U722">
        <v>3.9365162441579137E-3</v>
      </c>
      <c r="V722" t="s">
        <v>163</v>
      </c>
    </row>
    <row r="723" spans="9:22" x14ac:dyDescent="0.45">
      <c r="I723" t="s">
        <v>188</v>
      </c>
      <c r="J723" t="s">
        <v>284</v>
      </c>
      <c r="K723">
        <v>3.7676301819042548E-3</v>
      </c>
      <c r="L723" t="s">
        <v>163</v>
      </c>
      <c r="N723" t="s">
        <v>204</v>
      </c>
      <c r="O723" t="s">
        <v>284</v>
      </c>
      <c r="P723">
        <v>6.554789574602057E-3</v>
      </c>
      <c r="Q723" t="s">
        <v>163</v>
      </c>
      <c r="S723" t="s">
        <v>219</v>
      </c>
      <c r="T723" t="s">
        <v>284</v>
      </c>
      <c r="U723">
        <v>3.9002803021686398E-3</v>
      </c>
      <c r="V723" t="s">
        <v>163</v>
      </c>
    </row>
    <row r="724" spans="9:22" x14ac:dyDescent="0.45">
      <c r="I724" t="s">
        <v>188</v>
      </c>
      <c r="J724" t="s">
        <v>285</v>
      </c>
      <c r="K724">
        <v>0</v>
      </c>
      <c r="L724" t="s">
        <v>163</v>
      </c>
      <c r="N724" t="s">
        <v>204</v>
      </c>
      <c r="O724" t="s">
        <v>285</v>
      </c>
      <c r="P724">
        <v>2.9154091579073112E-2</v>
      </c>
      <c r="Q724" t="s">
        <v>163</v>
      </c>
      <c r="S724" t="s">
        <v>219</v>
      </c>
      <c r="T724" t="s">
        <v>285</v>
      </c>
      <c r="U724">
        <v>1.9643212263927349E-2</v>
      </c>
      <c r="V724" t="s">
        <v>163</v>
      </c>
    </row>
    <row r="725" spans="9:22" x14ac:dyDescent="0.45">
      <c r="I725" t="s">
        <v>188</v>
      </c>
      <c r="J725" t="s">
        <v>286</v>
      </c>
      <c r="K725">
        <v>1.8188394800587114E-2</v>
      </c>
      <c r="L725" t="s">
        <v>163</v>
      </c>
      <c r="N725" t="s">
        <v>204</v>
      </c>
      <c r="O725" t="s">
        <v>286</v>
      </c>
      <c r="P725">
        <v>3.3770963527989438E-2</v>
      </c>
      <c r="Q725" t="s">
        <v>163</v>
      </c>
      <c r="S725" t="s">
        <v>219</v>
      </c>
      <c r="T725" t="s">
        <v>286</v>
      </c>
      <c r="U725">
        <v>4.5487047697644403E-2</v>
      </c>
      <c r="V725" t="s">
        <v>163</v>
      </c>
    </row>
    <row r="726" spans="9:22" x14ac:dyDescent="0.45">
      <c r="I726" t="s">
        <v>188</v>
      </c>
      <c r="J726" t="s">
        <v>287</v>
      </c>
      <c r="K726">
        <v>8.063882828813497E-2</v>
      </c>
      <c r="L726" t="s">
        <v>163</v>
      </c>
      <c r="N726" t="s">
        <v>204</v>
      </c>
      <c r="O726" t="s">
        <v>287</v>
      </c>
      <c r="P726">
        <v>2.1217054835214091E-2</v>
      </c>
      <c r="Q726" t="s">
        <v>163</v>
      </c>
      <c r="S726" t="s">
        <v>219</v>
      </c>
      <c r="T726" t="s">
        <v>287</v>
      </c>
      <c r="U726">
        <v>2.6322411082306475E-2</v>
      </c>
      <c r="V726" t="s">
        <v>163</v>
      </c>
    </row>
    <row r="727" spans="9:22" x14ac:dyDescent="0.45">
      <c r="I727" t="s">
        <v>188</v>
      </c>
      <c r="J727" t="s">
        <v>288</v>
      </c>
      <c r="K727">
        <v>0.13042007628764443</v>
      </c>
      <c r="L727" t="s">
        <v>163</v>
      </c>
      <c r="N727" t="s">
        <v>204</v>
      </c>
      <c r="O727" t="s">
        <v>288</v>
      </c>
      <c r="P727">
        <v>5.2486495713267314E-2</v>
      </c>
      <c r="Q727" t="s">
        <v>163</v>
      </c>
      <c r="S727" t="s">
        <v>219</v>
      </c>
      <c r="T727" t="s">
        <v>288</v>
      </c>
      <c r="U727">
        <v>3.9439196780727631E-2</v>
      </c>
      <c r="V727" t="s">
        <v>163</v>
      </c>
    </row>
    <row r="728" spans="9:22" x14ac:dyDescent="0.45">
      <c r="I728" t="s">
        <v>188</v>
      </c>
      <c r="J728" t="s">
        <v>289</v>
      </c>
      <c r="K728">
        <v>1.7217069633659321E-2</v>
      </c>
      <c r="L728" t="s">
        <v>163</v>
      </c>
      <c r="N728" t="s">
        <v>204</v>
      </c>
      <c r="O728" t="s">
        <v>289</v>
      </c>
      <c r="P728">
        <v>7.3169986701222449E-3</v>
      </c>
      <c r="Q728" t="s">
        <v>163</v>
      </c>
      <c r="S728" t="s">
        <v>219</v>
      </c>
      <c r="T728" t="s">
        <v>289</v>
      </c>
      <c r="U728">
        <v>6.4344311402215497E-3</v>
      </c>
      <c r="V728" t="s">
        <v>163</v>
      </c>
    </row>
    <row r="729" spans="9:22" x14ac:dyDescent="0.45">
      <c r="I729" t="s">
        <v>188</v>
      </c>
      <c r="J729" t="s">
        <v>290</v>
      </c>
      <c r="K729">
        <v>1.4347854539440447E-2</v>
      </c>
      <c r="L729" t="s">
        <v>163</v>
      </c>
      <c r="N729" t="s">
        <v>204</v>
      </c>
      <c r="O729" t="s">
        <v>290</v>
      </c>
      <c r="P729">
        <v>6.5090673470589869E-3</v>
      </c>
      <c r="Q729" t="s">
        <v>163</v>
      </c>
      <c r="S729" t="s">
        <v>219</v>
      </c>
      <c r="T729" t="s">
        <v>290</v>
      </c>
      <c r="U729">
        <v>6.4222117161802355E-3</v>
      </c>
      <c r="V729" t="s">
        <v>163</v>
      </c>
    </row>
    <row r="730" spans="9:22" x14ac:dyDescent="0.45">
      <c r="I730" t="s">
        <v>188</v>
      </c>
      <c r="J730" t="s">
        <v>291</v>
      </c>
      <c r="K730">
        <v>8.1281027281435974E-3</v>
      </c>
      <c r="L730" t="s">
        <v>163</v>
      </c>
      <c r="N730" t="s">
        <v>204</v>
      </c>
      <c r="O730" t="s">
        <v>291</v>
      </c>
      <c r="P730">
        <v>2.6114776398533754E-2</v>
      </c>
      <c r="Q730" t="s">
        <v>163</v>
      </c>
      <c r="S730" t="s">
        <v>219</v>
      </c>
      <c r="T730" t="s">
        <v>291</v>
      </c>
      <c r="U730">
        <v>3.1829364796889609E-2</v>
      </c>
      <c r="V730" t="s">
        <v>163</v>
      </c>
    </row>
    <row r="731" spans="9:22" x14ac:dyDescent="0.45">
      <c r="I731" t="s">
        <v>189</v>
      </c>
      <c r="J731" t="s">
        <v>162</v>
      </c>
      <c r="K731">
        <v>6.4276849916241781E-3</v>
      </c>
      <c r="L731" t="s">
        <v>163</v>
      </c>
      <c r="S731" t="s">
        <v>220</v>
      </c>
      <c r="T731" t="s">
        <v>162</v>
      </c>
      <c r="U731">
        <v>2.2049689091509818E-2</v>
      </c>
      <c r="V731" t="s">
        <v>163</v>
      </c>
    </row>
    <row r="732" spans="9:22" x14ac:dyDescent="0.45">
      <c r="I732" t="s">
        <v>189</v>
      </c>
      <c r="J732" t="s">
        <v>164</v>
      </c>
      <c r="K732">
        <v>4.147887466624936E-2</v>
      </c>
      <c r="L732" t="s">
        <v>163</v>
      </c>
      <c r="S732" t="s">
        <v>220</v>
      </c>
      <c r="T732" t="s">
        <v>164</v>
      </c>
      <c r="U732">
        <v>1.3465027565648487E-2</v>
      </c>
      <c r="V732" t="s">
        <v>163</v>
      </c>
    </row>
    <row r="733" spans="9:22" x14ac:dyDescent="0.45">
      <c r="I733" t="s">
        <v>189</v>
      </c>
      <c r="J733" t="s">
        <v>165</v>
      </c>
      <c r="K733">
        <v>7.3884318110877589E-2</v>
      </c>
      <c r="L733" t="s">
        <v>163</v>
      </c>
      <c r="S733" t="s">
        <v>220</v>
      </c>
      <c r="T733" t="s">
        <v>165</v>
      </c>
      <c r="U733">
        <v>2.1464901821234228E-2</v>
      </c>
      <c r="V733" t="s">
        <v>163</v>
      </c>
    </row>
    <row r="734" spans="9:22" x14ac:dyDescent="0.45">
      <c r="I734" t="s">
        <v>189</v>
      </c>
      <c r="J734" t="s">
        <v>256</v>
      </c>
      <c r="K734">
        <v>1.0292166859735026E-2</v>
      </c>
      <c r="L734" t="s">
        <v>163</v>
      </c>
      <c r="S734" t="s">
        <v>220</v>
      </c>
      <c r="T734" t="s">
        <v>256</v>
      </c>
      <c r="U734">
        <v>3.49962770572795E-3</v>
      </c>
      <c r="V734" t="s">
        <v>163</v>
      </c>
    </row>
    <row r="735" spans="9:22" x14ac:dyDescent="0.45">
      <c r="I735" t="s">
        <v>189</v>
      </c>
      <c r="J735" t="s">
        <v>257</v>
      </c>
      <c r="K735">
        <v>8.5753385944452101E-3</v>
      </c>
      <c r="L735" t="s">
        <v>163</v>
      </c>
      <c r="S735" t="s">
        <v>220</v>
      </c>
      <c r="T735" t="s">
        <v>257</v>
      </c>
      <c r="U735">
        <v>3.4043622270621601E-3</v>
      </c>
      <c r="V735" t="s">
        <v>163</v>
      </c>
    </row>
    <row r="736" spans="9:22" x14ac:dyDescent="0.45">
      <c r="I736" t="s">
        <v>189</v>
      </c>
      <c r="J736" t="s">
        <v>258</v>
      </c>
      <c r="K736">
        <v>5.4685334404785133E-3</v>
      </c>
      <c r="L736" t="s">
        <v>163</v>
      </c>
      <c r="S736" t="s">
        <v>220</v>
      </c>
      <c r="T736" t="s">
        <v>258</v>
      </c>
      <c r="U736">
        <v>1.6000686821206735E-2</v>
      </c>
      <c r="V736" t="s">
        <v>163</v>
      </c>
    </row>
    <row r="737" spans="9:22" x14ac:dyDescent="0.45">
      <c r="I737" t="s">
        <v>189</v>
      </c>
      <c r="J737" t="s">
        <v>166</v>
      </c>
      <c r="K737">
        <v>4.8944185708726818E-3</v>
      </c>
      <c r="L737" t="s">
        <v>163</v>
      </c>
      <c r="S737" t="s">
        <v>220</v>
      </c>
      <c r="T737" t="s">
        <v>166</v>
      </c>
      <c r="U737">
        <v>2.2091178955590703E-2</v>
      </c>
      <c r="V737" t="s">
        <v>163</v>
      </c>
    </row>
    <row r="738" spans="9:22" x14ac:dyDescent="0.45">
      <c r="I738" t="s">
        <v>189</v>
      </c>
      <c r="J738" t="s">
        <v>167</v>
      </c>
      <c r="K738">
        <v>3.8973991528178473E-2</v>
      </c>
      <c r="L738" t="s">
        <v>163</v>
      </c>
      <c r="S738" t="s">
        <v>220</v>
      </c>
      <c r="T738" t="s">
        <v>167</v>
      </c>
      <c r="U738">
        <v>1.212921387077708E-2</v>
      </c>
      <c r="V738" t="s">
        <v>163</v>
      </c>
    </row>
    <row r="739" spans="9:22" x14ac:dyDescent="0.45">
      <c r="I739" t="s">
        <v>189</v>
      </c>
      <c r="J739" t="s">
        <v>168</v>
      </c>
      <c r="K739">
        <v>6.8155612913894659E-2</v>
      </c>
      <c r="L739" t="s">
        <v>163</v>
      </c>
      <c r="S739" t="s">
        <v>220</v>
      </c>
      <c r="T739" t="s">
        <v>168</v>
      </c>
      <c r="U739">
        <v>1.7780200925356638E-2</v>
      </c>
      <c r="V739" t="s">
        <v>163</v>
      </c>
    </row>
    <row r="740" spans="9:22" x14ac:dyDescent="0.45">
      <c r="I740" t="s">
        <v>189</v>
      </c>
      <c r="J740" t="s">
        <v>259</v>
      </c>
      <c r="K740">
        <v>9.1916298850652535E-3</v>
      </c>
      <c r="L740" t="s">
        <v>163</v>
      </c>
      <c r="S740" t="s">
        <v>220</v>
      </c>
      <c r="T740" t="s">
        <v>259</v>
      </c>
      <c r="U740">
        <v>3.0470461902388827E-3</v>
      </c>
      <c r="V740" t="s">
        <v>163</v>
      </c>
    </row>
    <row r="741" spans="9:22" x14ac:dyDescent="0.45">
      <c r="I741" t="s">
        <v>189</v>
      </c>
      <c r="J741" t="s">
        <v>260</v>
      </c>
      <c r="K741">
        <v>6.8737889462894752E-3</v>
      </c>
      <c r="L741" t="s">
        <v>163</v>
      </c>
      <c r="S741" t="s">
        <v>220</v>
      </c>
      <c r="T741" t="s">
        <v>260</v>
      </c>
      <c r="U741">
        <v>3.0495440925229229E-3</v>
      </c>
      <c r="V741" t="s">
        <v>163</v>
      </c>
    </row>
    <row r="742" spans="9:22" x14ac:dyDescent="0.45">
      <c r="I742" t="s">
        <v>189</v>
      </c>
      <c r="J742" t="s">
        <v>261</v>
      </c>
      <c r="K742">
        <v>2.5892200982822744E-3</v>
      </c>
      <c r="L742" t="s">
        <v>163</v>
      </c>
      <c r="S742" t="s">
        <v>220</v>
      </c>
      <c r="T742" t="s">
        <v>261</v>
      </c>
      <c r="U742">
        <v>1.5079569226618265E-2</v>
      </c>
      <c r="V742" t="s">
        <v>163</v>
      </c>
    </row>
    <row r="743" spans="9:22" x14ac:dyDescent="0.45">
      <c r="I743" t="s">
        <v>189</v>
      </c>
      <c r="J743" t="s">
        <v>169</v>
      </c>
      <c r="K743">
        <v>6.1671144346517011E-4</v>
      </c>
      <c r="L743" t="s">
        <v>163</v>
      </c>
      <c r="S743" t="s">
        <v>220</v>
      </c>
      <c r="T743" t="s">
        <v>169</v>
      </c>
      <c r="U743">
        <v>2.3653500972136931E-2</v>
      </c>
      <c r="V743" t="s">
        <v>163</v>
      </c>
    </row>
    <row r="744" spans="9:22" x14ac:dyDescent="0.45">
      <c r="I744" t="s">
        <v>189</v>
      </c>
      <c r="J744" t="s">
        <v>170</v>
      </c>
      <c r="K744">
        <v>2.6859068210673961E-2</v>
      </c>
      <c r="L744" t="s">
        <v>163</v>
      </c>
      <c r="S744" t="s">
        <v>220</v>
      </c>
      <c r="T744" t="s">
        <v>170</v>
      </c>
      <c r="U744">
        <v>1.2926675942886687E-2</v>
      </c>
      <c r="V744" t="s">
        <v>163</v>
      </c>
    </row>
    <row r="745" spans="9:22" x14ac:dyDescent="0.45">
      <c r="I745" t="s">
        <v>189</v>
      </c>
      <c r="J745" t="s">
        <v>171</v>
      </c>
      <c r="K745">
        <v>5.4637079238228227E-2</v>
      </c>
      <c r="L745" t="s">
        <v>163</v>
      </c>
      <c r="S745" t="s">
        <v>220</v>
      </c>
      <c r="T745" t="s">
        <v>171</v>
      </c>
      <c r="U745">
        <v>1.84738408064598E-2</v>
      </c>
      <c r="V745" t="s">
        <v>163</v>
      </c>
    </row>
    <row r="746" spans="9:22" x14ac:dyDescent="0.45">
      <c r="I746" t="s">
        <v>189</v>
      </c>
      <c r="J746" t="s">
        <v>262</v>
      </c>
      <c r="K746">
        <v>6.2275086777079909E-3</v>
      </c>
      <c r="L746" t="s">
        <v>163</v>
      </c>
      <c r="S746" t="s">
        <v>220</v>
      </c>
      <c r="T746" t="s">
        <v>262</v>
      </c>
      <c r="U746">
        <v>3.081843965751944E-3</v>
      </c>
      <c r="V746" t="s">
        <v>163</v>
      </c>
    </row>
    <row r="747" spans="9:22" x14ac:dyDescent="0.45">
      <c r="I747" t="s">
        <v>189</v>
      </c>
      <c r="J747" t="s">
        <v>263</v>
      </c>
      <c r="K747">
        <v>3.2984677016671712E-3</v>
      </c>
      <c r="L747" t="s">
        <v>163</v>
      </c>
      <c r="S747" t="s">
        <v>220</v>
      </c>
      <c r="T747" t="s">
        <v>263</v>
      </c>
      <c r="U747">
        <v>3.0905123684617968E-3</v>
      </c>
      <c r="V747" t="s">
        <v>163</v>
      </c>
    </row>
    <row r="748" spans="9:22" x14ac:dyDescent="0.45">
      <c r="I748" t="s">
        <v>189</v>
      </c>
      <c r="J748" t="s">
        <v>264</v>
      </c>
      <c r="K748">
        <v>0</v>
      </c>
      <c r="L748" t="s">
        <v>163</v>
      </c>
      <c r="S748" t="s">
        <v>220</v>
      </c>
      <c r="T748" t="s">
        <v>264</v>
      </c>
      <c r="U748">
        <v>1.5242624477238188E-2</v>
      </c>
      <c r="V748" t="s">
        <v>163</v>
      </c>
    </row>
    <row r="749" spans="9:22" x14ac:dyDescent="0.45">
      <c r="I749" t="s">
        <v>189</v>
      </c>
      <c r="J749" t="s">
        <v>172</v>
      </c>
      <c r="K749">
        <v>0</v>
      </c>
      <c r="L749" t="s">
        <v>163</v>
      </c>
      <c r="S749" t="s">
        <v>220</v>
      </c>
      <c r="T749" t="s">
        <v>172</v>
      </c>
      <c r="U749">
        <v>5.4311626179459192E-2</v>
      </c>
      <c r="V749" t="s">
        <v>163</v>
      </c>
    </row>
    <row r="750" spans="9:22" x14ac:dyDescent="0.45">
      <c r="I750" t="s">
        <v>189</v>
      </c>
      <c r="J750" t="s">
        <v>173</v>
      </c>
      <c r="K750">
        <v>2.7818356218960796E-2</v>
      </c>
      <c r="L750" t="s">
        <v>163</v>
      </c>
      <c r="S750" t="s">
        <v>220</v>
      </c>
      <c r="T750" t="s">
        <v>173</v>
      </c>
      <c r="U750">
        <v>3.1108436196796801E-2</v>
      </c>
      <c r="V750" t="s">
        <v>163</v>
      </c>
    </row>
    <row r="751" spans="9:22" x14ac:dyDescent="0.45">
      <c r="I751" t="s">
        <v>189</v>
      </c>
      <c r="J751" t="s">
        <v>174</v>
      </c>
      <c r="K751">
        <v>6.0807373631858425E-2</v>
      </c>
      <c r="L751" t="s">
        <v>163</v>
      </c>
      <c r="S751" t="s">
        <v>220</v>
      </c>
      <c r="T751" t="s">
        <v>174</v>
      </c>
      <c r="U751">
        <v>4.7587838561050033E-2</v>
      </c>
      <c r="V751" t="s">
        <v>163</v>
      </c>
    </row>
    <row r="752" spans="9:22" x14ac:dyDescent="0.45">
      <c r="I752" t="s">
        <v>189</v>
      </c>
      <c r="J752" t="s">
        <v>265</v>
      </c>
      <c r="K752">
        <v>3.6213291242344001E-3</v>
      </c>
      <c r="L752" t="s">
        <v>163</v>
      </c>
      <c r="S752" t="s">
        <v>220</v>
      </c>
      <c r="T752" t="s">
        <v>265</v>
      </c>
      <c r="U752">
        <v>7.7614280473061589E-3</v>
      </c>
      <c r="V752" t="s">
        <v>163</v>
      </c>
    </row>
    <row r="753" spans="9:22" x14ac:dyDescent="0.45">
      <c r="I753" t="s">
        <v>189</v>
      </c>
      <c r="J753" t="s">
        <v>266</v>
      </c>
      <c r="K753">
        <v>0</v>
      </c>
      <c r="L753" t="s">
        <v>163</v>
      </c>
      <c r="S753" t="s">
        <v>220</v>
      </c>
      <c r="T753" t="s">
        <v>266</v>
      </c>
      <c r="U753">
        <v>7.6742584402435714E-3</v>
      </c>
      <c r="V753" t="s">
        <v>163</v>
      </c>
    </row>
    <row r="754" spans="9:22" x14ac:dyDescent="0.45">
      <c r="I754" t="s">
        <v>189</v>
      </c>
      <c r="J754" t="s">
        <v>267</v>
      </c>
      <c r="K754">
        <v>0</v>
      </c>
      <c r="L754" t="s">
        <v>163</v>
      </c>
      <c r="S754" t="s">
        <v>220</v>
      </c>
      <c r="T754" t="s">
        <v>267</v>
      </c>
      <c r="U754">
        <v>3.8108460507939097E-2</v>
      </c>
      <c r="V754" t="s">
        <v>163</v>
      </c>
    </row>
    <row r="755" spans="9:22" x14ac:dyDescent="0.45">
      <c r="I755" t="s">
        <v>189</v>
      </c>
      <c r="J755" t="s">
        <v>268</v>
      </c>
      <c r="K755">
        <v>0</v>
      </c>
      <c r="L755" t="s">
        <v>163</v>
      </c>
      <c r="S755" t="s">
        <v>220</v>
      </c>
      <c r="T755" t="s">
        <v>268</v>
      </c>
      <c r="U755">
        <v>2.4629515039757733E-2</v>
      </c>
      <c r="V755" t="s">
        <v>163</v>
      </c>
    </row>
    <row r="756" spans="9:22" x14ac:dyDescent="0.45">
      <c r="I756" t="s">
        <v>189</v>
      </c>
      <c r="J756" t="s">
        <v>269</v>
      </c>
      <c r="K756">
        <v>8.0635740882116901E-3</v>
      </c>
      <c r="L756" t="s">
        <v>163</v>
      </c>
      <c r="S756" t="s">
        <v>220</v>
      </c>
      <c r="T756" t="s">
        <v>269</v>
      </c>
      <c r="U756">
        <v>1.3818425654338353E-2</v>
      </c>
      <c r="V756" t="s">
        <v>163</v>
      </c>
    </row>
    <row r="757" spans="9:22" x14ac:dyDescent="0.45">
      <c r="I757" t="s">
        <v>189</v>
      </c>
      <c r="J757" t="s">
        <v>270</v>
      </c>
      <c r="K757">
        <v>1.9238982279709337E-2</v>
      </c>
      <c r="L757" t="s">
        <v>163</v>
      </c>
      <c r="S757" t="s">
        <v>220</v>
      </c>
      <c r="T757" t="s">
        <v>270</v>
      </c>
      <c r="U757">
        <v>2.0406998966455273E-2</v>
      </c>
      <c r="V757" t="s">
        <v>163</v>
      </c>
    </row>
    <row r="758" spans="9:22" x14ac:dyDescent="0.45">
      <c r="I758" t="s">
        <v>189</v>
      </c>
      <c r="J758" t="s">
        <v>271</v>
      </c>
      <c r="K758">
        <v>0</v>
      </c>
      <c r="L758" t="s">
        <v>163</v>
      </c>
      <c r="S758" t="s">
        <v>220</v>
      </c>
      <c r="T758" t="s">
        <v>271</v>
      </c>
      <c r="U758">
        <v>3.335116739960444E-3</v>
      </c>
      <c r="V758" t="s">
        <v>163</v>
      </c>
    </row>
    <row r="759" spans="9:22" x14ac:dyDescent="0.45">
      <c r="I759" t="s">
        <v>189</v>
      </c>
      <c r="J759" t="s">
        <v>272</v>
      </c>
      <c r="K759">
        <v>0</v>
      </c>
      <c r="L759" t="s">
        <v>163</v>
      </c>
      <c r="S759" t="s">
        <v>220</v>
      </c>
      <c r="T759" t="s">
        <v>272</v>
      </c>
      <c r="U759">
        <v>3.3122329604672075E-3</v>
      </c>
      <c r="V759" t="s">
        <v>163</v>
      </c>
    </row>
    <row r="760" spans="9:22" x14ac:dyDescent="0.45">
      <c r="I760" t="s">
        <v>189</v>
      </c>
      <c r="J760" t="s">
        <v>273</v>
      </c>
      <c r="K760">
        <v>0</v>
      </c>
      <c r="L760" t="s">
        <v>163</v>
      </c>
      <c r="S760" t="s">
        <v>220</v>
      </c>
      <c r="T760" t="s">
        <v>273</v>
      </c>
      <c r="U760">
        <v>1.6603237325887584E-2</v>
      </c>
      <c r="V760" t="s">
        <v>163</v>
      </c>
    </row>
    <row r="761" spans="9:22" x14ac:dyDescent="0.45">
      <c r="I761" t="s">
        <v>189</v>
      </c>
      <c r="J761" t="s">
        <v>274</v>
      </c>
      <c r="K761">
        <v>3.2168942391322852E-4</v>
      </c>
      <c r="L761" t="s">
        <v>163</v>
      </c>
      <c r="S761" t="s">
        <v>220</v>
      </c>
      <c r="T761" t="s">
        <v>274</v>
      </c>
      <c r="U761">
        <v>7.5885200287561808E-2</v>
      </c>
      <c r="V761" t="s">
        <v>163</v>
      </c>
    </row>
    <row r="762" spans="9:22" x14ac:dyDescent="0.45">
      <c r="I762" t="s">
        <v>189</v>
      </c>
      <c r="J762" t="s">
        <v>275</v>
      </c>
      <c r="K762">
        <v>4.5924533067214508E-2</v>
      </c>
      <c r="L762" t="s">
        <v>163</v>
      </c>
      <c r="S762" t="s">
        <v>220</v>
      </c>
      <c r="T762" t="s">
        <v>275</v>
      </c>
      <c r="U762">
        <v>4.3800420161036142E-2</v>
      </c>
      <c r="V762" t="s">
        <v>163</v>
      </c>
    </row>
    <row r="763" spans="9:22" x14ac:dyDescent="0.45">
      <c r="I763" t="s">
        <v>189</v>
      </c>
      <c r="J763" t="s">
        <v>276</v>
      </c>
      <c r="K763">
        <v>0.10196187830761841</v>
      </c>
      <c r="L763" t="s">
        <v>163</v>
      </c>
      <c r="S763" t="s">
        <v>220</v>
      </c>
      <c r="T763" t="s">
        <v>276</v>
      </c>
      <c r="U763">
        <v>6.5763150085112396E-2</v>
      </c>
      <c r="V763" t="s">
        <v>163</v>
      </c>
    </row>
    <row r="764" spans="9:22" x14ac:dyDescent="0.45">
      <c r="I764" t="s">
        <v>189</v>
      </c>
      <c r="J764" t="s">
        <v>277</v>
      </c>
      <c r="K764">
        <v>7.5731879699763045E-3</v>
      </c>
      <c r="L764" t="s">
        <v>163</v>
      </c>
      <c r="S764" t="s">
        <v>220</v>
      </c>
      <c r="T764" t="s">
        <v>277</v>
      </c>
      <c r="U764">
        <v>1.0642513328365879E-2</v>
      </c>
      <c r="V764" t="s">
        <v>163</v>
      </c>
    </row>
    <row r="765" spans="9:22" x14ac:dyDescent="0.45">
      <c r="I765" t="s">
        <v>189</v>
      </c>
      <c r="J765" t="s">
        <v>278</v>
      </c>
      <c r="K765">
        <v>1.9658100114206033E-4</v>
      </c>
      <c r="L765" t="s">
        <v>163</v>
      </c>
      <c r="S765" t="s">
        <v>220</v>
      </c>
      <c r="T765" t="s">
        <v>278</v>
      </c>
      <c r="U765">
        <v>1.0446637668093912E-2</v>
      </c>
      <c r="V765" t="s">
        <v>163</v>
      </c>
    </row>
    <row r="766" spans="9:22" x14ac:dyDescent="0.45">
      <c r="I766" t="s">
        <v>189</v>
      </c>
      <c r="J766" t="s">
        <v>279</v>
      </c>
      <c r="K766">
        <v>0</v>
      </c>
      <c r="L766" t="s">
        <v>163</v>
      </c>
      <c r="S766" t="s">
        <v>220</v>
      </c>
      <c r="T766" t="s">
        <v>279</v>
      </c>
      <c r="U766">
        <v>5.2055092411284774E-2</v>
      </c>
      <c r="V766" t="s">
        <v>163</v>
      </c>
    </row>
    <row r="767" spans="9:22" x14ac:dyDescent="0.45">
      <c r="I767" t="s">
        <v>189</v>
      </c>
      <c r="J767" t="s">
        <v>280</v>
      </c>
      <c r="K767">
        <v>3.06498060806685E-3</v>
      </c>
      <c r="L767" t="s">
        <v>163</v>
      </c>
      <c r="S767" t="s">
        <v>220</v>
      </c>
      <c r="T767" t="s">
        <v>280</v>
      </c>
      <c r="U767">
        <v>2.6315276721014649E-2</v>
      </c>
      <c r="V767" t="s">
        <v>163</v>
      </c>
    </row>
    <row r="768" spans="9:22" x14ac:dyDescent="0.45">
      <c r="I768" t="s">
        <v>189</v>
      </c>
      <c r="J768" t="s">
        <v>281</v>
      </c>
      <c r="K768">
        <v>2.6736332755387216E-2</v>
      </c>
      <c r="L768" t="s">
        <v>163</v>
      </c>
      <c r="S768" t="s">
        <v>220</v>
      </c>
      <c r="T768" t="s">
        <v>281</v>
      </c>
      <c r="U768">
        <v>1.4666923614310297E-2</v>
      </c>
      <c r="V768" t="s">
        <v>163</v>
      </c>
    </row>
    <row r="769" spans="9:22" x14ac:dyDescent="0.45">
      <c r="I769" t="s">
        <v>189</v>
      </c>
      <c r="J769" t="s">
        <v>282</v>
      </c>
      <c r="K769">
        <v>5.1866046881593554E-2</v>
      </c>
      <c r="L769" t="s">
        <v>163</v>
      </c>
      <c r="S769" t="s">
        <v>220</v>
      </c>
      <c r="T769" t="s">
        <v>282</v>
      </c>
      <c r="U769">
        <v>2.4691935476992818E-2</v>
      </c>
      <c r="V769" t="s">
        <v>163</v>
      </c>
    </row>
    <row r="770" spans="9:22" x14ac:dyDescent="0.45">
      <c r="I770" t="s">
        <v>189</v>
      </c>
      <c r="J770" t="s">
        <v>283</v>
      </c>
      <c r="K770">
        <v>5.2342202025962526E-3</v>
      </c>
      <c r="L770" t="s">
        <v>163</v>
      </c>
      <c r="S770" t="s">
        <v>220</v>
      </c>
      <c r="T770" t="s">
        <v>283</v>
      </c>
      <c r="U770">
        <v>4.1086393299131279E-3</v>
      </c>
      <c r="V770" t="s">
        <v>163</v>
      </c>
    </row>
    <row r="771" spans="9:22" x14ac:dyDescent="0.45">
      <c r="I771" t="s">
        <v>189</v>
      </c>
      <c r="J771" t="s">
        <v>284</v>
      </c>
      <c r="K771">
        <v>3.2420761411008584E-3</v>
      </c>
      <c r="L771" t="s">
        <v>163</v>
      </c>
      <c r="S771" t="s">
        <v>220</v>
      </c>
      <c r="T771" t="s">
        <v>284</v>
      </c>
      <c r="U771">
        <v>4.0624053825827917E-3</v>
      </c>
      <c r="V771" t="s">
        <v>163</v>
      </c>
    </row>
    <row r="772" spans="9:22" x14ac:dyDescent="0.45">
      <c r="I772" t="s">
        <v>189</v>
      </c>
      <c r="J772" t="s">
        <v>285</v>
      </c>
      <c r="K772">
        <v>0</v>
      </c>
      <c r="L772" t="s">
        <v>163</v>
      </c>
      <c r="S772" t="s">
        <v>220</v>
      </c>
      <c r="T772" t="s">
        <v>285</v>
      </c>
      <c r="U772">
        <v>1.9603126405268755E-2</v>
      </c>
      <c r="V772" t="s">
        <v>163</v>
      </c>
    </row>
    <row r="773" spans="9:22" x14ac:dyDescent="0.45">
      <c r="I773" t="s">
        <v>189</v>
      </c>
      <c r="J773" t="s">
        <v>286</v>
      </c>
      <c r="K773">
        <v>1.807425184029721E-2</v>
      </c>
      <c r="L773" t="s">
        <v>163</v>
      </c>
      <c r="S773" t="s">
        <v>220</v>
      </c>
      <c r="T773" t="s">
        <v>286</v>
      </c>
      <c r="U773">
        <v>4.5313382338302649E-2</v>
      </c>
      <c r="V773" t="s">
        <v>163</v>
      </c>
    </row>
    <row r="774" spans="9:22" x14ac:dyDescent="0.45">
      <c r="I774" t="s">
        <v>189</v>
      </c>
      <c r="J774" t="s">
        <v>287</v>
      </c>
      <c r="K774">
        <v>8.1092223235852745E-2</v>
      </c>
      <c r="L774" t="s">
        <v>163</v>
      </c>
      <c r="S774" t="s">
        <v>220</v>
      </c>
      <c r="T774" t="s">
        <v>287</v>
      </c>
      <c r="U774">
        <v>2.4709814801712124E-2</v>
      </c>
      <c r="V774" t="s">
        <v>163</v>
      </c>
    </row>
    <row r="775" spans="9:22" x14ac:dyDescent="0.45">
      <c r="I775" t="s">
        <v>189</v>
      </c>
      <c r="J775" t="s">
        <v>288</v>
      </c>
      <c r="K775">
        <v>0.13305121991199678</v>
      </c>
      <c r="L775" t="s">
        <v>163</v>
      </c>
      <c r="S775" t="s">
        <v>220</v>
      </c>
      <c r="T775" t="s">
        <v>288</v>
      </c>
      <c r="U775">
        <v>3.7093015008160216E-2</v>
      </c>
      <c r="V775" t="s">
        <v>163</v>
      </c>
    </row>
    <row r="776" spans="9:22" x14ac:dyDescent="0.45">
      <c r="I776" t="s">
        <v>189</v>
      </c>
      <c r="J776" t="s">
        <v>289</v>
      </c>
      <c r="K776">
        <v>1.6304642025242368E-2</v>
      </c>
      <c r="L776" t="s">
        <v>163</v>
      </c>
      <c r="S776" t="s">
        <v>220</v>
      </c>
      <c r="T776" t="s">
        <v>289</v>
      </c>
      <c r="U776">
        <v>6.1185806654995931E-3</v>
      </c>
      <c r="V776" t="s">
        <v>163</v>
      </c>
    </row>
    <row r="777" spans="9:22" x14ac:dyDescent="0.45">
      <c r="I777" t="s">
        <v>189</v>
      </c>
      <c r="J777" t="s">
        <v>290</v>
      </c>
      <c r="K777">
        <v>1.2112531386220092E-2</v>
      </c>
      <c r="L777" t="s">
        <v>163</v>
      </c>
      <c r="S777" t="s">
        <v>220</v>
      </c>
      <c r="T777" t="s">
        <v>290</v>
      </c>
      <c r="U777">
        <v>6.0740817796130489E-3</v>
      </c>
      <c r="V777" t="s">
        <v>163</v>
      </c>
    </row>
    <row r="778" spans="9:22" x14ac:dyDescent="0.45">
      <c r="I778" t="s">
        <v>189</v>
      </c>
      <c r="J778" t="s">
        <v>291</v>
      </c>
      <c r="K778">
        <v>5.2495760210720917E-3</v>
      </c>
      <c r="L778" t="s">
        <v>163</v>
      </c>
      <c r="S778" t="s">
        <v>220</v>
      </c>
      <c r="T778" t="s">
        <v>291</v>
      </c>
      <c r="U778">
        <v>3.04621828890838E-2</v>
      </c>
      <c r="V778" t="s">
        <v>163</v>
      </c>
    </row>
    <row r="779" spans="9:22" x14ac:dyDescent="0.45">
      <c r="S779" t="s">
        <v>221</v>
      </c>
      <c r="T779" t="s">
        <v>162</v>
      </c>
      <c r="U779">
        <v>2.5474533656326737E-2</v>
      </c>
      <c r="V779" t="s">
        <v>163</v>
      </c>
    </row>
    <row r="780" spans="9:22" x14ac:dyDescent="0.45">
      <c r="S780" t="s">
        <v>221</v>
      </c>
      <c r="T780" t="s">
        <v>164</v>
      </c>
      <c r="U780">
        <v>1.446509170484573E-2</v>
      </c>
      <c r="V780" t="s">
        <v>163</v>
      </c>
    </row>
    <row r="781" spans="9:22" x14ac:dyDescent="0.45">
      <c r="S781" t="s">
        <v>221</v>
      </c>
      <c r="T781" t="s">
        <v>165</v>
      </c>
      <c r="U781">
        <v>2.2108148148490998E-2</v>
      </c>
      <c r="V781" t="s">
        <v>163</v>
      </c>
    </row>
    <row r="782" spans="9:22" x14ac:dyDescent="0.45">
      <c r="S782" t="s">
        <v>221</v>
      </c>
      <c r="T782" t="s">
        <v>256</v>
      </c>
      <c r="U782">
        <v>3.6276462248489953E-3</v>
      </c>
      <c r="V782" t="s">
        <v>163</v>
      </c>
    </row>
    <row r="783" spans="9:22" x14ac:dyDescent="0.45">
      <c r="S783" t="s">
        <v>221</v>
      </c>
      <c r="T783" t="s">
        <v>257</v>
      </c>
      <c r="U783">
        <v>3.5919023529771832E-3</v>
      </c>
      <c r="V783" t="s">
        <v>163</v>
      </c>
    </row>
    <row r="784" spans="9:22" x14ac:dyDescent="0.45">
      <c r="S784" t="s">
        <v>221</v>
      </c>
      <c r="T784" t="s">
        <v>258</v>
      </c>
      <c r="U784">
        <v>1.7619581837715524E-2</v>
      </c>
      <c r="V784" t="s">
        <v>163</v>
      </c>
    </row>
    <row r="785" spans="19:22" x14ac:dyDescent="0.45">
      <c r="S785" t="s">
        <v>221</v>
      </c>
      <c r="T785" t="s">
        <v>166</v>
      </c>
      <c r="U785">
        <v>2.4116301113774399E-2</v>
      </c>
      <c r="V785" t="s">
        <v>163</v>
      </c>
    </row>
    <row r="786" spans="19:22" x14ac:dyDescent="0.45">
      <c r="S786" t="s">
        <v>221</v>
      </c>
      <c r="T786" t="s">
        <v>167</v>
      </c>
      <c r="U786">
        <v>1.2862471464152852E-2</v>
      </c>
      <c r="V786" t="s">
        <v>163</v>
      </c>
    </row>
    <row r="787" spans="19:22" x14ac:dyDescent="0.45">
      <c r="S787" t="s">
        <v>221</v>
      </c>
      <c r="T787" t="s">
        <v>168</v>
      </c>
      <c r="U787">
        <v>2.0707293885964952E-2</v>
      </c>
      <c r="V787" t="s">
        <v>163</v>
      </c>
    </row>
    <row r="788" spans="19:22" x14ac:dyDescent="0.45">
      <c r="S788" t="s">
        <v>221</v>
      </c>
      <c r="T788" t="s">
        <v>259</v>
      </c>
      <c r="U788">
        <v>3.581219431081719E-3</v>
      </c>
      <c r="V788" t="s">
        <v>163</v>
      </c>
    </row>
    <row r="789" spans="19:22" x14ac:dyDescent="0.45">
      <c r="S789" t="s">
        <v>221</v>
      </c>
      <c r="T789" t="s">
        <v>260</v>
      </c>
      <c r="U789">
        <v>3.5952867323020212E-3</v>
      </c>
      <c r="V789" t="s">
        <v>163</v>
      </c>
    </row>
    <row r="790" spans="19:22" x14ac:dyDescent="0.45">
      <c r="S790" t="s">
        <v>221</v>
      </c>
      <c r="T790" t="s">
        <v>261</v>
      </c>
      <c r="U790">
        <v>1.7606775945335832E-2</v>
      </c>
      <c r="V790" t="s">
        <v>163</v>
      </c>
    </row>
    <row r="791" spans="19:22" x14ac:dyDescent="0.45">
      <c r="S791" t="s">
        <v>221</v>
      </c>
      <c r="T791" t="s">
        <v>169</v>
      </c>
      <c r="U791">
        <v>2.2524741987755205E-2</v>
      </c>
      <c r="V791" t="s">
        <v>163</v>
      </c>
    </row>
    <row r="792" spans="19:22" x14ac:dyDescent="0.45">
      <c r="S792" t="s">
        <v>221</v>
      </c>
      <c r="T792" t="s">
        <v>170</v>
      </c>
      <c r="U792">
        <v>1.3226460414293763E-2</v>
      </c>
      <c r="V792" t="s">
        <v>163</v>
      </c>
    </row>
    <row r="793" spans="19:22" x14ac:dyDescent="0.45">
      <c r="S793" t="s">
        <v>221</v>
      </c>
      <c r="T793" t="s">
        <v>171</v>
      </c>
      <c r="U793">
        <v>2.1263933707765234E-2</v>
      </c>
      <c r="V793" t="s">
        <v>163</v>
      </c>
    </row>
    <row r="794" spans="19:22" x14ac:dyDescent="0.45">
      <c r="S794" t="s">
        <v>221</v>
      </c>
      <c r="T794" t="s">
        <v>262</v>
      </c>
      <c r="U794">
        <v>3.4844936430500203E-3</v>
      </c>
      <c r="V794" t="s">
        <v>163</v>
      </c>
    </row>
    <row r="795" spans="19:22" x14ac:dyDescent="0.45">
      <c r="S795" t="s">
        <v>221</v>
      </c>
      <c r="T795" t="s">
        <v>263</v>
      </c>
      <c r="U795">
        <v>3.4085558118525216E-3</v>
      </c>
      <c r="V795" t="s">
        <v>163</v>
      </c>
    </row>
    <row r="796" spans="19:22" x14ac:dyDescent="0.45">
      <c r="S796" t="s">
        <v>221</v>
      </c>
      <c r="T796" t="s">
        <v>264</v>
      </c>
      <c r="U796">
        <v>1.6040793818139224E-2</v>
      </c>
      <c r="V796" t="s">
        <v>163</v>
      </c>
    </row>
    <row r="797" spans="19:22" x14ac:dyDescent="0.45">
      <c r="S797" t="s">
        <v>221</v>
      </c>
      <c r="T797" t="s">
        <v>172</v>
      </c>
      <c r="U797">
        <v>4.7346312025611549E-2</v>
      </c>
      <c r="V797" t="s">
        <v>163</v>
      </c>
    </row>
    <row r="798" spans="19:22" x14ac:dyDescent="0.45">
      <c r="S798" t="s">
        <v>221</v>
      </c>
      <c r="T798" t="s">
        <v>173</v>
      </c>
      <c r="U798">
        <v>2.6190776937151369E-2</v>
      </c>
      <c r="V798" t="s">
        <v>163</v>
      </c>
    </row>
    <row r="799" spans="19:22" x14ac:dyDescent="0.45">
      <c r="S799" t="s">
        <v>221</v>
      </c>
      <c r="T799" t="s">
        <v>174</v>
      </c>
      <c r="U799">
        <v>4.0143045279265994E-2</v>
      </c>
      <c r="V799" t="s">
        <v>163</v>
      </c>
    </row>
    <row r="800" spans="19:22" x14ac:dyDescent="0.45">
      <c r="S800" t="s">
        <v>221</v>
      </c>
      <c r="T800" t="s">
        <v>265</v>
      </c>
      <c r="U800">
        <v>6.7968966548542439E-3</v>
      </c>
      <c r="V800" t="s">
        <v>163</v>
      </c>
    </row>
    <row r="801" spans="19:22" x14ac:dyDescent="0.45">
      <c r="S801" t="s">
        <v>221</v>
      </c>
      <c r="T801" t="s">
        <v>266</v>
      </c>
      <c r="U801">
        <v>6.7260586403772278E-3</v>
      </c>
      <c r="V801" t="s">
        <v>163</v>
      </c>
    </row>
    <row r="802" spans="19:22" x14ac:dyDescent="0.45">
      <c r="S802" t="s">
        <v>221</v>
      </c>
      <c r="T802" t="s">
        <v>267</v>
      </c>
      <c r="U802">
        <v>3.3040604883288395E-2</v>
      </c>
      <c r="V802" t="s">
        <v>163</v>
      </c>
    </row>
    <row r="803" spans="19:22" x14ac:dyDescent="0.45">
      <c r="S803" t="s">
        <v>221</v>
      </c>
      <c r="T803" t="s">
        <v>268</v>
      </c>
      <c r="U803">
        <v>2.2219546563863771E-2</v>
      </c>
      <c r="V803" t="s">
        <v>163</v>
      </c>
    </row>
    <row r="804" spans="19:22" x14ac:dyDescent="0.45">
      <c r="S804" t="s">
        <v>221</v>
      </c>
      <c r="T804" t="s">
        <v>269</v>
      </c>
      <c r="U804">
        <v>1.2598240814496349E-2</v>
      </c>
      <c r="V804" t="s">
        <v>163</v>
      </c>
    </row>
    <row r="805" spans="19:22" x14ac:dyDescent="0.45">
      <c r="S805" t="s">
        <v>221</v>
      </c>
      <c r="T805" t="s">
        <v>270</v>
      </c>
      <c r="U805">
        <v>1.947784970253396E-2</v>
      </c>
      <c r="V805" t="s">
        <v>163</v>
      </c>
    </row>
    <row r="806" spans="19:22" x14ac:dyDescent="0.45">
      <c r="S806" t="s">
        <v>221</v>
      </c>
      <c r="T806" t="s">
        <v>271</v>
      </c>
      <c r="U806">
        <v>3.2532471979627941E-3</v>
      </c>
      <c r="V806" t="s">
        <v>163</v>
      </c>
    </row>
    <row r="807" spans="19:22" x14ac:dyDescent="0.45">
      <c r="S807" t="s">
        <v>221</v>
      </c>
      <c r="T807" t="s">
        <v>272</v>
      </c>
      <c r="U807">
        <v>3.2476699625790745E-3</v>
      </c>
      <c r="V807" t="s">
        <v>163</v>
      </c>
    </row>
    <row r="808" spans="19:22" x14ac:dyDescent="0.45">
      <c r="S808" t="s">
        <v>221</v>
      </c>
      <c r="T808" t="s">
        <v>273</v>
      </c>
      <c r="U808">
        <v>1.6157881896379296E-2</v>
      </c>
      <c r="V808" t="s">
        <v>163</v>
      </c>
    </row>
    <row r="809" spans="19:22" x14ac:dyDescent="0.45">
      <c r="S809" t="s">
        <v>221</v>
      </c>
      <c r="T809" t="s">
        <v>274</v>
      </c>
      <c r="U809">
        <v>7.7780566464727335E-2</v>
      </c>
      <c r="V809" t="s">
        <v>163</v>
      </c>
    </row>
    <row r="810" spans="19:22" x14ac:dyDescent="0.45">
      <c r="S810" t="s">
        <v>221</v>
      </c>
      <c r="T810" t="s">
        <v>275</v>
      </c>
      <c r="U810">
        <v>4.3925204997596272E-2</v>
      </c>
      <c r="V810" t="s">
        <v>163</v>
      </c>
    </row>
    <row r="811" spans="19:22" x14ac:dyDescent="0.45">
      <c r="S811" t="s">
        <v>221</v>
      </c>
      <c r="T811" t="s">
        <v>276</v>
      </c>
      <c r="U811">
        <v>6.4706321550345641E-2</v>
      </c>
      <c r="V811" t="s">
        <v>163</v>
      </c>
    </row>
    <row r="812" spans="19:22" x14ac:dyDescent="0.45">
      <c r="S812" t="s">
        <v>221</v>
      </c>
      <c r="T812" t="s">
        <v>277</v>
      </c>
      <c r="U812">
        <v>1.0657527093996109E-2</v>
      </c>
      <c r="V812" t="s">
        <v>163</v>
      </c>
    </row>
    <row r="813" spans="19:22" x14ac:dyDescent="0.45">
      <c r="S813" t="s">
        <v>221</v>
      </c>
      <c r="T813" t="s">
        <v>278</v>
      </c>
      <c r="U813">
        <v>1.0647354744786343E-2</v>
      </c>
      <c r="V813" t="s">
        <v>163</v>
      </c>
    </row>
    <row r="814" spans="19:22" x14ac:dyDescent="0.45">
      <c r="S814" t="s">
        <v>221</v>
      </c>
      <c r="T814" t="s">
        <v>279</v>
      </c>
      <c r="U814">
        <v>5.3402394787907925E-2</v>
      </c>
      <c r="V814" t="s">
        <v>163</v>
      </c>
    </row>
    <row r="815" spans="19:22" x14ac:dyDescent="0.45">
      <c r="S815" t="s">
        <v>221</v>
      </c>
      <c r="T815" t="s">
        <v>280</v>
      </c>
      <c r="U815">
        <v>2.8463567093822424E-2</v>
      </c>
      <c r="V815" t="s">
        <v>163</v>
      </c>
    </row>
    <row r="816" spans="19:22" x14ac:dyDescent="0.45">
      <c r="S816" t="s">
        <v>221</v>
      </c>
      <c r="T816" t="s">
        <v>281</v>
      </c>
      <c r="U816">
        <v>1.6626311595202094E-2</v>
      </c>
      <c r="V816" t="s">
        <v>163</v>
      </c>
    </row>
    <row r="817" spans="19:22" x14ac:dyDescent="0.45">
      <c r="S817" t="s">
        <v>221</v>
      </c>
      <c r="T817" t="s">
        <v>282</v>
      </c>
      <c r="U817">
        <v>2.4142573301363966E-2</v>
      </c>
      <c r="V817" t="s">
        <v>163</v>
      </c>
    </row>
    <row r="818" spans="19:22" x14ac:dyDescent="0.45">
      <c r="S818" t="s">
        <v>221</v>
      </c>
      <c r="T818" t="s">
        <v>283</v>
      </c>
      <c r="U818">
        <v>3.8404498421867974E-3</v>
      </c>
      <c r="V818" t="s">
        <v>163</v>
      </c>
    </row>
    <row r="819" spans="19:22" x14ac:dyDescent="0.45">
      <c r="S819" t="s">
        <v>221</v>
      </c>
      <c r="T819" t="s">
        <v>284</v>
      </c>
      <c r="U819">
        <v>3.763499479296929E-3</v>
      </c>
      <c r="V819" t="s">
        <v>163</v>
      </c>
    </row>
    <row r="820" spans="19:22" x14ac:dyDescent="0.45">
      <c r="S820" t="s">
        <v>221</v>
      </c>
      <c r="T820" t="s">
        <v>285</v>
      </c>
      <c r="U820">
        <v>1.9678129627018974E-2</v>
      </c>
      <c r="V820" t="s">
        <v>163</v>
      </c>
    </row>
    <row r="821" spans="19:22" x14ac:dyDescent="0.45">
      <c r="S821" t="s">
        <v>221</v>
      </c>
      <c r="T821" t="s">
        <v>286</v>
      </c>
      <c r="U821">
        <v>4.5546417605074524E-2</v>
      </c>
      <c r="V821" t="s">
        <v>163</v>
      </c>
    </row>
    <row r="822" spans="19:22" x14ac:dyDescent="0.45">
      <c r="S822" t="s">
        <v>221</v>
      </c>
      <c r="T822" t="s">
        <v>287</v>
      </c>
      <c r="U822">
        <v>2.6512339357207246E-2</v>
      </c>
      <c r="V822" t="s">
        <v>163</v>
      </c>
    </row>
    <row r="823" spans="19:22" x14ac:dyDescent="0.45">
      <c r="S823" t="s">
        <v>221</v>
      </c>
      <c r="T823" t="s">
        <v>288</v>
      </c>
      <c r="U823">
        <v>4.001562933343545E-2</v>
      </c>
      <c r="V823" t="s">
        <v>163</v>
      </c>
    </row>
    <row r="824" spans="19:22" x14ac:dyDescent="0.45">
      <c r="S824" t="s">
        <v>221</v>
      </c>
      <c r="T824" t="s">
        <v>289</v>
      </c>
      <c r="U824">
        <v>6.3482290239490749E-3</v>
      </c>
      <c r="V824" t="s">
        <v>163</v>
      </c>
    </row>
    <row r="825" spans="19:22" x14ac:dyDescent="0.45">
      <c r="S825" t="s">
        <v>221</v>
      </c>
      <c r="T825" t="s">
        <v>290</v>
      </c>
      <c r="U825">
        <v>6.250097531876918E-3</v>
      </c>
      <c r="V825" t="s">
        <v>163</v>
      </c>
    </row>
    <row r="826" spans="19:22" x14ac:dyDescent="0.45">
      <c r="S826" t="s">
        <v>221</v>
      </c>
      <c r="T826" t="s">
        <v>291</v>
      </c>
      <c r="U826">
        <v>3.1190024131170658E-2</v>
      </c>
      <c r="V826" t="s">
        <v>163</v>
      </c>
    </row>
    <row r="827" spans="19:22" x14ac:dyDescent="0.45">
      <c r="S827" t="s">
        <v>222</v>
      </c>
      <c r="T827" t="s">
        <v>162</v>
      </c>
      <c r="U827">
        <v>2.494529071906158E-2</v>
      </c>
      <c r="V827" t="s">
        <v>163</v>
      </c>
    </row>
    <row r="828" spans="19:22" x14ac:dyDescent="0.45">
      <c r="S828" t="s">
        <v>222</v>
      </c>
      <c r="T828" t="s">
        <v>164</v>
      </c>
      <c r="U828">
        <v>1.429684395232156E-2</v>
      </c>
      <c r="V828" t="s">
        <v>163</v>
      </c>
    </row>
    <row r="829" spans="19:22" x14ac:dyDescent="0.45">
      <c r="S829" t="s">
        <v>222</v>
      </c>
      <c r="T829" t="s">
        <v>165</v>
      </c>
      <c r="U829">
        <v>2.2076260671397712E-2</v>
      </c>
      <c r="V829" t="s">
        <v>163</v>
      </c>
    </row>
    <row r="830" spans="19:22" x14ac:dyDescent="0.45">
      <c r="S830" t="s">
        <v>222</v>
      </c>
      <c r="T830" t="s">
        <v>256</v>
      </c>
      <c r="U830">
        <v>3.6290267979997826E-3</v>
      </c>
      <c r="V830" t="s">
        <v>163</v>
      </c>
    </row>
    <row r="831" spans="19:22" x14ac:dyDescent="0.45">
      <c r="S831" t="s">
        <v>222</v>
      </c>
      <c r="T831" t="s">
        <v>257</v>
      </c>
      <c r="U831">
        <v>3.6240687181689811E-3</v>
      </c>
      <c r="V831" t="s">
        <v>163</v>
      </c>
    </row>
    <row r="832" spans="19:22" x14ac:dyDescent="0.45">
      <c r="S832" t="s">
        <v>222</v>
      </c>
      <c r="T832" t="s">
        <v>258</v>
      </c>
      <c r="U832">
        <v>1.778903103010878E-2</v>
      </c>
      <c r="V832" t="s">
        <v>163</v>
      </c>
    </row>
    <row r="833" spans="19:22" x14ac:dyDescent="0.45">
      <c r="S833" t="s">
        <v>222</v>
      </c>
      <c r="T833" t="s">
        <v>166</v>
      </c>
      <c r="U833">
        <v>2.3529503964305719E-2</v>
      </c>
      <c r="V833" t="s">
        <v>163</v>
      </c>
    </row>
    <row r="834" spans="19:22" x14ac:dyDescent="0.45">
      <c r="S834" t="s">
        <v>222</v>
      </c>
      <c r="T834" t="s">
        <v>167</v>
      </c>
      <c r="U834">
        <v>1.2296469893046173E-2</v>
      </c>
      <c r="V834" t="s">
        <v>163</v>
      </c>
    </row>
    <row r="835" spans="19:22" x14ac:dyDescent="0.45">
      <c r="S835" t="s">
        <v>222</v>
      </c>
      <c r="T835" t="s">
        <v>168</v>
      </c>
      <c r="U835">
        <v>2.0537739519580073E-2</v>
      </c>
      <c r="V835" t="s">
        <v>163</v>
      </c>
    </row>
    <row r="836" spans="19:22" x14ac:dyDescent="0.45">
      <c r="S836" t="s">
        <v>222</v>
      </c>
      <c r="T836" t="s">
        <v>259</v>
      </c>
      <c r="U836">
        <v>3.6045082862512655E-3</v>
      </c>
      <c r="V836" t="s">
        <v>163</v>
      </c>
    </row>
    <row r="837" spans="19:22" x14ac:dyDescent="0.45">
      <c r="S837" t="s">
        <v>222</v>
      </c>
      <c r="T837" t="s">
        <v>260</v>
      </c>
      <c r="U837">
        <v>3.6084910512459377E-3</v>
      </c>
      <c r="V837" t="s">
        <v>163</v>
      </c>
    </row>
    <row r="838" spans="19:22" x14ac:dyDescent="0.45">
      <c r="S838" t="s">
        <v>222</v>
      </c>
      <c r="T838" t="s">
        <v>261</v>
      </c>
      <c r="U838">
        <v>1.7555802738446129E-2</v>
      </c>
      <c r="V838" t="s">
        <v>163</v>
      </c>
    </row>
    <row r="839" spans="19:22" x14ac:dyDescent="0.45">
      <c r="S839" t="s">
        <v>222</v>
      </c>
      <c r="T839" t="s">
        <v>169</v>
      </c>
      <c r="U839">
        <v>2.4831204217913322E-2</v>
      </c>
      <c r="V839" t="s">
        <v>163</v>
      </c>
    </row>
    <row r="840" spans="19:22" x14ac:dyDescent="0.45">
      <c r="S840" t="s">
        <v>222</v>
      </c>
      <c r="T840" t="s">
        <v>170</v>
      </c>
      <c r="U840">
        <v>1.4150826278015782E-2</v>
      </c>
      <c r="V840" t="s">
        <v>163</v>
      </c>
    </row>
    <row r="841" spans="19:22" x14ac:dyDescent="0.45">
      <c r="S841" t="s">
        <v>222</v>
      </c>
      <c r="T841" t="s">
        <v>171</v>
      </c>
      <c r="U841">
        <v>2.2637954747045143E-2</v>
      </c>
      <c r="V841" t="s">
        <v>163</v>
      </c>
    </row>
    <row r="842" spans="19:22" x14ac:dyDescent="0.45">
      <c r="S842" t="s">
        <v>222</v>
      </c>
      <c r="T842" t="s">
        <v>262</v>
      </c>
      <c r="U842">
        <v>3.8046097647571218E-3</v>
      </c>
      <c r="V842" t="s">
        <v>163</v>
      </c>
    </row>
    <row r="843" spans="19:22" x14ac:dyDescent="0.45">
      <c r="S843" t="s">
        <v>222</v>
      </c>
      <c r="T843" t="s">
        <v>263</v>
      </c>
      <c r="U843">
        <v>3.7740599231396448E-3</v>
      </c>
      <c r="V843" t="s">
        <v>163</v>
      </c>
    </row>
    <row r="844" spans="19:22" x14ac:dyDescent="0.45">
      <c r="S844" t="s">
        <v>222</v>
      </c>
      <c r="T844" t="s">
        <v>264</v>
      </c>
      <c r="U844">
        <v>1.8254511517809689E-2</v>
      </c>
      <c r="V844" t="s">
        <v>163</v>
      </c>
    </row>
    <row r="845" spans="19:22" x14ac:dyDescent="0.45">
      <c r="S845" t="s">
        <v>222</v>
      </c>
      <c r="T845" t="s">
        <v>172</v>
      </c>
      <c r="U845">
        <v>4.6837301191992885E-2</v>
      </c>
      <c r="V845" t="s">
        <v>163</v>
      </c>
    </row>
    <row r="846" spans="19:22" x14ac:dyDescent="0.45">
      <c r="S846" t="s">
        <v>222</v>
      </c>
      <c r="T846" t="s">
        <v>173</v>
      </c>
      <c r="U846">
        <v>2.709882809992694E-2</v>
      </c>
      <c r="V846" t="s">
        <v>163</v>
      </c>
    </row>
    <row r="847" spans="19:22" x14ac:dyDescent="0.45">
      <c r="S847" t="s">
        <v>222</v>
      </c>
      <c r="T847" t="s">
        <v>174</v>
      </c>
      <c r="U847">
        <v>4.0401637310593437E-2</v>
      </c>
      <c r="V847" t="s">
        <v>163</v>
      </c>
    </row>
    <row r="848" spans="19:22" x14ac:dyDescent="0.45">
      <c r="S848" t="s">
        <v>222</v>
      </c>
      <c r="T848" t="s">
        <v>265</v>
      </c>
      <c r="U848">
        <v>6.7679910789795704E-3</v>
      </c>
      <c r="V848" t="s">
        <v>163</v>
      </c>
    </row>
    <row r="849" spans="19:22" x14ac:dyDescent="0.45">
      <c r="S849" t="s">
        <v>222</v>
      </c>
      <c r="T849" t="s">
        <v>266</v>
      </c>
      <c r="U849">
        <v>6.7580266839377132E-3</v>
      </c>
      <c r="V849" t="s">
        <v>163</v>
      </c>
    </row>
    <row r="850" spans="19:22" x14ac:dyDescent="0.45">
      <c r="S850" t="s">
        <v>222</v>
      </c>
      <c r="T850" t="s">
        <v>267</v>
      </c>
      <c r="U850">
        <v>3.3303829513806692E-2</v>
      </c>
      <c r="V850" t="s">
        <v>163</v>
      </c>
    </row>
    <row r="851" spans="19:22" x14ac:dyDescent="0.45">
      <c r="S851" t="s">
        <v>222</v>
      </c>
      <c r="T851" t="s">
        <v>268</v>
      </c>
      <c r="U851">
        <v>2.3784322694969013E-2</v>
      </c>
      <c r="V851" t="s">
        <v>163</v>
      </c>
    </row>
    <row r="852" spans="19:22" x14ac:dyDescent="0.45">
      <c r="S852" t="s">
        <v>222</v>
      </c>
      <c r="T852" t="s">
        <v>269</v>
      </c>
      <c r="U852">
        <v>1.3051614619414672E-2</v>
      </c>
      <c r="V852" t="s">
        <v>163</v>
      </c>
    </row>
    <row r="853" spans="19:22" x14ac:dyDescent="0.45">
      <c r="S853" t="s">
        <v>222</v>
      </c>
      <c r="T853" t="s">
        <v>270</v>
      </c>
      <c r="U853">
        <v>2.0325345599466874E-2</v>
      </c>
      <c r="V853" t="s">
        <v>163</v>
      </c>
    </row>
    <row r="854" spans="19:22" x14ac:dyDescent="0.45">
      <c r="S854" t="s">
        <v>222</v>
      </c>
      <c r="T854" t="s">
        <v>271</v>
      </c>
      <c r="U854">
        <v>3.3359392191194925E-3</v>
      </c>
      <c r="V854" t="s">
        <v>163</v>
      </c>
    </row>
    <row r="855" spans="19:22" x14ac:dyDescent="0.45">
      <c r="S855" t="s">
        <v>222</v>
      </c>
      <c r="T855" t="s">
        <v>272</v>
      </c>
      <c r="U855">
        <v>3.3020885812982941E-3</v>
      </c>
      <c r="V855" t="s">
        <v>163</v>
      </c>
    </row>
    <row r="856" spans="19:22" x14ac:dyDescent="0.45">
      <c r="S856" t="s">
        <v>222</v>
      </c>
      <c r="T856" t="s">
        <v>273</v>
      </c>
      <c r="U856">
        <v>1.6538879663990549E-2</v>
      </c>
      <c r="V856" t="s">
        <v>163</v>
      </c>
    </row>
    <row r="857" spans="19:22" x14ac:dyDescent="0.45">
      <c r="S857" t="s">
        <v>222</v>
      </c>
      <c r="T857" t="s">
        <v>274</v>
      </c>
      <c r="U857">
        <v>7.4003240729370687E-2</v>
      </c>
      <c r="V857" t="s">
        <v>163</v>
      </c>
    </row>
    <row r="858" spans="19:22" x14ac:dyDescent="0.45">
      <c r="S858" t="s">
        <v>222</v>
      </c>
      <c r="T858" t="s">
        <v>275</v>
      </c>
      <c r="U858">
        <v>4.3085957611343054E-2</v>
      </c>
      <c r="V858" t="s">
        <v>163</v>
      </c>
    </row>
    <row r="859" spans="19:22" x14ac:dyDescent="0.45">
      <c r="S859" t="s">
        <v>222</v>
      </c>
      <c r="T859" t="s">
        <v>276</v>
      </c>
      <c r="U859">
        <v>6.5661877903786831E-2</v>
      </c>
      <c r="V859" t="s">
        <v>163</v>
      </c>
    </row>
    <row r="860" spans="19:22" x14ac:dyDescent="0.45">
      <c r="S860" t="s">
        <v>222</v>
      </c>
      <c r="T860" t="s">
        <v>277</v>
      </c>
      <c r="U860">
        <v>1.070656124417497E-2</v>
      </c>
      <c r="V860" t="s">
        <v>163</v>
      </c>
    </row>
    <row r="861" spans="19:22" x14ac:dyDescent="0.45">
      <c r="S861" t="s">
        <v>222</v>
      </c>
      <c r="T861" t="s">
        <v>278</v>
      </c>
      <c r="U861">
        <v>1.0648005431450421E-2</v>
      </c>
      <c r="V861" t="s">
        <v>163</v>
      </c>
    </row>
    <row r="862" spans="19:22" x14ac:dyDescent="0.45">
      <c r="S862" t="s">
        <v>222</v>
      </c>
      <c r="T862" t="s">
        <v>279</v>
      </c>
      <c r="U862">
        <v>5.3094014331746771E-2</v>
      </c>
      <c r="V862" t="s">
        <v>163</v>
      </c>
    </row>
    <row r="863" spans="19:22" x14ac:dyDescent="0.45">
      <c r="S863" t="s">
        <v>222</v>
      </c>
      <c r="T863" t="s">
        <v>280</v>
      </c>
      <c r="U863">
        <v>2.6714886376334596E-2</v>
      </c>
      <c r="V863" t="s">
        <v>163</v>
      </c>
    </row>
    <row r="864" spans="19:22" x14ac:dyDescent="0.45">
      <c r="S864" t="s">
        <v>222</v>
      </c>
      <c r="T864" t="s">
        <v>281</v>
      </c>
      <c r="U864">
        <v>1.5289791757576991E-2</v>
      </c>
      <c r="V864" t="s">
        <v>163</v>
      </c>
    </row>
    <row r="865" spans="19:22" x14ac:dyDescent="0.45">
      <c r="S865" t="s">
        <v>222</v>
      </c>
      <c r="T865" t="s">
        <v>282</v>
      </c>
      <c r="U865">
        <v>2.4116155073442058E-2</v>
      </c>
      <c r="V865" t="s">
        <v>163</v>
      </c>
    </row>
    <row r="866" spans="19:22" x14ac:dyDescent="0.45">
      <c r="S866" t="s">
        <v>222</v>
      </c>
      <c r="T866" t="s">
        <v>283</v>
      </c>
      <c r="U866">
        <v>3.9700400205181785E-3</v>
      </c>
      <c r="V866" t="s">
        <v>163</v>
      </c>
    </row>
    <row r="867" spans="19:22" x14ac:dyDescent="0.45">
      <c r="S867" t="s">
        <v>222</v>
      </c>
      <c r="T867" t="s">
        <v>284</v>
      </c>
      <c r="U867">
        <v>3.8837644902701188E-3</v>
      </c>
      <c r="V867" t="s">
        <v>163</v>
      </c>
    </row>
    <row r="868" spans="19:22" x14ac:dyDescent="0.45">
      <c r="S868" t="s">
        <v>222</v>
      </c>
      <c r="T868" t="s">
        <v>285</v>
      </c>
      <c r="U868">
        <v>1.9158824475787917E-2</v>
      </c>
      <c r="V868" t="s">
        <v>163</v>
      </c>
    </row>
    <row r="869" spans="19:22" x14ac:dyDescent="0.45">
      <c r="S869" t="s">
        <v>222</v>
      </c>
      <c r="T869" t="s">
        <v>286</v>
      </c>
      <c r="U869">
        <v>4.2942925342579236E-2</v>
      </c>
      <c r="V869" t="s">
        <v>163</v>
      </c>
    </row>
    <row r="870" spans="19:22" x14ac:dyDescent="0.45">
      <c r="S870" t="s">
        <v>222</v>
      </c>
      <c r="T870" t="s">
        <v>287</v>
      </c>
      <c r="U870">
        <v>2.575632851398146E-2</v>
      </c>
      <c r="V870" t="s">
        <v>163</v>
      </c>
    </row>
    <row r="871" spans="19:22" x14ac:dyDescent="0.45">
      <c r="S871" t="s">
        <v>222</v>
      </c>
      <c r="T871" t="s">
        <v>288</v>
      </c>
      <c r="U871">
        <v>4.0524441988641684E-2</v>
      </c>
      <c r="V871" t="s">
        <v>163</v>
      </c>
    </row>
    <row r="872" spans="19:22" x14ac:dyDescent="0.45">
      <c r="S872" t="s">
        <v>222</v>
      </c>
      <c r="T872" t="s">
        <v>289</v>
      </c>
      <c r="U872">
        <v>6.5172290902900318E-3</v>
      </c>
      <c r="V872" t="s">
        <v>163</v>
      </c>
    </row>
    <row r="873" spans="19:22" x14ac:dyDescent="0.45">
      <c r="S873" t="s">
        <v>222</v>
      </c>
      <c r="T873" t="s">
        <v>290</v>
      </c>
      <c r="U873">
        <v>6.3918429727519771E-3</v>
      </c>
      <c r="V873" t="s">
        <v>163</v>
      </c>
    </row>
    <row r="874" spans="19:22" x14ac:dyDescent="0.45">
      <c r="S874" t="s">
        <v>222</v>
      </c>
      <c r="T874" t="s">
        <v>291</v>
      </c>
      <c r="U874">
        <v>3.108210459784164E-2</v>
      </c>
      <c r="V874" t="s">
        <v>163</v>
      </c>
    </row>
    <row r="875" spans="19:22" x14ac:dyDescent="0.45">
      <c r="S875" t="s">
        <v>223</v>
      </c>
      <c r="T875" t="s">
        <v>162</v>
      </c>
      <c r="U875">
        <v>2.4508498066552468E-2</v>
      </c>
      <c r="V875" t="s">
        <v>163</v>
      </c>
    </row>
    <row r="876" spans="19:22" x14ac:dyDescent="0.45">
      <c r="S876" t="s">
        <v>223</v>
      </c>
      <c r="T876" t="s">
        <v>164</v>
      </c>
      <c r="U876">
        <v>1.4190892395366654E-2</v>
      </c>
      <c r="V876" t="s">
        <v>163</v>
      </c>
    </row>
    <row r="877" spans="19:22" x14ac:dyDescent="0.45">
      <c r="S877" t="s">
        <v>223</v>
      </c>
      <c r="T877" t="s">
        <v>165</v>
      </c>
      <c r="U877">
        <v>2.2099047509457809E-2</v>
      </c>
      <c r="V877" t="s">
        <v>163</v>
      </c>
    </row>
    <row r="878" spans="19:22" x14ac:dyDescent="0.45">
      <c r="S878" t="s">
        <v>223</v>
      </c>
      <c r="T878" t="s">
        <v>256</v>
      </c>
      <c r="U878">
        <v>3.6471070697605946E-3</v>
      </c>
      <c r="V878" t="s">
        <v>163</v>
      </c>
    </row>
    <row r="879" spans="19:22" x14ac:dyDescent="0.45">
      <c r="S879" t="s">
        <v>223</v>
      </c>
      <c r="T879" t="s">
        <v>257</v>
      </c>
      <c r="U879">
        <v>3.6145609851626656E-3</v>
      </c>
      <c r="V879" t="s">
        <v>163</v>
      </c>
    </row>
    <row r="880" spans="19:22" x14ac:dyDescent="0.45">
      <c r="S880" t="s">
        <v>223</v>
      </c>
      <c r="T880" t="s">
        <v>258</v>
      </c>
      <c r="U880">
        <v>1.7672472913422839E-2</v>
      </c>
      <c r="V880" t="s">
        <v>163</v>
      </c>
    </row>
    <row r="881" spans="19:22" x14ac:dyDescent="0.45">
      <c r="S881" t="s">
        <v>223</v>
      </c>
      <c r="T881" t="s">
        <v>166</v>
      </c>
      <c r="U881">
        <v>2.3064599619820249E-2</v>
      </c>
      <c r="V881" t="s">
        <v>163</v>
      </c>
    </row>
    <row r="882" spans="19:22" x14ac:dyDescent="0.45">
      <c r="S882" t="s">
        <v>223</v>
      </c>
      <c r="T882" t="s">
        <v>167</v>
      </c>
      <c r="U882">
        <v>1.2756638713690543E-2</v>
      </c>
      <c r="V882" t="s">
        <v>163</v>
      </c>
    </row>
    <row r="883" spans="19:22" x14ac:dyDescent="0.45">
      <c r="S883" t="s">
        <v>223</v>
      </c>
      <c r="T883" t="s">
        <v>168</v>
      </c>
      <c r="U883">
        <v>2.0967989129106857E-2</v>
      </c>
      <c r="V883" t="s">
        <v>163</v>
      </c>
    </row>
    <row r="884" spans="19:22" x14ac:dyDescent="0.45">
      <c r="S884" t="s">
        <v>223</v>
      </c>
      <c r="T884" t="s">
        <v>259</v>
      </c>
      <c r="U884">
        <v>3.5832917548213562E-3</v>
      </c>
      <c r="V884" t="s">
        <v>163</v>
      </c>
    </row>
    <row r="885" spans="19:22" x14ac:dyDescent="0.45">
      <c r="S885" t="s">
        <v>223</v>
      </c>
      <c r="T885" t="s">
        <v>260</v>
      </c>
      <c r="U885">
        <v>3.5710995192548933E-3</v>
      </c>
      <c r="V885" t="s">
        <v>163</v>
      </c>
    </row>
    <row r="886" spans="19:22" x14ac:dyDescent="0.45">
      <c r="S886" t="s">
        <v>223</v>
      </c>
      <c r="T886" t="s">
        <v>261</v>
      </c>
      <c r="U886">
        <v>1.7028795513624177E-2</v>
      </c>
      <c r="V886" t="s">
        <v>163</v>
      </c>
    </row>
    <row r="887" spans="19:22" x14ac:dyDescent="0.45">
      <c r="S887" t="s">
        <v>223</v>
      </c>
      <c r="T887" t="s">
        <v>169</v>
      </c>
      <c r="U887">
        <v>2.5200867939279184E-2</v>
      </c>
      <c r="V887" t="s">
        <v>163</v>
      </c>
    </row>
    <row r="888" spans="19:22" x14ac:dyDescent="0.45">
      <c r="S888" t="s">
        <v>223</v>
      </c>
      <c r="T888" t="s">
        <v>170</v>
      </c>
      <c r="U888">
        <v>1.4629329222147833E-2</v>
      </c>
      <c r="V888" t="s">
        <v>163</v>
      </c>
    </row>
    <row r="889" spans="19:22" x14ac:dyDescent="0.45">
      <c r="S889" t="s">
        <v>223</v>
      </c>
      <c r="T889" t="s">
        <v>171</v>
      </c>
      <c r="U889">
        <v>2.2976964510061901E-2</v>
      </c>
      <c r="V889" t="s">
        <v>163</v>
      </c>
    </row>
    <row r="890" spans="19:22" x14ac:dyDescent="0.45">
      <c r="S890" t="s">
        <v>223</v>
      </c>
      <c r="T890" t="s">
        <v>262</v>
      </c>
      <c r="U890">
        <v>3.7592849113690934E-3</v>
      </c>
      <c r="V890" t="s">
        <v>163</v>
      </c>
    </row>
    <row r="891" spans="19:22" x14ac:dyDescent="0.45">
      <c r="S891" t="s">
        <v>223</v>
      </c>
      <c r="T891" t="s">
        <v>263</v>
      </c>
      <c r="U891">
        <v>3.702027756750222E-3</v>
      </c>
      <c r="V891" t="s">
        <v>163</v>
      </c>
    </row>
    <row r="892" spans="19:22" x14ac:dyDescent="0.45">
      <c r="S892" t="s">
        <v>223</v>
      </c>
      <c r="T892" t="s">
        <v>264</v>
      </c>
      <c r="U892">
        <v>1.7934303410219853E-2</v>
      </c>
      <c r="V892" t="s">
        <v>163</v>
      </c>
    </row>
    <row r="893" spans="19:22" x14ac:dyDescent="0.45">
      <c r="S893" t="s">
        <v>223</v>
      </c>
      <c r="T893" t="s">
        <v>172</v>
      </c>
      <c r="U893">
        <v>4.763245410024089E-2</v>
      </c>
      <c r="V893" t="s">
        <v>163</v>
      </c>
    </row>
    <row r="894" spans="19:22" x14ac:dyDescent="0.45">
      <c r="S894" t="s">
        <v>223</v>
      </c>
      <c r="T894" t="s">
        <v>173</v>
      </c>
      <c r="U894">
        <v>2.6891386813147612E-2</v>
      </c>
      <c r="V894" t="s">
        <v>163</v>
      </c>
    </row>
    <row r="895" spans="19:22" x14ac:dyDescent="0.45">
      <c r="S895" t="s">
        <v>223</v>
      </c>
      <c r="T895" t="s">
        <v>174</v>
      </c>
      <c r="U895">
        <v>4.1657872099081304E-2</v>
      </c>
      <c r="V895" t="s">
        <v>163</v>
      </c>
    </row>
    <row r="896" spans="19:22" x14ac:dyDescent="0.45">
      <c r="S896" t="s">
        <v>223</v>
      </c>
      <c r="T896" t="s">
        <v>265</v>
      </c>
      <c r="U896">
        <v>6.9434378240610271E-3</v>
      </c>
      <c r="V896" t="s">
        <v>163</v>
      </c>
    </row>
    <row r="897" spans="19:22" x14ac:dyDescent="0.45">
      <c r="S897" t="s">
        <v>223</v>
      </c>
      <c r="T897" t="s">
        <v>266</v>
      </c>
      <c r="U897">
        <v>6.8446629905231891E-3</v>
      </c>
      <c r="V897" t="s">
        <v>163</v>
      </c>
    </row>
    <row r="898" spans="19:22" x14ac:dyDescent="0.45">
      <c r="S898" t="s">
        <v>223</v>
      </c>
      <c r="T898" t="s">
        <v>267</v>
      </c>
      <c r="U898">
        <v>3.3365669153956057E-2</v>
      </c>
      <c r="V898" t="s">
        <v>163</v>
      </c>
    </row>
    <row r="899" spans="19:22" x14ac:dyDescent="0.45">
      <c r="S899" t="s">
        <v>223</v>
      </c>
      <c r="T899" t="s">
        <v>268</v>
      </c>
      <c r="U899">
        <v>2.3624181418198067E-2</v>
      </c>
      <c r="V899" t="s">
        <v>163</v>
      </c>
    </row>
    <row r="900" spans="19:22" x14ac:dyDescent="0.45">
      <c r="S900" t="s">
        <v>223</v>
      </c>
      <c r="T900" t="s">
        <v>269</v>
      </c>
      <c r="U900">
        <v>1.2683645900799741E-2</v>
      </c>
      <c r="V900" t="s">
        <v>163</v>
      </c>
    </row>
    <row r="901" spans="19:22" x14ac:dyDescent="0.45">
      <c r="S901" t="s">
        <v>223</v>
      </c>
      <c r="T901" t="s">
        <v>270</v>
      </c>
      <c r="U901">
        <v>1.9283609617131412E-2</v>
      </c>
      <c r="V901" t="s">
        <v>163</v>
      </c>
    </row>
    <row r="902" spans="19:22" x14ac:dyDescent="0.45">
      <c r="S902" t="s">
        <v>223</v>
      </c>
      <c r="T902" t="s">
        <v>271</v>
      </c>
      <c r="U902">
        <v>3.2499602089421788E-3</v>
      </c>
      <c r="V902" t="s">
        <v>163</v>
      </c>
    </row>
    <row r="903" spans="19:22" x14ac:dyDescent="0.45">
      <c r="S903" t="s">
        <v>223</v>
      </c>
      <c r="T903" t="s">
        <v>272</v>
      </c>
      <c r="U903">
        <v>3.278166146835809E-3</v>
      </c>
      <c r="V903" t="s">
        <v>163</v>
      </c>
    </row>
    <row r="904" spans="19:22" x14ac:dyDescent="0.45">
      <c r="S904" t="s">
        <v>223</v>
      </c>
      <c r="T904" t="s">
        <v>273</v>
      </c>
      <c r="U904">
        <v>1.6567132577049632E-2</v>
      </c>
      <c r="V904" t="s">
        <v>163</v>
      </c>
    </row>
    <row r="905" spans="19:22" x14ac:dyDescent="0.45">
      <c r="S905" t="s">
        <v>223</v>
      </c>
      <c r="T905" t="s">
        <v>274</v>
      </c>
      <c r="U905">
        <v>7.4037392621916873E-2</v>
      </c>
      <c r="V905" t="s">
        <v>163</v>
      </c>
    </row>
    <row r="906" spans="19:22" x14ac:dyDescent="0.45">
      <c r="S906" t="s">
        <v>223</v>
      </c>
      <c r="T906" t="s">
        <v>275</v>
      </c>
      <c r="U906">
        <v>4.2299637628592818E-2</v>
      </c>
      <c r="V906" t="s">
        <v>163</v>
      </c>
    </row>
    <row r="907" spans="19:22" x14ac:dyDescent="0.45">
      <c r="S907" t="s">
        <v>223</v>
      </c>
      <c r="T907" t="s">
        <v>276</v>
      </c>
      <c r="U907">
        <v>6.55173153991606E-2</v>
      </c>
      <c r="V907" t="s">
        <v>163</v>
      </c>
    </row>
    <row r="908" spans="19:22" x14ac:dyDescent="0.45">
      <c r="S908" t="s">
        <v>223</v>
      </c>
      <c r="T908" t="s">
        <v>277</v>
      </c>
      <c r="U908">
        <v>1.0906755496510585E-2</v>
      </c>
      <c r="V908" t="s">
        <v>163</v>
      </c>
    </row>
    <row r="909" spans="19:22" x14ac:dyDescent="0.45">
      <c r="S909" t="s">
        <v>223</v>
      </c>
      <c r="T909" t="s">
        <v>278</v>
      </c>
      <c r="U909">
        <v>1.0787067762076078E-2</v>
      </c>
      <c r="V909" t="s">
        <v>163</v>
      </c>
    </row>
    <row r="910" spans="19:22" x14ac:dyDescent="0.45">
      <c r="S910" t="s">
        <v>223</v>
      </c>
      <c r="T910" t="s">
        <v>279</v>
      </c>
      <c r="U910">
        <v>5.3260011160090444E-2</v>
      </c>
      <c r="V910" t="s">
        <v>163</v>
      </c>
    </row>
    <row r="911" spans="19:22" x14ac:dyDescent="0.45">
      <c r="S911" t="s">
        <v>223</v>
      </c>
      <c r="T911" t="s">
        <v>280</v>
      </c>
      <c r="U911">
        <v>2.6672260139000547E-2</v>
      </c>
      <c r="V911" t="s">
        <v>163</v>
      </c>
    </row>
    <row r="912" spans="19:22" x14ac:dyDescent="0.45">
      <c r="S912" t="s">
        <v>223</v>
      </c>
      <c r="T912" t="s">
        <v>281</v>
      </c>
      <c r="U912">
        <v>1.5355718239680103E-2</v>
      </c>
      <c r="V912" t="s">
        <v>163</v>
      </c>
    </row>
    <row r="913" spans="19:22" x14ac:dyDescent="0.45">
      <c r="S913" t="s">
        <v>223</v>
      </c>
      <c r="T913" t="s">
        <v>282</v>
      </c>
      <c r="U913">
        <v>2.3715349656692055E-2</v>
      </c>
      <c r="V913" t="s">
        <v>163</v>
      </c>
    </row>
    <row r="914" spans="19:22" x14ac:dyDescent="0.45">
      <c r="S914" t="s">
        <v>223</v>
      </c>
      <c r="T914" t="s">
        <v>283</v>
      </c>
      <c r="U914">
        <v>3.8037619566814868E-3</v>
      </c>
      <c r="V914" t="s">
        <v>163</v>
      </c>
    </row>
    <row r="915" spans="19:22" x14ac:dyDescent="0.45">
      <c r="S915" t="s">
        <v>223</v>
      </c>
      <c r="T915" t="s">
        <v>284</v>
      </c>
      <c r="U915">
        <v>3.755294938771375E-3</v>
      </c>
      <c r="V915" t="s">
        <v>163</v>
      </c>
    </row>
    <row r="916" spans="19:22" x14ac:dyDescent="0.45">
      <c r="S916" t="s">
        <v>223</v>
      </c>
      <c r="T916" t="s">
        <v>285</v>
      </c>
      <c r="U916">
        <v>1.8747745301259538E-2</v>
      </c>
      <c r="V916" t="s">
        <v>163</v>
      </c>
    </row>
    <row r="917" spans="19:22" x14ac:dyDescent="0.45">
      <c r="S917" t="s">
        <v>223</v>
      </c>
      <c r="T917" t="s">
        <v>286</v>
      </c>
      <c r="U917">
        <v>4.6064824452167315E-2</v>
      </c>
      <c r="V917" t="s">
        <v>163</v>
      </c>
    </row>
    <row r="918" spans="19:22" x14ac:dyDescent="0.45">
      <c r="S918" t="s">
        <v>223</v>
      </c>
      <c r="T918" t="s">
        <v>287</v>
      </c>
      <c r="U918">
        <v>2.6590804070888527E-2</v>
      </c>
      <c r="V918" t="s">
        <v>163</v>
      </c>
    </row>
    <row r="919" spans="19:22" x14ac:dyDescent="0.45">
      <c r="S919" t="s">
        <v>223</v>
      </c>
      <c r="T919" t="s">
        <v>288</v>
      </c>
      <c r="U919">
        <v>3.8708124107902739E-2</v>
      </c>
      <c r="V919" t="s">
        <v>163</v>
      </c>
    </row>
    <row r="920" spans="19:22" x14ac:dyDescent="0.45">
      <c r="S920" t="s">
        <v>223</v>
      </c>
      <c r="T920" t="s">
        <v>289</v>
      </c>
      <c r="U920">
        <v>6.1168634406170673E-3</v>
      </c>
      <c r="V920" t="s">
        <v>163</v>
      </c>
    </row>
    <row r="921" spans="19:22" x14ac:dyDescent="0.45">
      <c r="S921" t="s">
        <v>223</v>
      </c>
      <c r="T921" t="s">
        <v>290</v>
      </c>
      <c r="U921">
        <v>6.060705903286767E-3</v>
      </c>
      <c r="V921" t="s">
        <v>163</v>
      </c>
    </row>
    <row r="922" spans="19:22" x14ac:dyDescent="0.45">
      <c r="S922" t="s">
        <v>223</v>
      </c>
      <c r="T922" t="s">
        <v>291</v>
      </c>
      <c r="U922">
        <v>3.0670417934868435E-2</v>
      </c>
      <c r="V922" t="s">
        <v>163</v>
      </c>
    </row>
    <row r="923" spans="19:22" x14ac:dyDescent="0.45">
      <c r="S923" t="s">
        <v>224</v>
      </c>
      <c r="T923" t="s">
        <v>162</v>
      </c>
      <c r="U923">
        <v>2.6500612072736615E-2</v>
      </c>
      <c r="V923" t="s">
        <v>163</v>
      </c>
    </row>
    <row r="924" spans="19:22" x14ac:dyDescent="0.45">
      <c r="S924" t="s">
        <v>224</v>
      </c>
      <c r="T924" t="s">
        <v>164</v>
      </c>
      <c r="U924">
        <v>1.5189764766013057E-2</v>
      </c>
      <c r="V924" t="s">
        <v>163</v>
      </c>
    </row>
    <row r="925" spans="19:22" x14ac:dyDescent="0.45">
      <c r="S925" t="s">
        <v>224</v>
      </c>
      <c r="T925" t="s">
        <v>165</v>
      </c>
      <c r="U925">
        <v>2.2305298179390424E-2</v>
      </c>
      <c r="V925" t="s">
        <v>163</v>
      </c>
    </row>
    <row r="926" spans="19:22" x14ac:dyDescent="0.45">
      <c r="S926" t="s">
        <v>224</v>
      </c>
      <c r="T926" t="s">
        <v>256</v>
      </c>
      <c r="U926">
        <v>3.7541335457093798E-3</v>
      </c>
      <c r="V926" t="s">
        <v>163</v>
      </c>
    </row>
    <row r="927" spans="19:22" x14ac:dyDescent="0.45">
      <c r="S927" t="s">
        <v>224</v>
      </c>
      <c r="T927" t="s">
        <v>257</v>
      </c>
      <c r="U927">
        <v>3.7456977813468979E-3</v>
      </c>
      <c r="V927" t="s">
        <v>163</v>
      </c>
    </row>
    <row r="928" spans="19:22" x14ac:dyDescent="0.45">
      <c r="S928" t="s">
        <v>224</v>
      </c>
      <c r="T928" t="s">
        <v>258</v>
      </c>
      <c r="U928">
        <v>1.876827468411572E-2</v>
      </c>
      <c r="V928" t="s">
        <v>163</v>
      </c>
    </row>
    <row r="929" spans="19:22" x14ac:dyDescent="0.45">
      <c r="S929" t="s">
        <v>224</v>
      </c>
      <c r="T929" t="s">
        <v>166</v>
      </c>
      <c r="U929">
        <v>1.4992066566868533E-2</v>
      </c>
      <c r="V929" t="s">
        <v>163</v>
      </c>
    </row>
    <row r="930" spans="19:22" x14ac:dyDescent="0.45">
      <c r="S930" t="s">
        <v>224</v>
      </c>
      <c r="T930" t="s">
        <v>167</v>
      </c>
      <c r="U930">
        <v>7.1297212802718642E-3</v>
      </c>
      <c r="V930" t="s">
        <v>163</v>
      </c>
    </row>
    <row r="931" spans="19:22" x14ac:dyDescent="0.45">
      <c r="S931" t="s">
        <v>224</v>
      </c>
      <c r="T931" t="s">
        <v>168</v>
      </c>
      <c r="U931">
        <v>1.1662176202163707E-2</v>
      </c>
      <c r="V931" t="s">
        <v>163</v>
      </c>
    </row>
    <row r="932" spans="19:22" x14ac:dyDescent="0.45">
      <c r="S932" t="s">
        <v>224</v>
      </c>
      <c r="T932" t="s">
        <v>259</v>
      </c>
      <c r="U932">
        <v>2.3489433578469721E-3</v>
      </c>
      <c r="V932" t="s">
        <v>163</v>
      </c>
    </row>
    <row r="933" spans="19:22" x14ac:dyDescent="0.45">
      <c r="S933" t="s">
        <v>224</v>
      </c>
      <c r="T933" t="s">
        <v>260</v>
      </c>
      <c r="U933">
        <v>2.3619605516774461E-3</v>
      </c>
      <c r="V933" t="s">
        <v>163</v>
      </c>
    </row>
    <row r="934" spans="19:22" x14ac:dyDescent="0.45">
      <c r="S934" t="s">
        <v>224</v>
      </c>
      <c r="T934" t="s">
        <v>261</v>
      </c>
      <c r="U934">
        <v>1.1548884278119372E-2</v>
      </c>
      <c r="V934" t="s">
        <v>163</v>
      </c>
    </row>
    <row r="935" spans="19:22" x14ac:dyDescent="0.45">
      <c r="S935" t="s">
        <v>224</v>
      </c>
      <c r="T935" t="s">
        <v>169</v>
      </c>
      <c r="U935">
        <v>1.4919023157529115E-2</v>
      </c>
      <c r="V935" t="s">
        <v>163</v>
      </c>
    </row>
    <row r="936" spans="19:22" x14ac:dyDescent="0.45">
      <c r="S936" t="s">
        <v>224</v>
      </c>
      <c r="T936" t="s">
        <v>170</v>
      </c>
      <c r="U936">
        <v>8.5341397476291093E-3</v>
      </c>
      <c r="V936" t="s">
        <v>163</v>
      </c>
    </row>
    <row r="937" spans="19:22" x14ac:dyDescent="0.45">
      <c r="S937" t="s">
        <v>224</v>
      </c>
      <c r="T937" t="s">
        <v>171</v>
      </c>
      <c r="U937">
        <v>1.3699741898280318E-2</v>
      </c>
      <c r="V937" t="s">
        <v>163</v>
      </c>
    </row>
    <row r="938" spans="19:22" x14ac:dyDescent="0.45">
      <c r="S938" t="s">
        <v>224</v>
      </c>
      <c r="T938" t="s">
        <v>262</v>
      </c>
      <c r="U938">
        <v>2.6041948954755954E-3</v>
      </c>
      <c r="V938" t="s">
        <v>163</v>
      </c>
    </row>
    <row r="939" spans="19:22" x14ac:dyDescent="0.45">
      <c r="S939" t="s">
        <v>224</v>
      </c>
      <c r="T939" t="s">
        <v>263</v>
      </c>
      <c r="U939">
        <v>2.5453006974096E-3</v>
      </c>
      <c r="V939" t="s">
        <v>163</v>
      </c>
    </row>
    <row r="940" spans="19:22" x14ac:dyDescent="0.45">
      <c r="S940" t="s">
        <v>224</v>
      </c>
      <c r="T940" t="s">
        <v>264</v>
      </c>
      <c r="U940">
        <v>1.1115281812062295E-2</v>
      </c>
      <c r="V940" t="s">
        <v>163</v>
      </c>
    </row>
    <row r="941" spans="19:22" x14ac:dyDescent="0.45">
      <c r="S941" t="s">
        <v>224</v>
      </c>
      <c r="T941" t="s">
        <v>172</v>
      </c>
      <c r="U941">
        <v>4.8425474121216415E-2</v>
      </c>
      <c r="V941" t="s">
        <v>163</v>
      </c>
    </row>
    <row r="942" spans="19:22" x14ac:dyDescent="0.45">
      <c r="S942" t="s">
        <v>224</v>
      </c>
      <c r="T942" t="s">
        <v>173</v>
      </c>
      <c r="U942">
        <v>2.6769596788484069E-2</v>
      </c>
      <c r="V942" t="s">
        <v>163</v>
      </c>
    </row>
    <row r="943" spans="19:22" x14ac:dyDescent="0.45">
      <c r="S943" t="s">
        <v>224</v>
      </c>
      <c r="T943" t="s">
        <v>174</v>
      </c>
      <c r="U943">
        <v>4.0074408649799824E-2</v>
      </c>
      <c r="V943" t="s">
        <v>163</v>
      </c>
    </row>
    <row r="944" spans="19:22" x14ac:dyDescent="0.45">
      <c r="S944" t="s">
        <v>224</v>
      </c>
      <c r="T944" t="s">
        <v>265</v>
      </c>
      <c r="U944">
        <v>6.6850451205676146E-3</v>
      </c>
      <c r="V944" t="s">
        <v>163</v>
      </c>
    </row>
    <row r="945" spans="19:22" x14ac:dyDescent="0.45">
      <c r="S945" t="s">
        <v>224</v>
      </c>
      <c r="T945" t="s">
        <v>266</v>
      </c>
      <c r="U945">
        <v>6.8786752703308279E-3</v>
      </c>
      <c r="V945" t="s">
        <v>163</v>
      </c>
    </row>
    <row r="946" spans="19:22" x14ac:dyDescent="0.45">
      <c r="S946" t="s">
        <v>224</v>
      </c>
      <c r="T946" t="s">
        <v>267</v>
      </c>
      <c r="U946">
        <v>3.4674994569959601E-2</v>
      </c>
      <c r="V946" t="s">
        <v>163</v>
      </c>
    </row>
    <row r="947" spans="19:22" x14ac:dyDescent="0.45">
      <c r="S947" t="s">
        <v>224</v>
      </c>
      <c r="T947" t="s">
        <v>268</v>
      </c>
      <c r="U947">
        <v>2.877818013015547E-2</v>
      </c>
      <c r="V947" t="s">
        <v>163</v>
      </c>
    </row>
    <row r="948" spans="19:22" x14ac:dyDescent="0.45">
      <c r="S948" t="s">
        <v>224</v>
      </c>
      <c r="T948" t="s">
        <v>269</v>
      </c>
      <c r="U948">
        <v>1.6298701347892068E-2</v>
      </c>
      <c r="V948" t="s">
        <v>163</v>
      </c>
    </row>
    <row r="949" spans="19:22" x14ac:dyDescent="0.45">
      <c r="S949" t="s">
        <v>224</v>
      </c>
      <c r="T949" t="s">
        <v>270</v>
      </c>
      <c r="U949">
        <v>2.557803136663583E-2</v>
      </c>
      <c r="V949" t="s">
        <v>163</v>
      </c>
    </row>
    <row r="950" spans="19:22" x14ac:dyDescent="0.45">
      <c r="S950" t="s">
        <v>224</v>
      </c>
      <c r="T950" t="s">
        <v>271</v>
      </c>
      <c r="U950">
        <v>4.0043137236221212E-3</v>
      </c>
      <c r="V950" t="s">
        <v>163</v>
      </c>
    </row>
    <row r="951" spans="19:22" x14ac:dyDescent="0.45">
      <c r="S951" t="s">
        <v>224</v>
      </c>
      <c r="T951" t="s">
        <v>272</v>
      </c>
      <c r="U951">
        <v>3.7741682861387629E-3</v>
      </c>
      <c r="V951" t="s">
        <v>163</v>
      </c>
    </row>
    <row r="952" spans="19:22" x14ac:dyDescent="0.45">
      <c r="S952" t="s">
        <v>224</v>
      </c>
      <c r="T952" t="s">
        <v>273</v>
      </c>
      <c r="U952">
        <v>1.88003196015194E-2</v>
      </c>
      <c r="V952" t="s">
        <v>163</v>
      </c>
    </row>
    <row r="953" spans="19:22" x14ac:dyDescent="0.45">
      <c r="S953" t="s">
        <v>224</v>
      </c>
      <c r="T953" t="s">
        <v>274</v>
      </c>
      <c r="U953">
        <v>8.6665198448083638E-2</v>
      </c>
      <c r="V953" t="s">
        <v>163</v>
      </c>
    </row>
    <row r="954" spans="19:22" x14ac:dyDescent="0.45">
      <c r="S954" t="s">
        <v>224</v>
      </c>
      <c r="T954" t="s">
        <v>275</v>
      </c>
      <c r="U954">
        <v>4.6959944502796357E-2</v>
      </c>
      <c r="V954" t="s">
        <v>163</v>
      </c>
    </row>
    <row r="955" spans="19:22" x14ac:dyDescent="0.45">
      <c r="S955" t="s">
        <v>224</v>
      </c>
      <c r="T955" t="s">
        <v>276</v>
      </c>
      <c r="U955">
        <v>7.4669843297438615E-2</v>
      </c>
      <c r="V955" t="s">
        <v>163</v>
      </c>
    </row>
    <row r="956" spans="19:22" x14ac:dyDescent="0.45">
      <c r="S956" t="s">
        <v>224</v>
      </c>
      <c r="T956" t="s">
        <v>277</v>
      </c>
      <c r="U956">
        <v>1.2493223441992418E-2</v>
      </c>
      <c r="V956" t="s">
        <v>163</v>
      </c>
    </row>
    <row r="957" spans="19:22" x14ac:dyDescent="0.45">
      <c r="S957" t="s">
        <v>224</v>
      </c>
      <c r="T957" t="s">
        <v>278</v>
      </c>
      <c r="U957">
        <v>1.2649508180030189E-2</v>
      </c>
      <c r="V957" t="s">
        <v>163</v>
      </c>
    </row>
    <row r="958" spans="19:22" x14ac:dyDescent="0.45">
      <c r="S958" t="s">
        <v>224</v>
      </c>
      <c r="T958" t="s">
        <v>279</v>
      </c>
      <c r="U958">
        <v>6.4443355566265959E-2</v>
      </c>
      <c r="V958" t="s">
        <v>163</v>
      </c>
    </row>
    <row r="959" spans="19:22" x14ac:dyDescent="0.45">
      <c r="S959" t="s">
        <v>224</v>
      </c>
      <c r="T959" t="s">
        <v>280</v>
      </c>
      <c r="U959">
        <v>3.0202507215532557E-2</v>
      </c>
      <c r="V959" t="s">
        <v>163</v>
      </c>
    </row>
    <row r="960" spans="19:22" x14ac:dyDescent="0.45">
      <c r="S960" t="s">
        <v>224</v>
      </c>
      <c r="T960" t="s">
        <v>281</v>
      </c>
      <c r="U960">
        <v>1.7496863892937087E-2</v>
      </c>
      <c r="V960" t="s">
        <v>163</v>
      </c>
    </row>
    <row r="961" spans="19:22" x14ac:dyDescent="0.45">
      <c r="S961" t="s">
        <v>224</v>
      </c>
      <c r="T961" t="s">
        <v>282</v>
      </c>
      <c r="U961">
        <v>2.75772164896998E-2</v>
      </c>
      <c r="V961" t="s">
        <v>163</v>
      </c>
    </row>
    <row r="962" spans="19:22" x14ac:dyDescent="0.45">
      <c r="S962" t="s">
        <v>224</v>
      </c>
      <c r="T962" t="s">
        <v>283</v>
      </c>
      <c r="U962">
        <v>4.5398188791220912E-3</v>
      </c>
      <c r="V962" t="s">
        <v>163</v>
      </c>
    </row>
    <row r="963" spans="19:22" x14ac:dyDescent="0.45">
      <c r="S963" t="s">
        <v>224</v>
      </c>
      <c r="T963" t="s">
        <v>284</v>
      </c>
      <c r="U963">
        <v>4.5549382442355048E-3</v>
      </c>
      <c r="V963" t="s">
        <v>163</v>
      </c>
    </row>
    <row r="964" spans="19:22" x14ac:dyDescent="0.45">
      <c r="S964" t="s">
        <v>224</v>
      </c>
      <c r="T964" t="s">
        <v>285</v>
      </c>
      <c r="U964">
        <v>2.2736779922094184E-2</v>
      </c>
      <c r="V964" t="s">
        <v>163</v>
      </c>
    </row>
    <row r="965" spans="19:22" x14ac:dyDescent="0.45">
      <c r="S965" t="s">
        <v>224</v>
      </c>
      <c r="T965" t="s">
        <v>286</v>
      </c>
      <c r="U965">
        <v>4.1539019652968349E-2</v>
      </c>
      <c r="V965" t="s">
        <v>163</v>
      </c>
    </row>
    <row r="966" spans="19:22" x14ac:dyDescent="0.45">
      <c r="S966" t="s">
        <v>224</v>
      </c>
      <c r="T966" t="s">
        <v>287</v>
      </c>
      <c r="U966">
        <v>2.2023992157811055E-2</v>
      </c>
      <c r="V966" t="s">
        <v>163</v>
      </c>
    </row>
    <row r="967" spans="19:22" x14ac:dyDescent="0.45">
      <c r="S967" t="s">
        <v>224</v>
      </c>
      <c r="T967" t="s">
        <v>288</v>
      </c>
      <c r="U967">
        <v>3.4081911802757284E-2</v>
      </c>
      <c r="V967" t="s">
        <v>163</v>
      </c>
    </row>
    <row r="968" spans="19:22" x14ac:dyDescent="0.45">
      <c r="S968" t="s">
        <v>224</v>
      </c>
      <c r="T968" t="s">
        <v>289</v>
      </c>
      <c r="U968">
        <v>6.131333385374982E-3</v>
      </c>
      <c r="V968" t="s">
        <v>163</v>
      </c>
    </row>
    <row r="969" spans="19:22" x14ac:dyDescent="0.45">
      <c r="S969" t="s">
        <v>224</v>
      </c>
      <c r="T969" t="s">
        <v>290</v>
      </c>
      <c r="U969">
        <v>6.1740137941050889E-3</v>
      </c>
      <c r="V969" t="s">
        <v>163</v>
      </c>
    </row>
    <row r="970" spans="19:22" x14ac:dyDescent="0.45">
      <c r="S970" t="s">
        <v>224</v>
      </c>
      <c r="T970" t="s">
        <v>291</v>
      </c>
      <c r="U970">
        <v>3.0593406675783759E-2</v>
      </c>
      <c r="V970" t="s">
        <v>163</v>
      </c>
    </row>
    <row r="971" spans="19:22" x14ac:dyDescent="0.45">
      <c r="S971" t="s">
        <v>225</v>
      </c>
      <c r="T971" t="s">
        <v>162</v>
      </c>
      <c r="U971">
        <v>2.6512458161569184E-2</v>
      </c>
      <c r="V971" t="s">
        <v>163</v>
      </c>
    </row>
    <row r="972" spans="19:22" x14ac:dyDescent="0.45">
      <c r="S972" t="s">
        <v>225</v>
      </c>
      <c r="T972" t="s">
        <v>164</v>
      </c>
      <c r="U972">
        <v>1.5432552628767002E-2</v>
      </c>
      <c r="V972" t="s">
        <v>163</v>
      </c>
    </row>
    <row r="973" spans="19:22" x14ac:dyDescent="0.45">
      <c r="S973" t="s">
        <v>225</v>
      </c>
      <c r="T973" t="s">
        <v>165</v>
      </c>
      <c r="U973">
        <v>2.2952193774115639E-2</v>
      </c>
      <c r="V973" t="s">
        <v>163</v>
      </c>
    </row>
    <row r="974" spans="19:22" x14ac:dyDescent="0.45">
      <c r="S974" t="s">
        <v>225</v>
      </c>
      <c r="T974" t="s">
        <v>256</v>
      </c>
      <c r="U974">
        <v>3.6952676225862633E-3</v>
      </c>
      <c r="V974" t="s">
        <v>163</v>
      </c>
    </row>
    <row r="975" spans="19:22" x14ac:dyDescent="0.45">
      <c r="S975" t="s">
        <v>225</v>
      </c>
      <c r="T975" t="s">
        <v>257</v>
      </c>
      <c r="U975">
        <v>3.6713890043494541E-3</v>
      </c>
      <c r="V975" t="s">
        <v>163</v>
      </c>
    </row>
    <row r="976" spans="19:22" x14ac:dyDescent="0.45">
      <c r="S976" t="s">
        <v>225</v>
      </c>
      <c r="T976" t="s">
        <v>258</v>
      </c>
      <c r="U976">
        <v>1.7814784037243896E-2</v>
      </c>
      <c r="V976" t="s">
        <v>163</v>
      </c>
    </row>
    <row r="977" spans="19:22" x14ac:dyDescent="0.45">
      <c r="S977" t="s">
        <v>225</v>
      </c>
      <c r="T977" t="s">
        <v>166</v>
      </c>
      <c r="U977">
        <v>1.6076592138261049E-2</v>
      </c>
      <c r="V977" t="s">
        <v>163</v>
      </c>
    </row>
    <row r="978" spans="19:22" x14ac:dyDescent="0.45">
      <c r="S978" t="s">
        <v>225</v>
      </c>
      <c r="T978" t="s">
        <v>167</v>
      </c>
      <c r="U978">
        <v>8.1046854420020603E-3</v>
      </c>
      <c r="V978" t="s">
        <v>163</v>
      </c>
    </row>
    <row r="979" spans="19:22" x14ac:dyDescent="0.45">
      <c r="S979" t="s">
        <v>225</v>
      </c>
      <c r="T979" t="s">
        <v>168</v>
      </c>
      <c r="U979">
        <v>1.1410964308083528E-2</v>
      </c>
      <c r="V979" t="s">
        <v>163</v>
      </c>
    </row>
    <row r="980" spans="19:22" x14ac:dyDescent="0.45">
      <c r="S980" t="s">
        <v>225</v>
      </c>
      <c r="T980" t="s">
        <v>259</v>
      </c>
      <c r="U980">
        <v>2.0175170958295569E-3</v>
      </c>
      <c r="V980" t="s">
        <v>163</v>
      </c>
    </row>
    <row r="981" spans="19:22" x14ac:dyDescent="0.45">
      <c r="S981" t="s">
        <v>225</v>
      </c>
      <c r="T981" t="s">
        <v>260</v>
      </c>
      <c r="U981">
        <v>2.0598957968448349E-3</v>
      </c>
      <c r="V981" t="s">
        <v>163</v>
      </c>
    </row>
    <row r="982" spans="19:22" x14ac:dyDescent="0.45">
      <c r="S982" t="s">
        <v>225</v>
      </c>
      <c r="T982" t="s">
        <v>261</v>
      </c>
      <c r="U982">
        <v>1.108027413414517E-2</v>
      </c>
      <c r="V982" t="s">
        <v>163</v>
      </c>
    </row>
    <row r="983" spans="19:22" x14ac:dyDescent="0.45">
      <c r="S983" t="s">
        <v>225</v>
      </c>
      <c r="T983" t="s">
        <v>169</v>
      </c>
      <c r="U983">
        <v>1.7319717451448467E-2</v>
      </c>
      <c r="V983" t="s">
        <v>163</v>
      </c>
    </row>
    <row r="984" spans="19:22" x14ac:dyDescent="0.45">
      <c r="S984" t="s">
        <v>225</v>
      </c>
      <c r="T984" t="s">
        <v>170</v>
      </c>
      <c r="U984">
        <v>1.0000975876128779E-2</v>
      </c>
      <c r="V984" t="s">
        <v>163</v>
      </c>
    </row>
    <row r="985" spans="19:22" x14ac:dyDescent="0.45">
      <c r="S985" t="s">
        <v>225</v>
      </c>
      <c r="T985" t="s">
        <v>171</v>
      </c>
      <c r="U985">
        <v>1.409585664480489E-2</v>
      </c>
      <c r="V985" t="s">
        <v>163</v>
      </c>
    </row>
    <row r="986" spans="19:22" x14ac:dyDescent="0.45">
      <c r="S986" t="s">
        <v>225</v>
      </c>
      <c r="T986" t="s">
        <v>262</v>
      </c>
      <c r="U986">
        <v>2.2267398434667376E-3</v>
      </c>
      <c r="V986" t="s">
        <v>163</v>
      </c>
    </row>
    <row r="987" spans="19:22" x14ac:dyDescent="0.45">
      <c r="S987" t="s">
        <v>225</v>
      </c>
      <c r="T987" t="s">
        <v>263</v>
      </c>
      <c r="U987">
        <v>2.232631094852452E-3</v>
      </c>
      <c r="V987" t="s">
        <v>163</v>
      </c>
    </row>
    <row r="988" spans="19:22" x14ac:dyDescent="0.45">
      <c r="S988" t="s">
        <v>225</v>
      </c>
      <c r="T988" t="s">
        <v>264</v>
      </c>
      <c r="U988">
        <v>1.1161959842227964E-2</v>
      </c>
      <c r="V988" t="s">
        <v>163</v>
      </c>
    </row>
    <row r="989" spans="19:22" x14ac:dyDescent="0.45">
      <c r="S989" t="s">
        <v>225</v>
      </c>
      <c r="T989" t="s">
        <v>172</v>
      </c>
      <c r="U989">
        <v>4.5542929207358238E-2</v>
      </c>
      <c r="V989" t="s">
        <v>163</v>
      </c>
    </row>
    <row r="990" spans="19:22" x14ac:dyDescent="0.45">
      <c r="S990" t="s">
        <v>225</v>
      </c>
      <c r="T990" t="s">
        <v>173</v>
      </c>
      <c r="U990">
        <v>2.5384065884066349E-2</v>
      </c>
      <c r="V990" t="s">
        <v>163</v>
      </c>
    </row>
    <row r="991" spans="19:22" x14ac:dyDescent="0.45">
      <c r="S991" t="s">
        <v>225</v>
      </c>
      <c r="T991" t="s">
        <v>174</v>
      </c>
      <c r="U991">
        <v>3.8801322182294803E-2</v>
      </c>
      <c r="V991" t="s">
        <v>163</v>
      </c>
    </row>
    <row r="992" spans="19:22" x14ac:dyDescent="0.45">
      <c r="S992" t="s">
        <v>225</v>
      </c>
      <c r="T992" t="s">
        <v>265</v>
      </c>
      <c r="U992">
        <v>6.4182580711859005E-3</v>
      </c>
      <c r="V992" t="s">
        <v>163</v>
      </c>
    </row>
    <row r="993" spans="19:22" x14ac:dyDescent="0.45">
      <c r="S993" t="s">
        <v>225</v>
      </c>
      <c r="T993" t="s">
        <v>266</v>
      </c>
      <c r="U993">
        <v>6.3739624799317085E-3</v>
      </c>
      <c r="V993" t="s">
        <v>163</v>
      </c>
    </row>
    <row r="994" spans="19:22" x14ac:dyDescent="0.45">
      <c r="S994" t="s">
        <v>225</v>
      </c>
      <c r="T994" t="s">
        <v>267</v>
      </c>
      <c r="U994">
        <v>3.1411305274732945E-2</v>
      </c>
      <c r="V994" t="s">
        <v>163</v>
      </c>
    </row>
    <row r="995" spans="19:22" x14ac:dyDescent="0.45">
      <c r="S995" t="s">
        <v>225</v>
      </c>
      <c r="T995" t="s">
        <v>268</v>
      </c>
      <c r="U995">
        <v>2.6230343794476019E-2</v>
      </c>
      <c r="V995" t="s">
        <v>163</v>
      </c>
    </row>
    <row r="996" spans="19:22" x14ac:dyDescent="0.45">
      <c r="S996" t="s">
        <v>225</v>
      </c>
      <c r="T996" t="s">
        <v>269</v>
      </c>
      <c r="U996">
        <v>1.4423926933083996E-2</v>
      </c>
      <c r="V996" t="s">
        <v>163</v>
      </c>
    </row>
    <row r="997" spans="19:22" x14ac:dyDescent="0.45">
      <c r="S997" t="s">
        <v>225</v>
      </c>
      <c r="T997" t="s">
        <v>270</v>
      </c>
      <c r="U997">
        <v>2.2257112721761084E-2</v>
      </c>
      <c r="V997" t="s">
        <v>163</v>
      </c>
    </row>
    <row r="998" spans="19:22" x14ac:dyDescent="0.45">
      <c r="S998" t="s">
        <v>225</v>
      </c>
      <c r="T998" t="s">
        <v>271</v>
      </c>
      <c r="U998">
        <v>3.7697616318207155E-3</v>
      </c>
      <c r="V998" t="s">
        <v>163</v>
      </c>
    </row>
    <row r="999" spans="19:22" x14ac:dyDescent="0.45">
      <c r="S999" t="s">
        <v>225</v>
      </c>
      <c r="T999" t="s">
        <v>272</v>
      </c>
      <c r="U999">
        <v>3.7831127135947631E-3</v>
      </c>
      <c r="V999" t="s">
        <v>163</v>
      </c>
    </row>
    <row r="1000" spans="19:22" x14ac:dyDescent="0.45">
      <c r="S1000" t="s">
        <v>225</v>
      </c>
      <c r="T1000" t="s">
        <v>273</v>
      </c>
      <c r="U1000">
        <v>1.8452261811736204E-2</v>
      </c>
      <c r="V1000" t="s">
        <v>163</v>
      </c>
    </row>
    <row r="1001" spans="19:22" x14ac:dyDescent="0.45">
      <c r="S1001" t="s">
        <v>225</v>
      </c>
      <c r="T1001" t="s">
        <v>274</v>
      </c>
      <c r="U1001">
        <v>8.3834993780623368E-2</v>
      </c>
      <c r="V1001" t="s">
        <v>163</v>
      </c>
    </row>
    <row r="1002" spans="19:22" x14ac:dyDescent="0.45">
      <c r="S1002" t="s">
        <v>225</v>
      </c>
      <c r="T1002" t="s">
        <v>275</v>
      </c>
      <c r="U1002">
        <v>4.7298566731369736E-2</v>
      </c>
      <c r="V1002" t="s">
        <v>163</v>
      </c>
    </row>
    <row r="1003" spans="19:22" x14ac:dyDescent="0.45">
      <c r="S1003" t="s">
        <v>225</v>
      </c>
      <c r="T1003" t="s">
        <v>276</v>
      </c>
      <c r="U1003">
        <v>7.4124988879816139E-2</v>
      </c>
      <c r="V1003" t="s">
        <v>163</v>
      </c>
    </row>
    <row r="1004" spans="19:22" x14ac:dyDescent="0.45">
      <c r="S1004" t="s">
        <v>225</v>
      </c>
      <c r="T1004" t="s">
        <v>277</v>
      </c>
      <c r="U1004">
        <v>1.2330318039057467E-2</v>
      </c>
      <c r="V1004" t="s">
        <v>163</v>
      </c>
    </row>
    <row r="1005" spans="19:22" x14ac:dyDescent="0.45">
      <c r="S1005" t="s">
        <v>225</v>
      </c>
      <c r="T1005" t="s">
        <v>278</v>
      </c>
      <c r="U1005">
        <v>1.2377557612075242E-2</v>
      </c>
      <c r="V1005" t="s">
        <v>163</v>
      </c>
    </row>
    <row r="1006" spans="19:22" x14ac:dyDescent="0.45">
      <c r="S1006" t="s">
        <v>225</v>
      </c>
      <c r="T1006" t="s">
        <v>279</v>
      </c>
      <c r="U1006">
        <v>6.1249659762697993E-2</v>
      </c>
      <c r="V1006" t="s">
        <v>163</v>
      </c>
    </row>
    <row r="1007" spans="19:22" x14ac:dyDescent="0.45">
      <c r="S1007" t="s">
        <v>225</v>
      </c>
      <c r="T1007" t="s">
        <v>280</v>
      </c>
      <c r="U1007">
        <v>3.2184261385307202E-2</v>
      </c>
      <c r="V1007" t="s">
        <v>163</v>
      </c>
    </row>
    <row r="1008" spans="19:22" x14ac:dyDescent="0.45">
      <c r="S1008" t="s">
        <v>225</v>
      </c>
      <c r="T1008" t="s">
        <v>281</v>
      </c>
      <c r="U1008">
        <v>1.7367228247973685E-2</v>
      </c>
      <c r="V1008" t="s">
        <v>163</v>
      </c>
    </row>
    <row r="1009" spans="19:22" x14ac:dyDescent="0.45">
      <c r="S1009" t="s">
        <v>225</v>
      </c>
      <c r="T1009" t="s">
        <v>282</v>
      </c>
      <c r="U1009">
        <v>2.7972837512836163E-2</v>
      </c>
      <c r="V1009" t="s">
        <v>163</v>
      </c>
    </row>
    <row r="1010" spans="19:22" x14ac:dyDescent="0.45">
      <c r="S1010" t="s">
        <v>225</v>
      </c>
      <c r="T1010" t="s">
        <v>283</v>
      </c>
      <c r="U1010">
        <v>4.767858603554327E-3</v>
      </c>
      <c r="V1010" t="s">
        <v>163</v>
      </c>
    </row>
    <row r="1011" spans="19:22" x14ac:dyDescent="0.45">
      <c r="S1011" t="s">
        <v>225</v>
      </c>
      <c r="T1011" t="s">
        <v>284</v>
      </c>
      <c r="U1011">
        <v>4.7450749382669209E-3</v>
      </c>
      <c r="V1011" t="s">
        <v>163</v>
      </c>
    </row>
    <row r="1012" spans="19:22" x14ac:dyDescent="0.45">
      <c r="S1012" t="s">
        <v>225</v>
      </c>
      <c r="T1012" t="s">
        <v>285</v>
      </c>
      <c r="U1012">
        <v>2.3321327636558802E-2</v>
      </c>
      <c r="V1012" t="s">
        <v>163</v>
      </c>
    </row>
    <row r="1013" spans="19:22" x14ac:dyDescent="0.45">
      <c r="S1013" t="s">
        <v>225</v>
      </c>
      <c r="T1013" t="s">
        <v>286</v>
      </c>
      <c r="U1013">
        <v>4.537371758405391E-2</v>
      </c>
      <c r="V1013" t="s">
        <v>163</v>
      </c>
    </row>
    <row r="1014" spans="19:22" x14ac:dyDescent="0.45">
      <c r="S1014" t="s">
        <v>225</v>
      </c>
      <c r="T1014" t="s">
        <v>287</v>
      </c>
      <c r="U1014">
        <v>2.5281493924490087E-2</v>
      </c>
      <c r="V1014" t="s">
        <v>163</v>
      </c>
    </row>
    <row r="1015" spans="19:22" x14ac:dyDescent="0.45">
      <c r="S1015" t="s">
        <v>225</v>
      </c>
      <c r="T1015" t="s">
        <v>288</v>
      </c>
      <c r="U1015">
        <v>4.0313754578463756E-2</v>
      </c>
      <c r="V1015" t="s">
        <v>163</v>
      </c>
    </row>
    <row r="1016" spans="19:22" x14ac:dyDescent="0.45">
      <c r="S1016" t="s">
        <v>225</v>
      </c>
      <c r="T1016" t="s">
        <v>289</v>
      </c>
      <c r="U1016">
        <v>6.7714757428093564E-3</v>
      </c>
      <c r="V1016" t="s">
        <v>163</v>
      </c>
    </row>
    <row r="1017" spans="19:22" x14ac:dyDescent="0.45">
      <c r="S1017" t="s">
        <v>225</v>
      </c>
      <c r="T1017" t="s">
        <v>290</v>
      </c>
      <c r="U1017">
        <v>6.7683101795029729E-3</v>
      </c>
      <c r="V1017" t="s">
        <v>163</v>
      </c>
    </row>
    <row r="1018" spans="19:22" x14ac:dyDescent="0.45">
      <c r="S1018" t="s">
        <v>225</v>
      </c>
      <c r="T1018" t="s">
        <v>291</v>
      </c>
      <c r="U1018">
        <v>3.3201757257771088E-2</v>
      </c>
      <c r="V1018" t="s">
        <v>163</v>
      </c>
    </row>
    <row r="1019" spans="19:22" x14ac:dyDescent="0.45">
      <c r="S1019" t="s">
        <v>226</v>
      </c>
      <c r="T1019" t="s">
        <v>162</v>
      </c>
      <c r="U1019">
        <v>2.9278583012954603E-2</v>
      </c>
      <c r="V1019" t="s">
        <v>163</v>
      </c>
    </row>
    <row r="1020" spans="19:22" x14ac:dyDescent="0.45">
      <c r="S1020" t="s">
        <v>226</v>
      </c>
      <c r="T1020" t="s">
        <v>164</v>
      </c>
      <c r="U1020">
        <v>1.5469405196849313E-2</v>
      </c>
      <c r="V1020" t="s">
        <v>163</v>
      </c>
    </row>
    <row r="1021" spans="19:22" x14ac:dyDescent="0.45">
      <c r="S1021" t="s">
        <v>226</v>
      </c>
      <c r="T1021" t="s">
        <v>165</v>
      </c>
      <c r="U1021">
        <v>2.2015441758252794E-2</v>
      </c>
      <c r="V1021" t="s">
        <v>163</v>
      </c>
    </row>
    <row r="1022" spans="19:22" x14ac:dyDescent="0.45">
      <c r="S1022" t="s">
        <v>226</v>
      </c>
      <c r="T1022" t="s">
        <v>256</v>
      </c>
      <c r="U1022">
        <v>3.4478996565564827E-3</v>
      </c>
      <c r="V1022" t="s">
        <v>163</v>
      </c>
    </row>
    <row r="1023" spans="19:22" x14ac:dyDescent="0.45">
      <c r="S1023" t="s">
        <v>226</v>
      </c>
      <c r="T1023" t="s">
        <v>257</v>
      </c>
      <c r="U1023">
        <v>3.4025917992342729E-3</v>
      </c>
      <c r="V1023" t="s">
        <v>163</v>
      </c>
    </row>
    <row r="1024" spans="19:22" x14ac:dyDescent="0.45">
      <c r="S1024" t="s">
        <v>226</v>
      </c>
      <c r="T1024" t="s">
        <v>258</v>
      </c>
      <c r="U1024">
        <v>1.6581391876329354E-2</v>
      </c>
      <c r="V1024" t="s">
        <v>163</v>
      </c>
    </row>
    <row r="1025" spans="19:22" x14ac:dyDescent="0.45">
      <c r="S1025" t="s">
        <v>226</v>
      </c>
      <c r="T1025" t="s">
        <v>166</v>
      </c>
      <c r="U1025">
        <v>8.9904397065737225E-3</v>
      </c>
      <c r="V1025" t="s">
        <v>163</v>
      </c>
    </row>
    <row r="1026" spans="19:22" x14ac:dyDescent="0.45">
      <c r="S1026" t="s">
        <v>226</v>
      </c>
      <c r="T1026" t="s">
        <v>167</v>
      </c>
      <c r="U1026">
        <v>4.759399322352603E-3</v>
      </c>
      <c r="V1026" t="s">
        <v>163</v>
      </c>
    </row>
    <row r="1027" spans="19:22" x14ac:dyDescent="0.45">
      <c r="S1027" t="s">
        <v>226</v>
      </c>
      <c r="T1027" t="s">
        <v>168</v>
      </c>
      <c r="U1027">
        <v>7.0112102264071642E-3</v>
      </c>
      <c r="V1027" t="s">
        <v>163</v>
      </c>
    </row>
    <row r="1028" spans="19:22" x14ac:dyDescent="0.45">
      <c r="S1028" t="s">
        <v>226</v>
      </c>
      <c r="T1028" t="s">
        <v>259</v>
      </c>
      <c r="U1028">
        <v>1.502630816761721E-3</v>
      </c>
      <c r="V1028" t="s">
        <v>163</v>
      </c>
    </row>
    <row r="1029" spans="19:22" x14ac:dyDescent="0.45">
      <c r="S1029" t="s">
        <v>226</v>
      </c>
      <c r="T1029" t="s">
        <v>260</v>
      </c>
      <c r="U1029">
        <v>1.566816253832818E-3</v>
      </c>
      <c r="V1029" t="s">
        <v>163</v>
      </c>
    </row>
    <row r="1030" spans="19:22" x14ac:dyDescent="0.45">
      <c r="S1030" t="s">
        <v>226</v>
      </c>
      <c r="T1030" t="s">
        <v>261</v>
      </c>
      <c r="U1030">
        <v>7.065753273988575E-3</v>
      </c>
      <c r="V1030" t="s">
        <v>163</v>
      </c>
    </row>
    <row r="1031" spans="19:22" x14ac:dyDescent="0.45">
      <c r="S1031" t="s">
        <v>226</v>
      </c>
      <c r="T1031" t="s">
        <v>169</v>
      </c>
      <c r="U1031">
        <v>1.9258671651620308E-2</v>
      </c>
      <c r="V1031" t="s">
        <v>163</v>
      </c>
    </row>
    <row r="1032" spans="19:22" x14ac:dyDescent="0.45">
      <c r="S1032" t="s">
        <v>226</v>
      </c>
      <c r="T1032" t="s">
        <v>170</v>
      </c>
      <c r="U1032">
        <v>1.1024669437692433E-2</v>
      </c>
      <c r="V1032" t="s">
        <v>163</v>
      </c>
    </row>
    <row r="1033" spans="19:22" x14ac:dyDescent="0.45">
      <c r="S1033" t="s">
        <v>226</v>
      </c>
      <c r="T1033" t="s">
        <v>171</v>
      </c>
      <c r="U1033">
        <v>1.7121547548454984E-2</v>
      </c>
      <c r="V1033" t="s">
        <v>163</v>
      </c>
    </row>
    <row r="1034" spans="19:22" x14ac:dyDescent="0.45">
      <c r="S1034" t="s">
        <v>226</v>
      </c>
      <c r="T1034" t="s">
        <v>262</v>
      </c>
      <c r="U1034">
        <v>2.8053976748873607E-3</v>
      </c>
      <c r="V1034" t="s">
        <v>163</v>
      </c>
    </row>
    <row r="1035" spans="19:22" x14ac:dyDescent="0.45">
      <c r="S1035" t="s">
        <v>226</v>
      </c>
      <c r="T1035" t="s">
        <v>263</v>
      </c>
      <c r="U1035">
        <v>2.7093987270332479E-3</v>
      </c>
      <c r="V1035" t="s">
        <v>163</v>
      </c>
    </row>
    <row r="1036" spans="19:22" x14ac:dyDescent="0.45">
      <c r="S1036" t="s">
        <v>226</v>
      </c>
      <c r="T1036" t="s">
        <v>264</v>
      </c>
      <c r="U1036">
        <v>1.2713260082685262E-2</v>
      </c>
      <c r="V1036" t="s">
        <v>163</v>
      </c>
    </row>
    <row r="1037" spans="19:22" x14ac:dyDescent="0.45">
      <c r="S1037" t="s">
        <v>226</v>
      </c>
      <c r="T1037" t="s">
        <v>172</v>
      </c>
      <c r="U1037">
        <v>4.694824851713409E-2</v>
      </c>
      <c r="V1037" t="s">
        <v>163</v>
      </c>
    </row>
    <row r="1038" spans="19:22" x14ac:dyDescent="0.45">
      <c r="S1038" t="s">
        <v>226</v>
      </c>
      <c r="T1038" t="s">
        <v>173</v>
      </c>
      <c r="U1038">
        <v>2.4982535628929853E-2</v>
      </c>
      <c r="V1038" t="s">
        <v>163</v>
      </c>
    </row>
    <row r="1039" spans="19:22" x14ac:dyDescent="0.45">
      <c r="S1039" t="s">
        <v>226</v>
      </c>
      <c r="T1039" t="s">
        <v>174</v>
      </c>
      <c r="U1039">
        <v>4.0255566940714929E-2</v>
      </c>
      <c r="V1039" t="s">
        <v>163</v>
      </c>
    </row>
    <row r="1040" spans="19:22" x14ac:dyDescent="0.45">
      <c r="S1040" t="s">
        <v>226</v>
      </c>
      <c r="T1040" t="s">
        <v>265</v>
      </c>
      <c r="U1040">
        <v>6.6389168996704101E-3</v>
      </c>
      <c r="V1040" t="s">
        <v>163</v>
      </c>
    </row>
    <row r="1041" spans="19:22" x14ac:dyDescent="0.45">
      <c r="S1041" t="s">
        <v>226</v>
      </c>
      <c r="T1041" t="s">
        <v>266</v>
      </c>
      <c r="U1041">
        <v>6.585674082714728E-3</v>
      </c>
      <c r="V1041" t="s">
        <v>163</v>
      </c>
    </row>
    <row r="1042" spans="19:22" x14ac:dyDescent="0.45">
      <c r="S1042" t="s">
        <v>226</v>
      </c>
      <c r="T1042" t="s">
        <v>267</v>
      </c>
      <c r="U1042">
        <v>3.260670638073291E-2</v>
      </c>
      <c r="V1042" t="s">
        <v>163</v>
      </c>
    </row>
    <row r="1043" spans="19:22" x14ac:dyDescent="0.45">
      <c r="S1043" t="s">
        <v>226</v>
      </c>
      <c r="T1043" t="s">
        <v>268</v>
      </c>
      <c r="U1043">
        <v>2.6487182606477352E-2</v>
      </c>
      <c r="V1043" t="s">
        <v>163</v>
      </c>
    </row>
    <row r="1044" spans="19:22" x14ac:dyDescent="0.45">
      <c r="S1044" t="s">
        <v>226</v>
      </c>
      <c r="T1044" t="s">
        <v>269</v>
      </c>
      <c r="U1044">
        <v>1.4834273766639951E-2</v>
      </c>
      <c r="V1044" t="s">
        <v>163</v>
      </c>
    </row>
    <row r="1045" spans="19:22" x14ac:dyDescent="0.45">
      <c r="S1045" t="s">
        <v>226</v>
      </c>
      <c r="T1045" t="s">
        <v>270</v>
      </c>
      <c r="U1045">
        <v>2.3221049350699668E-2</v>
      </c>
      <c r="V1045" t="s">
        <v>163</v>
      </c>
    </row>
    <row r="1046" spans="19:22" x14ac:dyDescent="0.45">
      <c r="S1046" t="s">
        <v>226</v>
      </c>
      <c r="T1046" t="s">
        <v>271</v>
      </c>
      <c r="U1046">
        <v>4.1522766380632055E-3</v>
      </c>
      <c r="V1046" t="s">
        <v>163</v>
      </c>
    </row>
    <row r="1047" spans="19:22" x14ac:dyDescent="0.45">
      <c r="S1047" t="s">
        <v>226</v>
      </c>
      <c r="T1047" t="s">
        <v>272</v>
      </c>
      <c r="U1047">
        <v>4.1195441295635822E-3</v>
      </c>
      <c r="V1047" t="s">
        <v>163</v>
      </c>
    </row>
    <row r="1048" spans="19:22" x14ac:dyDescent="0.45">
      <c r="S1048" t="s">
        <v>226</v>
      </c>
      <c r="T1048" t="s">
        <v>273</v>
      </c>
      <c r="U1048">
        <v>1.9476147304489811E-2</v>
      </c>
      <c r="V1048" t="s">
        <v>163</v>
      </c>
    </row>
    <row r="1049" spans="19:22" x14ac:dyDescent="0.45">
      <c r="S1049" t="s">
        <v>226</v>
      </c>
      <c r="T1049" t="s">
        <v>274</v>
      </c>
      <c r="U1049">
        <v>8.5797609157057406E-2</v>
      </c>
      <c r="V1049" t="s">
        <v>163</v>
      </c>
    </row>
    <row r="1050" spans="19:22" x14ac:dyDescent="0.45">
      <c r="S1050" t="s">
        <v>226</v>
      </c>
      <c r="T1050" t="s">
        <v>275</v>
      </c>
      <c r="U1050">
        <v>4.7253174439879253E-2</v>
      </c>
      <c r="V1050" t="s">
        <v>163</v>
      </c>
    </row>
    <row r="1051" spans="19:22" x14ac:dyDescent="0.45">
      <c r="S1051" t="s">
        <v>226</v>
      </c>
      <c r="T1051" t="s">
        <v>276</v>
      </c>
      <c r="U1051">
        <v>7.5502539052037951E-2</v>
      </c>
      <c r="V1051" t="s">
        <v>163</v>
      </c>
    </row>
    <row r="1052" spans="19:22" x14ac:dyDescent="0.45">
      <c r="S1052" t="s">
        <v>226</v>
      </c>
      <c r="T1052" t="s">
        <v>277</v>
      </c>
      <c r="U1052">
        <v>1.2559911081305691E-2</v>
      </c>
      <c r="V1052" t="s">
        <v>163</v>
      </c>
    </row>
    <row r="1053" spans="19:22" x14ac:dyDescent="0.45">
      <c r="S1053" t="s">
        <v>226</v>
      </c>
      <c r="T1053" t="s">
        <v>278</v>
      </c>
      <c r="U1053">
        <v>1.2271937280137809E-2</v>
      </c>
      <c r="V1053" t="s">
        <v>163</v>
      </c>
    </row>
    <row r="1054" spans="19:22" x14ac:dyDescent="0.45">
      <c r="S1054" t="s">
        <v>226</v>
      </c>
      <c r="T1054" t="s">
        <v>279</v>
      </c>
      <c r="U1054">
        <v>5.9863085430768258E-2</v>
      </c>
      <c r="V1054" t="s">
        <v>163</v>
      </c>
    </row>
    <row r="1055" spans="19:22" x14ac:dyDescent="0.45">
      <c r="S1055" t="s">
        <v>226</v>
      </c>
      <c r="T1055" t="s">
        <v>280</v>
      </c>
      <c r="U1055">
        <v>3.2992262548643257E-2</v>
      </c>
      <c r="V1055" t="s">
        <v>163</v>
      </c>
    </row>
    <row r="1056" spans="19:22" x14ac:dyDescent="0.45">
      <c r="S1056" t="s">
        <v>226</v>
      </c>
      <c r="T1056" t="s">
        <v>281</v>
      </c>
      <c r="U1056">
        <v>1.7859291727406246E-2</v>
      </c>
      <c r="V1056" t="s">
        <v>163</v>
      </c>
    </row>
    <row r="1057" spans="19:22" x14ac:dyDescent="0.45">
      <c r="S1057" t="s">
        <v>226</v>
      </c>
      <c r="T1057" t="s">
        <v>282</v>
      </c>
      <c r="U1057">
        <v>2.9841768548328883E-2</v>
      </c>
      <c r="V1057" t="s">
        <v>163</v>
      </c>
    </row>
    <row r="1058" spans="19:22" x14ac:dyDescent="0.45">
      <c r="S1058" t="s">
        <v>226</v>
      </c>
      <c r="T1058" t="s">
        <v>283</v>
      </c>
      <c r="U1058">
        <v>5.0736251549123052E-3</v>
      </c>
      <c r="V1058" t="s">
        <v>163</v>
      </c>
    </row>
    <row r="1059" spans="19:22" x14ac:dyDescent="0.45">
      <c r="S1059" t="s">
        <v>226</v>
      </c>
      <c r="T1059" t="s">
        <v>284</v>
      </c>
      <c r="U1059">
        <v>5.0297010914300624E-3</v>
      </c>
      <c r="V1059" t="s">
        <v>163</v>
      </c>
    </row>
    <row r="1060" spans="19:22" x14ac:dyDescent="0.45">
      <c r="S1060" t="s">
        <v>226</v>
      </c>
      <c r="T1060" t="s">
        <v>285</v>
      </c>
      <c r="U1060">
        <v>2.4199964004920502E-2</v>
      </c>
      <c r="V1060" t="s">
        <v>163</v>
      </c>
    </row>
    <row r="1061" spans="19:22" x14ac:dyDescent="0.45">
      <c r="S1061" t="s">
        <v>226</v>
      </c>
      <c r="T1061" t="s">
        <v>286</v>
      </c>
      <c r="U1061">
        <v>4.3389673111405937E-2</v>
      </c>
      <c r="V1061" t="s">
        <v>163</v>
      </c>
    </row>
    <row r="1062" spans="19:22" x14ac:dyDescent="0.45">
      <c r="S1062" t="s">
        <v>226</v>
      </c>
      <c r="T1062" t="s">
        <v>287</v>
      </c>
      <c r="U1062">
        <v>2.4259505834746908E-2</v>
      </c>
      <c r="V1062" t="s">
        <v>163</v>
      </c>
    </row>
    <row r="1063" spans="19:22" x14ac:dyDescent="0.45">
      <c r="S1063" t="s">
        <v>226</v>
      </c>
      <c r="T1063" t="s">
        <v>288</v>
      </c>
      <c r="U1063">
        <v>4.0652534904063245E-2</v>
      </c>
      <c r="V1063" t="s">
        <v>163</v>
      </c>
    </row>
    <row r="1064" spans="19:22" x14ac:dyDescent="0.45">
      <c r="S1064" t="s">
        <v>226</v>
      </c>
      <c r="T1064" t="s">
        <v>289</v>
      </c>
      <c r="U1064">
        <v>6.7854060436085707E-3</v>
      </c>
      <c r="V1064" t="s">
        <v>163</v>
      </c>
    </row>
    <row r="1065" spans="19:22" x14ac:dyDescent="0.45">
      <c r="S1065" t="s">
        <v>226</v>
      </c>
      <c r="T1065" t="s">
        <v>290</v>
      </c>
      <c r="U1065">
        <v>6.76592155089056E-3</v>
      </c>
      <c r="V1065" t="s">
        <v>163</v>
      </c>
    </row>
    <row r="1066" spans="19:22" x14ac:dyDescent="0.45">
      <c r="S1066" t="s">
        <v>226</v>
      </c>
      <c r="T1066" t="s">
        <v>291</v>
      </c>
      <c r="U1066">
        <v>3.2869458770159829E-2</v>
      </c>
      <c r="V1066" t="s">
        <v>163</v>
      </c>
    </row>
    <row r="1067" spans="19:22" x14ac:dyDescent="0.45">
      <c r="S1067" t="s">
        <v>227</v>
      </c>
      <c r="T1067" t="s">
        <v>162</v>
      </c>
      <c r="U1067">
        <v>2.9607627552311076E-2</v>
      </c>
      <c r="V1067" t="s">
        <v>163</v>
      </c>
    </row>
    <row r="1068" spans="19:22" x14ac:dyDescent="0.45">
      <c r="S1068" t="s">
        <v>227</v>
      </c>
      <c r="T1068" t="s">
        <v>164</v>
      </c>
      <c r="U1068">
        <v>1.4989060220987255E-2</v>
      </c>
      <c r="V1068" t="s">
        <v>163</v>
      </c>
    </row>
    <row r="1069" spans="19:22" x14ac:dyDescent="0.45">
      <c r="S1069" t="s">
        <v>227</v>
      </c>
      <c r="T1069" t="s">
        <v>165</v>
      </c>
      <c r="U1069">
        <v>2.376892339256766E-2</v>
      </c>
      <c r="V1069" t="s">
        <v>163</v>
      </c>
    </row>
    <row r="1070" spans="19:22" x14ac:dyDescent="0.45">
      <c r="S1070" t="s">
        <v>227</v>
      </c>
      <c r="T1070" t="s">
        <v>256</v>
      </c>
      <c r="U1070">
        <v>3.9260451120261925E-3</v>
      </c>
      <c r="V1070" t="s">
        <v>163</v>
      </c>
    </row>
    <row r="1071" spans="19:22" x14ac:dyDescent="0.45">
      <c r="S1071" t="s">
        <v>227</v>
      </c>
      <c r="T1071" t="s">
        <v>257</v>
      </c>
      <c r="U1071">
        <v>3.8551854620589112E-3</v>
      </c>
      <c r="V1071" t="s">
        <v>163</v>
      </c>
    </row>
    <row r="1072" spans="19:22" x14ac:dyDescent="0.45">
      <c r="S1072" t="s">
        <v>227</v>
      </c>
      <c r="T1072" t="s">
        <v>258</v>
      </c>
      <c r="U1072">
        <v>1.8652934622815323E-2</v>
      </c>
      <c r="V1072" t="s">
        <v>163</v>
      </c>
    </row>
    <row r="1073" spans="19:22" x14ac:dyDescent="0.45">
      <c r="S1073" t="s">
        <v>227</v>
      </c>
      <c r="T1073" t="s">
        <v>166</v>
      </c>
      <c r="U1073">
        <v>1.2226665878055182E-2</v>
      </c>
      <c r="V1073" t="s">
        <v>163</v>
      </c>
    </row>
    <row r="1074" spans="19:22" x14ac:dyDescent="0.45">
      <c r="S1074" t="s">
        <v>227</v>
      </c>
      <c r="T1074" t="s">
        <v>167</v>
      </c>
      <c r="U1074">
        <v>6.2847631043517118E-3</v>
      </c>
      <c r="V1074" t="s">
        <v>163</v>
      </c>
    </row>
    <row r="1075" spans="19:22" x14ac:dyDescent="0.45">
      <c r="S1075" t="s">
        <v>227</v>
      </c>
      <c r="T1075" t="s">
        <v>168</v>
      </c>
      <c r="U1075">
        <v>1.21644792721451E-2</v>
      </c>
      <c r="V1075" t="s">
        <v>163</v>
      </c>
    </row>
    <row r="1076" spans="19:22" x14ac:dyDescent="0.45">
      <c r="S1076" t="s">
        <v>227</v>
      </c>
      <c r="T1076" t="s">
        <v>259</v>
      </c>
      <c r="U1076">
        <v>2.3115786542084165E-3</v>
      </c>
      <c r="V1076" t="s">
        <v>163</v>
      </c>
    </row>
    <row r="1077" spans="19:22" x14ac:dyDescent="0.45">
      <c r="S1077" t="s">
        <v>227</v>
      </c>
      <c r="T1077" t="s">
        <v>260</v>
      </c>
      <c r="U1077">
        <v>2.2416495429730633E-3</v>
      </c>
      <c r="V1077" t="s">
        <v>163</v>
      </c>
    </row>
    <row r="1078" spans="19:22" x14ac:dyDescent="0.45">
      <c r="S1078" t="s">
        <v>227</v>
      </c>
      <c r="T1078" t="s">
        <v>261</v>
      </c>
      <c r="U1078">
        <v>9.257966760745525E-3</v>
      </c>
      <c r="V1078" t="s">
        <v>163</v>
      </c>
    </row>
    <row r="1079" spans="19:22" x14ac:dyDescent="0.45">
      <c r="S1079" t="s">
        <v>227</v>
      </c>
      <c r="T1079" t="s">
        <v>169</v>
      </c>
      <c r="U1079">
        <v>2.1262066220882281E-2</v>
      </c>
      <c r="V1079" t="s">
        <v>163</v>
      </c>
    </row>
    <row r="1080" spans="19:22" x14ac:dyDescent="0.45">
      <c r="S1080" t="s">
        <v>227</v>
      </c>
      <c r="T1080" t="s">
        <v>170</v>
      </c>
      <c r="U1080">
        <v>1.2316390173335294E-2</v>
      </c>
      <c r="V1080" t="s">
        <v>163</v>
      </c>
    </row>
    <row r="1081" spans="19:22" x14ac:dyDescent="0.45">
      <c r="S1081" t="s">
        <v>227</v>
      </c>
      <c r="T1081" t="s">
        <v>171</v>
      </c>
      <c r="U1081">
        <v>1.8885574027826292E-2</v>
      </c>
      <c r="V1081" t="s">
        <v>163</v>
      </c>
    </row>
    <row r="1082" spans="19:22" x14ac:dyDescent="0.45">
      <c r="S1082" t="s">
        <v>227</v>
      </c>
      <c r="T1082" t="s">
        <v>262</v>
      </c>
      <c r="U1082">
        <v>3.0041479709089322E-3</v>
      </c>
      <c r="V1082" t="s">
        <v>163</v>
      </c>
    </row>
    <row r="1083" spans="19:22" x14ac:dyDescent="0.45">
      <c r="S1083" t="s">
        <v>227</v>
      </c>
      <c r="T1083" t="s">
        <v>263</v>
      </c>
      <c r="U1083">
        <v>2.8717562940985836E-3</v>
      </c>
      <c r="V1083" t="s">
        <v>163</v>
      </c>
    </row>
    <row r="1084" spans="19:22" x14ac:dyDescent="0.45">
      <c r="S1084" t="s">
        <v>227</v>
      </c>
      <c r="T1084" t="s">
        <v>264</v>
      </c>
      <c r="U1084">
        <v>1.4415244409072122E-2</v>
      </c>
      <c r="V1084" t="s">
        <v>163</v>
      </c>
    </row>
    <row r="1085" spans="19:22" x14ac:dyDescent="0.45">
      <c r="S1085" t="s">
        <v>227</v>
      </c>
      <c r="T1085" t="s">
        <v>172</v>
      </c>
      <c r="U1085">
        <v>4.061959784242531E-2</v>
      </c>
      <c r="V1085" t="s">
        <v>163</v>
      </c>
    </row>
    <row r="1086" spans="19:22" x14ac:dyDescent="0.45">
      <c r="S1086" t="s">
        <v>227</v>
      </c>
      <c r="T1086" t="s">
        <v>173</v>
      </c>
      <c r="U1086">
        <v>2.2714750380542804E-2</v>
      </c>
      <c r="V1086" t="s">
        <v>163</v>
      </c>
    </row>
    <row r="1087" spans="19:22" x14ac:dyDescent="0.45">
      <c r="S1087" t="s">
        <v>227</v>
      </c>
      <c r="T1087" t="s">
        <v>174</v>
      </c>
      <c r="U1087">
        <v>3.9747701738474826E-2</v>
      </c>
      <c r="V1087" t="s">
        <v>163</v>
      </c>
    </row>
    <row r="1088" spans="19:22" x14ac:dyDescent="0.45">
      <c r="S1088" t="s">
        <v>227</v>
      </c>
      <c r="T1088" t="s">
        <v>265</v>
      </c>
      <c r="U1088">
        <v>6.6375845212588314E-3</v>
      </c>
      <c r="V1088" t="s">
        <v>163</v>
      </c>
    </row>
    <row r="1089" spans="19:22" x14ac:dyDescent="0.45">
      <c r="S1089" t="s">
        <v>227</v>
      </c>
      <c r="T1089" t="s">
        <v>266</v>
      </c>
      <c r="U1089">
        <v>6.3955928435993886E-3</v>
      </c>
      <c r="V1089" t="s">
        <v>163</v>
      </c>
    </row>
    <row r="1090" spans="19:22" x14ac:dyDescent="0.45">
      <c r="S1090" t="s">
        <v>227</v>
      </c>
      <c r="T1090" t="s">
        <v>267</v>
      </c>
      <c r="U1090">
        <v>2.8751086674752024E-2</v>
      </c>
      <c r="V1090" t="s">
        <v>163</v>
      </c>
    </row>
    <row r="1091" spans="19:22" x14ac:dyDescent="0.45">
      <c r="S1091" t="s">
        <v>227</v>
      </c>
      <c r="T1091" t="s">
        <v>268</v>
      </c>
      <c r="U1091">
        <v>2.5817839940088978E-2</v>
      </c>
      <c r="V1091" t="s">
        <v>163</v>
      </c>
    </row>
    <row r="1092" spans="19:22" x14ac:dyDescent="0.45">
      <c r="S1092" t="s">
        <v>227</v>
      </c>
      <c r="T1092" t="s">
        <v>269</v>
      </c>
      <c r="U1092">
        <v>1.4469431525365711E-2</v>
      </c>
      <c r="V1092" t="s">
        <v>163</v>
      </c>
    </row>
    <row r="1093" spans="19:22" x14ac:dyDescent="0.45">
      <c r="S1093" t="s">
        <v>227</v>
      </c>
      <c r="T1093" t="s">
        <v>270</v>
      </c>
      <c r="U1093">
        <v>2.3255317881773655E-2</v>
      </c>
      <c r="V1093" t="s">
        <v>163</v>
      </c>
    </row>
    <row r="1094" spans="19:22" x14ac:dyDescent="0.45">
      <c r="S1094" t="s">
        <v>227</v>
      </c>
      <c r="T1094" t="s">
        <v>271</v>
      </c>
      <c r="U1094">
        <v>3.8741628979881721E-3</v>
      </c>
      <c r="V1094" t="s">
        <v>163</v>
      </c>
    </row>
    <row r="1095" spans="19:22" x14ac:dyDescent="0.45">
      <c r="S1095" t="s">
        <v>227</v>
      </c>
      <c r="T1095" t="s">
        <v>272</v>
      </c>
      <c r="U1095">
        <v>3.7323425546624445E-3</v>
      </c>
      <c r="V1095" t="s">
        <v>163</v>
      </c>
    </row>
    <row r="1096" spans="19:22" x14ac:dyDescent="0.45">
      <c r="S1096" t="s">
        <v>227</v>
      </c>
      <c r="T1096" t="s">
        <v>273</v>
      </c>
      <c r="U1096">
        <v>1.7742151999917317E-2</v>
      </c>
      <c r="V1096" t="s">
        <v>163</v>
      </c>
    </row>
    <row r="1097" spans="19:22" x14ac:dyDescent="0.45">
      <c r="S1097" t="s">
        <v>227</v>
      </c>
      <c r="T1097" t="s">
        <v>274</v>
      </c>
      <c r="U1097">
        <v>8.0687146835281817E-2</v>
      </c>
      <c r="V1097" t="s">
        <v>163</v>
      </c>
    </row>
    <row r="1098" spans="19:22" x14ac:dyDescent="0.45">
      <c r="S1098" t="s">
        <v>227</v>
      </c>
      <c r="T1098" t="s">
        <v>275</v>
      </c>
      <c r="U1098">
        <v>4.4416883971672337E-2</v>
      </c>
      <c r="V1098" t="s">
        <v>163</v>
      </c>
    </row>
    <row r="1099" spans="19:22" x14ac:dyDescent="0.45">
      <c r="S1099" t="s">
        <v>227</v>
      </c>
      <c r="T1099" t="s">
        <v>276</v>
      </c>
      <c r="U1099">
        <v>7.1637473372748867E-2</v>
      </c>
      <c r="V1099" t="s">
        <v>163</v>
      </c>
    </row>
    <row r="1100" spans="19:22" x14ac:dyDescent="0.45">
      <c r="S1100" t="s">
        <v>227</v>
      </c>
      <c r="T1100" t="s">
        <v>277</v>
      </c>
      <c r="U1100">
        <v>1.1656506667796471E-2</v>
      </c>
      <c r="V1100" t="s">
        <v>163</v>
      </c>
    </row>
    <row r="1101" spans="19:22" x14ac:dyDescent="0.45">
      <c r="S1101" t="s">
        <v>227</v>
      </c>
      <c r="T1101" t="s">
        <v>278</v>
      </c>
      <c r="U1101">
        <v>1.1588969739923436E-2</v>
      </c>
      <c r="V1101" t="s">
        <v>163</v>
      </c>
    </row>
    <row r="1102" spans="19:22" x14ac:dyDescent="0.45">
      <c r="S1102" t="s">
        <v>227</v>
      </c>
      <c r="T1102" t="s">
        <v>279</v>
      </c>
      <c r="U1102">
        <v>5.7041790212547537E-2</v>
      </c>
      <c r="V1102" t="s">
        <v>163</v>
      </c>
    </row>
    <row r="1103" spans="19:22" x14ac:dyDescent="0.45">
      <c r="S1103" t="s">
        <v>227</v>
      </c>
      <c r="T1103" t="s">
        <v>280</v>
      </c>
      <c r="U1103">
        <v>2.9666541457334446E-2</v>
      </c>
      <c r="V1103" t="s">
        <v>163</v>
      </c>
    </row>
    <row r="1104" spans="19:22" x14ac:dyDescent="0.45">
      <c r="S1104" t="s">
        <v>227</v>
      </c>
      <c r="T1104" t="s">
        <v>281</v>
      </c>
      <c r="U1104">
        <v>1.7112437304070832E-2</v>
      </c>
      <c r="V1104" t="s">
        <v>163</v>
      </c>
    </row>
    <row r="1105" spans="19:22" x14ac:dyDescent="0.45">
      <c r="S1105" t="s">
        <v>227</v>
      </c>
      <c r="T1105" t="s">
        <v>282</v>
      </c>
      <c r="U1105">
        <v>3.0224204877210083E-2</v>
      </c>
      <c r="V1105" t="s">
        <v>163</v>
      </c>
    </row>
    <row r="1106" spans="19:22" x14ac:dyDescent="0.45">
      <c r="S1106" t="s">
        <v>227</v>
      </c>
      <c r="T1106" t="s">
        <v>283</v>
      </c>
      <c r="U1106">
        <v>5.0233000606124314E-3</v>
      </c>
      <c r="V1106" t="s">
        <v>163</v>
      </c>
    </row>
    <row r="1107" spans="19:22" x14ac:dyDescent="0.45">
      <c r="S1107" t="s">
        <v>227</v>
      </c>
      <c r="T1107" t="s">
        <v>284</v>
      </c>
      <c r="U1107">
        <v>5.0168767179314807E-3</v>
      </c>
      <c r="V1107" t="s">
        <v>163</v>
      </c>
    </row>
    <row r="1108" spans="19:22" x14ac:dyDescent="0.45">
      <c r="S1108" t="s">
        <v>227</v>
      </c>
      <c r="T1108" t="s">
        <v>285</v>
      </c>
      <c r="U1108">
        <v>2.2702010577190259E-2</v>
      </c>
      <c r="V1108" t="s">
        <v>163</v>
      </c>
    </row>
    <row r="1109" spans="19:22" x14ac:dyDescent="0.45">
      <c r="S1109" t="s">
        <v>227</v>
      </c>
      <c r="T1109" t="s">
        <v>286</v>
      </c>
      <c r="U1109">
        <v>4.5087983044651787E-2</v>
      </c>
      <c r="V1109" t="s">
        <v>163</v>
      </c>
    </row>
    <row r="1110" spans="19:22" x14ac:dyDescent="0.45">
      <c r="S1110" t="s">
        <v>227</v>
      </c>
      <c r="T1110" t="s">
        <v>287</v>
      </c>
      <c r="U1110">
        <v>2.5614415694959623E-2</v>
      </c>
      <c r="V1110" t="s">
        <v>163</v>
      </c>
    </row>
    <row r="1111" spans="19:22" x14ac:dyDescent="0.45">
      <c r="S1111" t="s">
        <v>227</v>
      </c>
      <c r="T1111" t="s">
        <v>288</v>
      </c>
      <c r="U1111">
        <v>4.505849636383346E-2</v>
      </c>
      <c r="V1111" t="s">
        <v>163</v>
      </c>
    </row>
    <row r="1112" spans="19:22" x14ac:dyDescent="0.45">
      <c r="S1112" t="s">
        <v>227</v>
      </c>
      <c r="T1112" t="s">
        <v>289</v>
      </c>
      <c r="U1112">
        <v>7.8891361497414499E-3</v>
      </c>
      <c r="V1112" t="s">
        <v>163</v>
      </c>
    </row>
    <row r="1113" spans="19:22" x14ac:dyDescent="0.45">
      <c r="S1113" t="s">
        <v>227</v>
      </c>
      <c r="T1113" t="s">
        <v>290</v>
      </c>
      <c r="U1113">
        <v>7.9376693845624891E-3</v>
      </c>
      <c r="V1113" t="s">
        <v>163</v>
      </c>
    </row>
    <row r="1114" spans="19:22" x14ac:dyDescent="0.45">
      <c r="S1114" t="s">
        <v>227</v>
      </c>
      <c r="T1114" t="s">
        <v>291</v>
      </c>
      <c r="U1114">
        <v>3.5838538095709666E-2</v>
      </c>
      <c r="V1114" t="s">
        <v>163</v>
      </c>
    </row>
    <row r="1115" spans="19:22" x14ac:dyDescent="0.45">
      <c r="S1115" t="s">
        <v>228</v>
      </c>
      <c r="T1115" t="s">
        <v>162</v>
      </c>
      <c r="U1115">
        <v>2.9942925952436538E-2</v>
      </c>
      <c r="V1115" t="s">
        <v>163</v>
      </c>
    </row>
    <row r="1116" spans="19:22" x14ac:dyDescent="0.45">
      <c r="S1116" t="s">
        <v>228</v>
      </c>
      <c r="T1116" t="s">
        <v>164</v>
      </c>
      <c r="U1116">
        <v>1.6250298625849136E-2</v>
      </c>
      <c r="V1116" t="s">
        <v>163</v>
      </c>
    </row>
    <row r="1117" spans="19:22" x14ac:dyDescent="0.45">
      <c r="S1117" t="s">
        <v>228</v>
      </c>
      <c r="T1117" t="s">
        <v>165</v>
      </c>
      <c r="U1117">
        <v>2.5361219354488103E-2</v>
      </c>
      <c r="V1117" t="s">
        <v>163</v>
      </c>
    </row>
    <row r="1118" spans="19:22" x14ac:dyDescent="0.45">
      <c r="S1118" t="s">
        <v>228</v>
      </c>
      <c r="T1118" t="s">
        <v>256</v>
      </c>
      <c r="U1118">
        <v>4.0315431448914828E-3</v>
      </c>
      <c r="V1118" t="s">
        <v>163</v>
      </c>
    </row>
    <row r="1119" spans="19:22" x14ac:dyDescent="0.45">
      <c r="S1119" t="s">
        <v>228</v>
      </c>
      <c r="T1119" t="s">
        <v>257</v>
      </c>
      <c r="U1119">
        <v>3.9495235926494303E-3</v>
      </c>
      <c r="V1119" t="s">
        <v>163</v>
      </c>
    </row>
    <row r="1120" spans="19:22" x14ac:dyDescent="0.45">
      <c r="S1120" t="s">
        <v>228</v>
      </c>
      <c r="T1120" t="s">
        <v>258</v>
      </c>
      <c r="U1120">
        <v>1.8064703970164832E-2</v>
      </c>
      <c r="V1120" t="s">
        <v>163</v>
      </c>
    </row>
    <row r="1121" spans="19:22" x14ac:dyDescent="0.45">
      <c r="S1121" t="s">
        <v>228</v>
      </c>
      <c r="T1121" t="s">
        <v>166</v>
      </c>
      <c r="U1121">
        <v>1.2293990030033395E-2</v>
      </c>
      <c r="V1121" t="s">
        <v>163</v>
      </c>
    </row>
    <row r="1122" spans="19:22" x14ac:dyDescent="0.45">
      <c r="S1122" t="s">
        <v>228</v>
      </c>
      <c r="T1122" t="s">
        <v>167</v>
      </c>
      <c r="U1122">
        <v>6.2608541217559618E-3</v>
      </c>
      <c r="V1122" t="s">
        <v>163</v>
      </c>
    </row>
    <row r="1123" spans="19:22" x14ac:dyDescent="0.45">
      <c r="S1123" t="s">
        <v>228</v>
      </c>
      <c r="T1123" t="s">
        <v>168</v>
      </c>
      <c r="U1123">
        <v>1.1150569454895115E-2</v>
      </c>
      <c r="V1123" t="s">
        <v>163</v>
      </c>
    </row>
    <row r="1124" spans="19:22" x14ac:dyDescent="0.45">
      <c r="S1124" t="s">
        <v>228</v>
      </c>
      <c r="T1124" t="s">
        <v>259</v>
      </c>
      <c r="U1124">
        <v>2.4689835766802367E-3</v>
      </c>
      <c r="V1124" t="s">
        <v>163</v>
      </c>
    </row>
    <row r="1125" spans="19:22" x14ac:dyDescent="0.45">
      <c r="S1125" t="s">
        <v>228</v>
      </c>
      <c r="T1125" t="s">
        <v>260</v>
      </c>
      <c r="U1125">
        <v>2.5013819543712535E-3</v>
      </c>
      <c r="V1125" t="s">
        <v>163</v>
      </c>
    </row>
    <row r="1126" spans="19:22" x14ac:dyDescent="0.45">
      <c r="S1126" t="s">
        <v>228</v>
      </c>
      <c r="T1126" t="s">
        <v>261</v>
      </c>
      <c r="U1126">
        <v>1.0471035105853262E-2</v>
      </c>
      <c r="V1126" t="s">
        <v>163</v>
      </c>
    </row>
    <row r="1127" spans="19:22" x14ac:dyDescent="0.45">
      <c r="S1127" t="s">
        <v>228</v>
      </c>
      <c r="T1127" t="s">
        <v>169</v>
      </c>
      <c r="U1127">
        <v>1.5300147998922606E-2</v>
      </c>
      <c r="V1127" t="s">
        <v>163</v>
      </c>
    </row>
    <row r="1128" spans="19:22" x14ac:dyDescent="0.45">
      <c r="S1128" t="s">
        <v>228</v>
      </c>
      <c r="T1128" t="s">
        <v>170</v>
      </c>
      <c r="U1128">
        <v>1.0216817295533675E-2</v>
      </c>
      <c r="V1128" t="s">
        <v>163</v>
      </c>
    </row>
    <row r="1129" spans="19:22" x14ac:dyDescent="0.45">
      <c r="S1129" t="s">
        <v>228</v>
      </c>
      <c r="T1129" t="s">
        <v>171</v>
      </c>
      <c r="U1129">
        <v>1.6551674438201571E-2</v>
      </c>
      <c r="V1129" t="s">
        <v>163</v>
      </c>
    </row>
    <row r="1130" spans="19:22" x14ac:dyDescent="0.45">
      <c r="S1130" t="s">
        <v>228</v>
      </c>
      <c r="T1130" t="s">
        <v>262</v>
      </c>
      <c r="U1130">
        <v>2.7206048734835127E-3</v>
      </c>
      <c r="V1130" t="s">
        <v>163</v>
      </c>
    </row>
    <row r="1131" spans="19:22" x14ac:dyDescent="0.45">
      <c r="S1131" t="s">
        <v>228</v>
      </c>
      <c r="T1131" t="s">
        <v>263</v>
      </c>
      <c r="U1131">
        <v>2.619064347342426E-3</v>
      </c>
      <c r="V1131" t="s">
        <v>163</v>
      </c>
    </row>
    <row r="1132" spans="19:22" x14ac:dyDescent="0.45">
      <c r="S1132" t="s">
        <v>228</v>
      </c>
      <c r="T1132" t="s">
        <v>264</v>
      </c>
      <c r="U1132">
        <v>1.0761634501633303E-2</v>
      </c>
      <c r="V1132" t="s">
        <v>163</v>
      </c>
    </row>
    <row r="1133" spans="19:22" x14ac:dyDescent="0.45">
      <c r="S1133" t="s">
        <v>228</v>
      </c>
      <c r="T1133" t="s">
        <v>172</v>
      </c>
      <c r="U1133">
        <v>4.5039380613215302E-2</v>
      </c>
      <c r="V1133" t="s">
        <v>163</v>
      </c>
    </row>
    <row r="1134" spans="19:22" x14ac:dyDescent="0.45">
      <c r="S1134" t="s">
        <v>228</v>
      </c>
      <c r="T1134" t="s">
        <v>173</v>
      </c>
      <c r="U1134">
        <v>2.3286131156601754E-2</v>
      </c>
      <c r="V1134" t="s">
        <v>163</v>
      </c>
    </row>
    <row r="1135" spans="19:22" x14ac:dyDescent="0.45">
      <c r="S1135" t="s">
        <v>228</v>
      </c>
      <c r="T1135" t="s">
        <v>174</v>
      </c>
      <c r="U1135">
        <v>3.9837699136585282E-2</v>
      </c>
      <c r="V1135" t="s">
        <v>163</v>
      </c>
    </row>
    <row r="1136" spans="19:22" x14ac:dyDescent="0.45">
      <c r="S1136" t="s">
        <v>228</v>
      </c>
      <c r="T1136" t="s">
        <v>265</v>
      </c>
      <c r="U1136">
        <v>6.7531931558967228E-3</v>
      </c>
      <c r="V1136" t="s">
        <v>163</v>
      </c>
    </row>
    <row r="1137" spans="19:22" x14ac:dyDescent="0.45">
      <c r="S1137" t="s">
        <v>228</v>
      </c>
      <c r="T1137" t="s">
        <v>266</v>
      </c>
      <c r="U1137">
        <v>6.619791294585552E-3</v>
      </c>
      <c r="V1137" t="s">
        <v>163</v>
      </c>
    </row>
    <row r="1138" spans="19:22" x14ac:dyDescent="0.45">
      <c r="S1138" t="s">
        <v>228</v>
      </c>
      <c r="T1138" t="s">
        <v>267</v>
      </c>
      <c r="U1138">
        <v>3.1172317528666251E-2</v>
      </c>
      <c r="V1138" t="s">
        <v>163</v>
      </c>
    </row>
    <row r="1139" spans="19:22" x14ac:dyDescent="0.45">
      <c r="S1139" t="s">
        <v>228</v>
      </c>
      <c r="T1139" t="s">
        <v>268</v>
      </c>
      <c r="U1139">
        <v>2.3474973982582352E-2</v>
      </c>
      <c r="V1139" t="s">
        <v>163</v>
      </c>
    </row>
    <row r="1140" spans="19:22" x14ac:dyDescent="0.45">
      <c r="S1140" t="s">
        <v>228</v>
      </c>
      <c r="T1140" t="s">
        <v>269</v>
      </c>
      <c r="U1140">
        <v>1.3231960410697512E-2</v>
      </c>
      <c r="V1140" t="s">
        <v>163</v>
      </c>
    </row>
    <row r="1141" spans="19:22" x14ac:dyDescent="0.45">
      <c r="S1141" t="s">
        <v>228</v>
      </c>
      <c r="T1141" t="s">
        <v>270</v>
      </c>
      <c r="U1141">
        <v>2.1843734098485789E-2</v>
      </c>
      <c r="V1141" t="s">
        <v>163</v>
      </c>
    </row>
    <row r="1142" spans="19:22" x14ac:dyDescent="0.45">
      <c r="S1142" t="s">
        <v>228</v>
      </c>
      <c r="T1142" t="s">
        <v>271</v>
      </c>
      <c r="U1142">
        <v>3.9378580969778318E-3</v>
      </c>
      <c r="V1142" t="s">
        <v>163</v>
      </c>
    </row>
    <row r="1143" spans="19:22" x14ac:dyDescent="0.45">
      <c r="S1143" t="s">
        <v>228</v>
      </c>
      <c r="T1143" t="s">
        <v>272</v>
      </c>
      <c r="U1143">
        <v>3.9483420293632528E-3</v>
      </c>
      <c r="V1143" t="s">
        <v>163</v>
      </c>
    </row>
    <row r="1144" spans="19:22" x14ac:dyDescent="0.45">
      <c r="S1144" t="s">
        <v>228</v>
      </c>
      <c r="T1144" t="s">
        <v>273</v>
      </c>
      <c r="U1144">
        <v>1.8554195224809913E-2</v>
      </c>
      <c r="V1144" t="s">
        <v>163</v>
      </c>
    </row>
    <row r="1145" spans="19:22" x14ac:dyDescent="0.45">
      <c r="S1145" t="s">
        <v>228</v>
      </c>
      <c r="T1145" t="s">
        <v>274</v>
      </c>
      <c r="U1145">
        <v>8.3769252220796092E-2</v>
      </c>
      <c r="V1145" t="s">
        <v>163</v>
      </c>
    </row>
    <row r="1146" spans="19:22" x14ac:dyDescent="0.45">
      <c r="S1146" t="s">
        <v>228</v>
      </c>
      <c r="T1146" t="s">
        <v>275</v>
      </c>
      <c r="U1146">
        <v>4.4750690916740998E-2</v>
      </c>
      <c r="V1146" t="s">
        <v>163</v>
      </c>
    </row>
    <row r="1147" spans="19:22" x14ac:dyDescent="0.45">
      <c r="S1147" t="s">
        <v>228</v>
      </c>
      <c r="T1147" t="s">
        <v>276</v>
      </c>
      <c r="U1147">
        <v>7.3974614554666737E-2</v>
      </c>
      <c r="V1147" t="s">
        <v>163</v>
      </c>
    </row>
    <row r="1148" spans="19:22" x14ac:dyDescent="0.45">
      <c r="S1148" t="s">
        <v>228</v>
      </c>
      <c r="T1148" t="s">
        <v>277</v>
      </c>
      <c r="U1148">
        <v>1.2817853637925087E-2</v>
      </c>
      <c r="V1148" t="s">
        <v>163</v>
      </c>
    </row>
    <row r="1149" spans="19:22" x14ac:dyDescent="0.45">
      <c r="S1149" t="s">
        <v>228</v>
      </c>
      <c r="T1149" t="s">
        <v>278</v>
      </c>
      <c r="U1149">
        <v>1.2600497946250327E-2</v>
      </c>
      <c r="V1149" t="s">
        <v>163</v>
      </c>
    </row>
    <row r="1150" spans="19:22" x14ac:dyDescent="0.45">
      <c r="S1150" t="s">
        <v>228</v>
      </c>
      <c r="T1150" t="s">
        <v>279</v>
      </c>
      <c r="U1150">
        <v>6.1087966114483284E-2</v>
      </c>
      <c r="V1150" t="s">
        <v>163</v>
      </c>
    </row>
    <row r="1151" spans="19:22" x14ac:dyDescent="0.45">
      <c r="S1151" t="s">
        <v>228</v>
      </c>
      <c r="T1151" t="s">
        <v>280</v>
      </c>
      <c r="U1151">
        <v>3.4524018941776778E-2</v>
      </c>
      <c r="V1151" t="s">
        <v>163</v>
      </c>
    </row>
    <row r="1152" spans="19:22" x14ac:dyDescent="0.45">
      <c r="S1152" t="s">
        <v>228</v>
      </c>
      <c r="T1152" t="s">
        <v>281</v>
      </c>
      <c r="U1152">
        <v>1.795696640123947E-2</v>
      </c>
      <c r="V1152" t="s">
        <v>163</v>
      </c>
    </row>
    <row r="1153" spans="19:22" x14ac:dyDescent="0.45">
      <c r="S1153" t="s">
        <v>228</v>
      </c>
      <c r="T1153" t="s">
        <v>282</v>
      </c>
      <c r="U1153">
        <v>3.2575082727509884E-2</v>
      </c>
      <c r="V1153" t="s">
        <v>163</v>
      </c>
    </row>
    <row r="1154" spans="19:22" x14ac:dyDescent="0.45">
      <c r="S1154" t="s">
        <v>228</v>
      </c>
      <c r="T1154" t="s">
        <v>283</v>
      </c>
      <c r="U1154">
        <v>5.6352251562790338E-3</v>
      </c>
      <c r="V1154" t="s">
        <v>163</v>
      </c>
    </row>
    <row r="1155" spans="19:22" x14ac:dyDescent="0.45">
      <c r="S1155" t="s">
        <v>228</v>
      </c>
      <c r="T1155" t="s">
        <v>284</v>
      </c>
      <c r="U1155">
        <v>5.5406785175117455E-3</v>
      </c>
      <c r="V1155" t="s">
        <v>163</v>
      </c>
    </row>
    <row r="1156" spans="19:22" x14ac:dyDescent="0.45">
      <c r="S1156" t="s">
        <v>228</v>
      </c>
      <c r="T1156" t="s">
        <v>285</v>
      </c>
      <c r="U1156">
        <v>2.601784658171748E-2</v>
      </c>
      <c r="V1156" t="s">
        <v>163</v>
      </c>
    </row>
    <row r="1157" spans="19:22" x14ac:dyDescent="0.45">
      <c r="S1157" t="s">
        <v>228</v>
      </c>
      <c r="T1157" t="s">
        <v>286</v>
      </c>
      <c r="U1157">
        <v>4.1801583521848068E-2</v>
      </c>
      <c r="V1157" t="s">
        <v>163</v>
      </c>
    </row>
    <row r="1158" spans="19:22" x14ac:dyDescent="0.45">
      <c r="S1158" t="s">
        <v>228</v>
      </c>
      <c r="T1158" t="s">
        <v>287</v>
      </c>
      <c r="U1158">
        <v>2.2380417649645566E-2</v>
      </c>
      <c r="V1158" t="s">
        <v>163</v>
      </c>
    </row>
    <row r="1159" spans="19:22" x14ac:dyDescent="0.45">
      <c r="S1159" t="s">
        <v>228</v>
      </c>
      <c r="T1159" t="s">
        <v>288</v>
      </c>
      <c r="U1159">
        <v>3.9907328691497497E-2</v>
      </c>
      <c r="V1159" t="s">
        <v>163</v>
      </c>
    </row>
    <row r="1160" spans="19:22" x14ac:dyDescent="0.45">
      <c r="S1160" t="s">
        <v>228</v>
      </c>
      <c r="T1160" t="s">
        <v>289</v>
      </c>
      <c r="U1160">
        <v>7.0821090526812644E-3</v>
      </c>
      <c r="V1160" t="s">
        <v>163</v>
      </c>
    </row>
    <row r="1161" spans="19:22" x14ac:dyDescent="0.45">
      <c r="S1161" t="s">
        <v>228</v>
      </c>
      <c r="T1161" t="s">
        <v>290</v>
      </c>
      <c r="U1161">
        <v>7.0141229382533667E-3</v>
      </c>
      <c r="V1161" t="s">
        <v>163</v>
      </c>
    </row>
    <row r="1162" spans="19:22" x14ac:dyDescent="0.45">
      <c r="S1162" t="s">
        <v>228</v>
      </c>
      <c r="T1162" t="s">
        <v>291</v>
      </c>
      <c r="U1162">
        <v>3.1947195361524634E-2</v>
      </c>
      <c r="V1162" t="s">
        <v>163</v>
      </c>
    </row>
    <row r="1163" spans="19:22" x14ac:dyDescent="0.45">
      <c r="S1163" t="s">
        <v>229</v>
      </c>
      <c r="T1163" t="s">
        <v>162</v>
      </c>
      <c r="U1163">
        <v>2.8400550099104024E-2</v>
      </c>
      <c r="V1163" t="s">
        <v>163</v>
      </c>
    </row>
    <row r="1164" spans="19:22" x14ac:dyDescent="0.45">
      <c r="S1164" t="s">
        <v>229</v>
      </c>
      <c r="T1164" t="s">
        <v>164</v>
      </c>
      <c r="U1164">
        <v>1.5515498464924013E-2</v>
      </c>
      <c r="V1164" t="s">
        <v>163</v>
      </c>
    </row>
    <row r="1165" spans="19:22" x14ac:dyDescent="0.45">
      <c r="S1165" t="s">
        <v>229</v>
      </c>
      <c r="T1165" t="s">
        <v>165</v>
      </c>
      <c r="U1165">
        <v>2.6414493374647768E-2</v>
      </c>
      <c r="V1165" t="s">
        <v>163</v>
      </c>
    </row>
    <row r="1166" spans="19:22" x14ac:dyDescent="0.45">
      <c r="S1166" t="s">
        <v>229</v>
      </c>
      <c r="T1166" t="s">
        <v>256</v>
      </c>
      <c r="U1166">
        <v>4.7312654618126152E-3</v>
      </c>
      <c r="V1166" t="s">
        <v>163</v>
      </c>
    </row>
    <row r="1167" spans="19:22" x14ac:dyDescent="0.45">
      <c r="S1167" t="s">
        <v>229</v>
      </c>
      <c r="T1167" t="s">
        <v>257</v>
      </c>
      <c r="U1167">
        <v>4.704320686910856E-3</v>
      </c>
      <c r="V1167" t="s">
        <v>163</v>
      </c>
    </row>
    <row r="1168" spans="19:22" x14ac:dyDescent="0.45">
      <c r="S1168" t="s">
        <v>229</v>
      </c>
      <c r="T1168" t="s">
        <v>258</v>
      </c>
      <c r="U1168">
        <v>2.2566394308321573E-2</v>
      </c>
      <c r="V1168" t="s">
        <v>163</v>
      </c>
    </row>
    <row r="1169" spans="19:22" x14ac:dyDescent="0.45">
      <c r="S1169" t="s">
        <v>229</v>
      </c>
      <c r="T1169" t="s">
        <v>166</v>
      </c>
      <c r="U1169">
        <v>1.8944759689028211E-2</v>
      </c>
      <c r="V1169" t="s">
        <v>163</v>
      </c>
    </row>
    <row r="1170" spans="19:22" x14ac:dyDescent="0.45">
      <c r="S1170" t="s">
        <v>229</v>
      </c>
      <c r="T1170" t="s">
        <v>167</v>
      </c>
      <c r="U1170">
        <v>9.5032932992084231E-3</v>
      </c>
      <c r="V1170" t="s">
        <v>163</v>
      </c>
    </row>
    <row r="1171" spans="19:22" x14ac:dyDescent="0.45">
      <c r="S1171" t="s">
        <v>229</v>
      </c>
      <c r="T1171" t="s">
        <v>168</v>
      </c>
      <c r="U1171">
        <v>1.6216199348470142E-2</v>
      </c>
      <c r="V1171" t="s">
        <v>163</v>
      </c>
    </row>
    <row r="1172" spans="19:22" x14ac:dyDescent="0.45">
      <c r="S1172" t="s">
        <v>229</v>
      </c>
      <c r="T1172" t="s">
        <v>259</v>
      </c>
      <c r="U1172">
        <v>3.2483478935263414E-3</v>
      </c>
      <c r="V1172" t="s">
        <v>163</v>
      </c>
    </row>
    <row r="1173" spans="19:22" x14ac:dyDescent="0.45">
      <c r="S1173" t="s">
        <v>229</v>
      </c>
      <c r="T1173" t="s">
        <v>260</v>
      </c>
      <c r="U1173">
        <v>3.3369475726282593E-3</v>
      </c>
      <c r="V1173" t="s">
        <v>163</v>
      </c>
    </row>
    <row r="1174" spans="19:22" x14ac:dyDescent="0.45">
      <c r="S1174" t="s">
        <v>229</v>
      </c>
      <c r="T1174" t="s">
        <v>261</v>
      </c>
      <c r="U1174">
        <v>1.5678980534760328E-2</v>
      </c>
      <c r="V1174" t="s">
        <v>163</v>
      </c>
    </row>
    <row r="1175" spans="19:22" x14ac:dyDescent="0.45">
      <c r="S1175" t="s">
        <v>229</v>
      </c>
      <c r="T1175" t="s">
        <v>169</v>
      </c>
      <c r="U1175">
        <v>1.5213935404065088E-2</v>
      </c>
      <c r="V1175" t="s">
        <v>163</v>
      </c>
    </row>
    <row r="1176" spans="19:22" x14ac:dyDescent="0.45">
      <c r="S1176" t="s">
        <v>229</v>
      </c>
      <c r="T1176" t="s">
        <v>170</v>
      </c>
      <c r="U1176">
        <v>7.5257178440468926E-3</v>
      </c>
      <c r="V1176" t="s">
        <v>163</v>
      </c>
    </row>
    <row r="1177" spans="19:22" x14ac:dyDescent="0.45">
      <c r="S1177" t="s">
        <v>229</v>
      </c>
      <c r="T1177" t="s">
        <v>171</v>
      </c>
      <c r="U1177">
        <v>1.4204959590925581E-2</v>
      </c>
      <c r="V1177" t="s">
        <v>163</v>
      </c>
    </row>
    <row r="1178" spans="19:22" x14ac:dyDescent="0.45">
      <c r="S1178" t="s">
        <v>229</v>
      </c>
      <c r="T1178" t="s">
        <v>262</v>
      </c>
      <c r="U1178">
        <v>2.8939148618154632E-3</v>
      </c>
      <c r="V1178" t="s">
        <v>163</v>
      </c>
    </row>
    <row r="1179" spans="19:22" x14ac:dyDescent="0.45">
      <c r="S1179" t="s">
        <v>229</v>
      </c>
      <c r="T1179" t="s">
        <v>263</v>
      </c>
      <c r="U1179">
        <v>2.9640157999508907E-3</v>
      </c>
      <c r="V1179" t="s">
        <v>163</v>
      </c>
    </row>
    <row r="1180" spans="19:22" x14ac:dyDescent="0.45">
      <c r="S1180" t="s">
        <v>229</v>
      </c>
      <c r="T1180" t="s">
        <v>264</v>
      </c>
      <c r="U1180">
        <v>1.479445350442825E-2</v>
      </c>
      <c r="V1180" t="s">
        <v>163</v>
      </c>
    </row>
    <row r="1181" spans="19:22" x14ac:dyDescent="0.45">
      <c r="S1181" t="s">
        <v>229</v>
      </c>
      <c r="T1181" t="s">
        <v>172</v>
      </c>
      <c r="U1181">
        <v>5.0436702210071092E-2</v>
      </c>
      <c r="V1181" t="s">
        <v>163</v>
      </c>
    </row>
    <row r="1182" spans="19:22" x14ac:dyDescent="0.45">
      <c r="S1182" t="s">
        <v>229</v>
      </c>
      <c r="T1182" t="s">
        <v>173</v>
      </c>
      <c r="U1182">
        <v>2.7951551223525758E-2</v>
      </c>
      <c r="V1182" t="s">
        <v>163</v>
      </c>
    </row>
    <row r="1183" spans="19:22" x14ac:dyDescent="0.45">
      <c r="S1183" t="s">
        <v>229</v>
      </c>
      <c r="T1183" t="s">
        <v>174</v>
      </c>
      <c r="U1183">
        <v>3.8474177270510182E-2</v>
      </c>
      <c r="V1183" t="s">
        <v>163</v>
      </c>
    </row>
    <row r="1184" spans="19:22" x14ac:dyDescent="0.45">
      <c r="S1184" t="s">
        <v>229</v>
      </c>
      <c r="T1184" t="s">
        <v>265</v>
      </c>
      <c r="U1184">
        <v>6.3799969766751511E-3</v>
      </c>
      <c r="V1184" t="s">
        <v>163</v>
      </c>
    </row>
    <row r="1185" spans="19:22" x14ac:dyDescent="0.45">
      <c r="S1185" t="s">
        <v>229</v>
      </c>
      <c r="T1185" t="s">
        <v>266</v>
      </c>
      <c r="U1185">
        <v>6.6152080524219149E-3</v>
      </c>
      <c r="V1185" t="s">
        <v>163</v>
      </c>
    </row>
    <row r="1186" spans="19:22" x14ac:dyDescent="0.45">
      <c r="S1186" t="s">
        <v>229</v>
      </c>
      <c r="T1186" t="s">
        <v>267</v>
      </c>
      <c r="U1186">
        <v>3.4762383593384669E-2</v>
      </c>
      <c r="V1186" t="s">
        <v>163</v>
      </c>
    </row>
    <row r="1187" spans="19:22" x14ac:dyDescent="0.45">
      <c r="S1187" t="s">
        <v>229</v>
      </c>
      <c r="T1187" t="s">
        <v>268</v>
      </c>
      <c r="U1187">
        <v>2.7500207903589077E-2</v>
      </c>
      <c r="V1187" t="s">
        <v>163</v>
      </c>
    </row>
    <row r="1188" spans="19:22" x14ac:dyDescent="0.45">
      <c r="S1188" t="s">
        <v>229</v>
      </c>
      <c r="T1188" t="s">
        <v>269</v>
      </c>
      <c r="U1188">
        <v>1.450166952338342E-2</v>
      </c>
      <c r="V1188" t="s">
        <v>163</v>
      </c>
    </row>
    <row r="1189" spans="19:22" x14ac:dyDescent="0.45">
      <c r="S1189" t="s">
        <v>229</v>
      </c>
      <c r="T1189" t="s">
        <v>270</v>
      </c>
      <c r="U1189">
        <v>2.1737363073524266E-2</v>
      </c>
      <c r="V1189" t="s">
        <v>163</v>
      </c>
    </row>
    <row r="1190" spans="19:22" x14ac:dyDescent="0.45">
      <c r="S1190" t="s">
        <v>229</v>
      </c>
      <c r="T1190" t="s">
        <v>271</v>
      </c>
      <c r="U1190">
        <v>3.6263760265673743E-3</v>
      </c>
      <c r="V1190" t="s">
        <v>163</v>
      </c>
    </row>
    <row r="1191" spans="19:22" x14ac:dyDescent="0.45">
      <c r="S1191" t="s">
        <v>229</v>
      </c>
      <c r="T1191" t="s">
        <v>272</v>
      </c>
      <c r="U1191">
        <v>3.704593458630597E-3</v>
      </c>
      <c r="V1191" t="s">
        <v>163</v>
      </c>
    </row>
    <row r="1192" spans="19:22" x14ac:dyDescent="0.45">
      <c r="S1192" t="s">
        <v>229</v>
      </c>
      <c r="T1192" t="s">
        <v>273</v>
      </c>
      <c r="U1192">
        <v>1.9481327920363525E-2</v>
      </c>
      <c r="V1192" t="s">
        <v>163</v>
      </c>
    </row>
    <row r="1193" spans="19:22" x14ac:dyDescent="0.45">
      <c r="S1193" t="s">
        <v>229</v>
      </c>
      <c r="T1193" t="s">
        <v>274</v>
      </c>
      <c r="U1193">
        <v>8.3009389041046377E-2</v>
      </c>
      <c r="V1193" t="s">
        <v>163</v>
      </c>
    </row>
    <row r="1194" spans="19:22" x14ac:dyDescent="0.45">
      <c r="S1194" t="s">
        <v>229</v>
      </c>
      <c r="T1194" t="s">
        <v>275</v>
      </c>
      <c r="U1194">
        <v>4.3469026409882879E-2</v>
      </c>
      <c r="V1194" t="s">
        <v>163</v>
      </c>
    </row>
    <row r="1195" spans="19:22" x14ac:dyDescent="0.45">
      <c r="S1195" t="s">
        <v>229</v>
      </c>
      <c r="T1195" t="s">
        <v>276</v>
      </c>
      <c r="U1195">
        <v>6.0971319762754821E-2</v>
      </c>
      <c r="V1195" t="s">
        <v>163</v>
      </c>
    </row>
    <row r="1196" spans="19:22" x14ac:dyDescent="0.45">
      <c r="S1196" t="s">
        <v>229</v>
      </c>
      <c r="T1196" t="s">
        <v>277</v>
      </c>
      <c r="U1196">
        <v>1.0787207013965976E-2</v>
      </c>
      <c r="V1196" t="s">
        <v>163</v>
      </c>
    </row>
    <row r="1197" spans="19:22" x14ac:dyDescent="0.45">
      <c r="S1197" t="s">
        <v>229</v>
      </c>
      <c r="T1197" t="s">
        <v>278</v>
      </c>
      <c r="U1197">
        <v>1.1117551240810921E-2</v>
      </c>
      <c r="V1197" t="s">
        <v>163</v>
      </c>
    </row>
    <row r="1198" spans="19:22" x14ac:dyDescent="0.45">
      <c r="S1198" t="s">
        <v>229</v>
      </c>
      <c r="T1198" t="s">
        <v>279</v>
      </c>
      <c r="U1198">
        <v>5.811099553369186E-2</v>
      </c>
      <c r="V1198" t="s">
        <v>163</v>
      </c>
    </row>
    <row r="1199" spans="19:22" x14ac:dyDescent="0.45">
      <c r="S1199" t="s">
        <v>229</v>
      </c>
      <c r="T1199" t="s">
        <v>280</v>
      </c>
      <c r="U1199">
        <v>3.0672605226850485E-2</v>
      </c>
      <c r="V1199" t="s">
        <v>163</v>
      </c>
    </row>
    <row r="1200" spans="19:22" x14ac:dyDescent="0.45">
      <c r="S1200" t="s">
        <v>229</v>
      </c>
      <c r="T1200" t="s">
        <v>281</v>
      </c>
      <c r="U1200">
        <v>1.5257544163226805E-2</v>
      </c>
      <c r="V1200" t="s">
        <v>163</v>
      </c>
    </row>
    <row r="1201" spans="19:22" x14ac:dyDescent="0.45">
      <c r="S1201" t="s">
        <v>229</v>
      </c>
      <c r="T1201" t="s">
        <v>282</v>
      </c>
      <c r="U1201">
        <v>2.6332022926602014E-2</v>
      </c>
      <c r="V1201" t="s">
        <v>163</v>
      </c>
    </row>
    <row r="1202" spans="19:22" x14ac:dyDescent="0.45">
      <c r="S1202" t="s">
        <v>229</v>
      </c>
      <c r="T1202" t="s">
        <v>283</v>
      </c>
      <c r="U1202">
        <v>4.8944468850103647E-3</v>
      </c>
      <c r="V1202" t="s">
        <v>163</v>
      </c>
    </row>
    <row r="1203" spans="19:22" x14ac:dyDescent="0.45">
      <c r="S1203" t="s">
        <v>229</v>
      </c>
      <c r="T1203" t="s">
        <v>284</v>
      </c>
      <c r="U1203">
        <v>5.0339375786448972E-3</v>
      </c>
      <c r="V1203" t="s">
        <v>163</v>
      </c>
    </row>
    <row r="1204" spans="19:22" x14ac:dyDescent="0.45">
      <c r="S1204" t="s">
        <v>229</v>
      </c>
      <c r="T1204" t="s">
        <v>285</v>
      </c>
      <c r="U1204">
        <v>2.6122996287298254E-2</v>
      </c>
      <c r="V1204" t="s">
        <v>163</v>
      </c>
    </row>
    <row r="1205" spans="19:22" x14ac:dyDescent="0.45">
      <c r="S1205" t="s">
        <v>229</v>
      </c>
      <c r="T1205" t="s">
        <v>286</v>
      </c>
      <c r="U1205">
        <v>4.1790452286898573E-2</v>
      </c>
      <c r="V1205" t="s">
        <v>163</v>
      </c>
    </row>
    <row r="1206" spans="19:22" x14ac:dyDescent="0.45">
      <c r="S1206" t="s">
        <v>229</v>
      </c>
      <c r="T1206" t="s">
        <v>287</v>
      </c>
      <c r="U1206">
        <v>2.2462321290713232E-2</v>
      </c>
      <c r="V1206" t="s">
        <v>163</v>
      </c>
    </row>
    <row r="1207" spans="19:22" x14ac:dyDescent="0.45">
      <c r="S1207" t="s">
        <v>229</v>
      </c>
      <c r="T1207" t="s">
        <v>288</v>
      </c>
      <c r="U1207">
        <v>3.506381363506586E-2</v>
      </c>
      <c r="V1207" t="s">
        <v>163</v>
      </c>
    </row>
    <row r="1208" spans="19:22" x14ac:dyDescent="0.45">
      <c r="S1208" t="s">
        <v>229</v>
      </c>
      <c r="T1208" t="s">
        <v>289</v>
      </c>
      <c r="U1208">
        <v>5.9214600529898772E-3</v>
      </c>
      <c r="V1208" t="s">
        <v>163</v>
      </c>
    </row>
    <row r="1209" spans="19:22" x14ac:dyDescent="0.45">
      <c r="S1209" t="s">
        <v>229</v>
      </c>
      <c r="T1209" t="s">
        <v>290</v>
      </c>
      <c r="U1209">
        <v>6.0083064653814397E-3</v>
      </c>
      <c r="V1209" t="s">
        <v>163</v>
      </c>
    </row>
    <row r="1210" spans="19:22" x14ac:dyDescent="0.45">
      <c r="S1210" t="s">
        <v>229</v>
      </c>
      <c r="T1210" t="s">
        <v>291</v>
      </c>
      <c r="U1210">
        <v>3.0944999227942718E-2</v>
      </c>
      <c r="V1210" t="s">
        <v>163</v>
      </c>
    </row>
    <row r="1211" spans="19:22" x14ac:dyDescent="0.45">
      <c r="S1211" t="s">
        <v>230</v>
      </c>
      <c r="T1211" t="s">
        <v>162</v>
      </c>
      <c r="U1211">
        <v>2.6895554016757552E-2</v>
      </c>
      <c r="V1211" t="s">
        <v>163</v>
      </c>
    </row>
    <row r="1212" spans="19:22" x14ac:dyDescent="0.45">
      <c r="S1212" t="s">
        <v>230</v>
      </c>
      <c r="T1212" t="s">
        <v>164</v>
      </c>
      <c r="U1212">
        <v>1.4232863628264239E-2</v>
      </c>
      <c r="V1212" t="s">
        <v>163</v>
      </c>
    </row>
    <row r="1213" spans="19:22" x14ac:dyDescent="0.45">
      <c r="S1213" t="s">
        <v>230</v>
      </c>
      <c r="T1213" t="s">
        <v>165</v>
      </c>
      <c r="U1213">
        <v>2.531991992134526E-2</v>
      </c>
      <c r="V1213" t="s">
        <v>163</v>
      </c>
    </row>
    <row r="1214" spans="19:22" x14ac:dyDescent="0.45">
      <c r="S1214" t="s">
        <v>230</v>
      </c>
      <c r="T1214" t="s">
        <v>256</v>
      </c>
      <c r="U1214">
        <v>5.1505580673775631E-3</v>
      </c>
      <c r="V1214" t="s">
        <v>163</v>
      </c>
    </row>
    <row r="1215" spans="19:22" x14ac:dyDescent="0.45">
      <c r="S1215" t="s">
        <v>230</v>
      </c>
      <c r="T1215" t="s">
        <v>257</v>
      </c>
      <c r="U1215">
        <v>5.2016086007842461E-3</v>
      </c>
      <c r="V1215" t="s">
        <v>163</v>
      </c>
    </row>
    <row r="1216" spans="19:22" x14ac:dyDescent="0.45">
      <c r="S1216" t="s">
        <v>230</v>
      </c>
      <c r="T1216" t="s">
        <v>258</v>
      </c>
      <c r="U1216">
        <v>2.3730688751387286E-2</v>
      </c>
      <c r="V1216" t="s">
        <v>163</v>
      </c>
    </row>
    <row r="1217" spans="19:22" x14ac:dyDescent="0.45">
      <c r="S1217" t="s">
        <v>230</v>
      </c>
      <c r="T1217" t="s">
        <v>166</v>
      </c>
      <c r="U1217">
        <v>1.6247150158790084E-2</v>
      </c>
      <c r="V1217" t="s">
        <v>163</v>
      </c>
    </row>
    <row r="1218" spans="19:22" x14ac:dyDescent="0.45">
      <c r="S1218" t="s">
        <v>230</v>
      </c>
      <c r="T1218" t="s">
        <v>167</v>
      </c>
      <c r="U1218">
        <v>8.135465954668842E-3</v>
      </c>
      <c r="V1218" t="s">
        <v>163</v>
      </c>
    </row>
    <row r="1219" spans="19:22" x14ac:dyDescent="0.45">
      <c r="S1219" t="s">
        <v>230</v>
      </c>
      <c r="T1219" t="s">
        <v>168</v>
      </c>
      <c r="U1219">
        <v>1.6388294825545727E-2</v>
      </c>
      <c r="V1219" t="s">
        <v>163</v>
      </c>
    </row>
    <row r="1220" spans="19:22" x14ac:dyDescent="0.45">
      <c r="S1220" t="s">
        <v>230</v>
      </c>
      <c r="T1220" t="s">
        <v>259</v>
      </c>
      <c r="U1220">
        <v>3.2660451524068471E-3</v>
      </c>
      <c r="V1220" t="s">
        <v>163</v>
      </c>
    </row>
    <row r="1221" spans="19:22" x14ac:dyDescent="0.45">
      <c r="S1221" t="s">
        <v>230</v>
      </c>
      <c r="T1221" t="s">
        <v>260</v>
      </c>
      <c r="U1221">
        <v>3.2641557141727161E-3</v>
      </c>
      <c r="V1221" t="s">
        <v>163</v>
      </c>
    </row>
    <row r="1222" spans="19:22" x14ac:dyDescent="0.45">
      <c r="S1222" t="s">
        <v>230</v>
      </c>
      <c r="T1222" t="s">
        <v>261</v>
      </c>
      <c r="U1222">
        <v>1.518572202125539E-2</v>
      </c>
      <c r="V1222" t="s">
        <v>163</v>
      </c>
    </row>
    <row r="1223" spans="19:22" x14ac:dyDescent="0.45">
      <c r="S1223" t="s">
        <v>230</v>
      </c>
      <c r="T1223" t="s">
        <v>169</v>
      </c>
      <c r="U1223">
        <v>1.2624577668407648E-2</v>
      </c>
      <c r="V1223" t="s">
        <v>163</v>
      </c>
    </row>
    <row r="1224" spans="19:22" x14ac:dyDescent="0.45">
      <c r="S1224" t="s">
        <v>230</v>
      </c>
      <c r="T1224" t="s">
        <v>170</v>
      </c>
      <c r="U1224">
        <v>7.8374099863333137E-3</v>
      </c>
      <c r="V1224" t="s">
        <v>163</v>
      </c>
    </row>
    <row r="1225" spans="19:22" x14ac:dyDescent="0.45">
      <c r="S1225" t="s">
        <v>230</v>
      </c>
      <c r="T1225" t="s">
        <v>171</v>
      </c>
      <c r="U1225">
        <v>1.5068355144189555E-2</v>
      </c>
      <c r="V1225" t="s">
        <v>163</v>
      </c>
    </row>
    <row r="1226" spans="19:22" x14ac:dyDescent="0.45">
      <c r="S1226" t="s">
        <v>230</v>
      </c>
      <c r="T1226" t="s">
        <v>262</v>
      </c>
      <c r="U1226">
        <v>3.094022010039887E-3</v>
      </c>
      <c r="V1226" t="s">
        <v>163</v>
      </c>
    </row>
    <row r="1227" spans="19:22" x14ac:dyDescent="0.45">
      <c r="S1227" t="s">
        <v>230</v>
      </c>
      <c r="T1227" t="s">
        <v>263</v>
      </c>
      <c r="U1227">
        <v>3.3143144433662609E-3</v>
      </c>
      <c r="V1227" t="s">
        <v>163</v>
      </c>
    </row>
    <row r="1228" spans="19:22" x14ac:dyDescent="0.45">
      <c r="S1228" t="s">
        <v>230</v>
      </c>
      <c r="T1228" t="s">
        <v>264</v>
      </c>
      <c r="U1228">
        <v>1.5888081242753923E-2</v>
      </c>
      <c r="V1228" t="s">
        <v>163</v>
      </c>
    </row>
    <row r="1229" spans="19:22" x14ac:dyDescent="0.45">
      <c r="S1229" t="s">
        <v>230</v>
      </c>
      <c r="T1229" t="s">
        <v>172</v>
      </c>
      <c r="U1229">
        <v>5.2783719198087158E-2</v>
      </c>
      <c r="V1229" t="s">
        <v>163</v>
      </c>
    </row>
    <row r="1230" spans="19:22" x14ac:dyDescent="0.45">
      <c r="S1230" t="s">
        <v>230</v>
      </c>
      <c r="T1230" t="s">
        <v>173</v>
      </c>
      <c r="U1230">
        <v>2.6590565178669048E-2</v>
      </c>
      <c r="V1230" t="s">
        <v>163</v>
      </c>
    </row>
    <row r="1231" spans="19:22" x14ac:dyDescent="0.45">
      <c r="S1231" t="s">
        <v>230</v>
      </c>
      <c r="T1231" t="s">
        <v>174</v>
      </c>
      <c r="U1231">
        <v>3.7552980075654545E-2</v>
      </c>
      <c r="V1231" t="s">
        <v>163</v>
      </c>
    </row>
    <row r="1232" spans="19:22" x14ac:dyDescent="0.45">
      <c r="S1232" t="s">
        <v>230</v>
      </c>
      <c r="T1232" t="s">
        <v>265</v>
      </c>
      <c r="U1232">
        <v>6.8807516497120498E-3</v>
      </c>
      <c r="V1232" t="s">
        <v>163</v>
      </c>
    </row>
    <row r="1233" spans="19:22" x14ac:dyDescent="0.45">
      <c r="S1233" t="s">
        <v>230</v>
      </c>
      <c r="T1233" t="s">
        <v>266</v>
      </c>
      <c r="U1233">
        <v>7.006774329154722E-3</v>
      </c>
      <c r="V1233" t="s">
        <v>163</v>
      </c>
    </row>
    <row r="1234" spans="19:22" x14ac:dyDescent="0.45">
      <c r="S1234" t="s">
        <v>230</v>
      </c>
      <c r="T1234" t="s">
        <v>267</v>
      </c>
      <c r="U1234">
        <v>3.6133853800683333E-2</v>
      </c>
      <c r="V1234" t="s">
        <v>163</v>
      </c>
    </row>
    <row r="1235" spans="19:22" x14ac:dyDescent="0.45">
      <c r="S1235" t="s">
        <v>230</v>
      </c>
      <c r="T1235" t="s">
        <v>268</v>
      </c>
      <c r="U1235">
        <v>2.5587776246267905E-2</v>
      </c>
      <c r="V1235" t="s">
        <v>163</v>
      </c>
    </row>
    <row r="1236" spans="19:22" x14ac:dyDescent="0.45">
      <c r="S1236" t="s">
        <v>230</v>
      </c>
      <c r="T1236" t="s">
        <v>269</v>
      </c>
      <c r="U1236">
        <v>1.426876232778561E-2</v>
      </c>
      <c r="V1236" t="s">
        <v>163</v>
      </c>
    </row>
    <row r="1237" spans="19:22" x14ac:dyDescent="0.45">
      <c r="S1237" t="s">
        <v>230</v>
      </c>
      <c r="T1237" t="s">
        <v>270</v>
      </c>
      <c r="U1237">
        <v>2.2534427083970972E-2</v>
      </c>
      <c r="V1237" t="s">
        <v>163</v>
      </c>
    </row>
    <row r="1238" spans="19:22" x14ac:dyDescent="0.45">
      <c r="S1238" t="s">
        <v>230</v>
      </c>
      <c r="T1238" t="s">
        <v>271</v>
      </c>
      <c r="U1238">
        <v>3.9641345930332703E-3</v>
      </c>
      <c r="V1238" t="s">
        <v>163</v>
      </c>
    </row>
    <row r="1239" spans="19:22" x14ac:dyDescent="0.45">
      <c r="S1239" t="s">
        <v>230</v>
      </c>
      <c r="T1239" t="s">
        <v>272</v>
      </c>
      <c r="U1239">
        <v>3.998113487977583E-3</v>
      </c>
      <c r="V1239" t="s">
        <v>163</v>
      </c>
    </row>
    <row r="1240" spans="19:22" x14ac:dyDescent="0.45">
      <c r="S1240" t="s">
        <v>230</v>
      </c>
      <c r="T1240" t="s">
        <v>273</v>
      </c>
      <c r="U1240">
        <v>1.946949602285836E-2</v>
      </c>
      <c r="V1240" t="s">
        <v>163</v>
      </c>
    </row>
    <row r="1241" spans="19:22" x14ac:dyDescent="0.45">
      <c r="S1241" t="s">
        <v>230</v>
      </c>
      <c r="T1241" t="s">
        <v>274</v>
      </c>
      <c r="U1241">
        <v>8.2274854976525147E-2</v>
      </c>
      <c r="V1241" t="s">
        <v>163</v>
      </c>
    </row>
    <row r="1242" spans="19:22" x14ac:dyDescent="0.45">
      <c r="S1242" t="s">
        <v>230</v>
      </c>
      <c r="T1242" t="s">
        <v>275</v>
      </c>
      <c r="U1242">
        <v>3.9749641376974218E-2</v>
      </c>
      <c r="V1242" t="s">
        <v>163</v>
      </c>
    </row>
    <row r="1243" spans="19:22" x14ac:dyDescent="0.45">
      <c r="S1243" t="s">
        <v>230</v>
      </c>
      <c r="T1243" t="s">
        <v>276</v>
      </c>
      <c r="U1243">
        <v>6.1210788476002191E-2</v>
      </c>
      <c r="V1243" t="s">
        <v>163</v>
      </c>
    </row>
    <row r="1244" spans="19:22" x14ac:dyDescent="0.45">
      <c r="S1244" t="s">
        <v>230</v>
      </c>
      <c r="T1244" t="s">
        <v>277</v>
      </c>
      <c r="U1244">
        <v>1.1448432484874435E-2</v>
      </c>
      <c r="V1244" t="s">
        <v>163</v>
      </c>
    </row>
    <row r="1245" spans="19:22" x14ac:dyDescent="0.45">
      <c r="S1245" t="s">
        <v>230</v>
      </c>
      <c r="T1245" t="s">
        <v>278</v>
      </c>
      <c r="U1245">
        <v>1.1891689543328098E-2</v>
      </c>
      <c r="V1245" t="s">
        <v>163</v>
      </c>
    </row>
    <row r="1246" spans="19:22" x14ac:dyDescent="0.45">
      <c r="S1246" t="s">
        <v>230</v>
      </c>
      <c r="T1246" t="s">
        <v>279</v>
      </c>
      <c r="U1246">
        <v>6.167506767842032E-2</v>
      </c>
      <c r="V1246" t="s">
        <v>163</v>
      </c>
    </row>
    <row r="1247" spans="19:22" x14ac:dyDescent="0.45">
      <c r="S1247" t="s">
        <v>230</v>
      </c>
      <c r="T1247" t="s">
        <v>280</v>
      </c>
      <c r="U1247">
        <v>3.1173364333589741E-2</v>
      </c>
      <c r="V1247" t="s">
        <v>163</v>
      </c>
    </row>
    <row r="1248" spans="19:22" x14ac:dyDescent="0.45">
      <c r="S1248" t="s">
        <v>230</v>
      </c>
      <c r="T1248" t="s">
        <v>281</v>
      </c>
      <c r="U1248">
        <v>1.721291726661707E-2</v>
      </c>
      <c r="V1248" t="s">
        <v>163</v>
      </c>
    </row>
    <row r="1249" spans="19:22" x14ac:dyDescent="0.45">
      <c r="S1249" t="s">
        <v>230</v>
      </c>
      <c r="T1249" t="s">
        <v>282</v>
      </c>
      <c r="U1249">
        <v>2.5793729462523743E-2</v>
      </c>
      <c r="V1249" t="s">
        <v>163</v>
      </c>
    </row>
    <row r="1250" spans="19:22" x14ac:dyDescent="0.45">
      <c r="S1250" t="s">
        <v>230</v>
      </c>
      <c r="T1250" t="s">
        <v>283</v>
      </c>
      <c r="U1250">
        <v>4.6521026844416301E-3</v>
      </c>
      <c r="V1250" t="s">
        <v>163</v>
      </c>
    </row>
    <row r="1251" spans="19:22" x14ac:dyDescent="0.45">
      <c r="S1251" t="s">
        <v>230</v>
      </c>
      <c r="T1251" t="s">
        <v>284</v>
      </c>
      <c r="U1251">
        <v>4.7419320489958177E-3</v>
      </c>
      <c r="V1251" t="s">
        <v>163</v>
      </c>
    </row>
    <row r="1252" spans="19:22" x14ac:dyDescent="0.45">
      <c r="S1252" t="s">
        <v>230</v>
      </c>
      <c r="T1252" t="s">
        <v>285</v>
      </c>
      <c r="U1252">
        <v>2.6034677595789462E-2</v>
      </c>
      <c r="V1252" t="s">
        <v>163</v>
      </c>
    </row>
    <row r="1253" spans="19:22" x14ac:dyDescent="0.45">
      <c r="S1253" t="s">
        <v>230</v>
      </c>
      <c r="T1253" t="s">
        <v>286</v>
      </c>
      <c r="U1253">
        <v>4.0710779445219267E-2</v>
      </c>
      <c r="V1253" t="s">
        <v>163</v>
      </c>
    </row>
    <row r="1254" spans="19:22" x14ac:dyDescent="0.45">
      <c r="S1254" t="s">
        <v>230</v>
      </c>
      <c r="T1254" t="s">
        <v>287</v>
      </c>
      <c r="U1254">
        <v>1.984614389572438E-2</v>
      </c>
      <c r="V1254" t="s">
        <v>163</v>
      </c>
    </row>
    <row r="1255" spans="19:22" x14ac:dyDescent="0.45">
      <c r="S1255" t="s">
        <v>230</v>
      </c>
      <c r="T1255" t="s">
        <v>288</v>
      </c>
      <c r="U1255">
        <v>3.5546852578224014E-2</v>
      </c>
      <c r="V1255" t="s">
        <v>163</v>
      </c>
    </row>
    <row r="1256" spans="19:22" x14ac:dyDescent="0.45">
      <c r="S1256" t="s">
        <v>230</v>
      </c>
      <c r="T1256" t="s">
        <v>289</v>
      </c>
      <c r="U1256">
        <v>7.0931115870888212E-3</v>
      </c>
      <c r="V1256" t="s">
        <v>163</v>
      </c>
    </row>
    <row r="1257" spans="19:22" x14ac:dyDescent="0.45">
      <c r="S1257" t="s">
        <v>230</v>
      </c>
      <c r="T1257" t="s">
        <v>290</v>
      </c>
      <c r="U1257">
        <v>7.1250234959413031E-3</v>
      </c>
      <c r="V1257" t="s">
        <v>163</v>
      </c>
    </row>
    <row r="1258" spans="19:22" x14ac:dyDescent="0.45">
      <c r="S1258" t="s">
        <v>230</v>
      </c>
      <c r="T1258" t="s">
        <v>291</v>
      </c>
      <c r="U1258">
        <v>3.4202749768021151E-2</v>
      </c>
      <c r="V1258" t="s">
        <v>163</v>
      </c>
    </row>
    <row r="1259" spans="19:22" x14ac:dyDescent="0.45">
      <c r="S1259" t="s">
        <v>231</v>
      </c>
      <c r="T1259" t="s">
        <v>162</v>
      </c>
      <c r="U1259">
        <v>2.5544284166427119E-2</v>
      </c>
      <c r="V1259" t="s">
        <v>163</v>
      </c>
    </row>
    <row r="1260" spans="19:22" x14ac:dyDescent="0.45">
      <c r="S1260" t="s">
        <v>231</v>
      </c>
      <c r="T1260" t="s">
        <v>164</v>
      </c>
      <c r="U1260">
        <v>1.3622610103050185E-2</v>
      </c>
      <c r="V1260" t="s">
        <v>163</v>
      </c>
    </row>
    <row r="1261" spans="19:22" x14ac:dyDescent="0.45">
      <c r="S1261" t="s">
        <v>231</v>
      </c>
      <c r="T1261" t="s">
        <v>165</v>
      </c>
      <c r="U1261">
        <v>2.4243886890902577E-2</v>
      </c>
      <c r="V1261" t="s">
        <v>163</v>
      </c>
    </row>
    <row r="1262" spans="19:22" x14ac:dyDescent="0.45">
      <c r="S1262" t="s">
        <v>231</v>
      </c>
      <c r="T1262" t="s">
        <v>256</v>
      </c>
      <c r="U1262">
        <v>4.0443074539002859E-3</v>
      </c>
      <c r="V1262" t="s">
        <v>163</v>
      </c>
    </row>
    <row r="1263" spans="19:22" x14ac:dyDescent="0.45">
      <c r="S1263" t="s">
        <v>231</v>
      </c>
      <c r="T1263" t="s">
        <v>257</v>
      </c>
      <c r="U1263">
        <v>3.9325688670072377E-3</v>
      </c>
      <c r="V1263" t="s">
        <v>163</v>
      </c>
    </row>
    <row r="1264" spans="19:22" x14ac:dyDescent="0.45">
      <c r="S1264" t="s">
        <v>231</v>
      </c>
      <c r="T1264" t="s">
        <v>258</v>
      </c>
      <c r="U1264">
        <v>1.8439464612514937E-2</v>
      </c>
      <c r="V1264" t="s">
        <v>163</v>
      </c>
    </row>
    <row r="1265" spans="19:22" x14ac:dyDescent="0.45">
      <c r="S1265" t="s">
        <v>231</v>
      </c>
      <c r="T1265" t="s">
        <v>166</v>
      </c>
      <c r="U1265">
        <v>1.7401877689071733E-2</v>
      </c>
      <c r="V1265" t="s">
        <v>163</v>
      </c>
    </row>
    <row r="1266" spans="19:22" x14ac:dyDescent="0.45">
      <c r="S1266" t="s">
        <v>231</v>
      </c>
      <c r="T1266" t="s">
        <v>167</v>
      </c>
      <c r="U1266">
        <v>9.9417664431613786E-3</v>
      </c>
      <c r="V1266" t="s">
        <v>163</v>
      </c>
    </row>
    <row r="1267" spans="19:22" x14ac:dyDescent="0.45">
      <c r="S1267" t="s">
        <v>231</v>
      </c>
      <c r="T1267" t="s">
        <v>168</v>
      </c>
      <c r="U1267">
        <v>1.7342472105542676E-2</v>
      </c>
      <c r="V1267" t="s">
        <v>163</v>
      </c>
    </row>
    <row r="1268" spans="19:22" x14ac:dyDescent="0.45">
      <c r="S1268" t="s">
        <v>231</v>
      </c>
      <c r="T1268" t="s">
        <v>259</v>
      </c>
      <c r="U1268">
        <v>2.956491237273979E-3</v>
      </c>
      <c r="V1268" t="s">
        <v>163</v>
      </c>
    </row>
    <row r="1269" spans="19:22" x14ac:dyDescent="0.45">
      <c r="S1269" t="s">
        <v>231</v>
      </c>
      <c r="T1269" t="s">
        <v>260</v>
      </c>
      <c r="U1269">
        <v>2.9074674881909342E-3</v>
      </c>
      <c r="V1269" t="s">
        <v>163</v>
      </c>
    </row>
    <row r="1270" spans="19:22" x14ac:dyDescent="0.45">
      <c r="S1270" t="s">
        <v>231</v>
      </c>
      <c r="T1270" t="s">
        <v>261</v>
      </c>
      <c r="U1270">
        <v>1.3340731945957002E-2</v>
      </c>
      <c r="V1270" t="s">
        <v>163</v>
      </c>
    </row>
    <row r="1271" spans="19:22" x14ac:dyDescent="0.45">
      <c r="S1271" t="s">
        <v>231</v>
      </c>
      <c r="T1271" t="s">
        <v>169</v>
      </c>
      <c r="U1271">
        <v>2.325190362172206E-2</v>
      </c>
      <c r="V1271" t="s">
        <v>163</v>
      </c>
    </row>
    <row r="1272" spans="19:22" x14ac:dyDescent="0.45">
      <c r="S1272" t="s">
        <v>231</v>
      </c>
      <c r="T1272" t="s">
        <v>170</v>
      </c>
      <c r="U1272">
        <v>1.1484430482183706E-2</v>
      </c>
      <c r="V1272" t="s">
        <v>163</v>
      </c>
    </row>
    <row r="1273" spans="19:22" x14ac:dyDescent="0.45">
      <c r="S1273" t="s">
        <v>231</v>
      </c>
      <c r="T1273" t="s">
        <v>171</v>
      </c>
      <c r="U1273">
        <v>1.8669713460149923E-2</v>
      </c>
      <c r="V1273" t="s">
        <v>163</v>
      </c>
    </row>
    <row r="1274" spans="19:22" x14ac:dyDescent="0.45">
      <c r="S1274" t="s">
        <v>231</v>
      </c>
      <c r="T1274" t="s">
        <v>262</v>
      </c>
      <c r="U1274">
        <v>3.3284392242531944E-3</v>
      </c>
      <c r="V1274" t="s">
        <v>163</v>
      </c>
    </row>
    <row r="1275" spans="19:22" x14ac:dyDescent="0.45">
      <c r="S1275" t="s">
        <v>231</v>
      </c>
      <c r="T1275" t="s">
        <v>263</v>
      </c>
      <c r="U1275">
        <v>3.3875678046708731E-3</v>
      </c>
      <c r="V1275" t="s">
        <v>163</v>
      </c>
    </row>
    <row r="1276" spans="19:22" x14ac:dyDescent="0.45">
      <c r="S1276" t="s">
        <v>231</v>
      </c>
      <c r="T1276" t="s">
        <v>264</v>
      </c>
      <c r="U1276">
        <v>1.7252267071134576E-2</v>
      </c>
      <c r="V1276" t="s">
        <v>163</v>
      </c>
    </row>
    <row r="1277" spans="19:22" x14ac:dyDescent="0.45">
      <c r="S1277" t="s">
        <v>231</v>
      </c>
      <c r="T1277" t="s">
        <v>172</v>
      </c>
      <c r="U1277">
        <v>4.7255648297344077E-2</v>
      </c>
      <c r="V1277" t="s">
        <v>163</v>
      </c>
    </row>
    <row r="1278" spans="19:22" x14ac:dyDescent="0.45">
      <c r="S1278" t="s">
        <v>231</v>
      </c>
      <c r="T1278" t="s">
        <v>173</v>
      </c>
      <c r="U1278">
        <v>2.5433908972427699E-2</v>
      </c>
      <c r="V1278" t="s">
        <v>163</v>
      </c>
    </row>
    <row r="1279" spans="19:22" x14ac:dyDescent="0.45">
      <c r="S1279" t="s">
        <v>231</v>
      </c>
      <c r="T1279" t="s">
        <v>174</v>
      </c>
      <c r="U1279">
        <v>4.2105908191358357E-2</v>
      </c>
      <c r="V1279" t="s">
        <v>163</v>
      </c>
    </row>
    <row r="1280" spans="19:22" x14ac:dyDescent="0.45">
      <c r="S1280" t="s">
        <v>231</v>
      </c>
      <c r="T1280" t="s">
        <v>265</v>
      </c>
      <c r="U1280">
        <v>6.9473131213359483E-3</v>
      </c>
      <c r="V1280" t="s">
        <v>163</v>
      </c>
    </row>
    <row r="1281" spans="19:22" x14ac:dyDescent="0.45">
      <c r="S1281" t="s">
        <v>231</v>
      </c>
      <c r="T1281" t="s">
        <v>266</v>
      </c>
      <c r="U1281">
        <v>6.7394399697999798E-3</v>
      </c>
      <c r="V1281" t="s">
        <v>163</v>
      </c>
    </row>
    <row r="1282" spans="19:22" x14ac:dyDescent="0.45">
      <c r="S1282" t="s">
        <v>231</v>
      </c>
      <c r="T1282" t="s">
        <v>267</v>
      </c>
      <c r="U1282">
        <v>3.2256683290557087E-2</v>
      </c>
      <c r="V1282" t="s">
        <v>163</v>
      </c>
    </row>
    <row r="1283" spans="19:22" x14ac:dyDescent="0.45">
      <c r="S1283" t="s">
        <v>231</v>
      </c>
      <c r="T1283" t="s">
        <v>268</v>
      </c>
      <c r="U1283">
        <v>2.4341365072714085E-2</v>
      </c>
      <c r="V1283" t="s">
        <v>163</v>
      </c>
    </row>
    <row r="1284" spans="19:22" x14ac:dyDescent="0.45">
      <c r="S1284" t="s">
        <v>231</v>
      </c>
      <c r="T1284" t="s">
        <v>269</v>
      </c>
      <c r="U1284">
        <v>1.4270110249965081E-2</v>
      </c>
      <c r="V1284" t="s">
        <v>163</v>
      </c>
    </row>
    <row r="1285" spans="19:22" x14ac:dyDescent="0.45">
      <c r="S1285" t="s">
        <v>231</v>
      </c>
      <c r="T1285" t="s">
        <v>270</v>
      </c>
      <c r="U1285">
        <v>2.2554535635991066E-2</v>
      </c>
      <c r="V1285" t="s">
        <v>163</v>
      </c>
    </row>
    <row r="1286" spans="19:22" x14ac:dyDescent="0.45">
      <c r="S1286" t="s">
        <v>231</v>
      </c>
      <c r="T1286" t="s">
        <v>271</v>
      </c>
      <c r="U1286">
        <v>3.5725209969454342E-3</v>
      </c>
      <c r="V1286" t="s">
        <v>163</v>
      </c>
    </row>
    <row r="1287" spans="19:22" x14ac:dyDescent="0.45">
      <c r="S1287" t="s">
        <v>231</v>
      </c>
      <c r="T1287" t="s">
        <v>272</v>
      </c>
      <c r="U1287">
        <v>3.4785618956399067E-3</v>
      </c>
      <c r="V1287" t="s">
        <v>163</v>
      </c>
    </row>
    <row r="1288" spans="19:22" x14ac:dyDescent="0.45">
      <c r="S1288" t="s">
        <v>231</v>
      </c>
      <c r="T1288" t="s">
        <v>273</v>
      </c>
      <c r="U1288">
        <v>1.6401871955115423E-2</v>
      </c>
      <c r="V1288" t="s">
        <v>163</v>
      </c>
    </row>
    <row r="1289" spans="19:22" x14ac:dyDescent="0.45">
      <c r="S1289" t="s">
        <v>231</v>
      </c>
      <c r="T1289" t="s">
        <v>274</v>
      </c>
      <c r="U1289">
        <v>7.8766208390937481E-2</v>
      </c>
      <c r="V1289" t="s">
        <v>163</v>
      </c>
    </row>
    <row r="1290" spans="19:22" x14ac:dyDescent="0.45">
      <c r="S1290" t="s">
        <v>231</v>
      </c>
      <c r="T1290" t="s">
        <v>275</v>
      </c>
      <c r="U1290">
        <v>4.195333726803098E-2</v>
      </c>
      <c r="V1290" t="s">
        <v>163</v>
      </c>
    </row>
    <row r="1291" spans="19:22" x14ac:dyDescent="0.45">
      <c r="S1291" t="s">
        <v>231</v>
      </c>
      <c r="T1291" t="s">
        <v>276</v>
      </c>
      <c r="U1291">
        <v>6.8894532399261202E-2</v>
      </c>
      <c r="V1291" t="s">
        <v>163</v>
      </c>
    </row>
    <row r="1292" spans="19:22" x14ac:dyDescent="0.45">
      <c r="S1292" t="s">
        <v>231</v>
      </c>
      <c r="T1292" t="s">
        <v>277</v>
      </c>
      <c r="U1292">
        <v>1.1506959845928555E-2</v>
      </c>
      <c r="V1292" t="s">
        <v>163</v>
      </c>
    </row>
    <row r="1293" spans="19:22" x14ac:dyDescent="0.45">
      <c r="S1293" t="s">
        <v>231</v>
      </c>
      <c r="T1293" t="s">
        <v>278</v>
      </c>
      <c r="U1293">
        <v>1.1387307212917679E-2</v>
      </c>
      <c r="V1293" t="s">
        <v>163</v>
      </c>
    </row>
    <row r="1294" spans="19:22" x14ac:dyDescent="0.45">
      <c r="S1294" t="s">
        <v>231</v>
      </c>
      <c r="T1294" t="s">
        <v>279</v>
      </c>
      <c r="U1294">
        <v>5.6926325969376378E-2</v>
      </c>
      <c r="V1294" t="s">
        <v>163</v>
      </c>
    </row>
    <row r="1295" spans="19:22" x14ac:dyDescent="0.45">
      <c r="S1295" t="s">
        <v>231</v>
      </c>
      <c r="T1295" t="s">
        <v>280</v>
      </c>
      <c r="U1295">
        <v>3.0226195985660554E-2</v>
      </c>
      <c r="V1295" t="s">
        <v>163</v>
      </c>
    </row>
    <row r="1296" spans="19:22" x14ac:dyDescent="0.45">
      <c r="S1296" t="s">
        <v>231</v>
      </c>
      <c r="T1296" t="s">
        <v>281</v>
      </c>
      <c r="U1296">
        <v>1.8810810327122354E-2</v>
      </c>
      <c r="V1296" t="s">
        <v>163</v>
      </c>
    </row>
    <row r="1297" spans="19:22" x14ac:dyDescent="0.45">
      <c r="S1297" t="s">
        <v>231</v>
      </c>
      <c r="T1297" t="s">
        <v>282</v>
      </c>
      <c r="U1297">
        <v>2.8904148027289443E-2</v>
      </c>
      <c r="V1297" t="s">
        <v>163</v>
      </c>
    </row>
    <row r="1298" spans="19:22" x14ac:dyDescent="0.45">
      <c r="S1298" t="s">
        <v>231</v>
      </c>
      <c r="T1298" t="s">
        <v>283</v>
      </c>
      <c r="U1298">
        <v>4.6713245943815805E-3</v>
      </c>
      <c r="V1298" t="s">
        <v>163</v>
      </c>
    </row>
    <row r="1299" spans="19:22" x14ac:dyDescent="0.45">
      <c r="S1299" t="s">
        <v>231</v>
      </c>
      <c r="T1299" t="s">
        <v>284</v>
      </c>
      <c r="U1299">
        <v>4.4028824214508537E-3</v>
      </c>
      <c r="V1299" t="s">
        <v>163</v>
      </c>
    </row>
    <row r="1300" spans="19:22" x14ac:dyDescent="0.45">
      <c r="S1300" t="s">
        <v>231</v>
      </c>
      <c r="T1300" t="s">
        <v>285</v>
      </c>
      <c r="U1300">
        <v>1.9357789943601596E-2</v>
      </c>
      <c r="V1300" t="s">
        <v>163</v>
      </c>
    </row>
    <row r="1301" spans="19:22" x14ac:dyDescent="0.45">
      <c r="S1301" t="s">
        <v>231</v>
      </c>
      <c r="T1301" t="s">
        <v>286</v>
      </c>
      <c r="U1301">
        <v>3.9194261768879003E-2</v>
      </c>
      <c r="V1301" t="s">
        <v>163</v>
      </c>
    </row>
    <row r="1302" spans="19:22" x14ac:dyDescent="0.45">
      <c r="S1302" t="s">
        <v>231</v>
      </c>
      <c r="T1302" t="s">
        <v>287</v>
      </c>
      <c r="U1302">
        <v>2.3154401012330988E-2</v>
      </c>
      <c r="V1302" t="s">
        <v>163</v>
      </c>
    </row>
    <row r="1303" spans="19:22" x14ac:dyDescent="0.45">
      <c r="S1303" t="s">
        <v>231</v>
      </c>
      <c r="T1303" t="s">
        <v>288</v>
      </c>
      <c r="U1303">
        <v>4.1390124299569744E-2</v>
      </c>
      <c r="V1303" t="s">
        <v>163</v>
      </c>
    </row>
    <row r="1304" spans="19:22" x14ac:dyDescent="0.45">
      <c r="S1304" t="s">
        <v>231</v>
      </c>
      <c r="T1304" t="s">
        <v>289</v>
      </c>
      <c r="U1304">
        <v>6.892460058987044E-3</v>
      </c>
      <c r="V1304" t="s">
        <v>163</v>
      </c>
    </row>
    <row r="1305" spans="19:22" x14ac:dyDescent="0.45">
      <c r="S1305" t="s">
        <v>231</v>
      </c>
      <c r="T1305" t="s">
        <v>290</v>
      </c>
      <c r="U1305">
        <v>6.6423688801543618E-3</v>
      </c>
      <c r="V1305" t="s">
        <v>163</v>
      </c>
    </row>
    <row r="1306" spans="19:22" x14ac:dyDescent="0.45">
      <c r="S1306" t="s">
        <v>231</v>
      </c>
      <c r="T1306" t="s">
        <v>291</v>
      </c>
      <c r="U1306">
        <v>3.046844327780919E-2</v>
      </c>
      <c r="V1306" t="s">
        <v>163</v>
      </c>
    </row>
    <row r="1307" spans="19:22" x14ac:dyDescent="0.45">
      <c r="S1307" t="s">
        <v>232</v>
      </c>
      <c r="T1307" t="s">
        <v>162</v>
      </c>
      <c r="U1307">
        <v>2.4226014394910976E-2</v>
      </c>
      <c r="V1307" t="s">
        <v>163</v>
      </c>
    </row>
    <row r="1308" spans="19:22" x14ac:dyDescent="0.45">
      <c r="S1308" t="s">
        <v>232</v>
      </c>
      <c r="T1308" t="s">
        <v>164</v>
      </c>
      <c r="U1308">
        <v>1.3234136556708274E-2</v>
      </c>
      <c r="V1308" t="s">
        <v>163</v>
      </c>
    </row>
    <row r="1309" spans="19:22" x14ac:dyDescent="0.45">
      <c r="S1309" t="s">
        <v>232</v>
      </c>
      <c r="T1309" t="s">
        <v>165</v>
      </c>
      <c r="U1309">
        <v>2.1959460628016809E-2</v>
      </c>
      <c r="V1309" t="s">
        <v>163</v>
      </c>
    </row>
    <row r="1310" spans="19:22" x14ac:dyDescent="0.45">
      <c r="S1310" t="s">
        <v>232</v>
      </c>
      <c r="T1310" t="s">
        <v>256</v>
      </c>
      <c r="U1310">
        <v>3.8800846514455371E-3</v>
      </c>
      <c r="V1310" t="s">
        <v>163</v>
      </c>
    </row>
    <row r="1311" spans="19:22" x14ac:dyDescent="0.45">
      <c r="S1311" t="s">
        <v>232</v>
      </c>
      <c r="T1311" t="s">
        <v>257</v>
      </c>
      <c r="U1311">
        <v>3.9146071223843271E-3</v>
      </c>
      <c r="V1311" t="s">
        <v>163</v>
      </c>
    </row>
    <row r="1312" spans="19:22" x14ac:dyDescent="0.45">
      <c r="S1312" t="s">
        <v>232</v>
      </c>
      <c r="T1312" t="s">
        <v>258</v>
      </c>
      <c r="U1312">
        <v>1.8711335782279456E-2</v>
      </c>
      <c r="V1312" t="s">
        <v>163</v>
      </c>
    </row>
    <row r="1313" spans="19:22" x14ac:dyDescent="0.45">
      <c r="S1313" t="s">
        <v>232</v>
      </c>
      <c r="T1313" t="s">
        <v>166</v>
      </c>
      <c r="U1313">
        <v>1.5687929486143195E-2</v>
      </c>
      <c r="V1313" t="s">
        <v>163</v>
      </c>
    </row>
    <row r="1314" spans="19:22" x14ac:dyDescent="0.45">
      <c r="S1314" t="s">
        <v>232</v>
      </c>
      <c r="T1314" t="s">
        <v>167</v>
      </c>
      <c r="U1314">
        <v>8.9410035893877048E-3</v>
      </c>
      <c r="V1314" t="s">
        <v>163</v>
      </c>
    </row>
    <row r="1315" spans="19:22" x14ac:dyDescent="0.45">
      <c r="S1315" t="s">
        <v>232</v>
      </c>
      <c r="T1315" t="s">
        <v>168</v>
      </c>
      <c r="U1315">
        <v>1.5961360010187265E-2</v>
      </c>
      <c r="V1315" t="s">
        <v>163</v>
      </c>
    </row>
    <row r="1316" spans="19:22" x14ac:dyDescent="0.45">
      <c r="S1316" t="s">
        <v>232</v>
      </c>
      <c r="T1316" t="s">
        <v>259</v>
      </c>
      <c r="U1316">
        <v>2.8622461730338643E-3</v>
      </c>
      <c r="V1316" t="s">
        <v>163</v>
      </c>
    </row>
    <row r="1317" spans="19:22" x14ac:dyDescent="0.45">
      <c r="S1317" t="s">
        <v>232</v>
      </c>
      <c r="T1317" t="s">
        <v>260</v>
      </c>
      <c r="U1317">
        <v>2.7146395960228071E-3</v>
      </c>
      <c r="V1317" t="s">
        <v>163</v>
      </c>
    </row>
    <row r="1318" spans="19:22" x14ac:dyDescent="0.45">
      <c r="S1318" t="s">
        <v>232</v>
      </c>
      <c r="T1318" t="s">
        <v>261</v>
      </c>
      <c r="U1318">
        <v>1.2347302036750902E-2</v>
      </c>
      <c r="V1318" t="s">
        <v>163</v>
      </c>
    </row>
    <row r="1319" spans="19:22" x14ac:dyDescent="0.45">
      <c r="S1319" t="s">
        <v>232</v>
      </c>
      <c r="T1319" t="s">
        <v>169</v>
      </c>
      <c r="U1319">
        <v>1.577144333178512E-2</v>
      </c>
      <c r="V1319" t="s">
        <v>163</v>
      </c>
    </row>
    <row r="1320" spans="19:22" x14ac:dyDescent="0.45">
      <c r="S1320" t="s">
        <v>232</v>
      </c>
      <c r="T1320" t="s">
        <v>170</v>
      </c>
      <c r="U1320">
        <v>9.2096657151632053E-3</v>
      </c>
      <c r="V1320" t="s">
        <v>163</v>
      </c>
    </row>
    <row r="1321" spans="19:22" x14ac:dyDescent="0.45">
      <c r="S1321" t="s">
        <v>232</v>
      </c>
      <c r="T1321" t="s">
        <v>171</v>
      </c>
      <c r="U1321">
        <v>1.7064649623416101E-2</v>
      </c>
      <c r="V1321" t="s">
        <v>163</v>
      </c>
    </row>
    <row r="1322" spans="19:22" x14ac:dyDescent="0.45">
      <c r="S1322" t="s">
        <v>232</v>
      </c>
      <c r="T1322" t="s">
        <v>262</v>
      </c>
      <c r="U1322">
        <v>3.1501113143426649E-3</v>
      </c>
      <c r="V1322" t="s">
        <v>163</v>
      </c>
    </row>
    <row r="1323" spans="19:22" x14ac:dyDescent="0.45">
      <c r="S1323" t="s">
        <v>232</v>
      </c>
      <c r="T1323" t="s">
        <v>263</v>
      </c>
      <c r="U1323">
        <v>3.2251107039337561E-3</v>
      </c>
      <c r="V1323" t="s">
        <v>163</v>
      </c>
    </row>
    <row r="1324" spans="19:22" x14ac:dyDescent="0.45">
      <c r="S1324" t="s">
        <v>232</v>
      </c>
      <c r="T1324" t="s">
        <v>264</v>
      </c>
      <c r="U1324">
        <v>1.5259151244441353E-2</v>
      </c>
      <c r="V1324" t="s">
        <v>163</v>
      </c>
    </row>
    <row r="1325" spans="19:22" x14ac:dyDescent="0.45">
      <c r="S1325" t="s">
        <v>232</v>
      </c>
      <c r="T1325" t="s">
        <v>172</v>
      </c>
      <c r="U1325">
        <v>5.263110836892379E-2</v>
      </c>
      <c r="V1325" t="s">
        <v>163</v>
      </c>
    </row>
    <row r="1326" spans="19:22" x14ac:dyDescent="0.45">
      <c r="S1326" t="s">
        <v>232</v>
      </c>
      <c r="T1326" t="s">
        <v>173</v>
      </c>
      <c r="U1326">
        <v>2.9487512307287446E-2</v>
      </c>
      <c r="V1326" t="s">
        <v>163</v>
      </c>
    </row>
    <row r="1327" spans="19:22" x14ac:dyDescent="0.45">
      <c r="S1327" t="s">
        <v>232</v>
      </c>
      <c r="T1327" t="s">
        <v>174</v>
      </c>
      <c r="U1327">
        <v>4.4656507653960439E-2</v>
      </c>
      <c r="V1327" t="s">
        <v>163</v>
      </c>
    </row>
    <row r="1328" spans="19:22" x14ac:dyDescent="0.45">
      <c r="S1328" t="s">
        <v>232</v>
      </c>
      <c r="T1328" t="s">
        <v>265</v>
      </c>
      <c r="U1328">
        <v>7.5440017914388084E-3</v>
      </c>
      <c r="V1328" t="s">
        <v>163</v>
      </c>
    </row>
    <row r="1329" spans="19:22" x14ac:dyDescent="0.45">
      <c r="S1329" t="s">
        <v>232</v>
      </c>
      <c r="T1329" t="s">
        <v>266</v>
      </c>
      <c r="U1329">
        <v>7.6576468131310926E-3</v>
      </c>
      <c r="V1329" t="s">
        <v>163</v>
      </c>
    </row>
    <row r="1330" spans="19:22" x14ac:dyDescent="0.45">
      <c r="S1330" t="s">
        <v>232</v>
      </c>
      <c r="T1330" t="s">
        <v>267</v>
      </c>
      <c r="U1330">
        <v>3.9213002417985088E-2</v>
      </c>
      <c r="V1330" t="s">
        <v>163</v>
      </c>
    </row>
    <row r="1331" spans="19:22" x14ac:dyDescent="0.45">
      <c r="S1331" t="s">
        <v>232</v>
      </c>
      <c r="T1331" t="s">
        <v>268</v>
      </c>
      <c r="U1331">
        <v>2.5235010223122037E-2</v>
      </c>
      <c r="V1331" t="s">
        <v>163</v>
      </c>
    </row>
    <row r="1332" spans="19:22" x14ac:dyDescent="0.45">
      <c r="S1332" t="s">
        <v>232</v>
      </c>
      <c r="T1332" t="s">
        <v>269</v>
      </c>
      <c r="U1332">
        <v>1.4588224969392142E-2</v>
      </c>
      <c r="V1332" t="s">
        <v>163</v>
      </c>
    </row>
    <row r="1333" spans="19:22" x14ac:dyDescent="0.45">
      <c r="S1333" t="s">
        <v>232</v>
      </c>
      <c r="T1333" t="s">
        <v>270</v>
      </c>
      <c r="U1333">
        <v>2.2506139235191309E-2</v>
      </c>
      <c r="V1333" t="s">
        <v>163</v>
      </c>
    </row>
    <row r="1334" spans="19:22" x14ac:dyDescent="0.45">
      <c r="S1334" t="s">
        <v>232</v>
      </c>
      <c r="T1334" t="s">
        <v>271</v>
      </c>
      <c r="U1334">
        <v>3.7529664600985981E-3</v>
      </c>
      <c r="V1334" t="s">
        <v>163</v>
      </c>
    </row>
    <row r="1335" spans="19:22" x14ac:dyDescent="0.45">
      <c r="S1335" t="s">
        <v>232</v>
      </c>
      <c r="T1335" t="s">
        <v>272</v>
      </c>
      <c r="U1335">
        <v>3.7904413563442374E-3</v>
      </c>
      <c r="V1335" t="s">
        <v>163</v>
      </c>
    </row>
    <row r="1336" spans="19:22" x14ac:dyDescent="0.45">
      <c r="S1336" t="s">
        <v>232</v>
      </c>
      <c r="T1336" t="s">
        <v>273</v>
      </c>
      <c r="U1336">
        <v>1.8858187693232168E-2</v>
      </c>
      <c r="V1336" t="s">
        <v>163</v>
      </c>
    </row>
    <row r="1337" spans="19:22" x14ac:dyDescent="0.45">
      <c r="S1337" t="s">
        <v>232</v>
      </c>
      <c r="T1337" t="s">
        <v>274</v>
      </c>
      <c r="U1337">
        <v>7.4724737059402427E-2</v>
      </c>
      <c r="V1337" t="s">
        <v>163</v>
      </c>
    </row>
    <row r="1338" spans="19:22" x14ac:dyDescent="0.45">
      <c r="S1338" t="s">
        <v>232</v>
      </c>
      <c r="T1338" t="s">
        <v>275</v>
      </c>
      <c r="U1338">
        <v>4.050331549745867E-2</v>
      </c>
      <c r="V1338" t="s">
        <v>163</v>
      </c>
    </row>
    <row r="1339" spans="19:22" x14ac:dyDescent="0.45">
      <c r="S1339" t="s">
        <v>232</v>
      </c>
      <c r="T1339" t="s">
        <v>276</v>
      </c>
      <c r="U1339">
        <v>6.6875825084051793E-2</v>
      </c>
      <c r="V1339" t="s">
        <v>163</v>
      </c>
    </row>
    <row r="1340" spans="19:22" x14ac:dyDescent="0.45">
      <c r="S1340" t="s">
        <v>232</v>
      </c>
      <c r="T1340" t="s">
        <v>277</v>
      </c>
      <c r="U1340">
        <v>1.1644591130352171E-2</v>
      </c>
      <c r="V1340" t="s">
        <v>163</v>
      </c>
    </row>
    <row r="1341" spans="19:22" x14ac:dyDescent="0.45">
      <c r="S1341" t="s">
        <v>232</v>
      </c>
      <c r="T1341" t="s">
        <v>278</v>
      </c>
      <c r="U1341">
        <v>1.166210156247623E-2</v>
      </c>
      <c r="V1341" t="s">
        <v>163</v>
      </c>
    </row>
    <row r="1342" spans="19:22" x14ac:dyDescent="0.45">
      <c r="S1342" t="s">
        <v>232</v>
      </c>
      <c r="T1342" t="s">
        <v>279</v>
      </c>
      <c r="U1342">
        <v>5.7247906552296932E-2</v>
      </c>
      <c r="V1342" t="s">
        <v>163</v>
      </c>
    </row>
    <row r="1343" spans="19:22" x14ac:dyDescent="0.45">
      <c r="S1343" t="s">
        <v>232</v>
      </c>
      <c r="T1343" t="s">
        <v>280</v>
      </c>
      <c r="U1343">
        <v>2.8201055494579821E-2</v>
      </c>
      <c r="V1343" t="s">
        <v>163</v>
      </c>
    </row>
    <row r="1344" spans="19:22" x14ac:dyDescent="0.45">
      <c r="S1344" t="s">
        <v>232</v>
      </c>
      <c r="T1344" t="s">
        <v>281</v>
      </c>
      <c r="U1344">
        <v>1.6825077509397771E-2</v>
      </c>
      <c r="V1344" t="s">
        <v>163</v>
      </c>
    </row>
    <row r="1345" spans="19:22" x14ac:dyDescent="0.45">
      <c r="S1345" t="s">
        <v>232</v>
      </c>
      <c r="T1345" t="s">
        <v>282</v>
      </c>
      <c r="U1345">
        <v>2.519238397885418E-2</v>
      </c>
      <c r="V1345" t="s">
        <v>163</v>
      </c>
    </row>
    <row r="1346" spans="19:22" x14ac:dyDescent="0.45">
      <c r="S1346" t="s">
        <v>232</v>
      </c>
      <c r="T1346" t="s">
        <v>283</v>
      </c>
      <c r="U1346">
        <v>4.3555499092571117E-3</v>
      </c>
      <c r="V1346" t="s">
        <v>163</v>
      </c>
    </row>
    <row r="1347" spans="19:22" x14ac:dyDescent="0.45">
      <c r="S1347" t="s">
        <v>232</v>
      </c>
      <c r="T1347" t="s">
        <v>284</v>
      </c>
      <c r="U1347">
        <v>4.4414189438376425E-3</v>
      </c>
      <c r="V1347" t="s">
        <v>163</v>
      </c>
    </row>
    <row r="1348" spans="19:22" x14ac:dyDescent="0.45">
      <c r="S1348" t="s">
        <v>232</v>
      </c>
      <c r="T1348" t="s">
        <v>285</v>
      </c>
      <c r="U1348">
        <v>2.143219057255745E-2</v>
      </c>
      <c r="V1348" t="s">
        <v>163</v>
      </c>
    </row>
    <row r="1349" spans="19:22" x14ac:dyDescent="0.45">
      <c r="S1349" t="s">
        <v>232</v>
      </c>
      <c r="T1349" t="s">
        <v>286</v>
      </c>
      <c r="U1349">
        <v>4.2178863062442652E-2</v>
      </c>
      <c r="V1349" t="s">
        <v>163</v>
      </c>
    </row>
    <row r="1350" spans="19:22" x14ac:dyDescent="0.45">
      <c r="S1350" t="s">
        <v>232</v>
      </c>
      <c r="T1350" t="s">
        <v>287</v>
      </c>
      <c r="U1350">
        <v>2.4025052706632938E-2</v>
      </c>
      <c r="V1350" t="s">
        <v>163</v>
      </c>
    </row>
    <row r="1351" spans="19:22" x14ac:dyDescent="0.45">
      <c r="S1351" t="s">
        <v>232</v>
      </c>
      <c r="T1351" t="s">
        <v>288</v>
      </c>
      <c r="U1351">
        <v>4.3293997180636604E-2</v>
      </c>
      <c r="V1351" t="s">
        <v>163</v>
      </c>
    </row>
    <row r="1352" spans="19:22" x14ac:dyDescent="0.45">
      <c r="S1352" t="s">
        <v>232</v>
      </c>
      <c r="T1352" t="s">
        <v>289</v>
      </c>
      <c r="U1352">
        <v>7.5134162011625694E-3</v>
      </c>
      <c r="V1352" t="s">
        <v>163</v>
      </c>
    </row>
    <row r="1353" spans="19:22" x14ac:dyDescent="0.45">
      <c r="S1353" t="s">
        <v>232</v>
      </c>
      <c r="T1353" t="s">
        <v>290</v>
      </c>
      <c r="U1353">
        <v>7.3426117420660932E-3</v>
      </c>
      <c r="V1353" t="s">
        <v>163</v>
      </c>
    </row>
    <row r="1354" spans="19:22" x14ac:dyDescent="0.45">
      <c r="S1354" t="s">
        <v>232</v>
      </c>
      <c r="T1354" t="s">
        <v>291</v>
      </c>
      <c r="U1354">
        <v>3.449890456207845E-2</v>
      </c>
      <c r="V1354" t="s">
        <v>163</v>
      </c>
    </row>
    <row r="1355" spans="19:22" x14ac:dyDescent="0.45">
      <c r="S1355" t="s">
        <v>233</v>
      </c>
      <c r="T1355" t="s">
        <v>162</v>
      </c>
      <c r="U1355">
        <v>2.6220079474554178E-2</v>
      </c>
      <c r="V1355" t="s">
        <v>163</v>
      </c>
    </row>
    <row r="1356" spans="19:22" x14ac:dyDescent="0.45">
      <c r="S1356" t="s">
        <v>233</v>
      </c>
      <c r="T1356" t="s">
        <v>164</v>
      </c>
      <c r="U1356">
        <v>1.5073780082673717E-2</v>
      </c>
      <c r="V1356" t="s">
        <v>163</v>
      </c>
    </row>
    <row r="1357" spans="19:22" x14ac:dyDescent="0.45">
      <c r="S1357" t="s">
        <v>233</v>
      </c>
      <c r="T1357" t="s">
        <v>165</v>
      </c>
      <c r="U1357">
        <v>2.3104966176145915E-2</v>
      </c>
      <c r="V1357" t="s">
        <v>163</v>
      </c>
    </row>
    <row r="1358" spans="19:22" x14ac:dyDescent="0.45">
      <c r="S1358" t="s">
        <v>233</v>
      </c>
      <c r="T1358" t="s">
        <v>256</v>
      </c>
      <c r="U1358">
        <v>3.6934495084281625E-3</v>
      </c>
      <c r="V1358" t="s">
        <v>163</v>
      </c>
    </row>
    <row r="1359" spans="19:22" x14ac:dyDescent="0.45">
      <c r="S1359" t="s">
        <v>233</v>
      </c>
      <c r="T1359" t="s">
        <v>257</v>
      </c>
      <c r="U1359">
        <v>3.6520534057143889E-3</v>
      </c>
      <c r="V1359" t="s">
        <v>163</v>
      </c>
    </row>
    <row r="1360" spans="19:22" x14ac:dyDescent="0.45">
      <c r="S1360" t="s">
        <v>233</v>
      </c>
      <c r="T1360" t="s">
        <v>258</v>
      </c>
      <c r="U1360">
        <v>1.7564481588531775E-2</v>
      </c>
      <c r="V1360" t="s">
        <v>163</v>
      </c>
    </row>
    <row r="1361" spans="19:22" x14ac:dyDescent="0.45">
      <c r="S1361" t="s">
        <v>233</v>
      </c>
      <c r="T1361" t="s">
        <v>166</v>
      </c>
      <c r="U1361">
        <v>1.9129436508721242E-2</v>
      </c>
      <c r="V1361" t="s">
        <v>163</v>
      </c>
    </row>
    <row r="1362" spans="19:22" x14ac:dyDescent="0.45">
      <c r="S1362" t="s">
        <v>233</v>
      </c>
      <c r="T1362" t="s">
        <v>167</v>
      </c>
      <c r="U1362">
        <v>1.1399071697623338E-2</v>
      </c>
      <c r="V1362" t="s">
        <v>163</v>
      </c>
    </row>
    <row r="1363" spans="19:22" x14ac:dyDescent="0.45">
      <c r="S1363" t="s">
        <v>233</v>
      </c>
      <c r="T1363" t="s">
        <v>168</v>
      </c>
      <c r="U1363">
        <v>1.7037993711922435E-2</v>
      </c>
      <c r="V1363" t="s">
        <v>163</v>
      </c>
    </row>
    <row r="1364" spans="19:22" x14ac:dyDescent="0.45">
      <c r="S1364" t="s">
        <v>233</v>
      </c>
      <c r="T1364" t="s">
        <v>259</v>
      </c>
      <c r="U1364">
        <v>2.8069502996510027E-3</v>
      </c>
      <c r="V1364" t="s">
        <v>163</v>
      </c>
    </row>
    <row r="1365" spans="19:22" x14ac:dyDescent="0.45">
      <c r="S1365" t="s">
        <v>233</v>
      </c>
      <c r="T1365" t="s">
        <v>260</v>
      </c>
      <c r="U1365">
        <v>2.8376953101450246E-3</v>
      </c>
      <c r="V1365" t="s">
        <v>163</v>
      </c>
    </row>
    <row r="1366" spans="19:22" x14ac:dyDescent="0.45">
      <c r="S1366" t="s">
        <v>233</v>
      </c>
      <c r="T1366" t="s">
        <v>261</v>
      </c>
      <c r="U1366">
        <v>1.4421932617963474E-2</v>
      </c>
      <c r="V1366" t="s">
        <v>163</v>
      </c>
    </row>
    <row r="1367" spans="19:22" x14ac:dyDescent="0.45">
      <c r="S1367" t="s">
        <v>233</v>
      </c>
      <c r="T1367" t="s">
        <v>169</v>
      </c>
      <c r="U1367">
        <v>1.9410634496616775E-2</v>
      </c>
      <c r="V1367" t="s">
        <v>163</v>
      </c>
    </row>
    <row r="1368" spans="19:22" x14ac:dyDescent="0.45">
      <c r="S1368" t="s">
        <v>233</v>
      </c>
      <c r="T1368" t="s">
        <v>170</v>
      </c>
      <c r="U1368">
        <v>9.4602420648469739E-3</v>
      </c>
      <c r="V1368" t="s">
        <v>163</v>
      </c>
    </row>
    <row r="1369" spans="19:22" x14ac:dyDescent="0.45">
      <c r="S1369" t="s">
        <v>233</v>
      </c>
      <c r="T1369" t="s">
        <v>171</v>
      </c>
      <c r="U1369">
        <v>1.5168365631113035E-2</v>
      </c>
      <c r="V1369" t="s">
        <v>163</v>
      </c>
    </row>
    <row r="1370" spans="19:22" x14ac:dyDescent="0.45">
      <c r="S1370" t="s">
        <v>233</v>
      </c>
      <c r="T1370" t="s">
        <v>262</v>
      </c>
      <c r="U1370">
        <v>2.5823590016721101E-3</v>
      </c>
      <c r="V1370" t="s">
        <v>163</v>
      </c>
    </row>
    <row r="1371" spans="19:22" x14ac:dyDescent="0.45">
      <c r="S1371" t="s">
        <v>233</v>
      </c>
      <c r="T1371" t="s">
        <v>263</v>
      </c>
      <c r="U1371">
        <v>2.6144816593163625E-3</v>
      </c>
      <c r="V1371" t="s">
        <v>163</v>
      </c>
    </row>
    <row r="1372" spans="19:22" x14ac:dyDescent="0.45">
      <c r="S1372" t="s">
        <v>233</v>
      </c>
      <c r="T1372" t="s">
        <v>264</v>
      </c>
      <c r="U1372">
        <v>1.4280490271291671E-2</v>
      </c>
      <c r="V1372" t="s">
        <v>163</v>
      </c>
    </row>
    <row r="1373" spans="19:22" x14ac:dyDescent="0.45">
      <c r="S1373" t="s">
        <v>233</v>
      </c>
      <c r="T1373" t="s">
        <v>172</v>
      </c>
      <c r="U1373">
        <v>5.3604549267518516E-2</v>
      </c>
      <c r="V1373" t="s">
        <v>163</v>
      </c>
    </row>
    <row r="1374" spans="19:22" x14ac:dyDescent="0.45">
      <c r="S1374" t="s">
        <v>233</v>
      </c>
      <c r="T1374" t="s">
        <v>173</v>
      </c>
      <c r="U1374">
        <v>3.0756789046720929E-2</v>
      </c>
      <c r="V1374" t="s">
        <v>163</v>
      </c>
    </row>
    <row r="1375" spans="19:22" x14ac:dyDescent="0.45">
      <c r="S1375" t="s">
        <v>233</v>
      </c>
      <c r="T1375" t="s">
        <v>174</v>
      </c>
      <c r="U1375">
        <v>4.5110059645763048E-2</v>
      </c>
      <c r="V1375" t="s">
        <v>163</v>
      </c>
    </row>
    <row r="1376" spans="19:22" x14ac:dyDescent="0.45">
      <c r="S1376" t="s">
        <v>233</v>
      </c>
      <c r="T1376" t="s">
        <v>265</v>
      </c>
      <c r="U1376">
        <v>7.2161444874141688E-3</v>
      </c>
      <c r="V1376" t="s">
        <v>163</v>
      </c>
    </row>
    <row r="1377" spans="19:22" x14ac:dyDescent="0.45">
      <c r="S1377" t="s">
        <v>233</v>
      </c>
      <c r="T1377" t="s">
        <v>266</v>
      </c>
      <c r="U1377">
        <v>7.2223638824569459E-3</v>
      </c>
      <c r="V1377" t="s">
        <v>163</v>
      </c>
    </row>
    <row r="1378" spans="19:22" x14ac:dyDescent="0.45">
      <c r="S1378" t="s">
        <v>233</v>
      </c>
      <c r="T1378" t="s">
        <v>267</v>
      </c>
      <c r="U1378">
        <v>3.6683787965878289E-2</v>
      </c>
      <c r="V1378" t="s">
        <v>163</v>
      </c>
    </row>
    <row r="1379" spans="19:22" x14ac:dyDescent="0.45">
      <c r="S1379" t="s">
        <v>233</v>
      </c>
      <c r="T1379" t="s">
        <v>268</v>
      </c>
      <c r="U1379">
        <v>2.6359856558885866E-2</v>
      </c>
      <c r="V1379" t="s">
        <v>163</v>
      </c>
    </row>
    <row r="1380" spans="19:22" x14ac:dyDescent="0.45">
      <c r="S1380" t="s">
        <v>233</v>
      </c>
      <c r="T1380" t="s">
        <v>269</v>
      </c>
      <c r="U1380">
        <v>1.4871778679986404E-2</v>
      </c>
      <c r="V1380" t="s">
        <v>163</v>
      </c>
    </row>
    <row r="1381" spans="19:22" x14ac:dyDescent="0.45">
      <c r="S1381" t="s">
        <v>233</v>
      </c>
      <c r="T1381" t="s">
        <v>270</v>
      </c>
      <c r="U1381">
        <v>2.3456898872024467E-2</v>
      </c>
      <c r="V1381" t="s">
        <v>163</v>
      </c>
    </row>
    <row r="1382" spans="19:22" x14ac:dyDescent="0.45">
      <c r="S1382" t="s">
        <v>233</v>
      </c>
      <c r="T1382" t="s">
        <v>271</v>
      </c>
      <c r="U1382">
        <v>3.9398968950886569E-3</v>
      </c>
      <c r="V1382" t="s">
        <v>163</v>
      </c>
    </row>
    <row r="1383" spans="19:22" x14ac:dyDescent="0.45">
      <c r="S1383" t="s">
        <v>233</v>
      </c>
      <c r="T1383" t="s">
        <v>272</v>
      </c>
      <c r="U1383">
        <v>3.9028543122177359E-3</v>
      </c>
      <c r="V1383" t="s">
        <v>163</v>
      </c>
    </row>
    <row r="1384" spans="19:22" x14ac:dyDescent="0.45">
      <c r="S1384" t="s">
        <v>233</v>
      </c>
      <c r="T1384" t="s">
        <v>273</v>
      </c>
      <c r="U1384">
        <v>1.9587943805118874E-2</v>
      </c>
      <c r="V1384" t="s">
        <v>163</v>
      </c>
    </row>
    <row r="1385" spans="19:22" x14ac:dyDescent="0.45">
      <c r="S1385" t="s">
        <v>233</v>
      </c>
      <c r="T1385" t="s">
        <v>274</v>
      </c>
      <c r="U1385">
        <v>7.732533332570421E-2</v>
      </c>
      <c r="V1385" t="s">
        <v>163</v>
      </c>
    </row>
    <row r="1386" spans="19:22" x14ac:dyDescent="0.45">
      <c r="S1386" t="s">
        <v>233</v>
      </c>
      <c r="T1386" t="s">
        <v>275</v>
      </c>
      <c r="U1386">
        <v>4.2431457407399627E-2</v>
      </c>
      <c r="V1386" t="s">
        <v>163</v>
      </c>
    </row>
    <row r="1387" spans="19:22" x14ac:dyDescent="0.45">
      <c r="S1387" t="s">
        <v>233</v>
      </c>
      <c r="T1387" t="s">
        <v>276</v>
      </c>
      <c r="U1387">
        <v>6.2970077205678904E-2</v>
      </c>
      <c r="V1387" t="s">
        <v>163</v>
      </c>
    </row>
    <row r="1388" spans="19:22" x14ac:dyDescent="0.45">
      <c r="S1388" t="s">
        <v>233</v>
      </c>
      <c r="T1388" t="s">
        <v>277</v>
      </c>
      <c r="U1388">
        <v>1.0666802157642874E-2</v>
      </c>
      <c r="V1388" t="s">
        <v>163</v>
      </c>
    </row>
    <row r="1389" spans="19:22" x14ac:dyDescent="0.45">
      <c r="S1389" t="s">
        <v>233</v>
      </c>
      <c r="T1389" t="s">
        <v>278</v>
      </c>
      <c r="U1389">
        <v>1.0926775884186312E-2</v>
      </c>
      <c r="V1389" t="s">
        <v>163</v>
      </c>
    </row>
    <row r="1390" spans="19:22" x14ac:dyDescent="0.45">
      <c r="S1390" t="s">
        <v>233</v>
      </c>
      <c r="T1390" t="s">
        <v>279</v>
      </c>
      <c r="U1390">
        <v>5.7340447762328689E-2</v>
      </c>
      <c r="V1390" t="s">
        <v>163</v>
      </c>
    </row>
    <row r="1391" spans="19:22" x14ac:dyDescent="0.45">
      <c r="S1391" t="s">
        <v>233</v>
      </c>
      <c r="T1391" t="s">
        <v>280</v>
      </c>
      <c r="U1391">
        <v>3.085701737948569E-2</v>
      </c>
      <c r="V1391" t="s">
        <v>163</v>
      </c>
    </row>
    <row r="1392" spans="19:22" x14ac:dyDescent="0.45">
      <c r="S1392" t="s">
        <v>233</v>
      </c>
      <c r="T1392" t="s">
        <v>281</v>
      </c>
      <c r="U1392">
        <v>1.3901045120785761E-2</v>
      </c>
      <c r="V1392" t="s">
        <v>163</v>
      </c>
    </row>
    <row r="1393" spans="19:22" x14ac:dyDescent="0.45">
      <c r="S1393" t="s">
        <v>233</v>
      </c>
      <c r="T1393" t="s">
        <v>282</v>
      </c>
      <c r="U1393">
        <v>2.2090108734084513E-2</v>
      </c>
      <c r="V1393" t="s">
        <v>163</v>
      </c>
    </row>
    <row r="1394" spans="19:22" x14ac:dyDescent="0.45">
      <c r="S1394" t="s">
        <v>233</v>
      </c>
      <c r="T1394" t="s">
        <v>283</v>
      </c>
      <c r="U1394">
        <v>3.9868755514483375E-3</v>
      </c>
      <c r="V1394" t="s">
        <v>163</v>
      </c>
    </row>
    <row r="1395" spans="19:22" x14ac:dyDescent="0.45">
      <c r="S1395" t="s">
        <v>233</v>
      </c>
      <c r="T1395" t="s">
        <v>284</v>
      </c>
      <c r="U1395">
        <v>4.1026898016358875E-3</v>
      </c>
      <c r="V1395" t="s">
        <v>163</v>
      </c>
    </row>
    <row r="1396" spans="19:22" x14ac:dyDescent="0.45">
      <c r="S1396" t="s">
        <v>233</v>
      </c>
      <c r="T1396" t="s">
        <v>285</v>
      </c>
      <c r="U1396">
        <v>2.3226149467712221E-2</v>
      </c>
      <c r="V1396" t="s">
        <v>163</v>
      </c>
    </row>
    <row r="1397" spans="19:22" x14ac:dyDescent="0.45">
      <c r="S1397" t="s">
        <v>233</v>
      </c>
      <c r="T1397" t="s">
        <v>286</v>
      </c>
      <c r="U1397">
        <v>4.4240292174878154E-2</v>
      </c>
      <c r="V1397" t="s">
        <v>163</v>
      </c>
    </row>
    <row r="1398" spans="19:22" x14ac:dyDescent="0.45">
      <c r="S1398" t="s">
        <v>233</v>
      </c>
      <c r="T1398" t="s">
        <v>287</v>
      </c>
      <c r="U1398">
        <v>2.3588079424148305E-2</v>
      </c>
      <c r="V1398" t="s">
        <v>163</v>
      </c>
    </row>
    <row r="1399" spans="19:22" x14ac:dyDescent="0.45">
      <c r="S1399" t="s">
        <v>233</v>
      </c>
      <c r="T1399" t="s">
        <v>288</v>
      </c>
      <c r="U1399">
        <v>3.5870996406659493E-2</v>
      </c>
      <c r="V1399" t="s">
        <v>163</v>
      </c>
    </row>
    <row r="1400" spans="19:22" x14ac:dyDescent="0.45">
      <c r="S1400" t="s">
        <v>233</v>
      </c>
      <c r="T1400" t="s">
        <v>289</v>
      </c>
      <c r="U1400">
        <v>5.9739694031133083E-3</v>
      </c>
      <c r="V1400" t="s">
        <v>163</v>
      </c>
    </row>
    <row r="1401" spans="19:22" x14ac:dyDescent="0.45">
      <c r="S1401" t="s">
        <v>233</v>
      </c>
      <c r="T1401" t="s">
        <v>290</v>
      </c>
      <c r="U1401">
        <v>6.0758434012936485E-3</v>
      </c>
      <c r="V1401" t="s">
        <v>163</v>
      </c>
    </row>
    <row r="1402" spans="19:22" x14ac:dyDescent="0.45">
      <c r="S1402" t="s">
        <v>233</v>
      </c>
      <c r="T1402" t="s">
        <v>291</v>
      </c>
      <c r="U1402">
        <v>3.1254652465807616E-2</v>
      </c>
      <c r="V1402" t="s">
        <v>163</v>
      </c>
    </row>
    <row r="1403" spans="19:22" x14ac:dyDescent="0.45">
      <c r="S1403" t="s">
        <v>234</v>
      </c>
      <c r="T1403" t="s">
        <v>162</v>
      </c>
      <c r="U1403">
        <v>2.4812325751143283E-2</v>
      </c>
      <c r="V1403" t="s">
        <v>163</v>
      </c>
    </row>
    <row r="1404" spans="19:22" x14ac:dyDescent="0.45">
      <c r="S1404" t="s">
        <v>234</v>
      </c>
      <c r="T1404" t="s">
        <v>164</v>
      </c>
      <c r="U1404">
        <v>1.4611685760264644E-2</v>
      </c>
      <c r="V1404" t="s">
        <v>163</v>
      </c>
    </row>
    <row r="1405" spans="19:22" x14ac:dyDescent="0.45">
      <c r="S1405" t="s">
        <v>234</v>
      </c>
      <c r="T1405" t="s">
        <v>165</v>
      </c>
      <c r="U1405">
        <v>2.108136529541596E-2</v>
      </c>
      <c r="V1405" t="s">
        <v>163</v>
      </c>
    </row>
    <row r="1406" spans="19:22" x14ac:dyDescent="0.45">
      <c r="S1406" t="s">
        <v>234</v>
      </c>
      <c r="T1406" t="s">
        <v>256</v>
      </c>
      <c r="U1406">
        <v>3.5114775619794706E-3</v>
      </c>
      <c r="V1406" t="s">
        <v>163</v>
      </c>
    </row>
    <row r="1407" spans="19:22" x14ac:dyDescent="0.45">
      <c r="S1407" t="s">
        <v>234</v>
      </c>
      <c r="T1407" t="s">
        <v>257</v>
      </c>
      <c r="U1407">
        <v>3.4776176587867787E-3</v>
      </c>
      <c r="V1407" t="s">
        <v>163</v>
      </c>
    </row>
    <row r="1408" spans="19:22" x14ac:dyDescent="0.45">
      <c r="S1408" t="s">
        <v>234</v>
      </c>
      <c r="T1408" t="s">
        <v>258</v>
      </c>
      <c r="U1408">
        <v>1.7237061417176118E-2</v>
      </c>
      <c r="V1408" t="s">
        <v>163</v>
      </c>
    </row>
    <row r="1409" spans="19:22" x14ac:dyDescent="0.45">
      <c r="S1409" t="s">
        <v>234</v>
      </c>
      <c r="T1409" t="s">
        <v>166</v>
      </c>
      <c r="U1409">
        <v>1.9062687262754195E-2</v>
      </c>
      <c r="V1409" t="s">
        <v>163</v>
      </c>
    </row>
    <row r="1410" spans="19:22" x14ac:dyDescent="0.45">
      <c r="S1410" t="s">
        <v>234</v>
      </c>
      <c r="T1410" t="s">
        <v>167</v>
      </c>
      <c r="U1410">
        <v>1.0419755559716096E-2</v>
      </c>
      <c r="V1410" t="s">
        <v>163</v>
      </c>
    </row>
    <row r="1411" spans="19:22" x14ac:dyDescent="0.45">
      <c r="S1411" t="s">
        <v>234</v>
      </c>
      <c r="T1411" t="s">
        <v>168</v>
      </c>
      <c r="U1411">
        <v>1.5474494762123136E-2</v>
      </c>
      <c r="V1411" t="s">
        <v>163</v>
      </c>
    </row>
    <row r="1412" spans="19:22" x14ac:dyDescent="0.45">
      <c r="S1412" t="s">
        <v>234</v>
      </c>
      <c r="T1412" t="s">
        <v>259</v>
      </c>
      <c r="U1412">
        <v>2.5885972694523729E-3</v>
      </c>
      <c r="V1412" t="s">
        <v>163</v>
      </c>
    </row>
    <row r="1413" spans="19:22" x14ac:dyDescent="0.45">
      <c r="S1413" t="s">
        <v>234</v>
      </c>
      <c r="T1413" t="s">
        <v>260</v>
      </c>
      <c r="U1413">
        <v>2.6476849784754604E-3</v>
      </c>
      <c r="V1413" t="s">
        <v>163</v>
      </c>
    </row>
    <row r="1414" spans="19:22" x14ac:dyDescent="0.45">
      <c r="S1414" t="s">
        <v>234</v>
      </c>
      <c r="T1414" t="s">
        <v>261</v>
      </c>
      <c r="U1414">
        <v>1.4211659907103952E-2</v>
      </c>
      <c r="V1414" t="s">
        <v>163</v>
      </c>
    </row>
    <row r="1415" spans="19:22" x14ac:dyDescent="0.45">
      <c r="S1415" t="s">
        <v>234</v>
      </c>
      <c r="T1415" t="s">
        <v>169</v>
      </c>
      <c r="U1415">
        <v>2.0781531470710362E-2</v>
      </c>
      <c r="V1415" t="s">
        <v>163</v>
      </c>
    </row>
    <row r="1416" spans="19:22" x14ac:dyDescent="0.45">
      <c r="S1416" t="s">
        <v>234</v>
      </c>
      <c r="T1416" t="s">
        <v>170</v>
      </c>
      <c r="U1416">
        <v>1.055714064956279E-2</v>
      </c>
      <c r="V1416" t="s">
        <v>163</v>
      </c>
    </row>
    <row r="1417" spans="19:22" x14ac:dyDescent="0.45">
      <c r="S1417" t="s">
        <v>234</v>
      </c>
      <c r="T1417" t="s">
        <v>171</v>
      </c>
      <c r="U1417">
        <v>1.5342022180687425E-2</v>
      </c>
      <c r="V1417" t="s">
        <v>163</v>
      </c>
    </row>
    <row r="1418" spans="19:22" x14ac:dyDescent="0.45">
      <c r="S1418" t="s">
        <v>234</v>
      </c>
      <c r="T1418" t="s">
        <v>262</v>
      </c>
      <c r="U1418">
        <v>2.6928051193784597E-3</v>
      </c>
      <c r="V1418" t="s">
        <v>163</v>
      </c>
    </row>
    <row r="1419" spans="19:22" x14ac:dyDescent="0.45">
      <c r="S1419" t="s">
        <v>234</v>
      </c>
      <c r="T1419" t="s">
        <v>263</v>
      </c>
      <c r="U1419">
        <v>2.7749781611761796E-3</v>
      </c>
      <c r="V1419" t="s">
        <v>163</v>
      </c>
    </row>
    <row r="1420" spans="19:22" x14ac:dyDescent="0.45">
      <c r="S1420" t="s">
        <v>234</v>
      </c>
      <c r="T1420" t="s">
        <v>264</v>
      </c>
      <c r="U1420">
        <v>1.50268204503138E-2</v>
      </c>
      <c r="V1420" t="s">
        <v>163</v>
      </c>
    </row>
    <row r="1421" spans="19:22" x14ac:dyDescent="0.45">
      <c r="S1421" t="s">
        <v>234</v>
      </c>
      <c r="T1421" t="s">
        <v>172</v>
      </c>
      <c r="U1421">
        <v>5.0931985084596697E-2</v>
      </c>
      <c r="V1421" t="s">
        <v>163</v>
      </c>
    </row>
    <row r="1422" spans="19:22" x14ac:dyDescent="0.45">
      <c r="S1422" t="s">
        <v>234</v>
      </c>
      <c r="T1422" t="s">
        <v>173</v>
      </c>
      <c r="U1422">
        <v>2.8957230432636198E-2</v>
      </c>
      <c r="V1422" t="s">
        <v>163</v>
      </c>
    </row>
    <row r="1423" spans="19:22" x14ac:dyDescent="0.45">
      <c r="S1423" t="s">
        <v>234</v>
      </c>
      <c r="T1423" t="s">
        <v>174</v>
      </c>
      <c r="U1423">
        <v>4.2746570725511017E-2</v>
      </c>
      <c r="V1423" t="s">
        <v>163</v>
      </c>
    </row>
    <row r="1424" spans="19:22" x14ac:dyDescent="0.45">
      <c r="S1424" t="s">
        <v>234</v>
      </c>
      <c r="T1424" t="s">
        <v>265</v>
      </c>
      <c r="U1424">
        <v>6.7840540674209554E-3</v>
      </c>
      <c r="V1424" t="s">
        <v>163</v>
      </c>
    </row>
    <row r="1425" spans="19:22" x14ac:dyDescent="0.45">
      <c r="S1425" t="s">
        <v>234</v>
      </c>
      <c r="T1425" t="s">
        <v>266</v>
      </c>
      <c r="U1425">
        <v>6.8015824716204732E-3</v>
      </c>
      <c r="V1425" t="s">
        <v>163</v>
      </c>
    </row>
    <row r="1426" spans="19:22" x14ac:dyDescent="0.45">
      <c r="S1426" t="s">
        <v>234</v>
      </c>
      <c r="T1426" t="s">
        <v>267</v>
      </c>
      <c r="U1426">
        <v>3.4715546265090338E-2</v>
      </c>
      <c r="V1426" t="s">
        <v>163</v>
      </c>
    </row>
    <row r="1427" spans="19:22" x14ac:dyDescent="0.45">
      <c r="S1427" t="s">
        <v>234</v>
      </c>
      <c r="T1427" t="s">
        <v>268</v>
      </c>
      <c r="U1427">
        <v>2.7528145628086288E-2</v>
      </c>
      <c r="V1427" t="s">
        <v>163</v>
      </c>
    </row>
    <row r="1428" spans="19:22" x14ac:dyDescent="0.45">
      <c r="S1428" t="s">
        <v>234</v>
      </c>
      <c r="T1428" t="s">
        <v>269</v>
      </c>
      <c r="U1428">
        <v>1.4937675005518401E-2</v>
      </c>
      <c r="V1428" t="s">
        <v>163</v>
      </c>
    </row>
    <row r="1429" spans="19:22" x14ac:dyDescent="0.45">
      <c r="S1429" t="s">
        <v>234</v>
      </c>
      <c r="T1429" t="s">
        <v>270</v>
      </c>
      <c r="U1429">
        <v>2.2394066347488133E-2</v>
      </c>
      <c r="V1429" t="s">
        <v>163</v>
      </c>
    </row>
    <row r="1430" spans="19:22" x14ac:dyDescent="0.45">
      <c r="S1430" t="s">
        <v>234</v>
      </c>
      <c r="T1430" t="s">
        <v>271</v>
      </c>
      <c r="U1430">
        <v>3.7486972045539736E-3</v>
      </c>
      <c r="V1430" t="s">
        <v>163</v>
      </c>
    </row>
    <row r="1431" spans="19:22" x14ac:dyDescent="0.45">
      <c r="S1431" t="s">
        <v>234</v>
      </c>
      <c r="T1431" t="s">
        <v>272</v>
      </c>
      <c r="U1431">
        <v>3.816453644200947E-3</v>
      </c>
      <c r="V1431" t="s">
        <v>163</v>
      </c>
    </row>
    <row r="1432" spans="19:22" x14ac:dyDescent="0.45">
      <c r="S1432" t="s">
        <v>234</v>
      </c>
      <c r="T1432" t="s">
        <v>273</v>
      </c>
      <c r="U1432">
        <v>1.9707388892415318E-2</v>
      </c>
      <c r="V1432" t="s">
        <v>163</v>
      </c>
    </row>
    <row r="1433" spans="19:22" x14ac:dyDescent="0.45">
      <c r="S1433" t="s">
        <v>234</v>
      </c>
      <c r="T1433" t="s">
        <v>274</v>
      </c>
      <c r="U1433">
        <v>7.9183787384886059E-2</v>
      </c>
      <c r="V1433" t="s">
        <v>163</v>
      </c>
    </row>
    <row r="1434" spans="19:22" x14ac:dyDescent="0.45">
      <c r="S1434" t="s">
        <v>234</v>
      </c>
      <c r="T1434" t="s">
        <v>275</v>
      </c>
      <c r="U1434">
        <v>4.5183387961742212E-2</v>
      </c>
      <c r="V1434" t="s">
        <v>163</v>
      </c>
    </row>
    <row r="1435" spans="19:22" x14ac:dyDescent="0.45">
      <c r="S1435" t="s">
        <v>234</v>
      </c>
      <c r="T1435" t="s">
        <v>276</v>
      </c>
      <c r="U1435">
        <v>6.5532058604720264E-2</v>
      </c>
      <c r="V1435" t="s">
        <v>163</v>
      </c>
    </row>
    <row r="1436" spans="19:22" x14ac:dyDescent="0.45">
      <c r="S1436" t="s">
        <v>234</v>
      </c>
      <c r="T1436" t="s">
        <v>277</v>
      </c>
      <c r="U1436">
        <v>1.0706317487748531E-2</v>
      </c>
      <c r="V1436" t="s">
        <v>163</v>
      </c>
    </row>
    <row r="1437" spans="19:22" x14ac:dyDescent="0.45">
      <c r="S1437" t="s">
        <v>234</v>
      </c>
      <c r="T1437" t="s">
        <v>278</v>
      </c>
      <c r="U1437">
        <v>1.0830137548990659E-2</v>
      </c>
      <c r="V1437" t="s">
        <v>163</v>
      </c>
    </row>
    <row r="1438" spans="19:22" x14ac:dyDescent="0.45">
      <c r="S1438" t="s">
        <v>234</v>
      </c>
      <c r="T1438" t="s">
        <v>279</v>
      </c>
      <c r="U1438">
        <v>5.6437628130901911E-2</v>
      </c>
      <c r="V1438" t="s">
        <v>163</v>
      </c>
    </row>
    <row r="1439" spans="19:22" x14ac:dyDescent="0.45">
      <c r="S1439" t="s">
        <v>234</v>
      </c>
      <c r="T1439" t="s">
        <v>280</v>
      </c>
      <c r="U1439">
        <v>3.0937724620826949E-2</v>
      </c>
      <c r="V1439" t="s">
        <v>163</v>
      </c>
    </row>
    <row r="1440" spans="19:22" x14ac:dyDescent="0.45">
      <c r="S1440" t="s">
        <v>234</v>
      </c>
      <c r="T1440" t="s">
        <v>281</v>
      </c>
      <c r="U1440">
        <v>1.4936028944036447E-2</v>
      </c>
      <c r="V1440" t="s">
        <v>163</v>
      </c>
    </row>
    <row r="1441" spans="19:22" x14ac:dyDescent="0.45">
      <c r="S1441" t="s">
        <v>234</v>
      </c>
      <c r="T1441" t="s">
        <v>282</v>
      </c>
      <c r="U1441">
        <v>2.2328457540604311E-2</v>
      </c>
      <c r="V1441" t="s">
        <v>163</v>
      </c>
    </row>
    <row r="1442" spans="19:22" x14ac:dyDescent="0.45">
      <c r="S1442" t="s">
        <v>234</v>
      </c>
      <c r="T1442" t="s">
        <v>283</v>
      </c>
      <c r="U1442">
        <v>3.8952358460821465E-3</v>
      </c>
      <c r="V1442" t="s">
        <v>163</v>
      </c>
    </row>
    <row r="1443" spans="19:22" x14ac:dyDescent="0.45">
      <c r="S1443" t="s">
        <v>234</v>
      </c>
      <c r="T1443" t="s">
        <v>284</v>
      </c>
      <c r="U1443">
        <v>4.036849715600711E-3</v>
      </c>
      <c r="V1443" t="s">
        <v>163</v>
      </c>
    </row>
    <row r="1444" spans="19:22" x14ac:dyDescent="0.45">
      <c r="S1444" t="s">
        <v>234</v>
      </c>
      <c r="T1444" t="s">
        <v>285</v>
      </c>
      <c r="U1444">
        <v>2.2508558576710205E-2</v>
      </c>
      <c r="V1444" t="s">
        <v>163</v>
      </c>
    </row>
    <row r="1445" spans="19:22" x14ac:dyDescent="0.45">
      <c r="S1445" t="s">
        <v>234</v>
      </c>
      <c r="T1445" t="s">
        <v>286</v>
      </c>
      <c r="U1445">
        <v>4.5048723786864316E-2</v>
      </c>
      <c r="V1445" t="s">
        <v>163</v>
      </c>
    </row>
    <row r="1446" spans="19:22" x14ac:dyDescent="0.45">
      <c r="S1446" t="s">
        <v>234</v>
      </c>
      <c r="T1446" t="s">
        <v>287</v>
      </c>
      <c r="U1446">
        <v>2.6083296824427865E-2</v>
      </c>
      <c r="V1446" t="s">
        <v>163</v>
      </c>
    </row>
    <row r="1447" spans="19:22" x14ac:dyDescent="0.45">
      <c r="S1447" t="s">
        <v>234</v>
      </c>
      <c r="T1447" t="s">
        <v>288</v>
      </c>
      <c r="U1447">
        <v>3.8594422379129335E-2</v>
      </c>
      <c r="V1447" t="s">
        <v>163</v>
      </c>
    </row>
    <row r="1448" spans="19:22" x14ac:dyDescent="0.45">
      <c r="S1448" t="s">
        <v>234</v>
      </c>
      <c r="T1448" t="s">
        <v>289</v>
      </c>
      <c r="U1448">
        <v>6.2239764876832549E-3</v>
      </c>
      <c r="V1448" t="s">
        <v>163</v>
      </c>
    </row>
    <row r="1449" spans="19:22" x14ac:dyDescent="0.45">
      <c r="S1449" t="s">
        <v>234</v>
      </c>
      <c r="T1449" t="s">
        <v>290</v>
      </c>
      <c r="U1449">
        <v>6.3190391548187215E-3</v>
      </c>
      <c r="V1449" t="s">
        <v>163</v>
      </c>
    </row>
    <row r="1450" spans="19:22" x14ac:dyDescent="0.45">
      <c r="S1450" t="s">
        <v>234</v>
      </c>
      <c r="T1450" t="s">
        <v>291</v>
      </c>
      <c r="U1450">
        <v>3.1833262018863447E-2</v>
      </c>
      <c r="V1450" t="s">
        <v>163</v>
      </c>
    </row>
    <row r="1451" spans="19:22" x14ac:dyDescent="0.45">
      <c r="S1451" t="s">
        <v>235</v>
      </c>
      <c r="T1451" t="s">
        <v>162</v>
      </c>
      <c r="U1451">
        <v>2.5294604008084955E-2</v>
      </c>
      <c r="V1451" t="s">
        <v>163</v>
      </c>
    </row>
    <row r="1452" spans="19:22" x14ac:dyDescent="0.45">
      <c r="S1452" t="s">
        <v>235</v>
      </c>
      <c r="T1452" t="s">
        <v>164</v>
      </c>
      <c r="U1452">
        <v>1.3606736872655407E-2</v>
      </c>
      <c r="V1452" t="s">
        <v>163</v>
      </c>
    </row>
    <row r="1453" spans="19:22" x14ac:dyDescent="0.45">
      <c r="S1453" t="s">
        <v>235</v>
      </c>
      <c r="T1453" t="s">
        <v>165</v>
      </c>
      <c r="U1453">
        <v>2.0757684282782473E-2</v>
      </c>
      <c r="V1453" t="s">
        <v>163</v>
      </c>
    </row>
    <row r="1454" spans="19:22" x14ac:dyDescent="0.45">
      <c r="S1454" t="s">
        <v>235</v>
      </c>
      <c r="T1454" t="s">
        <v>256</v>
      </c>
      <c r="U1454">
        <v>3.6167396616984464E-3</v>
      </c>
      <c r="V1454" t="s">
        <v>163</v>
      </c>
    </row>
    <row r="1455" spans="19:22" x14ac:dyDescent="0.45">
      <c r="S1455" t="s">
        <v>235</v>
      </c>
      <c r="T1455" t="s">
        <v>257</v>
      </c>
      <c r="U1455">
        <v>3.6333312858649555E-3</v>
      </c>
      <c r="V1455" t="s">
        <v>163</v>
      </c>
    </row>
    <row r="1456" spans="19:22" x14ac:dyDescent="0.45">
      <c r="S1456" t="s">
        <v>235</v>
      </c>
      <c r="T1456" t="s">
        <v>258</v>
      </c>
      <c r="U1456">
        <v>1.8679563490549143E-2</v>
      </c>
      <c r="V1456" t="s">
        <v>163</v>
      </c>
    </row>
    <row r="1457" spans="19:22" x14ac:dyDescent="0.45">
      <c r="S1457" t="s">
        <v>235</v>
      </c>
      <c r="T1457" t="s">
        <v>166</v>
      </c>
      <c r="U1457">
        <v>1.5101709346343549E-2</v>
      </c>
      <c r="V1457" t="s">
        <v>163</v>
      </c>
    </row>
    <row r="1458" spans="19:22" x14ac:dyDescent="0.45">
      <c r="S1458" t="s">
        <v>235</v>
      </c>
      <c r="T1458" t="s">
        <v>167</v>
      </c>
      <c r="U1458">
        <v>7.6022803937684123E-3</v>
      </c>
      <c r="V1458" t="s">
        <v>163</v>
      </c>
    </row>
    <row r="1459" spans="19:22" x14ac:dyDescent="0.45">
      <c r="S1459" t="s">
        <v>235</v>
      </c>
      <c r="T1459" t="s">
        <v>168</v>
      </c>
      <c r="U1459">
        <v>1.2815019627985248E-2</v>
      </c>
      <c r="V1459" t="s">
        <v>163</v>
      </c>
    </row>
    <row r="1460" spans="19:22" x14ac:dyDescent="0.45">
      <c r="S1460" t="s">
        <v>235</v>
      </c>
      <c r="T1460" t="s">
        <v>259</v>
      </c>
      <c r="U1460">
        <v>2.5380294687575543E-3</v>
      </c>
      <c r="V1460" t="s">
        <v>163</v>
      </c>
    </row>
    <row r="1461" spans="19:22" x14ac:dyDescent="0.45">
      <c r="S1461" t="s">
        <v>235</v>
      </c>
      <c r="T1461" t="s">
        <v>260</v>
      </c>
      <c r="U1461">
        <v>2.5659175792831479E-3</v>
      </c>
      <c r="V1461" t="s">
        <v>163</v>
      </c>
    </row>
    <row r="1462" spans="19:22" x14ac:dyDescent="0.45">
      <c r="S1462" t="s">
        <v>235</v>
      </c>
      <c r="T1462" t="s">
        <v>261</v>
      </c>
      <c r="U1462">
        <v>1.2623265037974873E-2</v>
      </c>
      <c r="V1462" t="s">
        <v>163</v>
      </c>
    </row>
    <row r="1463" spans="19:22" x14ac:dyDescent="0.45">
      <c r="S1463" t="s">
        <v>235</v>
      </c>
      <c r="T1463" t="s">
        <v>169</v>
      </c>
      <c r="U1463">
        <v>1.2810096637175796E-2</v>
      </c>
      <c r="V1463" t="s">
        <v>163</v>
      </c>
    </row>
    <row r="1464" spans="19:22" x14ac:dyDescent="0.45">
      <c r="S1464" t="s">
        <v>235</v>
      </c>
      <c r="T1464" t="s">
        <v>170</v>
      </c>
      <c r="U1464">
        <v>7.6940646693333557E-3</v>
      </c>
      <c r="V1464" t="s">
        <v>163</v>
      </c>
    </row>
    <row r="1465" spans="19:22" x14ac:dyDescent="0.45">
      <c r="S1465" t="s">
        <v>235</v>
      </c>
      <c r="T1465" t="s">
        <v>171</v>
      </c>
      <c r="U1465">
        <v>1.2123037005670908E-2</v>
      </c>
      <c r="V1465" t="s">
        <v>163</v>
      </c>
    </row>
    <row r="1466" spans="19:22" x14ac:dyDescent="0.45">
      <c r="S1466" t="s">
        <v>235</v>
      </c>
      <c r="T1466" t="s">
        <v>262</v>
      </c>
      <c r="U1466">
        <v>2.2568899028568017E-3</v>
      </c>
      <c r="V1466" t="s">
        <v>163</v>
      </c>
    </row>
    <row r="1467" spans="19:22" x14ac:dyDescent="0.45">
      <c r="S1467" t="s">
        <v>235</v>
      </c>
      <c r="T1467" t="s">
        <v>263</v>
      </c>
      <c r="U1467">
        <v>2.3026818734518447E-3</v>
      </c>
      <c r="V1467" t="s">
        <v>163</v>
      </c>
    </row>
    <row r="1468" spans="19:22" x14ac:dyDescent="0.45">
      <c r="S1468" t="s">
        <v>235</v>
      </c>
      <c r="T1468" t="s">
        <v>264</v>
      </c>
      <c r="U1468">
        <v>1.1294134504950896E-2</v>
      </c>
      <c r="V1468" t="s">
        <v>163</v>
      </c>
    </row>
    <row r="1469" spans="19:22" x14ac:dyDescent="0.45">
      <c r="S1469" t="s">
        <v>235</v>
      </c>
      <c r="T1469" t="s">
        <v>172</v>
      </c>
      <c r="U1469">
        <v>5.1523581305705855E-2</v>
      </c>
      <c r="V1469" t="s">
        <v>163</v>
      </c>
    </row>
    <row r="1470" spans="19:22" x14ac:dyDescent="0.45">
      <c r="S1470" t="s">
        <v>235</v>
      </c>
      <c r="T1470" t="s">
        <v>173</v>
      </c>
      <c r="U1470">
        <v>2.9337503502530567E-2</v>
      </c>
      <c r="V1470" t="s">
        <v>163</v>
      </c>
    </row>
    <row r="1471" spans="19:22" x14ac:dyDescent="0.45">
      <c r="S1471" t="s">
        <v>235</v>
      </c>
      <c r="T1471" t="s">
        <v>174</v>
      </c>
      <c r="U1471">
        <v>4.5342297975397121E-2</v>
      </c>
      <c r="V1471" t="s">
        <v>163</v>
      </c>
    </row>
    <row r="1472" spans="19:22" x14ac:dyDescent="0.45">
      <c r="S1472" t="s">
        <v>235</v>
      </c>
      <c r="T1472" t="s">
        <v>265</v>
      </c>
      <c r="U1472">
        <v>7.4778783606094194E-3</v>
      </c>
      <c r="V1472" t="s">
        <v>163</v>
      </c>
    </row>
    <row r="1473" spans="19:22" x14ac:dyDescent="0.45">
      <c r="S1473" t="s">
        <v>235</v>
      </c>
      <c r="T1473" t="s">
        <v>266</v>
      </c>
      <c r="U1473">
        <v>7.5450896737188269E-3</v>
      </c>
      <c r="V1473" t="s">
        <v>163</v>
      </c>
    </row>
    <row r="1474" spans="19:22" x14ac:dyDescent="0.45">
      <c r="S1474" t="s">
        <v>235</v>
      </c>
      <c r="T1474" t="s">
        <v>267</v>
      </c>
      <c r="U1474">
        <v>3.7530290991920463E-2</v>
      </c>
      <c r="V1474" t="s">
        <v>163</v>
      </c>
    </row>
    <row r="1475" spans="19:22" x14ac:dyDescent="0.45">
      <c r="S1475" t="s">
        <v>235</v>
      </c>
      <c r="T1475" t="s">
        <v>268</v>
      </c>
      <c r="U1475">
        <v>2.541889249132542E-2</v>
      </c>
      <c r="V1475" t="s">
        <v>163</v>
      </c>
    </row>
    <row r="1476" spans="19:22" x14ac:dyDescent="0.45">
      <c r="S1476" t="s">
        <v>235</v>
      </c>
      <c r="T1476" t="s">
        <v>269</v>
      </c>
      <c r="U1476">
        <v>1.3867097263049888E-2</v>
      </c>
      <c r="V1476" t="s">
        <v>163</v>
      </c>
    </row>
    <row r="1477" spans="19:22" x14ac:dyDescent="0.45">
      <c r="S1477" t="s">
        <v>235</v>
      </c>
      <c r="T1477" t="s">
        <v>270</v>
      </c>
      <c r="U1477">
        <v>2.0652482188387358E-2</v>
      </c>
      <c r="V1477" t="s">
        <v>163</v>
      </c>
    </row>
    <row r="1478" spans="19:22" x14ac:dyDescent="0.45">
      <c r="S1478" t="s">
        <v>235</v>
      </c>
      <c r="T1478" t="s">
        <v>271</v>
      </c>
      <c r="U1478">
        <v>3.4145226418648405E-3</v>
      </c>
      <c r="V1478" t="s">
        <v>163</v>
      </c>
    </row>
    <row r="1479" spans="19:22" x14ac:dyDescent="0.45">
      <c r="S1479" t="s">
        <v>235</v>
      </c>
      <c r="T1479" t="s">
        <v>272</v>
      </c>
      <c r="U1479">
        <v>3.4246048142623133E-3</v>
      </c>
      <c r="V1479" t="s">
        <v>163</v>
      </c>
    </row>
    <row r="1480" spans="19:22" x14ac:dyDescent="0.45">
      <c r="S1480" t="s">
        <v>235</v>
      </c>
      <c r="T1480" t="s">
        <v>273</v>
      </c>
      <c r="U1480">
        <v>1.7567608956094251E-2</v>
      </c>
      <c r="V1480" t="s">
        <v>163</v>
      </c>
    </row>
    <row r="1481" spans="19:22" x14ac:dyDescent="0.45">
      <c r="S1481" t="s">
        <v>235</v>
      </c>
      <c r="T1481" t="s">
        <v>274</v>
      </c>
      <c r="U1481">
        <v>8.9322087895145799E-2</v>
      </c>
      <c r="V1481" t="s">
        <v>163</v>
      </c>
    </row>
    <row r="1482" spans="19:22" x14ac:dyDescent="0.45">
      <c r="S1482" t="s">
        <v>235</v>
      </c>
      <c r="T1482" t="s">
        <v>275</v>
      </c>
      <c r="U1482">
        <v>5.08432282566708E-2</v>
      </c>
      <c r="V1482" t="s">
        <v>163</v>
      </c>
    </row>
    <row r="1483" spans="19:22" x14ac:dyDescent="0.45">
      <c r="S1483" t="s">
        <v>235</v>
      </c>
      <c r="T1483" t="s">
        <v>276</v>
      </c>
      <c r="U1483">
        <v>7.2915730369331799E-2</v>
      </c>
      <c r="V1483" t="s">
        <v>163</v>
      </c>
    </row>
    <row r="1484" spans="19:22" x14ac:dyDescent="0.45">
      <c r="S1484" t="s">
        <v>235</v>
      </c>
      <c r="T1484" t="s">
        <v>277</v>
      </c>
      <c r="U1484">
        <v>1.140239845460043E-2</v>
      </c>
      <c r="V1484" t="s">
        <v>163</v>
      </c>
    </row>
    <row r="1485" spans="19:22" x14ac:dyDescent="0.45">
      <c r="S1485" t="s">
        <v>235</v>
      </c>
      <c r="T1485" t="s">
        <v>278</v>
      </c>
      <c r="U1485">
        <v>1.1340568510646312E-2</v>
      </c>
      <c r="V1485" t="s">
        <v>163</v>
      </c>
    </row>
    <row r="1486" spans="19:22" x14ac:dyDescent="0.45">
      <c r="S1486" t="s">
        <v>235</v>
      </c>
      <c r="T1486" t="s">
        <v>279</v>
      </c>
      <c r="U1486">
        <v>5.9270971170052721E-2</v>
      </c>
      <c r="V1486" t="s">
        <v>163</v>
      </c>
    </row>
    <row r="1487" spans="19:22" x14ac:dyDescent="0.45">
      <c r="S1487" t="s">
        <v>235</v>
      </c>
      <c r="T1487" t="s">
        <v>280</v>
      </c>
      <c r="U1487">
        <v>3.2442137884241079E-2</v>
      </c>
      <c r="V1487" t="s">
        <v>163</v>
      </c>
    </row>
    <row r="1488" spans="19:22" x14ac:dyDescent="0.45">
      <c r="S1488" t="s">
        <v>235</v>
      </c>
      <c r="T1488" t="s">
        <v>281</v>
      </c>
      <c r="U1488">
        <v>1.6267176137524906E-2</v>
      </c>
      <c r="V1488" t="s">
        <v>163</v>
      </c>
    </row>
    <row r="1489" spans="19:22" x14ac:dyDescent="0.45">
      <c r="S1489" t="s">
        <v>235</v>
      </c>
      <c r="T1489" t="s">
        <v>282</v>
      </c>
      <c r="U1489">
        <v>2.4610595878220336E-2</v>
      </c>
      <c r="V1489" t="s">
        <v>163</v>
      </c>
    </row>
    <row r="1490" spans="19:22" x14ac:dyDescent="0.45">
      <c r="S1490" t="s">
        <v>235</v>
      </c>
      <c r="T1490" t="s">
        <v>283</v>
      </c>
      <c r="U1490">
        <v>4.2475116390995925E-3</v>
      </c>
      <c r="V1490" t="s">
        <v>163</v>
      </c>
    </row>
    <row r="1491" spans="19:22" x14ac:dyDescent="0.45">
      <c r="S1491" t="s">
        <v>235</v>
      </c>
      <c r="T1491" t="s">
        <v>284</v>
      </c>
      <c r="U1491">
        <v>4.3190502234654749E-3</v>
      </c>
      <c r="V1491" t="s">
        <v>163</v>
      </c>
    </row>
    <row r="1492" spans="19:22" x14ac:dyDescent="0.45">
      <c r="S1492" t="s">
        <v>235</v>
      </c>
      <c r="T1492" t="s">
        <v>285</v>
      </c>
      <c r="U1492">
        <v>2.2878087639608247E-2</v>
      </c>
      <c r="V1492" t="s">
        <v>163</v>
      </c>
    </row>
    <row r="1493" spans="19:22" x14ac:dyDescent="0.45">
      <c r="S1493" t="s">
        <v>235</v>
      </c>
      <c r="T1493" t="s">
        <v>286</v>
      </c>
      <c r="U1493">
        <v>4.4129224031063799E-2</v>
      </c>
      <c r="V1493" t="s">
        <v>163</v>
      </c>
    </row>
    <row r="1494" spans="19:22" x14ac:dyDescent="0.45">
      <c r="S1494" t="s">
        <v>235</v>
      </c>
      <c r="T1494" t="s">
        <v>287</v>
      </c>
      <c r="U1494">
        <v>2.3912369038759252E-2</v>
      </c>
      <c r="V1494" t="s">
        <v>163</v>
      </c>
    </row>
    <row r="1495" spans="19:22" x14ac:dyDescent="0.45">
      <c r="S1495" t="s">
        <v>235</v>
      </c>
      <c r="T1495" t="s">
        <v>288</v>
      </c>
      <c r="U1495">
        <v>3.6536570740362394E-2</v>
      </c>
      <c r="V1495" t="s">
        <v>163</v>
      </c>
    </row>
    <row r="1496" spans="19:22" x14ac:dyDescent="0.45">
      <c r="S1496" t="s">
        <v>235</v>
      </c>
      <c r="T1496" t="s">
        <v>289</v>
      </c>
      <c r="U1496">
        <v>6.4442796693003025E-3</v>
      </c>
      <c r="V1496" t="s">
        <v>163</v>
      </c>
    </row>
    <row r="1497" spans="19:22" x14ac:dyDescent="0.45">
      <c r="S1497" t="s">
        <v>235</v>
      </c>
      <c r="T1497" t="s">
        <v>290</v>
      </c>
      <c r="U1497">
        <v>6.3913467866495727E-3</v>
      </c>
      <c r="V1497" t="s">
        <v>163</v>
      </c>
    </row>
    <row r="1498" spans="19:22" x14ac:dyDescent="0.45">
      <c r="S1498" t="s">
        <v>235</v>
      </c>
      <c r="T1498" t="s">
        <v>291</v>
      </c>
      <c r="U1498">
        <v>3.2309029861200121E-2</v>
      </c>
      <c r="V1498" t="s">
        <v>163</v>
      </c>
    </row>
    <row r="1499" spans="19:22" x14ac:dyDescent="0.45">
      <c r="S1499" t="s">
        <v>236</v>
      </c>
      <c r="T1499" t="s">
        <v>162</v>
      </c>
      <c r="U1499">
        <v>2.4658696813290779E-2</v>
      </c>
      <c r="V1499" t="s">
        <v>163</v>
      </c>
    </row>
    <row r="1500" spans="19:22" x14ac:dyDescent="0.45">
      <c r="S1500" t="s">
        <v>236</v>
      </c>
      <c r="T1500" t="s">
        <v>164</v>
      </c>
      <c r="U1500">
        <v>1.3683009222496484E-2</v>
      </c>
      <c r="V1500" t="s">
        <v>163</v>
      </c>
    </row>
    <row r="1501" spans="19:22" x14ac:dyDescent="0.45">
      <c r="S1501" t="s">
        <v>236</v>
      </c>
      <c r="T1501" t="s">
        <v>165</v>
      </c>
      <c r="U1501">
        <v>2.3033682570110077E-2</v>
      </c>
      <c r="V1501" t="s">
        <v>163</v>
      </c>
    </row>
    <row r="1502" spans="19:22" x14ac:dyDescent="0.45">
      <c r="S1502" t="s">
        <v>236</v>
      </c>
      <c r="T1502" t="s">
        <v>256</v>
      </c>
      <c r="U1502">
        <v>4.1590496159075799E-3</v>
      </c>
      <c r="V1502" t="s">
        <v>163</v>
      </c>
    </row>
    <row r="1503" spans="19:22" x14ac:dyDescent="0.45">
      <c r="S1503" t="s">
        <v>236</v>
      </c>
      <c r="T1503" t="s">
        <v>257</v>
      </c>
      <c r="U1503">
        <v>4.1077927194244669E-3</v>
      </c>
      <c r="V1503" t="s">
        <v>163</v>
      </c>
    </row>
    <row r="1504" spans="19:22" x14ac:dyDescent="0.45">
      <c r="S1504" t="s">
        <v>236</v>
      </c>
      <c r="T1504" t="s">
        <v>258</v>
      </c>
      <c r="U1504">
        <v>1.9474145890439484E-2</v>
      </c>
      <c r="V1504" t="s">
        <v>163</v>
      </c>
    </row>
    <row r="1505" spans="19:22" x14ac:dyDescent="0.45">
      <c r="S1505" t="s">
        <v>236</v>
      </c>
      <c r="T1505" t="s">
        <v>166</v>
      </c>
      <c r="U1505">
        <v>1.3831344073673786E-2</v>
      </c>
      <c r="V1505" t="s">
        <v>163</v>
      </c>
    </row>
    <row r="1506" spans="19:22" x14ac:dyDescent="0.45">
      <c r="S1506" t="s">
        <v>236</v>
      </c>
      <c r="T1506" t="s">
        <v>167</v>
      </c>
      <c r="U1506">
        <v>6.882499123445714E-3</v>
      </c>
      <c r="V1506" t="s">
        <v>163</v>
      </c>
    </row>
    <row r="1507" spans="19:22" x14ac:dyDescent="0.45">
      <c r="S1507" t="s">
        <v>236</v>
      </c>
      <c r="T1507" t="s">
        <v>168</v>
      </c>
      <c r="U1507">
        <v>1.1580131852347242E-2</v>
      </c>
      <c r="V1507" t="s">
        <v>163</v>
      </c>
    </row>
    <row r="1508" spans="19:22" x14ac:dyDescent="0.45">
      <c r="S1508" t="s">
        <v>236</v>
      </c>
      <c r="T1508" t="s">
        <v>259</v>
      </c>
      <c r="U1508">
        <v>2.3002828281472568E-3</v>
      </c>
      <c r="V1508" t="s">
        <v>163</v>
      </c>
    </row>
    <row r="1509" spans="19:22" x14ac:dyDescent="0.45">
      <c r="S1509" t="s">
        <v>236</v>
      </c>
      <c r="T1509" t="s">
        <v>260</v>
      </c>
      <c r="U1509">
        <v>2.3329219486919661E-3</v>
      </c>
      <c r="V1509" t="s">
        <v>163</v>
      </c>
    </row>
    <row r="1510" spans="19:22" x14ac:dyDescent="0.45">
      <c r="S1510" t="s">
        <v>236</v>
      </c>
      <c r="T1510" t="s">
        <v>261</v>
      </c>
      <c r="U1510">
        <v>1.1155571307811916E-2</v>
      </c>
      <c r="V1510" t="s">
        <v>163</v>
      </c>
    </row>
    <row r="1511" spans="19:22" x14ac:dyDescent="0.45">
      <c r="S1511" t="s">
        <v>236</v>
      </c>
      <c r="T1511" t="s">
        <v>169</v>
      </c>
      <c r="U1511">
        <v>1.5458530383876632E-2</v>
      </c>
      <c r="V1511" t="s">
        <v>163</v>
      </c>
    </row>
    <row r="1512" spans="19:22" x14ac:dyDescent="0.45">
      <c r="S1512" t="s">
        <v>236</v>
      </c>
      <c r="T1512" t="s">
        <v>170</v>
      </c>
      <c r="U1512">
        <v>9.120979999494367E-3</v>
      </c>
      <c r="V1512" t="s">
        <v>163</v>
      </c>
    </row>
    <row r="1513" spans="19:22" x14ac:dyDescent="0.45">
      <c r="S1513" t="s">
        <v>236</v>
      </c>
      <c r="T1513" t="s">
        <v>171</v>
      </c>
      <c r="U1513">
        <v>1.3577036089438579E-2</v>
      </c>
      <c r="V1513" t="s">
        <v>163</v>
      </c>
    </row>
    <row r="1514" spans="19:22" x14ac:dyDescent="0.45">
      <c r="S1514" t="s">
        <v>236</v>
      </c>
      <c r="T1514" t="s">
        <v>262</v>
      </c>
      <c r="U1514">
        <v>2.2357328591845263E-3</v>
      </c>
      <c r="V1514" t="s">
        <v>163</v>
      </c>
    </row>
    <row r="1515" spans="19:22" x14ac:dyDescent="0.45">
      <c r="S1515" t="s">
        <v>236</v>
      </c>
      <c r="T1515" t="s">
        <v>263</v>
      </c>
      <c r="U1515">
        <v>2.1800826071795136E-3</v>
      </c>
      <c r="V1515" t="s">
        <v>163</v>
      </c>
    </row>
    <row r="1516" spans="19:22" x14ac:dyDescent="0.45">
      <c r="S1516" t="s">
        <v>236</v>
      </c>
      <c r="T1516" t="s">
        <v>264</v>
      </c>
      <c r="U1516">
        <v>1.0224444449839857E-2</v>
      </c>
      <c r="V1516" t="s">
        <v>163</v>
      </c>
    </row>
    <row r="1517" spans="19:22" x14ac:dyDescent="0.45">
      <c r="S1517" t="s">
        <v>236</v>
      </c>
      <c r="T1517" t="s">
        <v>172</v>
      </c>
      <c r="U1517">
        <v>4.4636133878014857E-2</v>
      </c>
      <c r="V1517" t="s">
        <v>163</v>
      </c>
    </row>
    <row r="1518" spans="19:22" x14ac:dyDescent="0.45">
      <c r="S1518" t="s">
        <v>236</v>
      </c>
      <c r="T1518" t="s">
        <v>173</v>
      </c>
      <c r="U1518">
        <v>2.4809791283456718E-2</v>
      </c>
      <c r="V1518" t="s">
        <v>163</v>
      </c>
    </row>
    <row r="1519" spans="19:22" x14ac:dyDescent="0.45">
      <c r="S1519" t="s">
        <v>236</v>
      </c>
      <c r="T1519" t="s">
        <v>174</v>
      </c>
      <c r="U1519">
        <v>4.0508736539356716E-2</v>
      </c>
      <c r="V1519" t="s">
        <v>163</v>
      </c>
    </row>
    <row r="1520" spans="19:22" x14ac:dyDescent="0.45">
      <c r="S1520" t="s">
        <v>236</v>
      </c>
      <c r="T1520" t="s">
        <v>265</v>
      </c>
      <c r="U1520">
        <v>7.0389516700973499E-3</v>
      </c>
      <c r="V1520" t="s">
        <v>163</v>
      </c>
    </row>
    <row r="1521" spans="19:22" x14ac:dyDescent="0.45">
      <c r="S1521" t="s">
        <v>236</v>
      </c>
      <c r="T1521" t="s">
        <v>266</v>
      </c>
      <c r="U1521">
        <v>7.006937652096968E-3</v>
      </c>
      <c r="V1521" t="s">
        <v>163</v>
      </c>
    </row>
    <row r="1522" spans="19:22" x14ac:dyDescent="0.45">
      <c r="S1522" t="s">
        <v>236</v>
      </c>
      <c r="T1522" t="s">
        <v>267</v>
      </c>
      <c r="U1522">
        <v>3.3431116957982891E-2</v>
      </c>
      <c r="V1522" t="s">
        <v>163</v>
      </c>
    </row>
    <row r="1523" spans="19:22" x14ac:dyDescent="0.45">
      <c r="S1523" t="s">
        <v>236</v>
      </c>
      <c r="T1523" t="s">
        <v>268</v>
      </c>
      <c r="U1523">
        <v>2.3985553999268418E-2</v>
      </c>
      <c r="V1523" t="s">
        <v>163</v>
      </c>
    </row>
    <row r="1524" spans="19:22" x14ac:dyDescent="0.45">
      <c r="S1524" t="s">
        <v>236</v>
      </c>
      <c r="T1524" t="s">
        <v>269</v>
      </c>
      <c r="U1524">
        <v>1.2963506142766873E-2</v>
      </c>
      <c r="V1524" t="s">
        <v>163</v>
      </c>
    </row>
    <row r="1525" spans="19:22" x14ac:dyDescent="0.45">
      <c r="S1525" t="s">
        <v>236</v>
      </c>
      <c r="T1525" t="s">
        <v>270</v>
      </c>
      <c r="U1525">
        <v>1.9456062737823784E-2</v>
      </c>
      <c r="V1525" t="s">
        <v>163</v>
      </c>
    </row>
    <row r="1526" spans="19:22" x14ac:dyDescent="0.45">
      <c r="S1526" t="s">
        <v>236</v>
      </c>
      <c r="T1526" t="s">
        <v>271</v>
      </c>
      <c r="U1526">
        <v>3.1632890631877715E-3</v>
      </c>
      <c r="V1526" t="s">
        <v>163</v>
      </c>
    </row>
    <row r="1527" spans="19:22" x14ac:dyDescent="0.45">
      <c r="S1527" t="s">
        <v>236</v>
      </c>
      <c r="T1527" t="s">
        <v>272</v>
      </c>
      <c r="U1527">
        <v>3.1552056237871924E-3</v>
      </c>
      <c r="V1527" t="s">
        <v>163</v>
      </c>
    </row>
    <row r="1528" spans="19:22" x14ac:dyDescent="0.45">
      <c r="S1528" t="s">
        <v>236</v>
      </c>
      <c r="T1528" t="s">
        <v>273</v>
      </c>
      <c r="U1528">
        <v>1.5607782292554643E-2</v>
      </c>
      <c r="V1528" t="s">
        <v>163</v>
      </c>
    </row>
    <row r="1529" spans="19:22" x14ac:dyDescent="0.45">
      <c r="S1529" t="s">
        <v>236</v>
      </c>
      <c r="T1529" t="s">
        <v>274</v>
      </c>
      <c r="U1529">
        <v>8.3107935394587829E-2</v>
      </c>
      <c r="V1529" t="s">
        <v>163</v>
      </c>
    </row>
    <row r="1530" spans="19:22" x14ac:dyDescent="0.45">
      <c r="S1530" t="s">
        <v>236</v>
      </c>
      <c r="T1530" t="s">
        <v>275</v>
      </c>
      <c r="U1530">
        <v>4.7088325705265874E-2</v>
      </c>
      <c r="V1530" t="s">
        <v>163</v>
      </c>
    </row>
    <row r="1531" spans="19:22" x14ac:dyDescent="0.45">
      <c r="S1531" t="s">
        <v>236</v>
      </c>
      <c r="T1531" t="s">
        <v>276</v>
      </c>
      <c r="U1531">
        <v>7.655884111801245E-2</v>
      </c>
      <c r="V1531" t="s">
        <v>163</v>
      </c>
    </row>
    <row r="1532" spans="19:22" x14ac:dyDescent="0.45">
      <c r="S1532" t="s">
        <v>236</v>
      </c>
      <c r="T1532" t="s">
        <v>277</v>
      </c>
      <c r="U1532">
        <v>1.3297776955849617E-2</v>
      </c>
      <c r="V1532" t="s">
        <v>163</v>
      </c>
    </row>
    <row r="1533" spans="19:22" x14ac:dyDescent="0.45">
      <c r="S1533" t="s">
        <v>236</v>
      </c>
      <c r="T1533" t="s">
        <v>278</v>
      </c>
      <c r="U1533">
        <v>1.3285485458724504E-2</v>
      </c>
      <c r="V1533" t="s">
        <v>163</v>
      </c>
    </row>
    <row r="1534" spans="19:22" x14ac:dyDescent="0.45">
      <c r="S1534" t="s">
        <v>236</v>
      </c>
      <c r="T1534" t="s">
        <v>279</v>
      </c>
      <c r="U1534">
        <v>6.4204669303931428E-2</v>
      </c>
      <c r="V1534" t="s">
        <v>163</v>
      </c>
    </row>
    <row r="1535" spans="19:22" x14ac:dyDescent="0.45">
      <c r="S1535" t="s">
        <v>236</v>
      </c>
      <c r="T1535" t="s">
        <v>280</v>
      </c>
      <c r="U1535">
        <v>3.2173892933056204E-2</v>
      </c>
      <c r="V1535" t="s">
        <v>163</v>
      </c>
    </row>
    <row r="1536" spans="19:22" x14ac:dyDescent="0.45">
      <c r="S1536" t="s">
        <v>236</v>
      </c>
      <c r="T1536" t="s">
        <v>281</v>
      </c>
      <c r="U1536">
        <v>1.7655872330130377E-2</v>
      </c>
      <c r="V1536" t="s">
        <v>163</v>
      </c>
    </row>
    <row r="1537" spans="19:22" x14ac:dyDescent="0.45">
      <c r="S1537" t="s">
        <v>236</v>
      </c>
      <c r="T1537" t="s">
        <v>282</v>
      </c>
      <c r="U1537">
        <v>3.0132566826183413E-2</v>
      </c>
      <c r="V1537" t="s">
        <v>163</v>
      </c>
    </row>
    <row r="1538" spans="19:22" x14ac:dyDescent="0.45">
      <c r="S1538" t="s">
        <v>236</v>
      </c>
      <c r="T1538" t="s">
        <v>283</v>
      </c>
      <c r="U1538">
        <v>5.2318815646010238E-3</v>
      </c>
      <c r="V1538" t="s">
        <v>163</v>
      </c>
    </row>
    <row r="1539" spans="19:22" x14ac:dyDescent="0.45">
      <c r="S1539" t="s">
        <v>236</v>
      </c>
      <c r="T1539" t="s">
        <v>284</v>
      </c>
      <c r="U1539">
        <v>5.2430941116042512E-3</v>
      </c>
      <c r="V1539" t="s">
        <v>163</v>
      </c>
    </row>
    <row r="1540" spans="19:22" x14ac:dyDescent="0.45">
      <c r="S1540" t="s">
        <v>236</v>
      </c>
      <c r="T1540" t="s">
        <v>285</v>
      </c>
      <c r="U1540">
        <v>2.5502831771700901E-2</v>
      </c>
      <c r="V1540" t="s">
        <v>163</v>
      </c>
    </row>
    <row r="1541" spans="19:22" x14ac:dyDescent="0.45">
      <c r="S1541" t="s">
        <v>236</v>
      </c>
      <c r="T1541" t="s">
        <v>286</v>
      </c>
      <c r="U1541">
        <v>4.2613179035052406E-2</v>
      </c>
      <c r="V1541" t="s">
        <v>163</v>
      </c>
    </row>
    <row r="1542" spans="19:22" x14ac:dyDescent="0.45">
      <c r="S1542" t="s">
        <v>236</v>
      </c>
      <c r="T1542" t="s">
        <v>287</v>
      </c>
      <c r="U1542">
        <v>2.4503566142853535E-2</v>
      </c>
      <c r="V1542" t="s">
        <v>163</v>
      </c>
    </row>
    <row r="1543" spans="19:22" x14ac:dyDescent="0.45">
      <c r="S1543" t="s">
        <v>236</v>
      </c>
      <c r="T1543" t="s">
        <v>288</v>
      </c>
      <c r="U1543">
        <v>4.3087732218347455E-2</v>
      </c>
      <c r="V1543" t="s">
        <v>163</v>
      </c>
    </row>
    <row r="1544" spans="19:22" x14ac:dyDescent="0.45">
      <c r="S1544" t="s">
        <v>236</v>
      </c>
      <c r="T1544" t="s">
        <v>289</v>
      </c>
      <c r="U1544">
        <v>7.6023761663829743E-3</v>
      </c>
      <c r="V1544" t="s">
        <v>163</v>
      </c>
    </row>
    <row r="1545" spans="19:22" x14ac:dyDescent="0.45">
      <c r="S1545" t="s">
        <v>236</v>
      </c>
      <c r="T1545" t="s">
        <v>290</v>
      </c>
      <c r="U1545">
        <v>7.6003728073292748E-3</v>
      </c>
      <c r="V1545" t="s">
        <v>163</v>
      </c>
    </row>
    <row r="1546" spans="19:22" x14ac:dyDescent="0.45">
      <c r="S1546" t="s">
        <v>236</v>
      </c>
      <c r="T1546" t="s">
        <v>291</v>
      </c>
      <c r="U1546">
        <v>3.535059796119093E-2</v>
      </c>
      <c r="V1546" t="s">
        <v>163</v>
      </c>
    </row>
    <row r="1547" spans="19:22" x14ac:dyDescent="0.45">
      <c r="S1547" t="s">
        <v>237</v>
      </c>
      <c r="T1547" t="s">
        <v>162</v>
      </c>
      <c r="U1547">
        <v>2.5801865678963917E-2</v>
      </c>
      <c r="V1547" t="s">
        <v>163</v>
      </c>
    </row>
    <row r="1548" spans="19:22" x14ac:dyDescent="0.45">
      <c r="S1548" t="s">
        <v>237</v>
      </c>
      <c r="T1548" t="s">
        <v>164</v>
      </c>
      <c r="U1548">
        <v>1.3852015620518283E-2</v>
      </c>
      <c r="V1548" t="s">
        <v>163</v>
      </c>
    </row>
    <row r="1549" spans="19:22" x14ac:dyDescent="0.45">
      <c r="S1549" t="s">
        <v>237</v>
      </c>
      <c r="T1549" t="s">
        <v>165</v>
      </c>
      <c r="U1549">
        <v>2.5276816816870912E-2</v>
      </c>
      <c r="V1549" t="s">
        <v>163</v>
      </c>
    </row>
    <row r="1550" spans="19:22" x14ac:dyDescent="0.45">
      <c r="S1550" t="s">
        <v>237</v>
      </c>
      <c r="T1550" t="s">
        <v>256</v>
      </c>
      <c r="U1550">
        <v>4.5390553027110977E-3</v>
      </c>
      <c r="V1550" t="s">
        <v>163</v>
      </c>
    </row>
    <row r="1551" spans="19:22" x14ac:dyDescent="0.45">
      <c r="S1551" t="s">
        <v>237</v>
      </c>
      <c r="T1551" t="s">
        <v>257</v>
      </c>
      <c r="U1551">
        <v>4.445178084133557E-3</v>
      </c>
      <c r="V1551" t="s">
        <v>163</v>
      </c>
    </row>
    <row r="1552" spans="19:22" x14ac:dyDescent="0.45">
      <c r="S1552" t="s">
        <v>237</v>
      </c>
      <c r="T1552" t="s">
        <v>258</v>
      </c>
      <c r="U1552">
        <v>1.9698571848739761E-2</v>
      </c>
      <c r="V1552" t="s">
        <v>163</v>
      </c>
    </row>
    <row r="1553" spans="19:22" x14ac:dyDescent="0.45">
      <c r="S1553" t="s">
        <v>237</v>
      </c>
      <c r="T1553" t="s">
        <v>166</v>
      </c>
      <c r="U1553">
        <v>1.7586192614751795E-2</v>
      </c>
      <c r="V1553" t="s">
        <v>163</v>
      </c>
    </row>
    <row r="1554" spans="19:22" x14ac:dyDescent="0.45">
      <c r="S1554" t="s">
        <v>237</v>
      </c>
      <c r="T1554" t="s">
        <v>167</v>
      </c>
      <c r="U1554">
        <v>8.9848403212047928E-3</v>
      </c>
      <c r="V1554" t="s">
        <v>163</v>
      </c>
    </row>
    <row r="1555" spans="19:22" x14ac:dyDescent="0.45">
      <c r="S1555" t="s">
        <v>237</v>
      </c>
      <c r="T1555" t="s">
        <v>168</v>
      </c>
      <c r="U1555">
        <v>1.4972190011066764E-2</v>
      </c>
      <c r="V1555" t="s">
        <v>163</v>
      </c>
    </row>
    <row r="1556" spans="19:22" x14ac:dyDescent="0.45">
      <c r="S1556" t="s">
        <v>237</v>
      </c>
      <c r="T1556" t="s">
        <v>259</v>
      </c>
      <c r="U1556">
        <v>2.7569778216868629E-3</v>
      </c>
      <c r="V1556" t="s">
        <v>163</v>
      </c>
    </row>
    <row r="1557" spans="19:22" x14ac:dyDescent="0.45">
      <c r="S1557" t="s">
        <v>237</v>
      </c>
      <c r="T1557" t="s">
        <v>260</v>
      </c>
      <c r="U1557">
        <v>2.7180250587735297E-3</v>
      </c>
      <c r="V1557" t="s">
        <v>163</v>
      </c>
    </row>
    <row r="1558" spans="19:22" x14ac:dyDescent="0.45">
      <c r="S1558" t="s">
        <v>237</v>
      </c>
      <c r="T1558" t="s">
        <v>261</v>
      </c>
      <c r="U1558">
        <v>1.3399685909619426E-2</v>
      </c>
      <c r="V1558" t="s">
        <v>163</v>
      </c>
    </row>
    <row r="1559" spans="19:22" x14ac:dyDescent="0.45">
      <c r="S1559" t="s">
        <v>237</v>
      </c>
      <c r="T1559" t="s">
        <v>169</v>
      </c>
      <c r="U1559">
        <v>2.0158186321939432E-2</v>
      </c>
      <c r="V1559" t="s">
        <v>163</v>
      </c>
    </row>
    <row r="1560" spans="19:22" x14ac:dyDescent="0.45">
      <c r="S1560" t="s">
        <v>237</v>
      </c>
      <c r="T1560" t="s">
        <v>170</v>
      </c>
      <c r="U1560">
        <v>1.109844942169841E-2</v>
      </c>
      <c r="V1560" t="s">
        <v>163</v>
      </c>
    </row>
    <row r="1561" spans="19:22" x14ac:dyDescent="0.45">
      <c r="S1561" t="s">
        <v>237</v>
      </c>
      <c r="T1561" t="s">
        <v>171</v>
      </c>
      <c r="U1561">
        <v>1.7462176761291186E-2</v>
      </c>
      <c r="V1561" t="s">
        <v>163</v>
      </c>
    </row>
    <row r="1562" spans="19:22" x14ac:dyDescent="0.45">
      <c r="S1562" t="s">
        <v>237</v>
      </c>
      <c r="T1562" t="s">
        <v>262</v>
      </c>
      <c r="U1562">
        <v>2.9784128324946615E-3</v>
      </c>
      <c r="V1562" t="s">
        <v>163</v>
      </c>
    </row>
    <row r="1563" spans="19:22" x14ac:dyDescent="0.45">
      <c r="S1563" t="s">
        <v>237</v>
      </c>
      <c r="T1563" t="s">
        <v>263</v>
      </c>
      <c r="U1563">
        <v>2.984131993641552E-3</v>
      </c>
      <c r="V1563" t="s">
        <v>163</v>
      </c>
    </row>
    <row r="1564" spans="19:22" x14ac:dyDescent="0.45">
      <c r="S1564" t="s">
        <v>237</v>
      </c>
      <c r="T1564" t="s">
        <v>264</v>
      </c>
      <c r="U1564">
        <v>1.4604749544681781E-2</v>
      </c>
      <c r="V1564" t="s">
        <v>163</v>
      </c>
    </row>
    <row r="1565" spans="19:22" x14ac:dyDescent="0.45">
      <c r="S1565" t="s">
        <v>237</v>
      </c>
      <c r="T1565" t="s">
        <v>172</v>
      </c>
      <c r="U1565">
        <v>4.5817329696035261E-2</v>
      </c>
      <c r="V1565" t="s">
        <v>163</v>
      </c>
    </row>
    <row r="1566" spans="19:22" x14ac:dyDescent="0.45">
      <c r="S1566" t="s">
        <v>237</v>
      </c>
      <c r="T1566" t="s">
        <v>173</v>
      </c>
      <c r="U1566">
        <v>2.6536065890307541E-2</v>
      </c>
      <c r="V1566" t="s">
        <v>163</v>
      </c>
    </row>
    <row r="1567" spans="19:22" x14ac:dyDescent="0.45">
      <c r="S1567" t="s">
        <v>237</v>
      </c>
      <c r="T1567" t="s">
        <v>174</v>
      </c>
      <c r="U1567">
        <v>4.0737347174672596E-2</v>
      </c>
      <c r="V1567" t="s">
        <v>163</v>
      </c>
    </row>
    <row r="1568" spans="19:22" x14ac:dyDescent="0.45">
      <c r="S1568" t="s">
        <v>237</v>
      </c>
      <c r="T1568" t="s">
        <v>265</v>
      </c>
      <c r="U1568">
        <v>7.0516634787570007E-3</v>
      </c>
      <c r="V1568" t="s">
        <v>163</v>
      </c>
    </row>
    <row r="1569" spans="19:22" x14ac:dyDescent="0.45">
      <c r="S1569" t="s">
        <v>237</v>
      </c>
      <c r="T1569" t="s">
        <v>266</v>
      </c>
      <c r="U1569">
        <v>7.1060529246031673E-3</v>
      </c>
      <c r="V1569" t="s">
        <v>163</v>
      </c>
    </row>
    <row r="1570" spans="19:22" x14ac:dyDescent="0.45">
      <c r="S1570" t="s">
        <v>237</v>
      </c>
      <c r="T1570" t="s">
        <v>267</v>
      </c>
      <c r="U1570">
        <v>3.3563760795133527E-2</v>
      </c>
      <c r="V1570" t="s">
        <v>163</v>
      </c>
    </row>
    <row r="1571" spans="19:22" x14ac:dyDescent="0.45">
      <c r="S1571" t="s">
        <v>237</v>
      </c>
      <c r="T1571" t="s">
        <v>268</v>
      </c>
      <c r="U1571">
        <v>2.3215463517059293E-2</v>
      </c>
      <c r="V1571" t="s">
        <v>163</v>
      </c>
    </row>
    <row r="1572" spans="19:22" x14ac:dyDescent="0.45">
      <c r="S1572" t="s">
        <v>237</v>
      </c>
      <c r="T1572" t="s">
        <v>269</v>
      </c>
      <c r="U1572">
        <v>1.2575381571647467E-2</v>
      </c>
      <c r="V1572" t="s">
        <v>163</v>
      </c>
    </row>
    <row r="1573" spans="19:22" x14ac:dyDescent="0.45">
      <c r="S1573" t="s">
        <v>237</v>
      </c>
      <c r="T1573" t="s">
        <v>270</v>
      </c>
      <c r="U1573">
        <v>1.8210727645135837E-2</v>
      </c>
      <c r="V1573" t="s">
        <v>163</v>
      </c>
    </row>
    <row r="1574" spans="19:22" x14ac:dyDescent="0.45">
      <c r="S1574" t="s">
        <v>237</v>
      </c>
      <c r="T1574" t="s">
        <v>271</v>
      </c>
      <c r="U1574">
        <v>3.1356547066585627E-3</v>
      </c>
      <c r="V1574" t="s">
        <v>163</v>
      </c>
    </row>
    <row r="1575" spans="19:22" x14ac:dyDescent="0.45">
      <c r="S1575" t="s">
        <v>237</v>
      </c>
      <c r="T1575" t="s">
        <v>272</v>
      </c>
      <c r="U1575">
        <v>3.16959692512663E-3</v>
      </c>
      <c r="V1575" t="s">
        <v>163</v>
      </c>
    </row>
    <row r="1576" spans="19:22" x14ac:dyDescent="0.45">
      <c r="S1576" t="s">
        <v>237</v>
      </c>
      <c r="T1576" t="s">
        <v>273</v>
      </c>
      <c r="U1576">
        <v>1.6425904206870179E-2</v>
      </c>
      <c r="V1576" t="s">
        <v>163</v>
      </c>
    </row>
    <row r="1577" spans="19:22" x14ac:dyDescent="0.45">
      <c r="S1577" t="s">
        <v>237</v>
      </c>
      <c r="T1577" t="s">
        <v>274</v>
      </c>
      <c r="U1577">
        <v>7.7820576535690439E-2</v>
      </c>
      <c r="V1577" t="s">
        <v>163</v>
      </c>
    </row>
    <row r="1578" spans="19:22" x14ac:dyDescent="0.45">
      <c r="S1578" t="s">
        <v>237</v>
      </c>
      <c r="T1578" t="s">
        <v>275</v>
      </c>
      <c r="U1578">
        <v>4.5318439811669373E-2</v>
      </c>
      <c r="V1578" t="s">
        <v>163</v>
      </c>
    </row>
    <row r="1579" spans="19:22" x14ac:dyDescent="0.45">
      <c r="S1579" t="s">
        <v>237</v>
      </c>
      <c r="T1579" t="s">
        <v>276</v>
      </c>
      <c r="U1579">
        <v>6.8779061020250151E-2</v>
      </c>
      <c r="V1579" t="s">
        <v>163</v>
      </c>
    </row>
    <row r="1580" spans="19:22" x14ac:dyDescent="0.45">
      <c r="S1580" t="s">
        <v>237</v>
      </c>
      <c r="T1580" t="s">
        <v>277</v>
      </c>
      <c r="U1580">
        <v>1.1285759089851006E-2</v>
      </c>
      <c r="V1580" t="s">
        <v>163</v>
      </c>
    </row>
    <row r="1581" spans="19:22" x14ac:dyDescent="0.45">
      <c r="S1581" t="s">
        <v>237</v>
      </c>
      <c r="T1581" t="s">
        <v>278</v>
      </c>
      <c r="U1581">
        <v>1.1303485106378209E-2</v>
      </c>
      <c r="V1581" t="s">
        <v>163</v>
      </c>
    </row>
    <row r="1582" spans="19:22" x14ac:dyDescent="0.45">
      <c r="S1582" t="s">
        <v>237</v>
      </c>
      <c r="T1582" t="s">
        <v>279</v>
      </c>
      <c r="U1582">
        <v>5.6627708062076072E-2</v>
      </c>
      <c r="V1582" t="s">
        <v>163</v>
      </c>
    </row>
    <row r="1583" spans="19:22" x14ac:dyDescent="0.45">
      <c r="S1583" t="s">
        <v>237</v>
      </c>
      <c r="T1583" t="s">
        <v>280</v>
      </c>
      <c r="U1583">
        <v>2.9715139604622579E-2</v>
      </c>
      <c r="V1583" t="s">
        <v>163</v>
      </c>
    </row>
    <row r="1584" spans="19:22" x14ac:dyDescent="0.45">
      <c r="S1584" t="s">
        <v>237</v>
      </c>
      <c r="T1584" t="s">
        <v>281</v>
      </c>
      <c r="U1584">
        <v>1.6414584046587726E-2</v>
      </c>
      <c r="V1584" t="s">
        <v>163</v>
      </c>
    </row>
    <row r="1585" spans="19:22" x14ac:dyDescent="0.45">
      <c r="S1585" t="s">
        <v>237</v>
      </c>
      <c r="T1585" t="s">
        <v>282</v>
      </c>
      <c r="U1585">
        <v>2.6967898845489949E-2</v>
      </c>
      <c r="V1585" t="s">
        <v>163</v>
      </c>
    </row>
    <row r="1586" spans="19:22" x14ac:dyDescent="0.45">
      <c r="S1586" t="s">
        <v>237</v>
      </c>
      <c r="T1586" t="s">
        <v>283</v>
      </c>
      <c r="U1586">
        <v>4.5889534834661688E-3</v>
      </c>
      <c r="V1586" t="s">
        <v>163</v>
      </c>
    </row>
    <row r="1587" spans="19:22" x14ac:dyDescent="0.45">
      <c r="S1587" t="s">
        <v>237</v>
      </c>
      <c r="T1587" t="s">
        <v>284</v>
      </c>
      <c r="U1587">
        <v>4.6072014678667046E-3</v>
      </c>
      <c r="V1587" t="s">
        <v>163</v>
      </c>
    </row>
    <row r="1588" spans="19:22" x14ac:dyDescent="0.45">
      <c r="S1588" t="s">
        <v>237</v>
      </c>
      <c r="T1588" t="s">
        <v>285</v>
      </c>
      <c r="U1588">
        <v>2.3428309191068392E-2</v>
      </c>
      <c r="V1588" t="s">
        <v>163</v>
      </c>
    </row>
    <row r="1589" spans="19:22" x14ac:dyDescent="0.45">
      <c r="S1589" t="s">
        <v>237</v>
      </c>
      <c r="T1589" t="s">
        <v>286</v>
      </c>
      <c r="U1589">
        <v>4.4419579474073032E-2</v>
      </c>
      <c r="V1589" t="s">
        <v>163</v>
      </c>
    </row>
    <row r="1590" spans="19:22" x14ac:dyDescent="0.45">
      <c r="S1590" t="s">
        <v>237</v>
      </c>
      <c r="T1590" t="s">
        <v>287</v>
      </c>
      <c r="U1590">
        <v>2.6455303727801919E-2</v>
      </c>
      <c r="V1590" t="s">
        <v>163</v>
      </c>
    </row>
    <row r="1591" spans="19:22" x14ac:dyDescent="0.45">
      <c r="S1591" t="s">
        <v>237</v>
      </c>
      <c r="T1591" t="s">
        <v>288</v>
      </c>
      <c r="U1591">
        <v>4.3546854568294484E-2</v>
      </c>
      <c r="V1591" t="s">
        <v>163</v>
      </c>
    </row>
    <row r="1592" spans="19:22" x14ac:dyDescent="0.45">
      <c r="S1592" t="s">
        <v>237</v>
      </c>
      <c r="T1592" t="s">
        <v>289</v>
      </c>
      <c r="U1592">
        <v>7.1261136744982072E-3</v>
      </c>
      <c r="V1592" t="s">
        <v>163</v>
      </c>
    </row>
    <row r="1593" spans="19:22" x14ac:dyDescent="0.45">
      <c r="S1593" t="s">
        <v>237</v>
      </c>
      <c r="T1593" t="s">
        <v>290</v>
      </c>
      <c r="U1593">
        <v>7.0227219986547544E-3</v>
      </c>
      <c r="V1593" t="s">
        <v>163</v>
      </c>
    </row>
    <row r="1594" spans="19:22" x14ac:dyDescent="0.45">
      <c r="S1594" t="s">
        <v>237</v>
      </c>
      <c r="T1594" t="s">
        <v>291</v>
      </c>
      <c r="U1594">
        <v>3.3709839794860245E-2</v>
      </c>
      <c r="V1594" t="s">
        <v>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2618-7F2E-457F-A934-47BF5A8E643A}">
  <dimension ref="A9:AN43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108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123</v>
      </c>
      <c r="K10" t="s">
        <v>160</v>
      </c>
      <c r="L10" t="s">
        <v>30</v>
      </c>
      <c r="N10" t="s">
        <v>13</v>
      </c>
      <c r="O10" t="s">
        <v>123</v>
      </c>
      <c r="P10" t="s">
        <v>160</v>
      </c>
      <c r="Q10" t="s">
        <v>30</v>
      </c>
      <c r="S10" t="s">
        <v>13</v>
      </c>
      <c r="T10" t="s">
        <v>123</v>
      </c>
      <c r="U10" t="s">
        <v>160</v>
      </c>
      <c r="V10" t="s">
        <v>30</v>
      </c>
      <c r="X10" t="s">
        <v>238</v>
      </c>
      <c r="Y10" t="s">
        <v>160</v>
      </c>
      <c r="Z10" t="s">
        <v>123</v>
      </c>
      <c r="AA10" t="s">
        <v>13</v>
      </c>
      <c r="AC10" t="s">
        <v>13</v>
      </c>
      <c r="AD10" t="s">
        <v>123</v>
      </c>
      <c r="AE10" t="s">
        <v>160</v>
      </c>
      <c r="AG10" t="s">
        <v>13</v>
      </c>
      <c r="AH10" t="s">
        <v>123</v>
      </c>
      <c r="AI10" t="s">
        <v>244</v>
      </c>
      <c r="AK10" t="s">
        <v>47</v>
      </c>
      <c r="AL10" t="s">
        <v>123</v>
      </c>
      <c r="AM10" t="s">
        <v>245</v>
      </c>
      <c r="AN10" t="s">
        <v>246</v>
      </c>
    </row>
    <row r="11" spans="1:40" x14ac:dyDescent="0.45">
      <c r="A11" t="str">
        <f>IFERROR(IF(Veda!D5=A10,"ok","x"),"")</f>
        <v>ok</v>
      </c>
      <c r="C11" t="s">
        <v>294</v>
      </c>
      <c r="D11" t="s">
        <v>152</v>
      </c>
      <c r="E11" t="s">
        <v>295</v>
      </c>
      <c r="F11" t="s">
        <v>294</v>
      </c>
      <c r="G11" t="s">
        <v>152</v>
      </c>
      <c r="I11" t="s">
        <v>161</v>
      </c>
      <c r="J11" t="s">
        <v>296</v>
      </c>
      <c r="K11">
        <v>0.99999999999999833</v>
      </c>
      <c r="L11" t="s">
        <v>163</v>
      </c>
      <c r="N11" t="s">
        <v>190</v>
      </c>
      <c r="O11" t="s">
        <v>296</v>
      </c>
      <c r="P11">
        <v>1.0000000000000002</v>
      </c>
      <c r="Q11" t="s">
        <v>163</v>
      </c>
      <c r="S11" t="s">
        <v>205</v>
      </c>
      <c r="T11" t="s">
        <v>296</v>
      </c>
      <c r="U11">
        <v>1.0000000000000044</v>
      </c>
      <c r="V11" t="s">
        <v>163</v>
      </c>
      <c r="X11">
        <v>1</v>
      </c>
      <c r="Y11">
        <v>1.0000000000000002</v>
      </c>
      <c r="Z11" t="s">
        <v>296</v>
      </c>
      <c r="AA11" t="s">
        <v>25</v>
      </c>
      <c r="AC11" t="s">
        <v>22</v>
      </c>
      <c r="AD11" t="s">
        <v>296</v>
      </c>
      <c r="AE11">
        <v>1</v>
      </c>
      <c r="AG11" t="s">
        <v>98</v>
      </c>
      <c r="AH11" t="s">
        <v>296</v>
      </c>
      <c r="AI11">
        <v>0.37612616906334773</v>
      </c>
      <c r="AK11">
        <v>2020</v>
      </c>
      <c r="AL11" t="s">
        <v>294</v>
      </c>
      <c r="AM11">
        <v>0.48928256492932104</v>
      </c>
      <c r="AN11" t="s">
        <v>247</v>
      </c>
    </row>
    <row r="12" spans="1:40" x14ac:dyDescent="0.45">
      <c r="I12" t="s">
        <v>175</v>
      </c>
      <c r="J12" t="s">
        <v>296</v>
      </c>
      <c r="K12">
        <v>1.000000000000004</v>
      </c>
      <c r="L12" t="s">
        <v>163</v>
      </c>
      <c r="N12" t="s">
        <v>191</v>
      </c>
      <c r="O12" t="s">
        <v>296</v>
      </c>
      <c r="P12">
        <v>1.0000000000000007</v>
      </c>
      <c r="Q12" t="s">
        <v>163</v>
      </c>
      <c r="S12" t="s">
        <v>206</v>
      </c>
      <c r="T12" t="s">
        <v>296</v>
      </c>
      <c r="U12">
        <v>1.000000000000004</v>
      </c>
      <c r="V12" t="s">
        <v>163</v>
      </c>
      <c r="AC12" t="s">
        <v>19</v>
      </c>
      <c r="AD12" t="s">
        <v>296</v>
      </c>
      <c r="AE12">
        <v>1</v>
      </c>
      <c r="AK12">
        <v>2021</v>
      </c>
      <c r="AL12" t="s">
        <v>294</v>
      </c>
      <c r="AM12">
        <v>0.48782386778636183</v>
      </c>
      <c r="AN12" t="s">
        <v>247</v>
      </c>
    </row>
    <row r="13" spans="1:40" x14ac:dyDescent="0.45">
      <c r="I13" t="s">
        <v>176</v>
      </c>
      <c r="J13" t="s">
        <v>296</v>
      </c>
      <c r="K13">
        <v>1</v>
      </c>
      <c r="L13" t="s">
        <v>163</v>
      </c>
      <c r="N13" t="s">
        <v>192</v>
      </c>
      <c r="O13" t="s">
        <v>296</v>
      </c>
      <c r="P13">
        <v>1.0000000000000016</v>
      </c>
      <c r="Q13" t="s">
        <v>163</v>
      </c>
      <c r="S13" t="s">
        <v>207</v>
      </c>
      <c r="T13" t="s">
        <v>296</v>
      </c>
      <c r="U13">
        <v>1.0000000000000007</v>
      </c>
      <c r="V13" t="s">
        <v>163</v>
      </c>
      <c r="AK13">
        <v>2022</v>
      </c>
      <c r="AL13" t="s">
        <v>294</v>
      </c>
      <c r="AM13">
        <v>0.50609764846546423</v>
      </c>
      <c r="AN13" t="s">
        <v>247</v>
      </c>
    </row>
    <row r="14" spans="1:40" x14ac:dyDescent="0.45">
      <c r="I14" t="s">
        <v>177</v>
      </c>
      <c r="J14" t="s">
        <v>296</v>
      </c>
      <c r="K14">
        <v>1.0000000000000018</v>
      </c>
      <c r="L14" t="s">
        <v>163</v>
      </c>
      <c r="N14" t="s">
        <v>193</v>
      </c>
      <c r="O14" t="s">
        <v>296</v>
      </c>
      <c r="P14">
        <v>1.0000000000000002</v>
      </c>
      <c r="Q14" t="s">
        <v>163</v>
      </c>
      <c r="S14" t="s">
        <v>208</v>
      </c>
      <c r="T14" t="s">
        <v>296</v>
      </c>
      <c r="U14">
        <v>0.99999999999999911</v>
      </c>
      <c r="V14" t="s">
        <v>163</v>
      </c>
      <c r="AK14">
        <v>2025</v>
      </c>
      <c r="AL14" t="s">
        <v>294</v>
      </c>
      <c r="AM14">
        <v>0.50747500000000001</v>
      </c>
      <c r="AN14" t="s">
        <v>247</v>
      </c>
    </row>
    <row r="15" spans="1:40" x14ac:dyDescent="0.45">
      <c r="I15" t="s">
        <v>178</v>
      </c>
      <c r="J15" t="s">
        <v>296</v>
      </c>
      <c r="K15">
        <v>1.0000000000000009</v>
      </c>
      <c r="L15" t="s">
        <v>163</v>
      </c>
      <c r="N15" t="s">
        <v>194</v>
      </c>
      <c r="O15" t="s">
        <v>296</v>
      </c>
      <c r="P15">
        <v>1.0000000000000013</v>
      </c>
      <c r="Q15" t="s">
        <v>163</v>
      </c>
      <c r="S15" t="s">
        <v>209</v>
      </c>
      <c r="T15" t="s">
        <v>296</v>
      </c>
      <c r="U15">
        <v>1.000000000000002</v>
      </c>
      <c r="V15" t="s">
        <v>163</v>
      </c>
      <c r="AK15">
        <v>2026</v>
      </c>
      <c r="AL15" t="s">
        <v>294</v>
      </c>
      <c r="AM15">
        <v>0.50488333333333335</v>
      </c>
      <c r="AN15" t="s">
        <v>247</v>
      </c>
    </row>
    <row r="16" spans="1:40" x14ac:dyDescent="0.45">
      <c r="I16" t="s">
        <v>179</v>
      </c>
      <c r="J16" t="s">
        <v>296</v>
      </c>
      <c r="K16">
        <v>0.99999999999999889</v>
      </c>
      <c r="L16" t="s">
        <v>163</v>
      </c>
      <c r="N16" t="s">
        <v>195</v>
      </c>
      <c r="O16" t="s">
        <v>296</v>
      </c>
      <c r="P16">
        <v>1.0000000000000011</v>
      </c>
      <c r="Q16" t="s">
        <v>163</v>
      </c>
      <c r="S16" t="s">
        <v>210</v>
      </c>
      <c r="T16" t="s">
        <v>296</v>
      </c>
      <c r="U16">
        <v>1.0000000000000013</v>
      </c>
      <c r="V16" t="s">
        <v>163</v>
      </c>
      <c r="AK16">
        <v>2027</v>
      </c>
      <c r="AL16" t="s">
        <v>294</v>
      </c>
      <c r="AM16">
        <v>0.49974999999999997</v>
      </c>
      <c r="AN16" t="s">
        <v>247</v>
      </c>
    </row>
    <row r="17" spans="9:40" x14ac:dyDescent="0.45">
      <c r="I17" t="s">
        <v>180</v>
      </c>
      <c r="J17" t="s">
        <v>296</v>
      </c>
      <c r="K17">
        <v>1.0000000000000033</v>
      </c>
      <c r="L17" t="s">
        <v>163</v>
      </c>
      <c r="N17" t="s">
        <v>196</v>
      </c>
      <c r="O17" t="s">
        <v>296</v>
      </c>
      <c r="P17">
        <v>0.99999999999999789</v>
      </c>
      <c r="Q17" t="s">
        <v>163</v>
      </c>
      <c r="S17" t="s">
        <v>211</v>
      </c>
      <c r="T17" t="s">
        <v>296</v>
      </c>
      <c r="U17">
        <v>0.99999999999999911</v>
      </c>
      <c r="V17" t="s">
        <v>163</v>
      </c>
      <c r="AK17">
        <v>2028</v>
      </c>
      <c r="AL17" t="s">
        <v>294</v>
      </c>
      <c r="AM17">
        <v>0.48689166666666667</v>
      </c>
      <c r="AN17" t="s">
        <v>247</v>
      </c>
    </row>
    <row r="18" spans="9:40" x14ac:dyDescent="0.45">
      <c r="I18" t="s">
        <v>181</v>
      </c>
      <c r="J18" t="s">
        <v>296</v>
      </c>
      <c r="K18">
        <v>0.99999999999999911</v>
      </c>
      <c r="L18" t="s">
        <v>163</v>
      </c>
      <c r="N18" t="s">
        <v>197</v>
      </c>
      <c r="O18" t="s">
        <v>296</v>
      </c>
      <c r="P18">
        <v>0.99999999999999756</v>
      </c>
      <c r="Q18" t="s">
        <v>163</v>
      </c>
      <c r="S18" t="s">
        <v>212</v>
      </c>
      <c r="T18" t="s">
        <v>296</v>
      </c>
      <c r="U18">
        <v>0.99999999999999811</v>
      </c>
      <c r="V18" t="s">
        <v>163</v>
      </c>
      <c r="AK18">
        <v>2029</v>
      </c>
      <c r="AL18" t="s">
        <v>294</v>
      </c>
      <c r="AM18">
        <v>0.55917499999999998</v>
      </c>
      <c r="AN18" t="s">
        <v>247</v>
      </c>
    </row>
    <row r="19" spans="9:40" x14ac:dyDescent="0.45">
      <c r="I19" t="s">
        <v>182</v>
      </c>
      <c r="J19" t="s">
        <v>296</v>
      </c>
      <c r="K19">
        <v>1</v>
      </c>
      <c r="L19" t="s">
        <v>163</v>
      </c>
      <c r="N19" t="s">
        <v>198</v>
      </c>
      <c r="O19" t="s">
        <v>296</v>
      </c>
      <c r="P19">
        <v>1.0000000000000002</v>
      </c>
      <c r="Q19" t="s">
        <v>163</v>
      </c>
      <c r="S19" t="s">
        <v>213</v>
      </c>
      <c r="T19" t="s">
        <v>296</v>
      </c>
      <c r="U19">
        <v>1.000000000000002</v>
      </c>
      <c r="V19" t="s">
        <v>163</v>
      </c>
      <c r="AK19">
        <v>2030</v>
      </c>
      <c r="AL19" t="s">
        <v>294</v>
      </c>
      <c r="AM19">
        <v>0.56373333333333331</v>
      </c>
      <c r="AN19" t="s">
        <v>247</v>
      </c>
    </row>
    <row r="20" spans="9:40" x14ac:dyDescent="0.45">
      <c r="I20" t="s">
        <v>183</v>
      </c>
      <c r="J20" t="s">
        <v>296</v>
      </c>
      <c r="K20">
        <v>1.0000000000000022</v>
      </c>
      <c r="L20" t="s">
        <v>163</v>
      </c>
      <c r="N20" t="s">
        <v>199</v>
      </c>
      <c r="O20" t="s">
        <v>296</v>
      </c>
      <c r="P20">
        <v>1.0000000000000009</v>
      </c>
      <c r="Q20" t="s">
        <v>163</v>
      </c>
      <c r="S20" t="s">
        <v>214</v>
      </c>
      <c r="T20" t="s">
        <v>296</v>
      </c>
      <c r="U20">
        <v>1.0000000000000013</v>
      </c>
      <c r="V20" t="s">
        <v>163</v>
      </c>
      <c r="AK20">
        <v>2031</v>
      </c>
      <c r="AL20" t="s">
        <v>294</v>
      </c>
      <c r="AM20">
        <v>0.57908333333333328</v>
      </c>
      <c r="AN20" t="s">
        <v>247</v>
      </c>
    </row>
    <row r="21" spans="9:40" x14ac:dyDescent="0.45">
      <c r="I21" t="s">
        <v>184</v>
      </c>
      <c r="J21" t="s">
        <v>296</v>
      </c>
      <c r="K21">
        <v>1.0000000000000018</v>
      </c>
      <c r="L21" t="s">
        <v>163</v>
      </c>
      <c r="N21" t="s">
        <v>200</v>
      </c>
      <c r="O21" t="s">
        <v>296</v>
      </c>
      <c r="P21">
        <v>0.99999999999999933</v>
      </c>
      <c r="Q21" t="s">
        <v>163</v>
      </c>
      <c r="S21" t="s">
        <v>215</v>
      </c>
      <c r="T21" t="s">
        <v>296</v>
      </c>
      <c r="U21">
        <v>1.0000000000000016</v>
      </c>
      <c r="V21" t="s">
        <v>163</v>
      </c>
      <c r="AK21">
        <v>2032</v>
      </c>
      <c r="AL21" t="s">
        <v>294</v>
      </c>
      <c r="AM21">
        <v>0.57402500000000012</v>
      </c>
      <c r="AN21" t="s">
        <v>247</v>
      </c>
    </row>
    <row r="22" spans="9:40" x14ac:dyDescent="0.45">
      <c r="I22" t="s">
        <v>185</v>
      </c>
      <c r="J22" t="s">
        <v>296</v>
      </c>
      <c r="K22">
        <v>0.999999999999999</v>
      </c>
      <c r="L22" t="s">
        <v>163</v>
      </c>
      <c r="N22" t="s">
        <v>201</v>
      </c>
      <c r="O22" t="s">
        <v>296</v>
      </c>
      <c r="P22">
        <v>0.99999999999999845</v>
      </c>
      <c r="Q22" t="s">
        <v>163</v>
      </c>
      <c r="S22" t="s">
        <v>216</v>
      </c>
      <c r="T22" t="s">
        <v>296</v>
      </c>
      <c r="U22">
        <v>0.99999999999999833</v>
      </c>
      <c r="V22" t="s">
        <v>163</v>
      </c>
      <c r="AK22">
        <v>2033</v>
      </c>
      <c r="AL22" t="s">
        <v>294</v>
      </c>
      <c r="AM22">
        <v>0.59891666666666665</v>
      </c>
      <c r="AN22" t="s">
        <v>247</v>
      </c>
    </row>
    <row r="23" spans="9:40" x14ac:dyDescent="0.45">
      <c r="I23" t="s">
        <v>186</v>
      </c>
      <c r="J23" t="s">
        <v>296</v>
      </c>
      <c r="K23">
        <v>1.0000000000000022</v>
      </c>
      <c r="L23" t="s">
        <v>163</v>
      </c>
      <c r="N23" t="s">
        <v>202</v>
      </c>
      <c r="O23" t="s">
        <v>296</v>
      </c>
      <c r="P23">
        <v>0.99999999999999856</v>
      </c>
      <c r="Q23" t="s">
        <v>163</v>
      </c>
      <c r="S23" t="s">
        <v>217</v>
      </c>
      <c r="T23" t="s">
        <v>296</v>
      </c>
      <c r="U23">
        <v>0.99999999999999534</v>
      </c>
      <c r="V23" t="s">
        <v>163</v>
      </c>
      <c r="AK23">
        <v>2034</v>
      </c>
      <c r="AL23" t="s">
        <v>294</v>
      </c>
      <c r="AM23">
        <v>0.50264166666666665</v>
      </c>
      <c r="AN23" t="s">
        <v>247</v>
      </c>
    </row>
    <row r="24" spans="9:40" x14ac:dyDescent="0.45">
      <c r="I24" t="s">
        <v>187</v>
      </c>
      <c r="J24" t="s">
        <v>296</v>
      </c>
      <c r="K24">
        <v>1.0000000000000007</v>
      </c>
      <c r="L24" t="s">
        <v>163</v>
      </c>
      <c r="N24" t="s">
        <v>203</v>
      </c>
      <c r="O24" t="s">
        <v>296</v>
      </c>
      <c r="P24">
        <v>0.99999999999999456</v>
      </c>
      <c r="Q24" t="s">
        <v>163</v>
      </c>
      <c r="S24" t="s">
        <v>218</v>
      </c>
      <c r="T24" t="s">
        <v>296</v>
      </c>
      <c r="U24">
        <v>1.0000000000000013</v>
      </c>
      <c r="V24" t="s">
        <v>163</v>
      </c>
      <c r="AK24">
        <v>2035</v>
      </c>
      <c r="AL24" t="s">
        <v>294</v>
      </c>
      <c r="AM24">
        <v>0.58405000000000007</v>
      </c>
      <c r="AN24" t="s">
        <v>247</v>
      </c>
    </row>
    <row r="25" spans="9:40" x14ac:dyDescent="0.45">
      <c r="I25" t="s">
        <v>188</v>
      </c>
      <c r="J25" t="s">
        <v>296</v>
      </c>
      <c r="K25">
        <v>0.99999999999999944</v>
      </c>
      <c r="L25" t="s">
        <v>163</v>
      </c>
      <c r="N25" t="s">
        <v>204</v>
      </c>
      <c r="O25" t="s">
        <v>296</v>
      </c>
      <c r="P25">
        <v>1.0000000000000016</v>
      </c>
      <c r="Q25" t="s">
        <v>163</v>
      </c>
      <c r="S25" t="s">
        <v>219</v>
      </c>
      <c r="T25" t="s">
        <v>296</v>
      </c>
      <c r="U25">
        <v>1.0000000000000016</v>
      </c>
      <c r="V25" t="s">
        <v>163</v>
      </c>
      <c r="AK25">
        <v>2036</v>
      </c>
      <c r="AL25" t="s">
        <v>294</v>
      </c>
      <c r="AM25">
        <v>0.57240000000000002</v>
      </c>
      <c r="AN25" t="s">
        <v>247</v>
      </c>
    </row>
    <row r="26" spans="9:40" x14ac:dyDescent="0.45">
      <c r="I26" t="s">
        <v>189</v>
      </c>
      <c r="J26" t="s">
        <v>296</v>
      </c>
      <c r="K26">
        <v>1.0000000000000004</v>
      </c>
      <c r="L26" t="s">
        <v>163</v>
      </c>
      <c r="S26" t="s">
        <v>220</v>
      </c>
      <c r="T26" t="s">
        <v>296</v>
      </c>
      <c r="U26">
        <v>0.99999999999999944</v>
      </c>
      <c r="V26" t="s">
        <v>163</v>
      </c>
      <c r="AK26">
        <v>2037</v>
      </c>
      <c r="AL26" t="s">
        <v>294</v>
      </c>
      <c r="AM26">
        <v>0.43127500000000002</v>
      </c>
      <c r="AN26" t="s">
        <v>247</v>
      </c>
    </row>
    <row r="27" spans="9:40" x14ac:dyDescent="0.45">
      <c r="S27" t="s">
        <v>221</v>
      </c>
      <c r="T27" t="s">
        <v>296</v>
      </c>
      <c r="U27">
        <v>1.0000000000000016</v>
      </c>
      <c r="V27" t="s">
        <v>163</v>
      </c>
      <c r="AK27">
        <v>2038</v>
      </c>
      <c r="AL27" t="s">
        <v>294</v>
      </c>
      <c r="AM27">
        <v>0.57272499999999993</v>
      </c>
      <c r="AN27" t="s">
        <v>247</v>
      </c>
    </row>
    <row r="28" spans="9:40" x14ac:dyDescent="0.45">
      <c r="S28" t="s">
        <v>222</v>
      </c>
      <c r="T28" t="s">
        <v>296</v>
      </c>
      <c r="U28">
        <v>0.99999999999999911</v>
      </c>
      <c r="V28" t="s">
        <v>163</v>
      </c>
      <c r="AK28">
        <v>2039</v>
      </c>
      <c r="AL28" t="s">
        <v>294</v>
      </c>
      <c r="AM28">
        <v>0.41674166666666679</v>
      </c>
      <c r="AN28" t="s">
        <v>247</v>
      </c>
    </row>
    <row r="29" spans="9:40" x14ac:dyDescent="0.45">
      <c r="S29" t="s">
        <v>223</v>
      </c>
      <c r="T29" t="s">
        <v>296</v>
      </c>
      <c r="U29">
        <v>0.99999999999999944</v>
      </c>
      <c r="V29" t="s">
        <v>163</v>
      </c>
      <c r="AK29">
        <v>2040</v>
      </c>
      <c r="AL29" t="s">
        <v>294</v>
      </c>
      <c r="AM29">
        <v>0.43020833333333336</v>
      </c>
      <c r="AN29" t="s">
        <v>247</v>
      </c>
    </row>
    <row r="30" spans="9:40" x14ac:dyDescent="0.45">
      <c r="S30" t="s">
        <v>224</v>
      </c>
      <c r="T30" t="s">
        <v>296</v>
      </c>
      <c r="U30">
        <v>0.99999999999999689</v>
      </c>
      <c r="V30" t="s">
        <v>163</v>
      </c>
      <c r="AK30">
        <v>2041</v>
      </c>
      <c r="AL30" t="s">
        <v>294</v>
      </c>
      <c r="AM30">
        <v>0.43769999999999998</v>
      </c>
      <c r="AN30" t="s">
        <v>247</v>
      </c>
    </row>
    <row r="31" spans="9:40" x14ac:dyDescent="0.45">
      <c r="S31" t="s">
        <v>225</v>
      </c>
      <c r="T31" t="s">
        <v>296</v>
      </c>
      <c r="U31">
        <v>0.99999999999999789</v>
      </c>
      <c r="V31" t="s">
        <v>163</v>
      </c>
      <c r="AK31">
        <v>2042</v>
      </c>
      <c r="AL31" t="s">
        <v>294</v>
      </c>
      <c r="AM31">
        <v>0.4079916666666667</v>
      </c>
      <c r="AN31" t="s">
        <v>247</v>
      </c>
    </row>
    <row r="32" spans="9:40" x14ac:dyDescent="0.45">
      <c r="S32" t="s">
        <v>226</v>
      </c>
      <c r="T32" t="s">
        <v>296</v>
      </c>
      <c r="U32">
        <v>1.0000000000000002</v>
      </c>
      <c r="V32" t="s">
        <v>163</v>
      </c>
      <c r="AK32">
        <v>2043</v>
      </c>
      <c r="AL32" t="s">
        <v>294</v>
      </c>
      <c r="AM32">
        <v>0.42603333333333326</v>
      </c>
      <c r="AN32" t="s">
        <v>247</v>
      </c>
    </row>
    <row r="33" spans="19:40" x14ac:dyDescent="0.45">
      <c r="S33" t="s">
        <v>227</v>
      </c>
      <c r="T33" t="s">
        <v>296</v>
      </c>
      <c r="U33">
        <v>0.99999999999999689</v>
      </c>
      <c r="V33" t="s">
        <v>163</v>
      </c>
      <c r="AK33">
        <v>2044</v>
      </c>
      <c r="AL33" t="s">
        <v>294</v>
      </c>
      <c r="AM33">
        <v>0.41792499999999994</v>
      </c>
      <c r="AN33" t="s">
        <v>247</v>
      </c>
    </row>
    <row r="34" spans="19:40" x14ac:dyDescent="0.45">
      <c r="S34" t="s">
        <v>228</v>
      </c>
      <c r="T34" t="s">
        <v>296</v>
      </c>
      <c r="U34">
        <v>1.0000000000000007</v>
      </c>
      <c r="V34" t="s">
        <v>163</v>
      </c>
      <c r="AK34">
        <v>2045</v>
      </c>
      <c r="AL34" t="s">
        <v>294</v>
      </c>
      <c r="AM34">
        <v>0.58658333333333335</v>
      </c>
      <c r="AN34" t="s">
        <v>247</v>
      </c>
    </row>
    <row r="35" spans="19:40" x14ac:dyDescent="0.45">
      <c r="S35" t="s">
        <v>229</v>
      </c>
      <c r="T35" t="s">
        <v>296</v>
      </c>
      <c r="U35">
        <v>0.99999999999999911</v>
      </c>
      <c r="V35" t="s">
        <v>163</v>
      </c>
      <c r="AK35">
        <v>2046</v>
      </c>
      <c r="AL35" t="s">
        <v>294</v>
      </c>
      <c r="AM35">
        <v>0.5784083333333333</v>
      </c>
      <c r="AN35" t="s">
        <v>247</v>
      </c>
    </row>
    <row r="36" spans="19:40" x14ac:dyDescent="0.45">
      <c r="S36" t="s">
        <v>230</v>
      </c>
      <c r="T36" t="s">
        <v>296</v>
      </c>
      <c r="U36">
        <v>1.0000000000000018</v>
      </c>
      <c r="V36" t="s">
        <v>163</v>
      </c>
      <c r="AK36">
        <v>2047</v>
      </c>
      <c r="AL36" t="s">
        <v>294</v>
      </c>
      <c r="AM36">
        <v>0.56420000000000015</v>
      </c>
      <c r="AN36" t="s">
        <v>247</v>
      </c>
    </row>
    <row r="37" spans="19:40" x14ac:dyDescent="0.45">
      <c r="S37" t="s">
        <v>231</v>
      </c>
      <c r="T37" t="s">
        <v>296</v>
      </c>
      <c r="U37">
        <v>0.99999999999999756</v>
      </c>
      <c r="V37" t="s">
        <v>163</v>
      </c>
      <c r="AK37">
        <v>2048</v>
      </c>
      <c r="AL37" t="s">
        <v>294</v>
      </c>
      <c r="AM37">
        <v>0.56918333333333326</v>
      </c>
      <c r="AN37" t="s">
        <v>247</v>
      </c>
    </row>
    <row r="38" spans="19:40" x14ac:dyDescent="0.45">
      <c r="S38" t="s">
        <v>232</v>
      </c>
      <c r="T38" t="s">
        <v>296</v>
      </c>
      <c r="U38">
        <v>1.000000000000002</v>
      </c>
      <c r="V38" t="s">
        <v>163</v>
      </c>
      <c r="AK38">
        <v>2049</v>
      </c>
      <c r="AL38" t="s">
        <v>294</v>
      </c>
      <c r="AM38">
        <v>0.49561666666666665</v>
      </c>
      <c r="AN38" t="s">
        <v>247</v>
      </c>
    </row>
    <row r="39" spans="19:40" x14ac:dyDescent="0.45">
      <c r="S39" t="s">
        <v>233</v>
      </c>
      <c r="T39" t="s">
        <v>296</v>
      </c>
      <c r="U39">
        <v>0.999999999999999</v>
      </c>
      <c r="V39" t="s">
        <v>163</v>
      </c>
      <c r="AK39">
        <v>2050</v>
      </c>
      <c r="AL39" t="s">
        <v>294</v>
      </c>
      <c r="AM39">
        <v>0.48384166666666667</v>
      </c>
      <c r="AN39" t="s">
        <v>247</v>
      </c>
    </row>
    <row r="40" spans="19:40" x14ac:dyDescent="0.45">
      <c r="S40" t="s">
        <v>234</v>
      </c>
      <c r="T40" t="s">
        <v>296</v>
      </c>
      <c r="U40">
        <v>0.99999999999999656</v>
      </c>
      <c r="V40" t="s">
        <v>163</v>
      </c>
    </row>
    <row r="41" spans="19:40" x14ac:dyDescent="0.45">
      <c r="S41" t="s">
        <v>235</v>
      </c>
      <c r="T41" t="s">
        <v>296</v>
      </c>
      <c r="U41">
        <v>0.999999999999997</v>
      </c>
      <c r="V41" t="s">
        <v>163</v>
      </c>
    </row>
    <row r="42" spans="19:40" x14ac:dyDescent="0.45">
      <c r="S42" t="s">
        <v>236</v>
      </c>
      <c r="T42" t="s">
        <v>296</v>
      </c>
      <c r="U42">
        <v>0.99999999999999889</v>
      </c>
      <c r="V42" t="s">
        <v>163</v>
      </c>
    </row>
    <row r="43" spans="19:40" x14ac:dyDescent="0.45">
      <c r="S43" t="s">
        <v>237</v>
      </c>
      <c r="T43" t="s">
        <v>296</v>
      </c>
      <c r="U43">
        <v>0.99999999999999423</v>
      </c>
      <c r="V43" t="s">
        <v>163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B001-948B-49EA-85F1-39506BE8E98B}">
  <dimension ref="A9:AN406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133</v>
      </c>
      <c r="C10" t="s">
        <v>146</v>
      </c>
      <c r="D10" t="s">
        <v>147</v>
      </c>
      <c r="E10" t="s">
        <v>148</v>
      </c>
      <c r="F10" t="s">
        <v>149</v>
      </c>
      <c r="G10" t="s">
        <v>150</v>
      </c>
      <c r="I10" t="s">
        <v>13</v>
      </c>
      <c r="J10" t="s">
        <v>123</v>
      </c>
      <c r="K10" t="s">
        <v>160</v>
      </c>
      <c r="L10" t="s">
        <v>30</v>
      </c>
      <c r="N10" t="s">
        <v>13</v>
      </c>
      <c r="O10" t="s">
        <v>123</v>
      </c>
      <c r="P10" t="s">
        <v>160</v>
      </c>
      <c r="Q10" t="s">
        <v>30</v>
      </c>
      <c r="S10" t="s">
        <v>13</v>
      </c>
      <c r="T10" t="s">
        <v>123</v>
      </c>
      <c r="U10" t="s">
        <v>160</v>
      </c>
      <c r="V10" t="s">
        <v>30</v>
      </c>
      <c r="X10" t="s">
        <v>238</v>
      </c>
      <c r="Y10" t="s">
        <v>160</v>
      </c>
      <c r="Z10" t="s">
        <v>123</v>
      </c>
      <c r="AA10" t="s">
        <v>13</v>
      </c>
      <c r="AC10" t="s">
        <v>13</v>
      </c>
      <c r="AD10" t="s">
        <v>123</v>
      </c>
      <c r="AE10" t="s">
        <v>160</v>
      </c>
      <c r="AG10" t="s">
        <v>13</v>
      </c>
      <c r="AH10" t="s">
        <v>123</v>
      </c>
      <c r="AI10" t="s">
        <v>244</v>
      </c>
      <c r="AK10" t="s">
        <v>47</v>
      </c>
      <c r="AL10" t="s">
        <v>123</v>
      </c>
      <c r="AM10" t="s">
        <v>245</v>
      </c>
      <c r="AN10" t="s">
        <v>246</v>
      </c>
    </row>
    <row r="11" spans="1:40" x14ac:dyDescent="0.45">
      <c r="A11" t="str">
        <f>IFERROR(IF(Veda!D5=A10,"ok","x"),"")</f>
        <v>x</v>
      </c>
      <c r="C11" t="s">
        <v>297</v>
      </c>
      <c r="D11" t="s">
        <v>152</v>
      </c>
      <c r="E11" t="s">
        <v>240</v>
      </c>
      <c r="F11" t="s">
        <v>298</v>
      </c>
      <c r="G11" t="s">
        <v>152</v>
      </c>
      <c r="I11" t="s">
        <v>161</v>
      </c>
      <c r="J11" t="s">
        <v>303</v>
      </c>
      <c r="K11">
        <v>0.25547648309021947</v>
      </c>
      <c r="L11" t="s">
        <v>163</v>
      </c>
      <c r="N11" t="s">
        <v>190</v>
      </c>
      <c r="O11" t="s">
        <v>303</v>
      </c>
      <c r="P11">
        <v>0.13593918959374027</v>
      </c>
      <c r="Q11" t="s">
        <v>163</v>
      </c>
      <c r="S11" t="s">
        <v>205</v>
      </c>
      <c r="T11" t="s">
        <v>303</v>
      </c>
      <c r="U11">
        <v>9.8830018399223021E-2</v>
      </c>
      <c r="V11" t="s">
        <v>163</v>
      </c>
      <c r="X11">
        <v>0.11426940639269406</v>
      </c>
      <c r="Y11">
        <v>0.16087081189037786</v>
      </c>
      <c r="Z11" t="s">
        <v>303</v>
      </c>
      <c r="AA11" t="s">
        <v>25</v>
      </c>
      <c r="AC11" t="s">
        <v>22</v>
      </c>
      <c r="AD11" t="s">
        <v>303</v>
      </c>
      <c r="AE11">
        <v>0.10093429089532406</v>
      </c>
      <c r="AG11" t="s">
        <v>98</v>
      </c>
      <c r="AH11" t="s">
        <v>303</v>
      </c>
      <c r="AI11">
        <v>0.35998850027571061</v>
      </c>
      <c r="AK11">
        <v>2020</v>
      </c>
      <c r="AL11" t="s">
        <v>297</v>
      </c>
      <c r="AM11">
        <v>0.49906331260102599</v>
      </c>
      <c r="AN11" t="s">
        <v>247</v>
      </c>
    </row>
    <row r="12" spans="1:40" x14ac:dyDescent="0.45">
      <c r="C12" t="s">
        <v>299</v>
      </c>
      <c r="E12" t="s">
        <v>242</v>
      </c>
      <c r="G12" t="s">
        <v>152</v>
      </c>
      <c r="I12" t="s">
        <v>161</v>
      </c>
      <c r="J12" t="s">
        <v>304</v>
      </c>
      <c r="K12">
        <v>4.781184876310531E-3</v>
      </c>
      <c r="L12" t="s">
        <v>163</v>
      </c>
      <c r="N12" t="s">
        <v>190</v>
      </c>
      <c r="O12" t="s">
        <v>304</v>
      </c>
      <c r="P12">
        <v>0.12768991238936273</v>
      </c>
      <c r="Q12" t="s">
        <v>163</v>
      </c>
      <c r="S12" t="s">
        <v>205</v>
      </c>
      <c r="T12" t="s">
        <v>304</v>
      </c>
      <c r="U12">
        <v>9.2572220839080135E-2</v>
      </c>
      <c r="V12" t="s">
        <v>163</v>
      </c>
      <c r="X12">
        <v>0.11426940639269406</v>
      </c>
      <c r="Y12">
        <v>5.2547713165767528E-2</v>
      </c>
      <c r="Z12" t="s">
        <v>304</v>
      </c>
      <c r="AA12" t="s">
        <v>25</v>
      </c>
      <c r="AC12" t="s">
        <v>22</v>
      </c>
      <c r="AD12" t="s">
        <v>304</v>
      </c>
      <c r="AE12">
        <v>0.1272073915286048</v>
      </c>
      <c r="AG12" t="s">
        <v>98</v>
      </c>
      <c r="AH12" t="s">
        <v>304</v>
      </c>
      <c r="AI12">
        <v>0.17305801594904824</v>
      </c>
      <c r="AK12">
        <v>2020</v>
      </c>
      <c r="AL12" t="s">
        <v>299</v>
      </c>
      <c r="AM12">
        <v>0.46570823669969769</v>
      </c>
      <c r="AN12" t="s">
        <v>247</v>
      </c>
    </row>
    <row r="13" spans="1:40" x14ac:dyDescent="0.45">
      <c r="C13" t="s">
        <v>300</v>
      </c>
      <c r="E13" t="s">
        <v>301</v>
      </c>
      <c r="G13" t="s">
        <v>152</v>
      </c>
      <c r="I13" t="s">
        <v>161</v>
      </c>
      <c r="J13" t="s">
        <v>305</v>
      </c>
      <c r="K13">
        <v>3.7459964990117244E-2</v>
      </c>
      <c r="L13" t="s">
        <v>163</v>
      </c>
      <c r="N13" t="s">
        <v>190</v>
      </c>
      <c r="O13" t="s">
        <v>305</v>
      </c>
      <c r="P13">
        <v>2.4863295887677033E-2</v>
      </c>
      <c r="Q13" t="s">
        <v>163</v>
      </c>
      <c r="S13" t="s">
        <v>205</v>
      </c>
      <c r="T13" t="s">
        <v>305</v>
      </c>
      <c r="U13">
        <v>1.7833706309445547E-2</v>
      </c>
      <c r="V13" t="s">
        <v>163</v>
      </c>
      <c r="X13">
        <v>2.0776255707762557E-2</v>
      </c>
      <c r="Y13">
        <v>3.5896543437005365E-2</v>
      </c>
      <c r="Z13" t="s">
        <v>305</v>
      </c>
      <c r="AA13" t="s">
        <v>25</v>
      </c>
      <c r="AC13" t="s">
        <v>22</v>
      </c>
      <c r="AD13" t="s">
        <v>305</v>
      </c>
      <c r="AE13">
        <v>1.8718359963351857E-2</v>
      </c>
      <c r="AG13" t="s">
        <v>98</v>
      </c>
      <c r="AH13" t="s">
        <v>305</v>
      </c>
      <c r="AI13">
        <v>0.24560594736682795</v>
      </c>
      <c r="AK13">
        <v>2020</v>
      </c>
      <c r="AL13" t="s">
        <v>300</v>
      </c>
      <c r="AM13">
        <v>0.50076538231780165</v>
      </c>
      <c r="AN13" t="s">
        <v>247</v>
      </c>
    </row>
    <row r="14" spans="1:40" x14ac:dyDescent="0.45">
      <c r="C14" t="s">
        <v>302</v>
      </c>
      <c r="I14" t="s">
        <v>161</v>
      </c>
      <c r="J14" t="s">
        <v>306</v>
      </c>
      <c r="K14">
        <v>0.17289921939415251</v>
      </c>
      <c r="L14" t="s">
        <v>163</v>
      </c>
      <c r="N14" t="s">
        <v>190</v>
      </c>
      <c r="O14" t="s">
        <v>306</v>
      </c>
      <c r="P14">
        <v>0.10439394062836611</v>
      </c>
      <c r="Q14" t="s">
        <v>163</v>
      </c>
      <c r="S14" t="s">
        <v>205</v>
      </c>
      <c r="T14" t="s">
        <v>306</v>
      </c>
      <c r="U14">
        <v>0.11407016863122676</v>
      </c>
      <c r="V14" t="s">
        <v>163</v>
      </c>
      <c r="X14">
        <v>0.11552511415525114</v>
      </c>
      <c r="Y14">
        <v>0.16263862301005233</v>
      </c>
      <c r="Z14" t="s">
        <v>306</v>
      </c>
      <c r="AA14" t="s">
        <v>25</v>
      </c>
      <c r="AC14" t="s">
        <v>22</v>
      </c>
      <c r="AD14" t="s">
        <v>306</v>
      </c>
      <c r="AE14">
        <v>0.10078018080767256</v>
      </c>
      <c r="AG14" t="s">
        <v>98</v>
      </c>
      <c r="AH14" t="s">
        <v>306</v>
      </c>
      <c r="AI14">
        <v>0.39515618482074943</v>
      </c>
      <c r="AK14">
        <v>2020</v>
      </c>
      <c r="AL14" t="s">
        <v>302</v>
      </c>
      <c r="AM14">
        <v>0.49159332809875894</v>
      </c>
      <c r="AN14" t="s">
        <v>247</v>
      </c>
    </row>
    <row r="15" spans="1:40" x14ac:dyDescent="0.45">
      <c r="I15" t="s">
        <v>161</v>
      </c>
      <c r="J15" t="s">
        <v>307</v>
      </c>
      <c r="K15">
        <v>1.3351280726390463E-3</v>
      </c>
      <c r="L15" t="s">
        <v>163</v>
      </c>
      <c r="N15" t="s">
        <v>190</v>
      </c>
      <c r="O15" t="s">
        <v>307</v>
      </c>
      <c r="P15">
        <v>9.9913824567648038E-2</v>
      </c>
      <c r="Q15" t="s">
        <v>163</v>
      </c>
      <c r="S15" t="s">
        <v>205</v>
      </c>
      <c r="T15" t="s">
        <v>307</v>
      </c>
      <c r="U15">
        <v>0.11064685492897774</v>
      </c>
      <c r="V15" t="s">
        <v>163</v>
      </c>
      <c r="X15">
        <v>0.11552511415525114</v>
      </c>
      <c r="Y15">
        <v>5.3125160563193538E-2</v>
      </c>
      <c r="Z15" t="s">
        <v>307</v>
      </c>
      <c r="AA15" t="s">
        <v>25</v>
      </c>
      <c r="AC15" t="s">
        <v>22</v>
      </c>
      <c r="AD15" t="s">
        <v>307</v>
      </c>
      <c r="AE15">
        <v>0.12522570279593356</v>
      </c>
      <c r="AG15" t="s">
        <v>98</v>
      </c>
      <c r="AH15" t="s">
        <v>307</v>
      </c>
      <c r="AI15">
        <v>0.21556391233558636</v>
      </c>
      <c r="AK15">
        <v>2021</v>
      </c>
      <c r="AL15" t="s">
        <v>297</v>
      </c>
      <c r="AM15">
        <v>0.53952864748049756</v>
      </c>
      <c r="AN15" t="s">
        <v>247</v>
      </c>
    </row>
    <row r="16" spans="1:40" x14ac:dyDescent="0.45">
      <c r="I16" t="s">
        <v>161</v>
      </c>
      <c r="J16" t="s">
        <v>308</v>
      </c>
      <c r="K16">
        <v>2.3753683055994332E-2</v>
      </c>
      <c r="L16" t="s">
        <v>163</v>
      </c>
      <c r="N16" t="s">
        <v>190</v>
      </c>
      <c r="O16" t="s">
        <v>308</v>
      </c>
      <c r="P16">
        <v>1.9342934576303206E-2</v>
      </c>
      <c r="Q16" t="s">
        <v>163</v>
      </c>
      <c r="S16" t="s">
        <v>205</v>
      </c>
      <c r="T16" t="s">
        <v>308</v>
      </c>
      <c r="U16">
        <v>2.0780685239560056E-2</v>
      </c>
      <c r="V16" t="s">
        <v>163</v>
      </c>
      <c r="X16">
        <v>2.1004566210045664E-2</v>
      </c>
      <c r="Y16">
        <v>3.6291010947302131E-2</v>
      </c>
      <c r="Z16" t="s">
        <v>308</v>
      </c>
      <c r="AA16" t="s">
        <v>25</v>
      </c>
      <c r="AC16" t="s">
        <v>22</v>
      </c>
      <c r="AD16" t="s">
        <v>308</v>
      </c>
      <c r="AE16">
        <v>1.7370162062054217E-2</v>
      </c>
      <c r="AG16" t="s">
        <v>98</v>
      </c>
      <c r="AH16" t="s">
        <v>308</v>
      </c>
      <c r="AI16">
        <v>0.18511195114858991</v>
      </c>
      <c r="AK16">
        <v>2021</v>
      </c>
      <c r="AL16" t="s">
        <v>299</v>
      </c>
      <c r="AM16">
        <v>0.42609393667861406</v>
      </c>
      <c r="AN16" t="s">
        <v>247</v>
      </c>
    </row>
    <row r="17" spans="9:40" x14ac:dyDescent="0.45">
      <c r="I17" t="s">
        <v>161</v>
      </c>
      <c r="J17" t="s">
        <v>309</v>
      </c>
      <c r="K17">
        <v>0.10791067559763444</v>
      </c>
      <c r="L17" t="s">
        <v>163</v>
      </c>
      <c r="N17" t="s">
        <v>190</v>
      </c>
      <c r="O17" t="s">
        <v>309</v>
      </c>
      <c r="P17">
        <v>0.11903478178078167</v>
      </c>
      <c r="Q17" t="s">
        <v>163</v>
      </c>
      <c r="S17" t="s">
        <v>205</v>
      </c>
      <c r="T17" t="s">
        <v>309</v>
      </c>
      <c r="U17">
        <v>0.13691116307115334</v>
      </c>
      <c r="V17" t="s">
        <v>163</v>
      </c>
      <c r="X17">
        <v>0.11552511415525114</v>
      </c>
      <c r="Y17">
        <v>0.16263862301005233</v>
      </c>
      <c r="Z17" t="s">
        <v>309</v>
      </c>
      <c r="AA17" t="s">
        <v>25</v>
      </c>
      <c r="AC17" t="s">
        <v>22</v>
      </c>
      <c r="AD17" t="s">
        <v>309</v>
      </c>
      <c r="AE17">
        <v>0.11587542479796292</v>
      </c>
      <c r="AG17" t="s">
        <v>98</v>
      </c>
      <c r="AH17" t="s">
        <v>309</v>
      </c>
      <c r="AI17">
        <v>0.32459355126395217</v>
      </c>
      <c r="AK17">
        <v>2021</v>
      </c>
      <c r="AL17" t="s">
        <v>300</v>
      </c>
      <c r="AM17">
        <v>0.51814296507133317</v>
      </c>
      <c r="AN17" t="s">
        <v>247</v>
      </c>
    </row>
    <row r="18" spans="9:40" x14ac:dyDescent="0.45">
      <c r="I18" t="s">
        <v>161</v>
      </c>
      <c r="J18" t="s">
        <v>310</v>
      </c>
      <c r="K18">
        <v>0</v>
      </c>
      <c r="L18" t="s">
        <v>163</v>
      </c>
      <c r="N18" t="s">
        <v>190</v>
      </c>
      <c r="O18" t="s">
        <v>310</v>
      </c>
      <c r="P18">
        <v>0.11963104640158047</v>
      </c>
      <c r="Q18" t="s">
        <v>163</v>
      </c>
      <c r="S18" t="s">
        <v>205</v>
      </c>
      <c r="T18" t="s">
        <v>310</v>
      </c>
      <c r="U18">
        <v>0.13502948514178137</v>
      </c>
      <c r="V18" t="s">
        <v>163</v>
      </c>
      <c r="X18">
        <v>0.11552511415525114</v>
      </c>
      <c r="Y18">
        <v>5.3125160563193538E-2</v>
      </c>
      <c r="Z18" t="s">
        <v>310</v>
      </c>
      <c r="AA18" t="s">
        <v>25</v>
      </c>
      <c r="AC18" t="s">
        <v>22</v>
      </c>
      <c r="AD18" t="s">
        <v>310</v>
      </c>
      <c r="AE18">
        <v>0.14095344128373866</v>
      </c>
      <c r="AG18" t="s">
        <v>98</v>
      </c>
      <c r="AH18" t="s">
        <v>310</v>
      </c>
      <c r="AI18">
        <v>0.20944327214456826</v>
      </c>
      <c r="AK18">
        <v>2021</v>
      </c>
      <c r="AL18" t="s">
        <v>302</v>
      </c>
      <c r="AM18">
        <v>0.46752992191500248</v>
      </c>
      <c r="AN18" t="s">
        <v>247</v>
      </c>
    </row>
    <row r="19" spans="9:40" x14ac:dyDescent="0.45">
      <c r="I19" t="s">
        <v>161</v>
      </c>
      <c r="J19" t="s">
        <v>311</v>
      </c>
      <c r="K19">
        <v>1.1611904885723159E-2</v>
      </c>
      <c r="L19" t="s">
        <v>163</v>
      </c>
      <c r="N19" t="s">
        <v>190</v>
      </c>
      <c r="O19" t="s">
        <v>311</v>
      </c>
      <c r="P19">
        <v>2.1673462992642351E-2</v>
      </c>
      <c r="Q19" t="s">
        <v>163</v>
      </c>
      <c r="S19" t="s">
        <v>205</v>
      </c>
      <c r="T19" t="s">
        <v>311</v>
      </c>
      <c r="U19">
        <v>2.4423679115115608E-2</v>
      </c>
      <c r="V19" t="s">
        <v>163</v>
      </c>
      <c r="X19">
        <v>2.1004566210045664E-2</v>
      </c>
      <c r="Y19">
        <v>3.6291010947302131E-2</v>
      </c>
      <c r="Z19" t="s">
        <v>311</v>
      </c>
      <c r="AA19" t="s">
        <v>25</v>
      </c>
      <c r="AC19" t="s">
        <v>22</v>
      </c>
      <c r="AD19" t="s">
        <v>311</v>
      </c>
      <c r="AE19">
        <v>1.9499468666719314E-2</v>
      </c>
      <c r="AG19" t="s">
        <v>98</v>
      </c>
      <c r="AH19" t="s">
        <v>311</v>
      </c>
      <c r="AI19">
        <v>0.2127844276767763</v>
      </c>
      <c r="AK19">
        <v>2022</v>
      </c>
      <c r="AL19" t="s">
        <v>297</v>
      </c>
      <c r="AM19">
        <v>0.56858099012233498</v>
      </c>
      <c r="AN19" t="s">
        <v>247</v>
      </c>
    </row>
    <row r="20" spans="9:40" x14ac:dyDescent="0.45">
      <c r="I20" t="s">
        <v>161</v>
      </c>
      <c r="J20" t="s">
        <v>312</v>
      </c>
      <c r="K20">
        <v>0.31415461832130115</v>
      </c>
      <c r="L20" t="s">
        <v>163</v>
      </c>
      <c r="N20" t="s">
        <v>190</v>
      </c>
      <c r="O20" t="s">
        <v>312</v>
      </c>
      <c r="P20">
        <v>0.10375879740780816</v>
      </c>
      <c r="Q20" t="s">
        <v>163</v>
      </c>
      <c r="S20" t="s">
        <v>205</v>
      </c>
      <c r="T20" t="s">
        <v>312</v>
      </c>
      <c r="U20">
        <v>0.114312238393733</v>
      </c>
      <c r="V20" t="s">
        <v>163</v>
      </c>
      <c r="X20">
        <v>0.11301369863013698</v>
      </c>
      <c r="Y20">
        <v>0.15910300077070333</v>
      </c>
      <c r="Z20" t="s">
        <v>312</v>
      </c>
      <c r="AA20" t="s">
        <v>25</v>
      </c>
      <c r="AC20" t="s">
        <v>22</v>
      </c>
      <c r="AD20" t="s">
        <v>312</v>
      </c>
      <c r="AE20">
        <v>9.4110631049900001E-2</v>
      </c>
      <c r="AG20" t="s">
        <v>98</v>
      </c>
      <c r="AH20" t="s">
        <v>312</v>
      </c>
      <c r="AI20">
        <v>0.24183427011941916</v>
      </c>
      <c r="AK20">
        <v>2022</v>
      </c>
      <c r="AL20" t="s">
        <v>299</v>
      </c>
      <c r="AM20">
        <v>0.4239707961027816</v>
      </c>
      <c r="AN20" t="s">
        <v>247</v>
      </c>
    </row>
    <row r="21" spans="9:40" x14ac:dyDescent="0.45">
      <c r="I21" t="s">
        <v>161</v>
      </c>
      <c r="J21" t="s">
        <v>313</v>
      </c>
      <c r="K21">
        <v>1.8068806749469146E-2</v>
      </c>
      <c r="L21" t="s">
        <v>163</v>
      </c>
      <c r="N21" t="s">
        <v>190</v>
      </c>
      <c r="O21" t="s">
        <v>313</v>
      </c>
      <c r="P21">
        <v>0.1032195677407577</v>
      </c>
      <c r="Q21" t="s">
        <v>163</v>
      </c>
      <c r="S21" t="s">
        <v>205</v>
      </c>
      <c r="T21" t="s">
        <v>313</v>
      </c>
      <c r="U21">
        <v>0.11312750164918055</v>
      </c>
      <c r="V21" t="s">
        <v>163</v>
      </c>
      <c r="X21">
        <v>0.11301369863013698</v>
      </c>
      <c r="Y21">
        <v>5.197026576834151E-2</v>
      </c>
      <c r="Z21" t="s">
        <v>313</v>
      </c>
      <c r="AA21" t="s">
        <v>25</v>
      </c>
      <c r="AC21" t="s">
        <v>22</v>
      </c>
      <c r="AD21" t="s">
        <v>313</v>
      </c>
      <c r="AE21">
        <v>0.12119064964777208</v>
      </c>
      <c r="AG21" t="s">
        <v>98</v>
      </c>
      <c r="AH21" t="s">
        <v>313</v>
      </c>
      <c r="AI21">
        <v>6.6070848820160011E-2</v>
      </c>
      <c r="AK21">
        <v>2022</v>
      </c>
      <c r="AL21" t="s">
        <v>300</v>
      </c>
      <c r="AM21">
        <v>0.55059674053881225</v>
      </c>
      <c r="AN21" t="s">
        <v>247</v>
      </c>
    </row>
    <row r="22" spans="9:40" x14ac:dyDescent="0.45">
      <c r="I22" t="s">
        <v>161</v>
      </c>
      <c r="J22" t="s">
        <v>314</v>
      </c>
      <c r="K22">
        <v>5.2548330966437316E-2</v>
      </c>
      <c r="L22" t="s">
        <v>163</v>
      </c>
      <c r="N22" t="s">
        <v>190</v>
      </c>
      <c r="O22" t="s">
        <v>314</v>
      </c>
      <c r="P22">
        <v>2.0539246033332386E-2</v>
      </c>
      <c r="Q22" t="s">
        <v>163</v>
      </c>
      <c r="S22" t="s">
        <v>205</v>
      </c>
      <c r="T22" t="s">
        <v>314</v>
      </c>
      <c r="U22">
        <v>2.1462278281527299E-2</v>
      </c>
      <c r="V22" t="s">
        <v>163</v>
      </c>
      <c r="X22">
        <v>2.0547945205479451E-2</v>
      </c>
      <c r="Y22">
        <v>3.5502075926708607E-2</v>
      </c>
      <c r="Z22" t="s">
        <v>314</v>
      </c>
      <c r="AA22" t="s">
        <v>25</v>
      </c>
      <c r="AC22" t="s">
        <v>22</v>
      </c>
      <c r="AD22" t="s">
        <v>314</v>
      </c>
      <c r="AE22">
        <v>1.813429650096586E-2</v>
      </c>
      <c r="AG22" t="s">
        <v>98</v>
      </c>
      <c r="AH22" t="s">
        <v>314</v>
      </c>
      <c r="AI22">
        <v>0.14087646518096575</v>
      </c>
      <c r="AK22">
        <v>2022</v>
      </c>
      <c r="AL22" t="s">
        <v>302</v>
      </c>
      <c r="AM22">
        <v>0.48124206709792811</v>
      </c>
      <c r="AN22" t="s">
        <v>247</v>
      </c>
    </row>
    <row r="23" spans="9:40" x14ac:dyDescent="0.45">
      <c r="I23" t="s">
        <v>175</v>
      </c>
      <c r="J23" t="s">
        <v>303</v>
      </c>
      <c r="K23">
        <v>0.27668612014244931</v>
      </c>
      <c r="L23" t="s">
        <v>163</v>
      </c>
      <c r="N23" t="s">
        <v>191</v>
      </c>
      <c r="O23" t="s">
        <v>303</v>
      </c>
      <c r="P23">
        <v>0.14250599870897521</v>
      </c>
      <c r="Q23" t="s">
        <v>163</v>
      </c>
      <c r="S23" t="s">
        <v>206</v>
      </c>
      <c r="T23" t="s">
        <v>303</v>
      </c>
      <c r="U23">
        <v>0.12266939356576692</v>
      </c>
      <c r="V23" t="s">
        <v>163</v>
      </c>
      <c r="AC23" t="s">
        <v>19</v>
      </c>
      <c r="AD23" t="s">
        <v>303</v>
      </c>
      <c r="AE23">
        <v>0.11348607094128318</v>
      </c>
      <c r="AK23">
        <v>2025</v>
      </c>
      <c r="AL23" t="s">
        <v>297</v>
      </c>
      <c r="AM23">
        <v>0.53066666666666673</v>
      </c>
      <c r="AN23" t="s">
        <v>247</v>
      </c>
    </row>
    <row r="24" spans="9:40" x14ac:dyDescent="0.45">
      <c r="I24" t="s">
        <v>175</v>
      </c>
      <c r="J24" t="s">
        <v>304</v>
      </c>
      <c r="K24">
        <v>3.7387061122045066E-3</v>
      </c>
      <c r="L24" t="s">
        <v>163</v>
      </c>
      <c r="N24" t="s">
        <v>191</v>
      </c>
      <c r="O24" t="s">
        <v>304</v>
      </c>
      <c r="P24">
        <v>0.13530117161234326</v>
      </c>
      <c r="Q24" t="s">
        <v>163</v>
      </c>
      <c r="S24" t="s">
        <v>206</v>
      </c>
      <c r="T24" t="s">
        <v>304</v>
      </c>
      <c r="U24">
        <v>0.12248475790467496</v>
      </c>
      <c r="V24" t="s">
        <v>163</v>
      </c>
      <c r="AC24" t="s">
        <v>19</v>
      </c>
      <c r="AD24" t="s">
        <v>304</v>
      </c>
      <c r="AE24">
        <v>0.11515678660020072</v>
      </c>
      <c r="AK24">
        <v>2025</v>
      </c>
      <c r="AL24" t="s">
        <v>299</v>
      </c>
      <c r="AM24">
        <v>0.49390000000000001</v>
      </c>
      <c r="AN24" t="s">
        <v>247</v>
      </c>
    </row>
    <row r="25" spans="9:40" x14ac:dyDescent="0.45">
      <c r="I25" t="s">
        <v>175</v>
      </c>
      <c r="J25" t="s">
        <v>305</v>
      </c>
      <c r="K25">
        <v>2.2885884608326169E-2</v>
      </c>
      <c r="L25" t="s">
        <v>163</v>
      </c>
      <c r="N25" t="s">
        <v>191</v>
      </c>
      <c r="O25" t="s">
        <v>305</v>
      </c>
      <c r="P25">
        <v>2.6349682523041481E-2</v>
      </c>
      <c r="Q25" t="s">
        <v>163</v>
      </c>
      <c r="S25" t="s">
        <v>206</v>
      </c>
      <c r="T25" t="s">
        <v>305</v>
      </c>
      <c r="U25">
        <v>2.3184445017727144E-2</v>
      </c>
      <c r="V25" t="s">
        <v>163</v>
      </c>
      <c r="AC25" t="s">
        <v>19</v>
      </c>
      <c r="AD25" t="s">
        <v>305</v>
      </c>
      <c r="AE25">
        <v>2.0657147798912246E-2</v>
      </c>
      <c r="AK25">
        <v>2025</v>
      </c>
      <c r="AL25" t="s">
        <v>300</v>
      </c>
      <c r="AM25">
        <v>0.52786666666666671</v>
      </c>
      <c r="AN25" t="s">
        <v>247</v>
      </c>
    </row>
    <row r="26" spans="9:40" x14ac:dyDescent="0.45">
      <c r="I26" t="s">
        <v>175</v>
      </c>
      <c r="J26" t="s">
        <v>306</v>
      </c>
      <c r="K26">
        <v>0.18977640812631566</v>
      </c>
      <c r="L26" t="s">
        <v>163</v>
      </c>
      <c r="N26" t="s">
        <v>191</v>
      </c>
      <c r="O26" t="s">
        <v>306</v>
      </c>
      <c r="P26">
        <v>9.6934381042472942E-2</v>
      </c>
      <c r="Q26" t="s">
        <v>163</v>
      </c>
      <c r="S26" t="s">
        <v>206</v>
      </c>
      <c r="T26" t="s">
        <v>306</v>
      </c>
      <c r="U26">
        <v>0.10446510564456606</v>
      </c>
      <c r="V26" t="s">
        <v>163</v>
      </c>
      <c r="AC26" t="s">
        <v>19</v>
      </c>
      <c r="AD26" t="s">
        <v>306</v>
      </c>
      <c r="AE26">
        <v>0.11481601973228781</v>
      </c>
      <c r="AK26">
        <v>2025</v>
      </c>
      <c r="AL26" t="s">
        <v>302</v>
      </c>
      <c r="AM26">
        <v>0.47746666666666665</v>
      </c>
      <c r="AN26" t="s">
        <v>247</v>
      </c>
    </row>
    <row r="27" spans="9:40" x14ac:dyDescent="0.45">
      <c r="I27" t="s">
        <v>175</v>
      </c>
      <c r="J27" t="s">
        <v>307</v>
      </c>
      <c r="K27">
        <v>0</v>
      </c>
      <c r="L27" t="s">
        <v>163</v>
      </c>
      <c r="N27" t="s">
        <v>191</v>
      </c>
      <c r="O27" t="s">
        <v>307</v>
      </c>
      <c r="P27">
        <v>9.1895892265101031E-2</v>
      </c>
      <c r="Q27" t="s">
        <v>163</v>
      </c>
      <c r="S27" t="s">
        <v>206</v>
      </c>
      <c r="T27" t="s">
        <v>307</v>
      </c>
      <c r="U27">
        <v>0.10603290757731618</v>
      </c>
      <c r="V27" t="s">
        <v>163</v>
      </c>
      <c r="AC27" t="s">
        <v>19</v>
      </c>
      <c r="AD27" t="s">
        <v>307</v>
      </c>
      <c r="AE27">
        <v>0.11637051902592906</v>
      </c>
      <c r="AK27">
        <v>2026</v>
      </c>
      <c r="AL27" t="s">
        <v>297</v>
      </c>
      <c r="AM27">
        <v>0.52616666666666667</v>
      </c>
      <c r="AN27" t="s">
        <v>247</v>
      </c>
    </row>
    <row r="28" spans="9:40" x14ac:dyDescent="0.45">
      <c r="I28" t="s">
        <v>175</v>
      </c>
      <c r="J28" t="s">
        <v>308</v>
      </c>
      <c r="K28">
        <v>1.3537866237995261E-2</v>
      </c>
      <c r="L28" t="s">
        <v>163</v>
      </c>
      <c r="N28" t="s">
        <v>191</v>
      </c>
      <c r="O28" t="s">
        <v>308</v>
      </c>
      <c r="P28">
        <v>1.8039076843566371E-2</v>
      </c>
      <c r="Q28" t="s">
        <v>163</v>
      </c>
      <c r="S28" t="s">
        <v>206</v>
      </c>
      <c r="T28" t="s">
        <v>308</v>
      </c>
      <c r="U28">
        <v>1.9954885242378578E-2</v>
      </c>
      <c r="V28" t="s">
        <v>163</v>
      </c>
      <c r="AC28" t="s">
        <v>19</v>
      </c>
      <c r="AD28" t="s">
        <v>308</v>
      </c>
      <c r="AE28">
        <v>2.0815006096510005E-2</v>
      </c>
      <c r="AK28">
        <v>2026</v>
      </c>
      <c r="AL28" t="s">
        <v>299</v>
      </c>
      <c r="AM28">
        <v>0.43263333333333326</v>
      </c>
      <c r="AN28" t="s">
        <v>247</v>
      </c>
    </row>
    <row r="29" spans="9:40" x14ac:dyDescent="0.45">
      <c r="I29" t="s">
        <v>175</v>
      </c>
      <c r="J29" t="s">
        <v>309</v>
      </c>
      <c r="K29">
        <v>0.12254449146822453</v>
      </c>
      <c r="L29" t="s">
        <v>163</v>
      </c>
      <c r="N29" t="s">
        <v>191</v>
      </c>
      <c r="O29" t="s">
        <v>309</v>
      </c>
      <c r="P29">
        <v>0.12526860742492824</v>
      </c>
      <c r="Q29" t="s">
        <v>163</v>
      </c>
      <c r="S29" t="s">
        <v>206</v>
      </c>
      <c r="T29" t="s">
        <v>309</v>
      </c>
      <c r="U29">
        <v>0.12079966459192965</v>
      </c>
      <c r="V29" t="s">
        <v>163</v>
      </c>
      <c r="AC29" t="s">
        <v>19</v>
      </c>
      <c r="AD29" t="s">
        <v>309</v>
      </c>
      <c r="AE29">
        <v>0.11490818546102288</v>
      </c>
      <c r="AK29">
        <v>2026</v>
      </c>
      <c r="AL29" t="s">
        <v>300</v>
      </c>
      <c r="AM29">
        <v>0.56659999999999999</v>
      </c>
      <c r="AN29" t="s">
        <v>247</v>
      </c>
    </row>
    <row r="30" spans="9:40" x14ac:dyDescent="0.45">
      <c r="I30" t="s">
        <v>175</v>
      </c>
      <c r="J30" t="s">
        <v>310</v>
      </c>
      <c r="K30">
        <v>0</v>
      </c>
      <c r="L30" t="s">
        <v>163</v>
      </c>
      <c r="N30" t="s">
        <v>191</v>
      </c>
      <c r="O30" t="s">
        <v>310</v>
      </c>
      <c r="P30">
        <v>0.12238077843035124</v>
      </c>
      <c r="Q30" t="s">
        <v>163</v>
      </c>
      <c r="S30" t="s">
        <v>206</v>
      </c>
      <c r="T30" t="s">
        <v>310</v>
      </c>
      <c r="U30">
        <v>0.12463783302201828</v>
      </c>
      <c r="V30" t="s">
        <v>163</v>
      </c>
      <c r="AC30" t="s">
        <v>19</v>
      </c>
      <c r="AD30" t="s">
        <v>310</v>
      </c>
      <c r="AE30">
        <v>0.11650290530099121</v>
      </c>
      <c r="AK30">
        <v>2026</v>
      </c>
      <c r="AL30" t="s">
        <v>302</v>
      </c>
      <c r="AM30">
        <v>0.49413333333333331</v>
      </c>
      <c r="AN30" t="s">
        <v>247</v>
      </c>
    </row>
    <row r="31" spans="9:40" x14ac:dyDescent="0.45">
      <c r="I31" t="s">
        <v>175</v>
      </c>
      <c r="J31" t="s">
        <v>311</v>
      </c>
      <c r="K31">
        <v>3.7730383365889623E-3</v>
      </c>
      <c r="L31" t="s">
        <v>163</v>
      </c>
      <c r="N31" t="s">
        <v>191</v>
      </c>
      <c r="O31" t="s">
        <v>311</v>
      </c>
      <c r="P31">
        <v>2.2589988074960505E-2</v>
      </c>
      <c r="Q31" t="s">
        <v>163</v>
      </c>
      <c r="S31" t="s">
        <v>206</v>
      </c>
      <c r="T31" t="s">
        <v>311</v>
      </c>
      <c r="U31">
        <v>2.2316881873385486E-2</v>
      </c>
      <c r="V31" t="s">
        <v>163</v>
      </c>
      <c r="AC31" t="s">
        <v>19</v>
      </c>
      <c r="AD31" t="s">
        <v>311</v>
      </c>
      <c r="AE31">
        <v>2.0792637427089235E-2</v>
      </c>
      <c r="AK31">
        <v>2027</v>
      </c>
      <c r="AL31" t="s">
        <v>297</v>
      </c>
      <c r="AM31">
        <v>0.53036666666666665</v>
      </c>
      <c r="AN31" t="s">
        <v>247</v>
      </c>
    </row>
    <row r="32" spans="9:40" x14ac:dyDescent="0.45">
      <c r="I32" t="s">
        <v>175</v>
      </c>
      <c r="J32" t="s">
        <v>312</v>
      </c>
      <c r="K32">
        <v>0.31715193765554744</v>
      </c>
      <c r="L32" t="s">
        <v>163</v>
      </c>
      <c r="N32" t="s">
        <v>191</v>
      </c>
      <c r="O32" t="s">
        <v>312</v>
      </c>
      <c r="P32">
        <v>0.10308111831043165</v>
      </c>
      <c r="Q32" t="s">
        <v>163</v>
      </c>
      <c r="S32" t="s">
        <v>206</v>
      </c>
      <c r="T32" t="s">
        <v>312</v>
      </c>
      <c r="U32">
        <v>0.10538453774190838</v>
      </c>
      <c r="V32" t="s">
        <v>163</v>
      </c>
      <c r="AC32" t="s">
        <v>19</v>
      </c>
      <c r="AD32" t="s">
        <v>312</v>
      </c>
      <c r="AE32">
        <v>0.1121576607680895</v>
      </c>
      <c r="AK32">
        <v>2027</v>
      </c>
      <c r="AL32" t="s">
        <v>299</v>
      </c>
      <c r="AM32">
        <v>0.4511</v>
      </c>
      <c r="AN32" t="s">
        <v>247</v>
      </c>
    </row>
    <row r="33" spans="9:40" x14ac:dyDescent="0.45">
      <c r="I33" t="s">
        <v>175</v>
      </c>
      <c r="J33" t="s">
        <v>313</v>
      </c>
      <c r="K33">
        <v>8.8743585435116738E-3</v>
      </c>
      <c r="L33" t="s">
        <v>163</v>
      </c>
      <c r="N33" t="s">
        <v>191</v>
      </c>
      <c r="O33" t="s">
        <v>313</v>
      </c>
      <c r="P33">
        <v>9.5857730613508357E-2</v>
      </c>
      <c r="Q33" t="s">
        <v>163</v>
      </c>
      <c r="S33" t="s">
        <v>206</v>
      </c>
      <c r="T33" t="s">
        <v>313</v>
      </c>
      <c r="U33">
        <v>0.10813106709444283</v>
      </c>
      <c r="V33" t="s">
        <v>163</v>
      </c>
      <c r="AC33" t="s">
        <v>19</v>
      </c>
      <c r="AD33" t="s">
        <v>313</v>
      </c>
      <c r="AE33">
        <v>0.1138796886226143</v>
      </c>
      <c r="AK33">
        <v>2027</v>
      </c>
      <c r="AL33" t="s">
        <v>300</v>
      </c>
      <c r="AM33">
        <v>0.53220000000000001</v>
      </c>
      <c r="AN33" t="s">
        <v>247</v>
      </c>
    </row>
    <row r="34" spans="9:40" x14ac:dyDescent="0.45">
      <c r="I34" t="s">
        <v>175</v>
      </c>
      <c r="J34" t="s">
        <v>314</v>
      </c>
      <c r="K34">
        <v>4.1031188768840536E-2</v>
      </c>
      <c r="L34" t="s">
        <v>163</v>
      </c>
      <c r="N34" t="s">
        <v>191</v>
      </c>
      <c r="O34" t="s">
        <v>314</v>
      </c>
      <c r="P34">
        <v>1.9795574150320388E-2</v>
      </c>
      <c r="Q34" t="s">
        <v>163</v>
      </c>
      <c r="S34" t="s">
        <v>206</v>
      </c>
      <c r="T34" t="s">
        <v>314</v>
      </c>
      <c r="U34">
        <v>1.9938520723889575E-2</v>
      </c>
      <c r="V34" t="s">
        <v>163</v>
      </c>
      <c r="AC34" t="s">
        <v>19</v>
      </c>
      <c r="AD34" t="s">
        <v>314</v>
      </c>
      <c r="AE34">
        <v>2.0457372225069922E-2</v>
      </c>
      <c r="AK34">
        <v>2027</v>
      </c>
      <c r="AL34" t="s">
        <v>302</v>
      </c>
      <c r="AM34">
        <v>0.48533333333333334</v>
      </c>
      <c r="AN34" t="s">
        <v>247</v>
      </c>
    </row>
    <row r="35" spans="9:40" x14ac:dyDescent="0.45">
      <c r="I35" t="s">
        <v>176</v>
      </c>
      <c r="J35" t="s">
        <v>303</v>
      </c>
      <c r="K35">
        <v>0.2722278756385082</v>
      </c>
      <c r="L35" t="s">
        <v>163</v>
      </c>
      <c r="N35" t="s">
        <v>192</v>
      </c>
      <c r="O35" t="s">
        <v>303</v>
      </c>
      <c r="P35">
        <v>0.13540405349517362</v>
      </c>
      <c r="Q35" t="s">
        <v>163</v>
      </c>
      <c r="S35" t="s">
        <v>207</v>
      </c>
      <c r="T35" t="s">
        <v>303</v>
      </c>
      <c r="U35">
        <v>0.11922042192441656</v>
      </c>
      <c r="V35" t="s">
        <v>163</v>
      </c>
      <c r="AK35">
        <v>2028</v>
      </c>
      <c r="AL35" t="s">
        <v>297</v>
      </c>
      <c r="AM35">
        <v>0.48910000000000003</v>
      </c>
      <c r="AN35" t="s">
        <v>247</v>
      </c>
    </row>
    <row r="36" spans="9:40" x14ac:dyDescent="0.45">
      <c r="I36" t="s">
        <v>176</v>
      </c>
      <c r="J36" t="s">
        <v>304</v>
      </c>
      <c r="K36">
        <v>4.8561681473804144E-3</v>
      </c>
      <c r="L36" t="s">
        <v>163</v>
      </c>
      <c r="N36" t="s">
        <v>192</v>
      </c>
      <c r="O36" t="s">
        <v>304</v>
      </c>
      <c r="P36">
        <v>0.12572185347375198</v>
      </c>
      <c r="Q36" t="s">
        <v>163</v>
      </c>
      <c r="S36" t="s">
        <v>207</v>
      </c>
      <c r="T36" t="s">
        <v>304</v>
      </c>
      <c r="U36">
        <v>0.11609259984465099</v>
      </c>
      <c r="V36" t="s">
        <v>163</v>
      </c>
      <c r="AK36">
        <v>2028</v>
      </c>
      <c r="AL36" t="s">
        <v>299</v>
      </c>
      <c r="AM36">
        <v>0.45883333333333337</v>
      </c>
      <c r="AN36" t="s">
        <v>247</v>
      </c>
    </row>
    <row r="37" spans="9:40" x14ac:dyDescent="0.45">
      <c r="I37" t="s">
        <v>176</v>
      </c>
      <c r="J37" t="s">
        <v>305</v>
      </c>
      <c r="K37">
        <v>2.1619603090571298E-2</v>
      </c>
      <c r="L37" t="s">
        <v>163</v>
      </c>
      <c r="N37" t="s">
        <v>192</v>
      </c>
      <c r="O37" t="s">
        <v>305</v>
      </c>
      <c r="P37">
        <v>2.4130007893308741E-2</v>
      </c>
      <c r="Q37" t="s">
        <v>163</v>
      </c>
      <c r="S37" t="s">
        <v>207</v>
      </c>
      <c r="T37" t="s">
        <v>305</v>
      </c>
      <c r="U37">
        <v>2.191666625566047E-2</v>
      </c>
      <c r="V37" t="s">
        <v>163</v>
      </c>
      <c r="AK37">
        <v>2028</v>
      </c>
      <c r="AL37" t="s">
        <v>300</v>
      </c>
      <c r="AM37">
        <v>0.53853333333333342</v>
      </c>
      <c r="AN37" t="s">
        <v>247</v>
      </c>
    </row>
    <row r="38" spans="9:40" x14ac:dyDescent="0.45">
      <c r="I38" t="s">
        <v>176</v>
      </c>
      <c r="J38" t="s">
        <v>306</v>
      </c>
      <c r="K38">
        <v>0.19081381748075213</v>
      </c>
      <c r="L38" t="s">
        <v>163</v>
      </c>
      <c r="N38" t="s">
        <v>192</v>
      </c>
      <c r="O38" t="s">
        <v>306</v>
      </c>
      <c r="P38">
        <v>9.8261981742100532E-2</v>
      </c>
      <c r="Q38" t="s">
        <v>163</v>
      </c>
      <c r="S38" t="s">
        <v>207</v>
      </c>
      <c r="T38" t="s">
        <v>306</v>
      </c>
      <c r="U38">
        <v>0.11289737519571032</v>
      </c>
      <c r="V38" t="s">
        <v>163</v>
      </c>
      <c r="AK38">
        <v>2028</v>
      </c>
      <c r="AL38" t="s">
        <v>302</v>
      </c>
      <c r="AM38">
        <v>0.46110000000000001</v>
      </c>
      <c r="AN38" t="s">
        <v>247</v>
      </c>
    </row>
    <row r="39" spans="9:40" x14ac:dyDescent="0.45">
      <c r="I39" t="s">
        <v>176</v>
      </c>
      <c r="J39" t="s">
        <v>307</v>
      </c>
      <c r="K39">
        <v>0</v>
      </c>
      <c r="L39" t="s">
        <v>163</v>
      </c>
      <c r="N39" t="s">
        <v>192</v>
      </c>
      <c r="O39" t="s">
        <v>307</v>
      </c>
      <c r="P39">
        <v>0.10079108419097765</v>
      </c>
      <c r="Q39" t="s">
        <v>163</v>
      </c>
      <c r="S39" t="s">
        <v>207</v>
      </c>
      <c r="T39" t="s">
        <v>307</v>
      </c>
      <c r="U39">
        <v>0.10874811887402355</v>
      </c>
      <c r="V39" t="s">
        <v>163</v>
      </c>
      <c r="AK39">
        <v>2029</v>
      </c>
      <c r="AL39" t="s">
        <v>297</v>
      </c>
      <c r="AM39">
        <v>0.57289999999999996</v>
      </c>
      <c r="AN39" t="s">
        <v>247</v>
      </c>
    </row>
    <row r="40" spans="9:40" x14ac:dyDescent="0.45">
      <c r="I40" t="s">
        <v>176</v>
      </c>
      <c r="J40" t="s">
        <v>308</v>
      </c>
      <c r="K40">
        <v>1.183028723717394E-2</v>
      </c>
      <c r="L40" t="s">
        <v>163</v>
      </c>
      <c r="N40" t="s">
        <v>192</v>
      </c>
      <c r="O40" t="s">
        <v>308</v>
      </c>
      <c r="P40">
        <v>1.951011985557707E-2</v>
      </c>
      <c r="Q40" t="s">
        <v>163</v>
      </c>
      <c r="S40" t="s">
        <v>207</v>
      </c>
      <c r="T40" t="s">
        <v>308</v>
      </c>
      <c r="U40">
        <v>2.0466056509060325E-2</v>
      </c>
      <c r="V40" t="s">
        <v>163</v>
      </c>
      <c r="AK40">
        <v>2029</v>
      </c>
      <c r="AL40" t="s">
        <v>299</v>
      </c>
      <c r="AM40">
        <v>0.52616666666666667</v>
      </c>
      <c r="AN40" t="s">
        <v>247</v>
      </c>
    </row>
    <row r="41" spans="9:40" x14ac:dyDescent="0.45">
      <c r="I41" t="s">
        <v>176</v>
      </c>
      <c r="J41" t="s">
        <v>309</v>
      </c>
      <c r="K41">
        <v>0.11735984413477416</v>
      </c>
      <c r="L41" t="s">
        <v>163</v>
      </c>
      <c r="N41" t="s">
        <v>192</v>
      </c>
      <c r="O41" t="s">
        <v>309</v>
      </c>
      <c r="P41">
        <v>0.12046600387156894</v>
      </c>
      <c r="Q41" t="s">
        <v>163</v>
      </c>
      <c r="S41" t="s">
        <v>207</v>
      </c>
      <c r="T41" t="s">
        <v>309</v>
      </c>
      <c r="U41">
        <v>0.12772378838916232</v>
      </c>
      <c r="V41" t="s">
        <v>163</v>
      </c>
      <c r="AK41">
        <v>2029</v>
      </c>
      <c r="AL41" t="s">
        <v>300</v>
      </c>
      <c r="AM41">
        <v>0.62060000000000004</v>
      </c>
      <c r="AN41" t="s">
        <v>247</v>
      </c>
    </row>
    <row r="42" spans="9:40" x14ac:dyDescent="0.45">
      <c r="I42" t="s">
        <v>176</v>
      </c>
      <c r="J42" t="s">
        <v>310</v>
      </c>
      <c r="K42">
        <v>0</v>
      </c>
      <c r="L42" t="s">
        <v>163</v>
      </c>
      <c r="N42" t="s">
        <v>192</v>
      </c>
      <c r="O42" t="s">
        <v>310</v>
      </c>
      <c r="P42">
        <v>0.12186817304953318</v>
      </c>
      <c r="Q42" t="s">
        <v>163</v>
      </c>
      <c r="S42" t="s">
        <v>207</v>
      </c>
      <c r="T42" t="s">
        <v>310</v>
      </c>
      <c r="U42">
        <v>0.12686767781959823</v>
      </c>
      <c r="V42" t="s">
        <v>163</v>
      </c>
      <c r="AK42">
        <v>2029</v>
      </c>
      <c r="AL42" t="s">
        <v>302</v>
      </c>
      <c r="AM42">
        <v>0.51703333333333334</v>
      </c>
      <c r="AN42" t="s">
        <v>247</v>
      </c>
    </row>
    <row r="43" spans="9:40" x14ac:dyDescent="0.45">
      <c r="I43" t="s">
        <v>176</v>
      </c>
      <c r="J43" t="s">
        <v>311</v>
      </c>
      <c r="K43">
        <v>2.4143797882796173E-3</v>
      </c>
      <c r="L43" t="s">
        <v>163</v>
      </c>
      <c r="N43" t="s">
        <v>192</v>
      </c>
      <c r="O43" t="s">
        <v>311</v>
      </c>
      <c r="P43">
        <v>2.2352600238359468E-2</v>
      </c>
      <c r="Q43" t="s">
        <v>163</v>
      </c>
      <c r="S43" t="s">
        <v>207</v>
      </c>
      <c r="T43" t="s">
        <v>311</v>
      </c>
      <c r="U43">
        <v>2.3780612172458901E-2</v>
      </c>
      <c r="V43" t="s">
        <v>163</v>
      </c>
      <c r="AK43">
        <v>2030</v>
      </c>
      <c r="AL43" t="s">
        <v>297</v>
      </c>
      <c r="AM43">
        <v>0.59133333333333338</v>
      </c>
      <c r="AN43" t="s">
        <v>247</v>
      </c>
    </row>
    <row r="44" spans="9:40" x14ac:dyDescent="0.45">
      <c r="I44" t="s">
        <v>176</v>
      </c>
      <c r="J44" t="s">
        <v>312</v>
      </c>
      <c r="K44">
        <v>0.32751839358426466</v>
      </c>
      <c r="L44" t="s">
        <v>163</v>
      </c>
      <c r="N44" t="s">
        <v>192</v>
      </c>
      <c r="O44" t="s">
        <v>312</v>
      </c>
      <c r="P44">
        <v>0.10680844245925401</v>
      </c>
      <c r="Q44" t="s">
        <v>163</v>
      </c>
      <c r="S44" t="s">
        <v>207</v>
      </c>
      <c r="T44" t="s">
        <v>312</v>
      </c>
      <c r="U44">
        <v>0.10136378227372238</v>
      </c>
      <c r="V44" t="s">
        <v>163</v>
      </c>
      <c r="AK44">
        <v>2030</v>
      </c>
      <c r="AL44" t="s">
        <v>299</v>
      </c>
      <c r="AM44">
        <v>0.51839999999999997</v>
      </c>
      <c r="AN44" t="s">
        <v>247</v>
      </c>
    </row>
    <row r="45" spans="9:40" x14ac:dyDescent="0.45">
      <c r="I45" t="s">
        <v>176</v>
      </c>
      <c r="J45" t="s">
        <v>313</v>
      </c>
      <c r="K45">
        <v>8.8976162472376233E-3</v>
      </c>
      <c r="L45" t="s">
        <v>163</v>
      </c>
      <c r="N45" t="s">
        <v>192</v>
      </c>
      <c r="O45" t="s">
        <v>313</v>
      </c>
      <c r="P45">
        <v>0.1026912486493386</v>
      </c>
      <c r="Q45" t="s">
        <v>163</v>
      </c>
      <c r="S45" t="s">
        <v>207</v>
      </c>
      <c r="T45" t="s">
        <v>313</v>
      </c>
      <c r="U45">
        <v>0.10162564098028148</v>
      </c>
      <c r="V45" t="s">
        <v>163</v>
      </c>
      <c r="AK45">
        <v>2030</v>
      </c>
      <c r="AL45" t="s">
        <v>300</v>
      </c>
      <c r="AM45">
        <v>0.58833333333333337</v>
      </c>
      <c r="AN45" t="s">
        <v>247</v>
      </c>
    </row>
    <row r="46" spans="9:40" x14ac:dyDescent="0.45">
      <c r="I46" t="s">
        <v>176</v>
      </c>
      <c r="J46" t="s">
        <v>314</v>
      </c>
      <c r="K46">
        <v>4.2462014651057957E-2</v>
      </c>
      <c r="L46" t="s">
        <v>163</v>
      </c>
      <c r="N46" t="s">
        <v>192</v>
      </c>
      <c r="O46" t="s">
        <v>314</v>
      </c>
      <c r="P46">
        <v>2.1994431081057704E-2</v>
      </c>
      <c r="Q46" t="s">
        <v>163</v>
      </c>
      <c r="S46" t="s">
        <v>207</v>
      </c>
      <c r="T46" t="s">
        <v>314</v>
      </c>
      <c r="U46">
        <v>1.9297259761255181E-2</v>
      </c>
      <c r="V46" t="s">
        <v>163</v>
      </c>
      <c r="AK46">
        <v>2030</v>
      </c>
      <c r="AL46" t="s">
        <v>302</v>
      </c>
      <c r="AM46">
        <v>0.55686666666666673</v>
      </c>
      <c r="AN46" t="s">
        <v>247</v>
      </c>
    </row>
    <row r="47" spans="9:40" x14ac:dyDescent="0.45">
      <c r="I47" t="s">
        <v>177</v>
      </c>
      <c r="J47" t="s">
        <v>303</v>
      </c>
      <c r="K47">
        <v>0.26433874824012465</v>
      </c>
      <c r="L47" t="s">
        <v>163</v>
      </c>
      <c r="N47" t="s">
        <v>193</v>
      </c>
      <c r="O47" t="s">
        <v>303</v>
      </c>
      <c r="P47">
        <v>0.17686134375458351</v>
      </c>
      <c r="Q47" t="s">
        <v>163</v>
      </c>
      <c r="S47" t="s">
        <v>208</v>
      </c>
      <c r="T47" t="s">
        <v>303</v>
      </c>
      <c r="U47">
        <v>0.12265291149425023</v>
      </c>
      <c r="V47" t="s">
        <v>163</v>
      </c>
      <c r="AK47">
        <v>2031</v>
      </c>
      <c r="AL47" t="s">
        <v>297</v>
      </c>
      <c r="AM47">
        <v>0.60043333333333326</v>
      </c>
      <c r="AN47" t="s">
        <v>247</v>
      </c>
    </row>
    <row r="48" spans="9:40" x14ac:dyDescent="0.45">
      <c r="I48" t="s">
        <v>177</v>
      </c>
      <c r="J48" t="s">
        <v>304</v>
      </c>
      <c r="K48">
        <v>4.7693387553837552E-3</v>
      </c>
      <c r="L48" t="s">
        <v>163</v>
      </c>
      <c r="N48" t="s">
        <v>193</v>
      </c>
      <c r="O48" t="s">
        <v>304</v>
      </c>
      <c r="P48">
        <v>0.13404985727694241</v>
      </c>
      <c r="Q48" t="s">
        <v>163</v>
      </c>
      <c r="S48" t="s">
        <v>208</v>
      </c>
      <c r="T48" t="s">
        <v>304</v>
      </c>
      <c r="U48">
        <v>0.12444704263253271</v>
      </c>
      <c r="V48" t="s">
        <v>163</v>
      </c>
      <c r="AK48">
        <v>2031</v>
      </c>
      <c r="AL48" t="s">
        <v>299</v>
      </c>
      <c r="AM48">
        <v>0.52706666666666668</v>
      </c>
      <c r="AN48" t="s">
        <v>247</v>
      </c>
    </row>
    <row r="49" spans="9:40" x14ac:dyDescent="0.45">
      <c r="I49" t="s">
        <v>177</v>
      </c>
      <c r="J49" t="s">
        <v>305</v>
      </c>
      <c r="K49">
        <v>2.423999319711654E-2</v>
      </c>
      <c r="L49" t="s">
        <v>163</v>
      </c>
      <c r="N49" t="s">
        <v>193</v>
      </c>
      <c r="O49" t="s">
        <v>305</v>
      </c>
      <c r="P49">
        <v>2.7823505707599804E-2</v>
      </c>
      <c r="Q49" t="s">
        <v>163</v>
      </c>
      <c r="S49" t="s">
        <v>208</v>
      </c>
      <c r="T49" t="s">
        <v>305</v>
      </c>
      <c r="U49">
        <v>2.3095302102479266E-2</v>
      </c>
      <c r="V49" t="s">
        <v>163</v>
      </c>
      <c r="AK49">
        <v>2031</v>
      </c>
      <c r="AL49" t="s">
        <v>300</v>
      </c>
      <c r="AM49">
        <v>0.65939999999999999</v>
      </c>
      <c r="AN49" t="s">
        <v>247</v>
      </c>
    </row>
    <row r="50" spans="9:40" x14ac:dyDescent="0.45">
      <c r="I50" t="s">
        <v>177</v>
      </c>
      <c r="J50" t="s">
        <v>306</v>
      </c>
      <c r="K50">
        <v>0.17772059168435456</v>
      </c>
      <c r="L50" t="s">
        <v>163</v>
      </c>
      <c r="N50" t="s">
        <v>193</v>
      </c>
      <c r="O50" t="s">
        <v>306</v>
      </c>
      <c r="P50">
        <v>9.2917936968802711E-2</v>
      </c>
      <c r="Q50" t="s">
        <v>163</v>
      </c>
      <c r="S50" t="s">
        <v>208</v>
      </c>
      <c r="T50" t="s">
        <v>306</v>
      </c>
      <c r="U50">
        <v>0.10607398251458433</v>
      </c>
      <c r="V50" t="s">
        <v>163</v>
      </c>
      <c r="AK50">
        <v>2031</v>
      </c>
      <c r="AL50" t="s">
        <v>302</v>
      </c>
      <c r="AM50">
        <v>0.52943333333333331</v>
      </c>
      <c r="AN50" t="s">
        <v>247</v>
      </c>
    </row>
    <row r="51" spans="9:40" x14ac:dyDescent="0.45">
      <c r="I51" t="s">
        <v>177</v>
      </c>
      <c r="J51" t="s">
        <v>307</v>
      </c>
      <c r="K51">
        <v>0</v>
      </c>
      <c r="L51" t="s">
        <v>163</v>
      </c>
      <c r="N51" t="s">
        <v>193</v>
      </c>
      <c r="O51" t="s">
        <v>307</v>
      </c>
      <c r="P51">
        <v>9.1801402419439709E-2</v>
      </c>
      <c r="Q51" t="s">
        <v>163</v>
      </c>
      <c r="S51" t="s">
        <v>208</v>
      </c>
      <c r="T51" t="s">
        <v>307</v>
      </c>
      <c r="U51">
        <v>0.112007700991968</v>
      </c>
      <c r="V51" t="s">
        <v>163</v>
      </c>
      <c r="AK51">
        <v>2032</v>
      </c>
      <c r="AL51" t="s">
        <v>297</v>
      </c>
      <c r="AM51">
        <v>0.62006666666666665</v>
      </c>
      <c r="AN51" t="s">
        <v>247</v>
      </c>
    </row>
    <row r="52" spans="9:40" x14ac:dyDescent="0.45">
      <c r="I52" t="s">
        <v>177</v>
      </c>
      <c r="J52" t="s">
        <v>308</v>
      </c>
      <c r="K52">
        <v>1.1854867527125735E-2</v>
      </c>
      <c r="L52" t="s">
        <v>163</v>
      </c>
      <c r="N52" t="s">
        <v>193</v>
      </c>
      <c r="O52" t="s">
        <v>308</v>
      </c>
      <c r="P52">
        <v>1.8231561509755169E-2</v>
      </c>
      <c r="Q52" t="s">
        <v>163</v>
      </c>
      <c r="S52" t="s">
        <v>208</v>
      </c>
      <c r="T52" t="s">
        <v>308</v>
      </c>
      <c r="U52">
        <v>2.1496687326238724E-2</v>
      </c>
      <c r="V52" t="s">
        <v>163</v>
      </c>
      <c r="AK52">
        <v>2032</v>
      </c>
      <c r="AL52" t="s">
        <v>299</v>
      </c>
      <c r="AM52">
        <v>0.51746666666666663</v>
      </c>
      <c r="AN52" t="s">
        <v>247</v>
      </c>
    </row>
    <row r="53" spans="9:40" x14ac:dyDescent="0.45">
      <c r="I53" t="s">
        <v>177</v>
      </c>
      <c r="J53" t="s">
        <v>309</v>
      </c>
      <c r="K53">
        <v>0.10697353835196975</v>
      </c>
      <c r="L53" t="s">
        <v>163</v>
      </c>
      <c r="N53" t="s">
        <v>193</v>
      </c>
      <c r="O53" t="s">
        <v>309</v>
      </c>
      <c r="P53">
        <v>0.12365830642156361</v>
      </c>
      <c r="Q53" t="s">
        <v>163</v>
      </c>
      <c r="S53" t="s">
        <v>208</v>
      </c>
      <c r="T53" t="s">
        <v>309</v>
      </c>
      <c r="U53">
        <v>0.11156338867642487</v>
      </c>
      <c r="V53" t="s">
        <v>163</v>
      </c>
      <c r="AK53">
        <v>2032</v>
      </c>
      <c r="AL53" t="s">
        <v>300</v>
      </c>
      <c r="AM53">
        <v>0.6079</v>
      </c>
      <c r="AN53" t="s">
        <v>247</v>
      </c>
    </row>
    <row r="54" spans="9:40" x14ac:dyDescent="0.45">
      <c r="I54" t="s">
        <v>177</v>
      </c>
      <c r="J54" t="s">
        <v>310</v>
      </c>
      <c r="K54">
        <v>0</v>
      </c>
      <c r="L54" t="s">
        <v>163</v>
      </c>
      <c r="N54" t="s">
        <v>193</v>
      </c>
      <c r="O54" t="s">
        <v>310</v>
      </c>
      <c r="P54">
        <v>0.1094460233370475</v>
      </c>
      <c r="Q54" t="s">
        <v>163</v>
      </c>
      <c r="S54" t="s">
        <v>208</v>
      </c>
      <c r="T54" t="s">
        <v>310</v>
      </c>
      <c r="U54">
        <v>0.11560047206809534</v>
      </c>
      <c r="V54" t="s">
        <v>163</v>
      </c>
      <c r="AK54">
        <v>2032</v>
      </c>
      <c r="AL54" t="s">
        <v>302</v>
      </c>
      <c r="AM54">
        <v>0.55066666666666675</v>
      </c>
      <c r="AN54" t="s">
        <v>247</v>
      </c>
    </row>
    <row r="55" spans="9:40" x14ac:dyDescent="0.45">
      <c r="I55" t="s">
        <v>177</v>
      </c>
      <c r="J55" t="s">
        <v>311</v>
      </c>
      <c r="K55">
        <v>2.006749406554213E-3</v>
      </c>
      <c r="L55" t="s">
        <v>163</v>
      </c>
      <c r="N55" t="s">
        <v>193</v>
      </c>
      <c r="O55" t="s">
        <v>311</v>
      </c>
      <c r="P55">
        <v>2.1453312037626817E-2</v>
      </c>
      <c r="Q55" t="s">
        <v>163</v>
      </c>
      <c r="S55" t="s">
        <v>208</v>
      </c>
      <c r="T55" t="s">
        <v>311</v>
      </c>
      <c r="U55">
        <v>2.1539007286839017E-2</v>
      </c>
      <c r="V55" t="s">
        <v>163</v>
      </c>
      <c r="AK55">
        <v>2033</v>
      </c>
      <c r="AL55" t="s">
        <v>297</v>
      </c>
      <c r="AM55">
        <v>0.59503333333333341</v>
      </c>
      <c r="AN55" t="s">
        <v>247</v>
      </c>
    </row>
    <row r="56" spans="9:40" x14ac:dyDescent="0.45">
      <c r="I56" t="s">
        <v>177</v>
      </c>
      <c r="J56" t="s">
        <v>312</v>
      </c>
      <c r="K56">
        <v>0.34534820392590898</v>
      </c>
      <c r="L56" t="s">
        <v>163</v>
      </c>
      <c r="N56" t="s">
        <v>193</v>
      </c>
      <c r="O56" t="s">
        <v>312</v>
      </c>
      <c r="P56">
        <v>0.10182585608140048</v>
      </c>
      <c r="Q56" t="s">
        <v>163</v>
      </c>
      <c r="S56" t="s">
        <v>208</v>
      </c>
      <c r="T56" t="s">
        <v>312</v>
      </c>
      <c r="U56">
        <v>0.10733662585014352</v>
      </c>
      <c r="V56" t="s">
        <v>163</v>
      </c>
      <c r="AK56">
        <v>2033</v>
      </c>
      <c r="AL56" t="s">
        <v>299</v>
      </c>
      <c r="AM56">
        <v>0.54056666666666675</v>
      </c>
      <c r="AN56" t="s">
        <v>247</v>
      </c>
    </row>
    <row r="57" spans="9:40" x14ac:dyDescent="0.45">
      <c r="I57" t="s">
        <v>177</v>
      </c>
      <c r="J57" t="s">
        <v>313</v>
      </c>
      <c r="K57">
        <v>1.6138182284715065E-2</v>
      </c>
      <c r="L57" t="s">
        <v>163</v>
      </c>
      <c r="N57" t="s">
        <v>193</v>
      </c>
      <c r="O57" t="s">
        <v>313</v>
      </c>
      <c r="P57">
        <v>7.9803827483079903E-2</v>
      </c>
      <c r="Q57" t="s">
        <v>163</v>
      </c>
      <c r="S57" t="s">
        <v>208</v>
      </c>
      <c r="T57" t="s">
        <v>313</v>
      </c>
      <c r="U57">
        <v>0.11156464721136715</v>
      </c>
      <c r="V57" t="s">
        <v>163</v>
      </c>
      <c r="AK57">
        <v>2033</v>
      </c>
      <c r="AL57" t="s">
        <v>300</v>
      </c>
      <c r="AM57">
        <v>0.66796666666666671</v>
      </c>
      <c r="AN57" t="s">
        <v>247</v>
      </c>
    </row>
    <row r="58" spans="9:40" x14ac:dyDescent="0.45">
      <c r="I58" t="s">
        <v>177</v>
      </c>
      <c r="J58" t="s">
        <v>314</v>
      </c>
      <c r="K58">
        <v>4.660978662674857E-2</v>
      </c>
      <c r="L58" t="s">
        <v>163</v>
      </c>
      <c r="N58" t="s">
        <v>193</v>
      </c>
      <c r="O58" t="s">
        <v>314</v>
      </c>
      <c r="P58">
        <v>2.2127067002158569E-2</v>
      </c>
      <c r="Q58" t="s">
        <v>163</v>
      </c>
      <c r="S58" t="s">
        <v>208</v>
      </c>
      <c r="T58" t="s">
        <v>314</v>
      </c>
      <c r="U58">
        <v>2.2622231845075967E-2</v>
      </c>
      <c r="V58" t="s">
        <v>163</v>
      </c>
      <c r="AK58">
        <v>2033</v>
      </c>
      <c r="AL58" t="s">
        <v>302</v>
      </c>
      <c r="AM58">
        <v>0.59209999999999996</v>
      </c>
      <c r="AN58" t="s">
        <v>247</v>
      </c>
    </row>
    <row r="59" spans="9:40" x14ac:dyDescent="0.45">
      <c r="I59" t="s">
        <v>178</v>
      </c>
      <c r="J59" t="s">
        <v>303</v>
      </c>
      <c r="K59">
        <v>0.25962556581999541</v>
      </c>
      <c r="L59" t="s">
        <v>163</v>
      </c>
      <c r="N59" t="s">
        <v>194</v>
      </c>
      <c r="O59" t="s">
        <v>303</v>
      </c>
      <c r="P59">
        <v>0.14723521154919722</v>
      </c>
      <c r="Q59" t="s">
        <v>163</v>
      </c>
      <c r="S59" t="s">
        <v>209</v>
      </c>
      <c r="T59" t="s">
        <v>303</v>
      </c>
      <c r="U59">
        <v>0.14002022810409609</v>
      </c>
      <c r="V59" t="s">
        <v>163</v>
      </c>
      <c r="AK59">
        <v>2034</v>
      </c>
      <c r="AL59" t="s">
        <v>297</v>
      </c>
      <c r="AM59">
        <v>0.5255333333333333</v>
      </c>
      <c r="AN59" t="s">
        <v>247</v>
      </c>
    </row>
    <row r="60" spans="9:40" x14ac:dyDescent="0.45">
      <c r="I60" t="s">
        <v>178</v>
      </c>
      <c r="J60" t="s">
        <v>304</v>
      </c>
      <c r="K60">
        <v>4.8932772258143929E-3</v>
      </c>
      <c r="L60" t="s">
        <v>163</v>
      </c>
      <c r="N60" t="s">
        <v>194</v>
      </c>
      <c r="O60" t="s">
        <v>304</v>
      </c>
      <c r="P60">
        <v>0.13725287865164487</v>
      </c>
      <c r="Q60" t="s">
        <v>163</v>
      </c>
      <c r="S60" t="s">
        <v>209</v>
      </c>
      <c r="T60" t="s">
        <v>304</v>
      </c>
      <c r="U60">
        <v>0.13888939512172779</v>
      </c>
      <c r="V60" t="s">
        <v>163</v>
      </c>
      <c r="AK60">
        <v>2034</v>
      </c>
      <c r="AL60" t="s">
        <v>299</v>
      </c>
      <c r="AM60">
        <v>0.4588666666666667</v>
      </c>
      <c r="AN60" t="s">
        <v>247</v>
      </c>
    </row>
    <row r="61" spans="9:40" x14ac:dyDescent="0.45">
      <c r="I61" t="s">
        <v>178</v>
      </c>
      <c r="J61" t="s">
        <v>305</v>
      </c>
      <c r="K61">
        <v>2.2694778185729621E-2</v>
      </c>
      <c r="L61" t="s">
        <v>163</v>
      </c>
      <c r="N61" t="s">
        <v>194</v>
      </c>
      <c r="O61" t="s">
        <v>305</v>
      </c>
      <c r="P61">
        <v>2.6397191043605953E-2</v>
      </c>
      <c r="Q61" t="s">
        <v>163</v>
      </c>
      <c r="S61" t="s">
        <v>209</v>
      </c>
      <c r="T61" t="s">
        <v>305</v>
      </c>
      <c r="U61">
        <v>2.5579892432579458E-2</v>
      </c>
      <c r="V61" t="s">
        <v>163</v>
      </c>
      <c r="AK61">
        <v>2034</v>
      </c>
      <c r="AL61" t="s">
        <v>300</v>
      </c>
      <c r="AM61">
        <v>0.5278666666666666</v>
      </c>
      <c r="AN61" t="s">
        <v>247</v>
      </c>
    </row>
    <row r="62" spans="9:40" x14ac:dyDescent="0.45">
      <c r="I62" t="s">
        <v>178</v>
      </c>
      <c r="J62" t="s">
        <v>306</v>
      </c>
      <c r="K62">
        <v>0.18881963144388778</v>
      </c>
      <c r="L62" t="s">
        <v>163</v>
      </c>
      <c r="N62" t="s">
        <v>194</v>
      </c>
      <c r="O62" t="s">
        <v>306</v>
      </c>
      <c r="P62">
        <v>0.10026671134944008</v>
      </c>
      <c r="Q62" t="s">
        <v>163</v>
      </c>
      <c r="S62" t="s">
        <v>209</v>
      </c>
      <c r="T62" t="s">
        <v>306</v>
      </c>
      <c r="U62">
        <v>9.7215553844337305E-2</v>
      </c>
      <c r="V62" t="s">
        <v>163</v>
      </c>
      <c r="AK62">
        <v>2034</v>
      </c>
      <c r="AL62" t="s">
        <v>302</v>
      </c>
      <c r="AM62">
        <v>0.49829999999999997</v>
      </c>
      <c r="AN62" t="s">
        <v>247</v>
      </c>
    </row>
    <row r="63" spans="9:40" x14ac:dyDescent="0.45">
      <c r="I63" t="s">
        <v>178</v>
      </c>
      <c r="J63" t="s">
        <v>307</v>
      </c>
      <c r="K63">
        <v>0</v>
      </c>
      <c r="L63" t="s">
        <v>163</v>
      </c>
      <c r="N63" t="s">
        <v>194</v>
      </c>
      <c r="O63" t="s">
        <v>307</v>
      </c>
      <c r="P63">
        <v>0.10054242600896983</v>
      </c>
      <c r="Q63" t="s">
        <v>163</v>
      </c>
      <c r="S63" t="s">
        <v>209</v>
      </c>
      <c r="T63" t="s">
        <v>307</v>
      </c>
      <c r="U63">
        <v>9.9756713541824402E-2</v>
      </c>
      <c r="V63" t="s">
        <v>163</v>
      </c>
      <c r="AK63">
        <v>2035</v>
      </c>
      <c r="AL63" t="s">
        <v>297</v>
      </c>
      <c r="AM63">
        <v>0.62619999999999998</v>
      </c>
      <c r="AN63" t="s">
        <v>247</v>
      </c>
    </row>
    <row r="64" spans="9:40" x14ac:dyDescent="0.45">
      <c r="I64" t="s">
        <v>178</v>
      </c>
      <c r="J64" t="s">
        <v>308</v>
      </c>
      <c r="K64">
        <v>1.1291143370086736E-2</v>
      </c>
      <c r="L64" t="s">
        <v>163</v>
      </c>
      <c r="N64" t="s">
        <v>194</v>
      </c>
      <c r="O64" t="s">
        <v>308</v>
      </c>
      <c r="P64">
        <v>1.9005445472815664E-2</v>
      </c>
      <c r="Q64" t="s">
        <v>163</v>
      </c>
      <c r="S64" t="s">
        <v>209</v>
      </c>
      <c r="T64" t="s">
        <v>308</v>
      </c>
      <c r="U64">
        <v>2.0417388975028063E-2</v>
      </c>
      <c r="V64" t="s">
        <v>163</v>
      </c>
      <c r="AK64">
        <v>2035</v>
      </c>
      <c r="AL64" t="s">
        <v>299</v>
      </c>
      <c r="AM64">
        <v>0.54156666666666675</v>
      </c>
      <c r="AN64" t="s">
        <v>247</v>
      </c>
    </row>
    <row r="65" spans="9:40" x14ac:dyDescent="0.45">
      <c r="I65" t="s">
        <v>178</v>
      </c>
      <c r="J65" t="s">
        <v>309</v>
      </c>
      <c r="K65">
        <v>0.11060029910645229</v>
      </c>
      <c r="L65" t="s">
        <v>163</v>
      </c>
      <c r="N65" t="s">
        <v>194</v>
      </c>
      <c r="O65" t="s">
        <v>309</v>
      </c>
      <c r="P65">
        <v>0.11815585083772709</v>
      </c>
      <c r="Q65" t="s">
        <v>163</v>
      </c>
      <c r="S65" t="s">
        <v>209</v>
      </c>
      <c r="T65" t="s">
        <v>309</v>
      </c>
      <c r="U65">
        <v>0.11951751934353141</v>
      </c>
      <c r="V65" t="s">
        <v>163</v>
      </c>
      <c r="AK65">
        <v>2035</v>
      </c>
      <c r="AL65" t="s">
        <v>300</v>
      </c>
      <c r="AM65">
        <v>0.61399999999999999</v>
      </c>
      <c r="AN65" t="s">
        <v>247</v>
      </c>
    </row>
    <row r="66" spans="9:40" x14ac:dyDescent="0.45">
      <c r="I66" t="s">
        <v>178</v>
      </c>
      <c r="J66" t="s">
        <v>310</v>
      </c>
      <c r="K66">
        <v>0</v>
      </c>
      <c r="L66" t="s">
        <v>163</v>
      </c>
      <c r="N66" t="s">
        <v>194</v>
      </c>
      <c r="O66" t="s">
        <v>310</v>
      </c>
      <c r="P66">
        <v>0.11698554247598096</v>
      </c>
      <c r="Q66" t="s">
        <v>163</v>
      </c>
      <c r="S66" t="s">
        <v>209</v>
      </c>
      <c r="T66" t="s">
        <v>310</v>
      </c>
      <c r="U66">
        <v>0.1253227774585117</v>
      </c>
      <c r="V66" t="s">
        <v>163</v>
      </c>
      <c r="AK66">
        <v>2035</v>
      </c>
      <c r="AL66" t="s">
        <v>302</v>
      </c>
      <c r="AM66">
        <v>0.55443333333333333</v>
      </c>
      <c r="AN66" t="s">
        <v>247</v>
      </c>
    </row>
    <row r="67" spans="9:40" x14ac:dyDescent="0.45">
      <c r="I67" t="s">
        <v>178</v>
      </c>
      <c r="J67" t="s">
        <v>311</v>
      </c>
      <c r="K67">
        <v>2.0399334111934485E-3</v>
      </c>
      <c r="L67" t="s">
        <v>163</v>
      </c>
      <c r="N67" t="s">
        <v>194</v>
      </c>
      <c r="O67" t="s">
        <v>311</v>
      </c>
      <c r="P67">
        <v>2.2144592760079355E-2</v>
      </c>
      <c r="Q67" t="s">
        <v>163</v>
      </c>
      <c r="S67" t="s">
        <v>209</v>
      </c>
      <c r="T67" t="s">
        <v>311</v>
      </c>
      <c r="U67">
        <v>2.3511981107075797E-2</v>
      </c>
      <c r="V67" t="s">
        <v>163</v>
      </c>
      <c r="AK67">
        <v>2036</v>
      </c>
      <c r="AL67" t="s">
        <v>297</v>
      </c>
      <c r="AM67">
        <v>0.62753333333333339</v>
      </c>
      <c r="AN67" t="s">
        <v>247</v>
      </c>
    </row>
    <row r="68" spans="9:40" x14ac:dyDescent="0.45">
      <c r="I68" t="s">
        <v>178</v>
      </c>
      <c r="J68" t="s">
        <v>312</v>
      </c>
      <c r="K68">
        <v>0.34126387563776878</v>
      </c>
      <c r="L68" t="s">
        <v>163</v>
      </c>
      <c r="N68" t="s">
        <v>194</v>
      </c>
      <c r="O68" t="s">
        <v>312</v>
      </c>
      <c r="P68">
        <v>9.7068103028311092E-2</v>
      </c>
      <c r="Q68" t="s">
        <v>163</v>
      </c>
      <c r="S68" t="s">
        <v>209</v>
      </c>
      <c r="T68" t="s">
        <v>312</v>
      </c>
      <c r="U68">
        <v>9.0513508339704438E-2</v>
      </c>
      <c r="V68" t="s">
        <v>163</v>
      </c>
      <c r="AK68">
        <v>2036</v>
      </c>
      <c r="AL68" t="s">
        <v>299</v>
      </c>
      <c r="AM68">
        <v>0.4975</v>
      </c>
      <c r="AN68" t="s">
        <v>247</v>
      </c>
    </row>
    <row r="69" spans="9:40" x14ac:dyDescent="0.45">
      <c r="I69" t="s">
        <v>178</v>
      </c>
      <c r="J69" t="s">
        <v>313</v>
      </c>
      <c r="K69">
        <v>1.1456838434623272E-2</v>
      </c>
      <c r="L69" t="s">
        <v>163</v>
      </c>
      <c r="N69" t="s">
        <v>194</v>
      </c>
      <c r="O69" t="s">
        <v>313</v>
      </c>
      <c r="P69">
        <v>9.3368971422391631E-2</v>
      </c>
      <c r="Q69" t="s">
        <v>163</v>
      </c>
      <c r="S69" t="s">
        <v>209</v>
      </c>
      <c r="T69" t="s">
        <v>313</v>
      </c>
      <c r="U69">
        <v>9.5897963262404032E-2</v>
      </c>
      <c r="V69" t="s">
        <v>163</v>
      </c>
      <c r="AK69">
        <v>2036</v>
      </c>
      <c r="AL69" t="s">
        <v>300</v>
      </c>
      <c r="AM69">
        <v>0.61986666666666668</v>
      </c>
      <c r="AN69" t="s">
        <v>247</v>
      </c>
    </row>
    <row r="70" spans="9:40" x14ac:dyDescent="0.45">
      <c r="I70" t="s">
        <v>178</v>
      </c>
      <c r="J70" t="s">
        <v>314</v>
      </c>
      <c r="K70">
        <v>4.7314657364449224E-2</v>
      </c>
      <c r="L70" t="s">
        <v>163</v>
      </c>
      <c r="N70" t="s">
        <v>194</v>
      </c>
      <c r="O70" t="s">
        <v>314</v>
      </c>
      <c r="P70">
        <v>2.1577075399837654E-2</v>
      </c>
      <c r="Q70" t="s">
        <v>163</v>
      </c>
      <c r="S70" t="s">
        <v>209</v>
      </c>
      <c r="T70" t="s">
        <v>314</v>
      </c>
      <c r="U70">
        <v>2.3357078469181568E-2</v>
      </c>
      <c r="V70" t="s">
        <v>163</v>
      </c>
      <c r="AK70">
        <v>2036</v>
      </c>
      <c r="AL70" t="s">
        <v>302</v>
      </c>
      <c r="AM70">
        <v>0.54470000000000007</v>
      </c>
      <c r="AN70" t="s">
        <v>247</v>
      </c>
    </row>
    <row r="71" spans="9:40" x14ac:dyDescent="0.45">
      <c r="I71" t="s">
        <v>179</v>
      </c>
      <c r="J71" t="s">
        <v>303</v>
      </c>
      <c r="K71">
        <v>0.25962718685144087</v>
      </c>
      <c r="L71" t="s">
        <v>163</v>
      </c>
      <c r="N71" t="s">
        <v>195</v>
      </c>
      <c r="O71" t="s">
        <v>303</v>
      </c>
      <c r="P71">
        <v>0.17500080334423165</v>
      </c>
      <c r="Q71" t="s">
        <v>163</v>
      </c>
      <c r="S71" t="s">
        <v>210</v>
      </c>
      <c r="T71" t="s">
        <v>303</v>
      </c>
      <c r="U71">
        <v>0.11881460925486406</v>
      </c>
      <c r="V71" t="s">
        <v>163</v>
      </c>
      <c r="AK71">
        <v>2037</v>
      </c>
      <c r="AL71" t="s">
        <v>297</v>
      </c>
      <c r="AM71">
        <v>0.45226666666666665</v>
      </c>
      <c r="AN71" t="s">
        <v>247</v>
      </c>
    </row>
    <row r="72" spans="9:40" x14ac:dyDescent="0.45">
      <c r="I72" t="s">
        <v>179</v>
      </c>
      <c r="J72" t="s">
        <v>304</v>
      </c>
      <c r="K72">
        <v>4.3325373328162373E-3</v>
      </c>
      <c r="L72" t="s">
        <v>163</v>
      </c>
      <c r="N72" t="s">
        <v>195</v>
      </c>
      <c r="O72" t="s">
        <v>304</v>
      </c>
      <c r="P72">
        <v>0.12272530307958461</v>
      </c>
      <c r="Q72" t="s">
        <v>163</v>
      </c>
      <c r="S72" t="s">
        <v>210</v>
      </c>
      <c r="T72" t="s">
        <v>304</v>
      </c>
      <c r="U72">
        <v>0.12523126000957849</v>
      </c>
      <c r="V72" t="s">
        <v>163</v>
      </c>
      <c r="AK72">
        <v>2037</v>
      </c>
      <c r="AL72" t="s">
        <v>299</v>
      </c>
      <c r="AM72">
        <v>0.4052</v>
      </c>
      <c r="AN72" t="s">
        <v>247</v>
      </c>
    </row>
    <row r="73" spans="9:40" x14ac:dyDescent="0.45">
      <c r="I73" t="s">
        <v>179</v>
      </c>
      <c r="J73" t="s">
        <v>305</v>
      </c>
      <c r="K73">
        <v>2.3493515172876619E-2</v>
      </c>
      <c r="L73" t="s">
        <v>163</v>
      </c>
      <c r="N73" t="s">
        <v>195</v>
      </c>
      <c r="O73" t="s">
        <v>305</v>
      </c>
      <c r="P73">
        <v>3.3605907064450061E-2</v>
      </c>
      <c r="Q73" t="s">
        <v>163</v>
      </c>
      <c r="S73" t="s">
        <v>210</v>
      </c>
      <c r="T73" t="s">
        <v>305</v>
      </c>
      <c r="U73">
        <v>2.07105497440171E-2</v>
      </c>
      <c r="V73" t="s">
        <v>163</v>
      </c>
      <c r="AK73">
        <v>2037</v>
      </c>
      <c r="AL73" t="s">
        <v>300</v>
      </c>
      <c r="AM73">
        <v>0.44523333333333331</v>
      </c>
      <c r="AN73" t="s">
        <v>247</v>
      </c>
    </row>
    <row r="74" spans="9:40" x14ac:dyDescent="0.45">
      <c r="I74" t="s">
        <v>179</v>
      </c>
      <c r="J74" t="s">
        <v>306</v>
      </c>
      <c r="K74">
        <v>0.18820088868440177</v>
      </c>
      <c r="L74" t="s">
        <v>163</v>
      </c>
      <c r="N74" t="s">
        <v>195</v>
      </c>
      <c r="O74" t="s">
        <v>306</v>
      </c>
      <c r="P74">
        <v>0.10073112970486089</v>
      </c>
      <c r="Q74" t="s">
        <v>163</v>
      </c>
      <c r="S74" t="s">
        <v>210</v>
      </c>
      <c r="T74" t="s">
        <v>306</v>
      </c>
      <c r="U74">
        <v>0.10355083684998459</v>
      </c>
      <c r="V74" t="s">
        <v>163</v>
      </c>
      <c r="AK74">
        <v>2037</v>
      </c>
      <c r="AL74" t="s">
        <v>302</v>
      </c>
      <c r="AM74">
        <v>0.42240000000000005</v>
      </c>
      <c r="AN74" t="s">
        <v>247</v>
      </c>
    </row>
    <row r="75" spans="9:40" x14ac:dyDescent="0.45">
      <c r="I75" t="s">
        <v>179</v>
      </c>
      <c r="J75" t="s">
        <v>307</v>
      </c>
      <c r="K75">
        <v>0</v>
      </c>
      <c r="L75" t="s">
        <v>163</v>
      </c>
      <c r="N75" t="s">
        <v>195</v>
      </c>
      <c r="O75" t="s">
        <v>307</v>
      </c>
      <c r="P75">
        <v>8.5423202683421517E-2</v>
      </c>
      <c r="Q75" t="s">
        <v>163</v>
      </c>
      <c r="S75" t="s">
        <v>210</v>
      </c>
      <c r="T75" t="s">
        <v>307</v>
      </c>
      <c r="U75">
        <v>0.11051694898851042</v>
      </c>
      <c r="V75" t="s">
        <v>163</v>
      </c>
      <c r="AK75">
        <v>2038</v>
      </c>
      <c r="AL75" t="s">
        <v>297</v>
      </c>
      <c r="AM75">
        <v>0.6064666666666666</v>
      </c>
      <c r="AN75" t="s">
        <v>247</v>
      </c>
    </row>
    <row r="76" spans="9:40" x14ac:dyDescent="0.45">
      <c r="I76" t="s">
        <v>179</v>
      </c>
      <c r="J76" t="s">
        <v>308</v>
      </c>
      <c r="K76">
        <v>1.2327231058169866E-2</v>
      </c>
      <c r="L76" t="s">
        <v>163</v>
      </c>
      <c r="N76" t="s">
        <v>195</v>
      </c>
      <c r="O76" t="s">
        <v>308</v>
      </c>
      <c r="P76">
        <v>1.8622245426050087E-2</v>
      </c>
      <c r="Q76" t="s">
        <v>163</v>
      </c>
      <c r="S76" t="s">
        <v>210</v>
      </c>
      <c r="T76" t="s">
        <v>308</v>
      </c>
      <c r="U76">
        <v>2.1418919807683238E-2</v>
      </c>
      <c r="V76" t="s">
        <v>163</v>
      </c>
      <c r="AK76">
        <v>2038</v>
      </c>
      <c r="AL76" t="s">
        <v>299</v>
      </c>
      <c r="AM76">
        <v>0.52333333333333332</v>
      </c>
      <c r="AN76" t="s">
        <v>247</v>
      </c>
    </row>
    <row r="77" spans="9:40" x14ac:dyDescent="0.45">
      <c r="I77" t="s">
        <v>179</v>
      </c>
      <c r="J77" t="s">
        <v>309</v>
      </c>
      <c r="K77">
        <v>0.10658507698933796</v>
      </c>
      <c r="L77" t="s">
        <v>163</v>
      </c>
      <c r="N77" t="s">
        <v>195</v>
      </c>
      <c r="O77" t="s">
        <v>309</v>
      </c>
      <c r="P77">
        <v>0.11556721715272397</v>
      </c>
      <c r="Q77" t="s">
        <v>163</v>
      </c>
      <c r="S77" t="s">
        <v>210</v>
      </c>
      <c r="T77" t="s">
        <v>309</v>
      </c>
      <c r="U77">
        <v>0.12561656520094061</v>
      </c>
      <c r="V77" t="s">
        <v>163</v>
      </c>
      <c r="AK77">
        <v>2038</v>
      </c>
      <c r="AL77" t="s">
        <v>300</v>
      </c>
      <c r="AM77">
        <v>0.61836666666666662</v>
      </c>
      <c r="AN77" t="s">
        <v>247</v>
      </c>
    </row>
    <row r="78" spans="9:40" x14ac:dyDescent="0.45">
      <c r="I78" t="s">
        <v>179</v>
      </c>
      <c r="J78" t="s">
        <v>310</v>
      </c>
      <c r="K78">
        <v>0</v>
      </c>
      <c r="L78" t="s">
        <v>163</v>
      </c>
      <c r="N78" t="s">
        <v>195</v>
      </c>
      <c r="O78" t="s">
        <v>310</v>
      </c>
      <c r="P78">
        <v>0.11818905151163669</v>
      </c>
      <c r="Q78" t="s">
        <v>163</v>
      </c>
      <c r="S78" t="s">
        <v>210</v>
      </c>
      <c r="T78" t="s">
        <v>310</v>
      </c>
      <c r="U78">
        <v>0.1285213790736377</v>
      </c>
      <c r="V78" t="s">
        <v>163</v>
      </c>
      <c r="AK78">
        <v>2038</v>
      </c>
      <c r="AL78" t="s">
        <v>302</v>
      </c>
      <c r="AM78">
        <v>0.5427333333333334</v>
      </c>
      <c r="AN78" t="s">
        <v>247</v>
      </c>
    </row>
    <row r="79" spans="9:40" x14ac:dyDescent="0.45">
      <c r="I79" t="s">
        <v>179</v>
      </c>
      <c r="J79" t="s">
        <v>311</v>
      </c>
      <c r="K79">
        <v>2.116124060565501E-3</v>
      </c>
      <c r="L79" t="s">
        <v>163</v>
      </c>
      <c r="N79" t="s">
        <v>195</v>
      </c>
      <c r="O79" t="s">
        <v>311</v>
      </c>
      <c r="P79">
        <v>1.8169529600923395E-2</v>
      </c>
      <c r="Q79" t="s">
        <v>163</v>
      </c>
      <c r="S79" t="s">
        <v>210</v>
      </c>
      <c r="T79" t="s">
        <v>311</v>
      </c>
      <c r="U79">
        <v>2.2984174393516712E-2</v>
      </c>
      <c r="V79" t="s">
        <v>163</v>
      </c>
      <c r="AK79">
        <v>2039</v>
      </c>
      <c r="AL79" t="s">
        <v>297</v>
      </c>
      <c r="AM79">
        <v>0.44546666666666668</v>
      </c>
      <c r="AN79" t="s">
        <v>247</v>
      </c>
    </row>
    <row r="80" spans="9:40" x14ac:dyDescent="0.45">
      <c r="I80" t="s">
        <v>179</v>
      </c>
      <c r="J80" t="s">
        <v>312</v>
      </c>
      <c r="K80">
        <v>0.3425155017473635</v>
      </c>
      <c r="L80" t="s">
        <v>163</v>
      </c>
      <c r="N80" t="s">
        <v>195</v>
      </c>
      <c r="O80" t="s">
        <v>312</v>
      </c>
      <c r="P80">
        <v>0.11630745182833205</v>
      </c>
      <c r="Q80" t="s">
        <v>163</v>
      </c>
      <c r="S80" t="s">
        <v>210</v>
      </c>
      <c r="T80" t="s">
        <v>312</v>
      </c>
      <c r="U80">
        <v>9.3955560997958265E-2</v>
      </c>
      <c r="V80" t="s">
        <v>163</v>
      </c>
      <c r="AK80">
        <v>2039</v>
      </c>
      <c r="AL80" t="s">
        <v>299</v>
      </c>
      <c r="AM80">
        <v>0.38599999999999995</v>
      </c>
      <c r="AN80" t="s">
        <v>247</v>
      </c>
    </row>
    <row r="81" spans="9:40" x14ac:dyDescent="0.45">
      <c r="I81" t="s">
        <v>179</v>
      </c>
      <c r="J81" t="s">
        <v>313</v>
      </c>
      <c r="K81">
        <v>1.3715347470758268E-2</v>
      </c>
      <c r="L81" t="s">
        <v>163</v>
      </c>
      <c r="N81" t="s">
        <v>195</v>
      </c>
      <c r="O81" t="s">
        <v>313</v>
      </c>
      <c r="P81">
        <v>7.3978800364503328E-2</v>
      </c>
      <c r="Q81" t="s">
        <v>163</v>
      </c>
      <c r="S81" t="s">
        <v>210</v>
      </c>
      <c r="T81" t="s">
        <v>313</v>
      </c>
      <c r="U81">
        <v>0.10757108561809306</v>
      </c>
      <c r="V81" t="s">
        <v>163</v>
      </c>
      <c r="AK81">
        <v>2039</v>
      </c>
      <c r="AL81" t="s">
        <v>300</v>
      </c>
      <c r="AM81">
        <v>0.43286666666666668</v>
      </c>
      <c r="AN81" t="s">
        <v>247</v>
      </c>
    </row>
    <row r="82" spans="9:40" x14ac:dyDescent="0.45">
      <c r="I82" t="s">
        <v>179</v>
      </c>
      <c r="J82" t="s">
        <v>314</v>
      </c>
      <c r="K82">
        <v>4.7086590632268277E-2</v>
      </c>
      <c r="L82" t="s">
        <v>163</v>
      </c>
      <c r="N82" t="s">
        <v>195</v>
      </c>
      <c r="O82" t="s">
        <v>314</v>
      </c>
      <c r="P82">
        <v>2.167935823928278E-2</v>
      </c>
      <c r="Q82" t="s">
        <v>163</v>
      </c>
      <c r="S82" t="s">
        <v>210</v>
      </c>
      <c r="T82" t="s">
        <v>314</v>
      </c>
      <c r="U82">
        <v>2.1108110061217149E-2</v>
      </c>
      <c r="V82" t="s">
        <v>163</v>
      </c>
      <c r="AK82">
        <v>2039</v>
      </c>
      <c r="AL82" t="s">
        <v>302</v>
      </c>
      <c r="AM82">
        <v>0.40263333333333334</v>
      </c>
      <c r="AN82" t="s">
        <v>247</v>
      </c>
    </row>
    <row r="83" spans="9:40" x14ac:dyDescent="0.45">
      <c r="I83" t="s">
        <v>180</v>
      </c>
      <c r="J83" t="s">
        <v>303</v>
      </c>
      <c r="K83">
        <v>0.27461372585796834</v>
      </c>
      <c r="L83" t="s">
        <v>163</v>
      </c>
      <c r="N83" t="s">
        <v>196</v>
      </c>
      <c r="O83" t="s">
        <v>303</v>
      </c>
      <c r="P83">
        <v>0.14373333418641887</v>
      </c>
      <c r="Q83" t="s">
        <v>163</v>
      </c>
      <c r="S83" t="s">
        <v>211</v>
      </c>
      <c r="T83" t="s">
        <v>303</v>
      </c>
      <c r="U83">
        <v>0.13631191197382164</v>
      </c>
      <c r="V83" t="s">
        <v>163</v>
      </c>
      <c r="AK83">
        <v>2040</v>
      </c>
      <c r="AL83" t="s">
        <v>297</v>
      </c>
      <c r="AM83">
        <v>0.44496666666666668</v>
      </c>
      <c r="AN83" t="s">
        <v>247</v>
      </c>
    </row>
    <row r="84" spans="9:40" x14ac:dyDescent="0.45">
      <c r="I84" t="s">
        <v>180</v>
      </c>
      <c r="J84" t="s">
        <v>304</v>
      </c>
      <c r="K84">
        <v>6.1839077683512999E-3</v>
      </c>
      <c r="L84" t="s">
        <v>163</v>
      </c>
      <c r="N84" t="s">
        <v>196</v>
      </c>
      <c r="O84" t="s">
        <v>304</v>
      </c>
      <c r="P84">
        <v>0.11597156258059318</v>
      </c>
      <c r="Q84" t="s">
        <v>163</v>
      </c>
      <c r="S84" t="s">
        <v>211</v>
      </c>
      <c r="T84" t="s">
        <v>304</v>
      </c>
      <c r="U84">
        <v>0.14181727449016915</v>
      </c>
      <c r="V84" t="s">
        <v>163</v>
      </c>
      <c r="AK84">
        <v>2040</v>
      </c>
      <c r="AL84" t="s">
        <v>299</v>
      </c>
      <c r="AM84">
        <v>0.38796666666666663</v>
      </c>
      <c r="AN84" t="s">
        <v>247</v>
      </c>
    </row>
    <row r="85" spans="9:40" x14ac:dyDescent="0.45">
      <c r="I85" t="s">
        <v>180</v>
      </c>
      <c r="J85" t="s">
        <v>305</v>
      </c>
      <c r="K85">
        <v>3.2866783087845984E-2</v>
      </c>
      <c r="L85" t="s">
        <v>163</v>
      </c>
      <c r="N85" t="s">
        <v>196</v>
      </c>
      <c r="O85" t="s">
        <v>305</v>
      </c>
      <c r="P85">
        <v>2.8876529678247814E-2</v>
      </c>
      <c r="Q85" t="s">
        <v>163</v>
      </c>
      <c r="S85" t="s">
        <v>211</v>
      </c>
      <c r="T85" t="s">
        <v>305</v>
      </c>
      <c r="U85">
        <v>2.755403429748637E-2</v>
      </c>
      <c r="V85" t="s">
        <v>163</v>
      </c>
      <c r="AK85">
        <v>2040</v>
      </c>
      <c r="AL85" t="s">
        <v>300</v>
      </c>
      <c r="AM85">
        <v>0.45436666666666675</v>
      </c>
      <c r="AN85" t="s">
        <v>247</v>
      </c>
    </row>
    <row r="86" spans="9:40" x14ac:dyDescent="0.45">
      <c r="I86" t="s">
        <v>180</v>
      </c>
      <c r="J86" t="s">
        <v>306</v>
      </c>
      <c r="K86">
        <v>0.16079418670396892</v>
      </c>
      <c r="L86" t="s">
        <v>163</v>
      </c>
      <c r="N86" t="s">
        <v>196</v>
      </c>
      <c r="O86" t="s">
        <v>306</v>
      </c>
      <c r="P86">
        <v>0.10701414856999941</v>
      </c>
      <c r="Q86" t="s">
        <v>163</v>
      </c>
      <c r="S86" t="s">
        <v>211</v>
      </c>
      <c r="T86" t="s">
        <v>306</v>
      </c>
      <c r="U86">
        <v>9.0616383788179128E-2</v>
      </c>
      <c r="V86" t="s">
        <v>163</v>
      </c>
      <c r="AK86">
        <v>2040</v>
      </c>
      <c r="AL86" t="s">
        <v>302</v>
      </c>
      <c r="AM86">
        <v>0.43353333333333333</v>
      </c>
      <c r="AN86" t="s">
        <v>247</v>
      </c>
    </row>
    <row r="87" spans="9:40" x14ac:dyDescent="0.45">
      <c r="I87" t="s">
        <v>180</v>
      </c>
      <c r="J87" t="s">
        <v>307</v>
      </c>
      <c r="K87">
        <v>0</v>
      </c>
      <c r="L87" t="s">
        <v>163</v>
      </c>
      <c r="N87" t="s">
        <v>196</v>
      </c>
      <c r="O87" t="s">
        <v>307</v>
      </c>
      <c r="P87">
        <v>9.9626826023950732E-2</v>
      </c>
      <c r="Q87" t="s">
        <v>163</v>
      </c>
      <c r="S87" t="s">
        <v>211</v>
      </c>
      <c r="T87" t="s">
        <v>307</v>
      </c>
      <c r="U87">
        <v>0.10603455360946369</v>
      </c>
      <c r="V87" t="s">
        <v>163</v>
      </c>
      <c r="AK87">
        <v>2041</v>
      </c>
      <c r="AL87" t="s">
        <v>297</v>
      </c>
      <c r="AM87">
        <v>0.45800000000000002</v>
      </c>
      <c r="AN87" t="s">
        <v>247</v>
      </c>
    </row>
    <row r="88" spans="9:40" x14ac:dyDescent="0.45">
      <c r="I88" t="s">
        <v>180</v>
      </c>
      <c r="J88" t="s">
        <v>308</v>
      </c>
      <c r="K88">
        <v>1.5287429256278065E-2</v>
      </c>
      <c r="L88" t="s">
        <v>163</v>
      </c>
      <c r="N88" t="s">
        <v>196</v>
      </c>
      <c r="O88" t="s">
        <v>308</v>
      </c>
      <c r="P88">
        <v>1.9984947463526494E-2</v>
      </c>
      <c r="Q88" t="s">
        <v>163</v>
      </c>
      <c r="S88" t="s">
        <v>211</v>
      </c>
      <c r="T88" t="s">
        <v>308</v>
      </c>
      <c r="U88">
        <v>1.8410764371443109E-2</v>
      </c>
      <c r="V88" t="s">
        <v>163</v>
      </c>
      <c r="AK88">
        <v>2041</v>
      </c>
      <c r="AL88" t="s">
        <v>299</v>
      </c>
      <c r="AM88">
        <v>0.39083333333333331</v>
      </c>
      <c r="AN88" t="s">
        <v>247</v>
      </c>
    </row>
    <row r="89" spans="9:40" x14ac:dyDescent="0.45">
      <c r="I89" t="s">
        <v>180</v>
      </c>
      <c r="J89" t="s">
        <v>309</v>
      </c>
      <c r="K89">
        <v>9.5153152816126851E-2</v>
      </c>
      <c r="L89" t="s">
        <v>163</v>
      </c>
      <c r="N89" t="s">
        <v>196</v>
      </c>
      <c r="O89" t="s">
        <v>309</v>
      </c>
      <c r="P89">
        <v>0.11905610565840651</v>
      </c>
      <c r="Q89" t="s">
        <v>163</v>
      </c>
      <c r="S89" t="s">
        <v>211</v>
      </c>
      <c r="T89" t="s">
        <v>309</v>
      </c>
      <c r="U89">
        <v>0.11712571449555187</v>
      </c>
      <c r="V89" t="s">
        <v>163</v>
      </c>
      <c r="AK89">
        <v>2041</v>
      </c>
      <c r="AL89" t="s">
        <v>300</v>
      </c>
      <c r="AM89">
        <v>0.48833333333333329</v>
      </c>
      <c r="AN89" t="s">
        <v>247</v>
      </c>
    </row>
    <row r="90" spans="9:40" x14ac:dyDescent="0.45">
      <c r="I90" t="s">
        <v>180</v>
      </c>
      <c r="J90" t="s">
        <v>310</v>
      </c>
      <c r="K90">
        <v>0</v>
      </c>
      <c r="L90" t="s">
        <v>163</v>
      </c>
      <c r="N90" t="s">
        <v>196</v>
      </c>
      <c r="O90" t="s">
        <v>310</v>
      </c>
      <c r="P90">
        <v>0.12090440527940445</v>
      </c>
      <c r="Q90" t="s">
        <v>163</v>
      </c>
      <c r="S90" t="s">
        <v>211</v>
      </c>
      <c r="T90" t="s">
        <v>310</v>
      </c>
      <c r="U90">
        <v>0.12149479363245422</v>
      </c>
      <c r="V90" t="s">
        <v>163</v>
      </c>
      <c r="AK90">
        <v>2041</v>
      </c>
      <c r="AL90" t="s">
        <v>302</v>
      </c>
      <c r="AM90">
        <v>0.4136333333333333</v>
      </c>
      <c r="AN90" t="s">
        <v>247</v>
      </c>
    </row>
    <row r="91" spans="9:40" x14ac:dyDescent="0.45">
      <c r="I91" t="s">
        <v>180</v>
      </c>
      <c r="J91" t="s">
        <v>311</v>
      </c>
      <c r="K91">
        <v>3.1582745762005864E-3</v>
      </c>
      <c r="L91" t="s">
        <v>163</v>
      </c>
      <c r="N91" t="s">
        <v>196</v>
      </c>
      <c r="O91" t="s">
        <v>311</v>
      </c>
      <c r="P91">
        <v>2.1570585381189521E-2</v>
      </c>
      <c r="Q91" t="s">
        <v>163</v>
      </c>
      <c r="S91" t="s">
        <v>211</v>
      </c>
      <c r="T91" t="s">
        <v>311</v>
      </c>
      <c r="U91">
        <v>2.3759366554526117E-2</v>
      </c>
      <c r="V91" t="s">
        <v>163</v>
      </c>
      <c r="AK91">
        <v>2042</v>
      </c>
      <c r="AL91" t="s">
        <v>297</v>
      </c>
      <c r="AM91">
        <v>0.42106666666666664</v>
      </c>
      <c r="AN91" t="s">
        <v>247</v>
      </c>
    </row>
    <row r="92" spans="9:40" x14ac:dyDescent="0.45">
      <c r="I92" t="s">
        <v>180</v>
      </c>
      <c r="J92" t="s">
        <v>312</v>
      </c>
      <c r="K92">
        <v>0.34117959643753909</v>
      </c>
      <c r="L92" t="s">
        <v>163</v>
      </c>
      <c r="N92" t="s">
        <v>196</v>
      </c>
      <c r="O92" t="s">
        <v>312</v>
      </c>
      <c r="P92">
        <v>0.114856659216511</v>
      </c>
      <c r="Q92" t="s">
        <v>163</v>
      </c>
      <c r="S92" t="s">
        <v>211</v>
      </c>
      <c r="T92" t="s">
        <v>312</v>
      </c>
      <c r="U92">
        <v>8.7637318044870141E-2</v>
      </c>
      <c r="V92" t="s">
        <v>163</v>
      </c>
      <c r="AK92">
        <v>2042</v>
      </c>
      <c r="AL92" t="s">
        <v>299</v>
      </c>
      <c r="AM92">
        <v>0.36483333333333334</v>
      </c>
      <c r="AN92" t="s">
        <v>247</v>
      </c>
    </row>
    <row r="93" spans="9:40" x14ac:dyDescent="0.45">
      <c r="I93" t="s">
        <v>180</v>
      </c>
      <c r="J93" t="s">
        <v>313</v>
      </c>
      <c r="K93">
        <v>2.0049139669857819E-2</v>
      </c>
      <c r="L93" t="s">
        <v>163</v>
      </c>
      <c r="N93" t="s">
        <v>196</v>
      </c>
      <c r="O93" t="s">
        <v>313</v>
      </c>
      <c r="P93">
        <v>8.8608194995052972E-2</v>
      </c>
      <c r="Q93" t="s">
        <v>163</v>
      </c>
      <c r="S93" t="s">
        <v>211</v>
      </c>
      <c r="T93" t="s">
        <v>313</v>
      </c>
      <c r="U93">
        <v>0.10869410390245007</v>
      </c>
      <c r="V93" t="s">
        <v>163</v>
      </c>
      <c r="AK93">
        <v>2042</v>
      </c>
      <c r="AL93" t="s">
        <v>300</v>
      </c>
      <c r="AM93">
        <v>0.45966666666666667</v>
      </c>
      <c r="AN93" t="s">
        <v>247</v>
      </c>
    </row>
    <row r="94" spans="9:40" x14ac:dyDescent="0.45">
      <c r="I94" t="s">
        <v>180</v>
      </c>
      <c r="J94" t="s">
        <v>314</v>
      </c>
      <c r="K94">
        <v>5.071380382586646E-2</v>
      </c>
      <c r="L94" t="s">
        <v>163</v>
      </c>
      <c r="N94" t="s">
        <v>196</v>
      </c>
      <c r="O94" t="s">
        <v>314</v>
      </c>
      <c r="P94">
        <v>1.9796700966696883E-2</v>
      </c>
      <c r="Q94" t="s">
        <v>163</v>
      </c>
      <c r="S94" t="s">
        <v>211</v>
      </c>
      <c r="T94" t="s">
        <v>314</v>
      </c>
      <c r="U94">
        <v>2.054378083958357E-2</v>
      </c>
      <c r="V94" t="s">
        <v>163</v>
      </c>
      <c r="AK94">
        <v>2042</v>
      </c>
      <c r="AL94" t="s">
        <v>302</v>
      </c>
      <c r="AM94">
        <v>0.38640000000000002</v>
      </c>
      <c r="AN94" t="s">
        <v>247</v>
      </c>
    </row>
    <row r="95" spans="9:40" x14ac:dyDescent="0.45">
      <c r="I95" t="s">
        <v>181</v>
      </c>
      <c r="J95" t="s">
        <v>303</v>
      </c>
      <c r="K95">
        <v>0.28700096944428827</v>
      </c>
      <c r="L95" t="s">
        <v>163</v>
      </c>
      <c r="N95" t="s">
        <v>197</v>
      </c>
      <c r="O95" t="s">
        <v>303</v>
      </c>
      <c r="P95">
        <v>0.16662737823144463</v>
      </c>
      <c r="Q95" t="s">
        <v>163</v>
      </c>
      <c r="S95" t="s">
        <v>212</v>
      </c>
      <c r="T95" t="s">
        <v>303</v>
      </c>
      <c r="U95">
        <v>0.12773282981347808</v>
      </c>
      <c r="V95" t="s">
        <v>163</v>
      </c>
      <c r="AK95">
        <v>2043</v>
      </c>
      <c r="AL95" t="s">
        <v>297</v>
      </c>
      <c r="AM95">
        <v>0.44046666666666673</v>
      </c>
      <c r="AN95" t="s">
        <v>247</v>
      </c>
    </row>
    <row r="96" spans="9:40" x14ac:dyDescent="0.45">
      <c r="I96" t="s">
        <v>181</v>
      </c>
      <c r="J96" t="s">
        <v>304</v>
      </c>
      <c r="K96">
        <v>6.302506030660634E-3</v>
      </c>
      <c r="L96" t="s">
        <v>163</v>
      </c>
      <c r="N96" t="s">
        <v>197</v>
      </c>
      <c r="O96" t="s">
        <v>304</v>
      </c>
      <c r="P96">
        <v>0.11872809207699352</v>
      </c>
      <c r="Q96" t="s">
        <v>163</v>
      </c>
      <c r="S96" t="s">
        <v>212</v>
      </c>
      <c r="T96" t="s">
        <v>304</v>
      </c>
      <c r="U96">
        <v>0.13342783544551989</v>
      </c>
      <c r="V96" t="s">
        <v>163</v>
      </c>
      <c r="AK96">
        <v>2043</v>
      </c>
      <c r="AL96" t="s">
        <v>299</v>
      </c>
      <c r="AM96">
        <v>0.37816666666666671</v>
      </c>
      <c r="AN96" t="s">
        <v>247</v>
      </c>
    </row>
    <row r="97" spans="9:40" x14ac:dyDescent="0.45">
      <c r="I97" t="s">
        <v>181</v>
      </c>
      <c r="J97" t="s">
        <v>305</v>
      </c>
      <c r="K97">
        <v>3.2281139865930737E-2</v>
      </c>
      <c r="L97" t="s">
        <v>163</v>
      </c>
      <c r="N97" t="s">
        <v>197</v>
      </c>
      <c r="O97" t="s">
        <v>305</v>
      </c>
      <c r="P97">
        <v>2.8009701740302283E-2</v>
      </c>
      <c r="Q97" t="s">
        <v>163</v>
      </c>
      <c r="S97" t="s">
        <v>212</v>
      </c>
      <c r="T97" t="s">
        <v>305</v>
      </c>
      <c r="U97">
        <v>2.3586290961507272E-2</v>
      </c>
      <c r="V97" t="s">
        <v>163</v>
      </c>
      <c r="AK97">
        <v>2043</v>
      </c>
      <c r="AL97" t="s">
        <v>300</v>
      </c>
      <c r="AM97">
        <v>0.46423333333333333</v>
      </c>
      <c r="AN97" t="s">
        <v>247</v>
      </c>
    </row>
    <row r="98" spans="9:40" x14ac:dyDescent="0.45">
      <c r="I98" t="s">
        <v>181</v>
      </c>
      <c r="J98" t="s">
        <v>306</v>
      </c>
      <c r="K98">
        <v>0.15771008521037647</v>
      </c>
      <c r="L98" t="s">
        <v>163</v>
      </c>
      <c r="N98" t="s">
        <v>197</v>
      </c>
      <c r="O98" t="s">
        <v>306</v>
      </c>
      <c r="P98">
        <v>0.1141958403167343</v>
      </c>
      <c r="Q98" t="s">
        <v>163</v>
      </c>
      <c r="S98" t="s">
        <v>212</v>
      </c>
      <c r="T98" t="s">
        <v>306</v>
      </c>
      <c r="U98">
        <v>9.9426599264382423E-2</v>
      </c>
      <c r="V98" t="s">
        <v>163</v>
      </c>
      <c r="AK98">
        <v>2043</v>
      </c>
      <c r="AL98" t="s">
        <v>302</v>
      </c>
      <c r="AM98">
        <v>0.42126666666666668</v>
      </c>
      <c r="AN98" t="s">
        <v>247</v>
      </c>
    </row>
    <row r="99" spans="9:40" x14ac:dyDescent="0.45">
      <c r="I99" t="s">
        <v>181</v>
      </c>
      <c r="J99" t="s">
        <v>307</v>
      </c>
      <c r="K99">
        <v>0</v>
      </c>
      <c r="L99" t="s">
        <v>163</v>
      </c>
      <c r="N99" t="s">
        <v>197</v>
      </c>
      <c r="O99" t="s">
        <v>307</v>
      </c>
      <c r="P99">
        <v>9.5090574752109663E-2</v>
      </c>
      <c r="Q99" t="s">
        <v>163</v>
      </c>
      <c r="S99" t="s">
        <v>212</v>
      </c>
      <c r="T99" t="s">
        <v>307</v>
      </c>
      <c r="U99">
        <v>0.10880680497461016</v>
      </c>
      <c r="V99" t="s">
        <v>163</v>
      </c>
      <c r="AK99">
        <v>2044</v>
      </c>
      <c r="AL99" t="s">
        <v>297</v>
      </c>
      <c r="AM99">
        <v>0.41699999999999998</v>
      </c>
      <c r="AN99" t="s">
        <v>247</v>
      </c>
    </row>
    <row r="100" spans="9:40" x14ac:dyDescent="0.45">
      <c r="I100" t="s">
        <v>181</v>
      </c>
      <c r="J100" t="s">
        <v>308</v>
      </c>
      <c r="K100">
        <v>1.4869683955594508E-2</v>
      </c>
      <c r="L100" t="s">
        <v>163</v>
      </c>
      <c r="N100" t="s">
        <v>197</v>
      </c>
      <c r="O100" t="s">
        <v>308</v>
      </c>
      <c r="P100">
        <v>1.9322305388973091E-2</v>
      </c>
      <c r="Q100" t="s">
        <v>163</v>
      </c>
      <c r="S100" t="s">
        <v>212</v>
      </c>
      <c r="T100" t="s">
        <v>308</v>
      </c>
      <c r="U100">
        <v>1.973012124696924E-2</v>
      </c>
      <c r="V100" t="s">
        <v>163</v>
      </c>
      <c r="AK100">
        <v>2044</v>
      </c>
      <c r="AL100" t="s">
        <v>299</v>
      </c>
      <c r="AM100">
        <v>0.4052</v>
      </c>
      <c r="AN100" t="s">
        <v>247</v>
      </c>
    </row>
    <row r="101" spans="9:40" x14ac:dyDescent="0.45">
      <c r="I101" t="s">
        <v>181</v>
      </c>
      <c r="J101" t="s">
        <v>309</v>
      </c>
      <c r="K101">
        <v>9.6711741806306414E-2</v>
      </c>
      <c r="L101" t="s">
        <v>163</v>
      </c>
      <c r="N101" t="s">
        <v>197</v>
      </c>
      <c r="O101" t="s">
        <v>309</v>
      </c>
      <c r="P101">
        <v>0.10650599521569565</v>
      </c>
      <c r="Q101" t="s">
        <v>163</v>
      </c>
      <c r="S101" t="s">
        <v>212</v>
      </c>
      <c r="T101" t="s">
        <v>309</v>
      </c>
      <c r="U101">
        <v>0.11700620103246892</v>
      </c>
      <c r="V101" t="s">
        <v>163</v>
      </c>
      <c r="AK101">
        <v>2044</v>
      </c>
      <c r="AL101" t="s">
        <v>300</v>
      </c>
      <c r="AM101">
        <v>0.45683333333333326</v>
      </c>
      <c r="AN101" t="s">
        <v>247</v>
      </c>
    </row>
    <row r="102" spans="9:40" x14ac:dyDescent="0.45">
      <c r="I102" t="s">
        <v>181</v>
      </c>
      <c r="J102" t="s">
        <v>310</v>
      </c>
      <c r="K102">
        <v>0</v>
      </c>
      <c r="L102" t="s">
        <v>163</v>
      </c>
      <c r="N102" t="s">
        <v>197</v>
      </c>
      <c r="O102" t="s">
        <v>310</v>
      </c>
      <c r="P102">
        <v>0.10913196764547575</v>
      </c>
      <c r="Q102" t="s">
        <v>163</v>
      </c>
      <c r="S102" t="s">
        <v>212</v>
      </c>
      <c r="T102" t="s">
        <v>310</v>
      </c>
      <c r="U102">
        <v>0.12117924725533027</v>
      </c>
      <c r="V102" t="s">
        <v>163</v>
      </c>
      <c r="AK102">
        <v>2044</v>
      </c>
      <c r="AL102" t="s">
        <v>302</v>
      </c>
      <c r="AM102">
        <v>0.39266666666666666</v>
      </c>
      <c r="AN102" t="s">
        <v>247</v>
      </c>
    </row>
    <row r="103" spans="9:40" x14ac:dyDescent="0.45">
      <c r="I103" t="s">
        <v>181</v>
      </c>
      <c r="J103" t="s">
        <v>311</v>
      </c>
      <c r="K103">
        <v>3.6791826204073913E-3</v>
      </c>
      <c r="L103" t="s">
        <v>163</v>
      </c>
      <c r="N103" t="s">
        <v>197</v>
      </c>
      <c r="O103" t="s">
        <v>311</v>
      </c>
      <c r="P103">
        <v>1.8349756142875904E-2</v>
      </c>
      <c r="Q103" t="s">
        <v>163</v>
      </c>
      <c r="S103" t="s">
        <v>212</v>
      </c>
      <c r="T103" t="s">
        <v>311</v>
      </c>
      <c r="U103">
        <v>2.2086701925901647E-2</v>
      </c>
      <c r="V103" t="s">
        <v>163</v>
      </c>
      <c r="AK103">
        <v>2045</v>
      </c>
      <c r="AL103" t="s">
        <v>297</v>
      </c>
      <c r="AM103">
        <v>0.59743333333333337</v>
      </c>
      <c r="AN103" t="s">
        <v>247</v>
      </c>
    </row>
    <row r="104" spans="9:40" x14ac:dyDescent="0.45">
      <c r="I104" t="s">
        <v>181</v>
      </c>
      <c r="J104" t="s">
        <v>312</v>
      </c>
      <c r="K104">
        <v>0.33564952973724849</v>
      </c>
      <c r="L104" t="s">
        <v>163</v>
      </c>
      <c r="N104" t="s">
        <v>197</v>
      </c>
      <c r="O104" t="s">
        <v>312</v>
      </c>
      <c r="P104">
        <v>0.12112141815603571</v>
      </c>
      <c r="Q104" t="s">
        <v>163</v>
      </c>
      <c r="S104" t="s">
        <v>212</v>
      </c>
      <c r="T104" t="s">
        <v>312</v>
      </c>
      <c r="U104">
        <v>9.8926217953389156E-2</v>
      </c>
      <c r="V104" t="s">
        <v>163</v>
      </c>
      <c r="AK104">
        <v>2045</v>
      </c>
      <c r="AL104" t="s">
        <v>299</v>
      </c>
      <c r="AM104">
        <v>0.54843333333333333</v>
      </c>
      <c r="AN104" t="s">
        <v>247</v>
      </c>
    </row>
    <row r="105" spans="9:40" x14ac:dyDescent="0.45">
      <c r="I105" t="s">
        <v>181</v>
      </c>
      <c r="J105" t="s">
        <v>313</v>
      </c>
      <c r="K105">
        <v>1.9318187175607803E-2</v>
      </c>
      <c r="L105" t="s">
        <v>163</v>
      </c>
      <c r="N105" t="s">
        <v>197</v>
      </c>
      <c r="O105" t="s">
        <v>313</v>
      </c>
      <c r="P105">
        <v>8.1587616040912497E-2</v>
      </c>
      <c r="Q105" t="s">
        <v>163</v>
      </c>
      <c r="S105" t="s">
        <v>212</v>
      </c>
      <c r="T105" t="s">
        <v>313</v>
      </c>
      <c r="U105">
        <v>0.10933007889654263</v>
      </c>
      <c r="V105" t="s">
        <v>163</v>
      </c>
      <c r="AK105">
        <v>2045</v>
      </c>
      <c r="AL105" t="s">
        <v>300</v>
      </c>
      <c r="AM105">
        <v>0.62136666666666662</v>
      </c>
      <c r="AN105" t="s">
        <v>247</v>
      </c>
    </row>
    <row r="106" spans="9:40" x14ac:dyDescent="0.45">
      <c r="I106" t="s">
        <v>181</v>
      </c>
      <c r="J106" t="s">
        <v>314</v>
      </c>
      <c r="K106">
        <v>4.6476974153578439E-2</v>
      </c>
      <c r="L106" t="s">
        <v>163</v>
      </c>
      <c r="N106" t="s">
        <v>197</v>
      </c>
      <c r="O106" t="s">
        <v>314</v>
      </c>
      <c r="P106">
        <v>2.1329354292444615E-2</v>
      </c>
      <c r="Q106" t="s">
        <v>163</v>
      </c>
      <c r="S106" t="s">
        <v>212</v>
      </c>
      <c r="T106" t="s">
        <v>314</v>
      </c>
      <c r="U106">
        <v>1.8761071229898337E-2</v>
      </c>
      <c r="V106" t="s">
        <v>163</v>
      </c>
      <c r="AK106">
        <v>2045</v>
      </c>
      <c r="AL106" t="s">
        <v>302</v>
      </c>
      <c r="AM106">
        <v>0.57910000000000006</v>
      </c>
      <c r="AN106" t="s">
        <v>247</v>
      </c>
    </row>
    <row r="107" spans="9:40" x14ac:dyDescent="0.45">
      <c r="I107" t="s">
        <v>182</v>
      </c>
      <c r="J107" t="s">
        <v>303</v>
      </c>
      <c r="K107">
        <v>0.27798884602119778</v>
      </c>
      <c r="L107" t="s">
        <v>163</v>
      </c>
      <c r="N107" t="s">
        <v>198</v>
      </c>
      <c r="O107" t="s">
        <v>303</v>
      </c>
      <c r="P107">
        <v>0.12848498578110407</v>
      </c>
      <c r="Q107" t="s">
        <v>163</v>
      </c>
      <c r="S107" t="s">
        <v>213</v>
      </c>
      <c r="T107" t="s">
        <v>303</v>
      </c>
      <c r="U107">
        <v>0.16133811998607031</v>
      </c>
      <c r="V107" t="s">
        <v>163</v>
      </c>
      <c r="AK107">
        <v>2046</v>
      </c>
      <c r="AL107" t="s">
        <v>297</v>
      </c>
      <c r="AM107">
        <v>0.59093333333333342</v>
      </c>
      <c r="AN107" t="s">
        <v>247</v>
      </c>
    </row>
    <row r="108" spans="9:40" x14ac:dyDescent="0.45">
      <c r="I108" t="s">
        <v>182</v>
      </c>
      <c r="J108" t="s">
        <v>304</v>
      </c>
      <c r="K108">
        <v>6.7956282059667998E-3</v>
      </c>
      <c r="L108" t="s">
        <v>163</v>
      </c>
      <c r="N108" t="s">
        <v>198</v>
      </c>
      <c r="O108" t="s">
        <v>304</v>
      </c>
      <c r="P108">
        <v>0.11479264962850468</v>
      </c>
      <c r="Q108" t="s">
        <v>163</v>
      </c>
      <c r="S108" t="s">
        <v>213</v>
      </c>
      <c r="T108" t="s">
        <v>304</v>
      </c>
      <c r="U108">
        <v>0.1396863053744824</v>
      </c>
      <c r="V108" t="s">
        <v>163</v>
      </c>
      <c r="AK108">
        <v>2046</v>
      </c>
      <c r="AL108" t="s">
        <v>299</v>
      </c>
      <c r="AM108">
        <v>0.52200000000000002</v>
      </c>
      <c r="AN108" t="s">
        <v>247</v>
      </c>
    </row>
    <row r="109" spans="9:40" x14ac:dyDescent="0.45">
      <c r="I109" t="s">
        <v>182</v>
      </c>
      <c r="J109" t="s">
        <v>305</v>
      </c>
      <c r="K109">
        <v>3.4690461565282382E-2</v>
      </c>
      <c r="L109" t="s">
        <v>163</v>
      </c>
      <c r="N109" t="s">
        <v>198</v>
      </c>
      <c r="O109" t="s">
        <v>305</v>
      </c>
      <c r="P109">
        <v>2.3609265224149384E-2</v>
      </c>
      <c r="Q109" t="s">
        <v>163</v>
      </c>
      <c r="S109" t="s">
        <v>213</v>
      </c>
      <c r="T109" t="s">
        <v>305</v>
      </c>
      <c r="U109">
        <v>2.6147508845605936E-2</v>
      </c>
      <c r="V109" t="s">
        <v>163</v>
      </c>
      <c r="AK109">
        <v>2046</v>
      </c>
      <c r="AL109" t="s">
        <v>300</v>
      </c>
      <c r="AM109">
        <v>0.63519999999999999</v>
      </c>
      <c r="AN109" t="s">
        <v>247</v>
      </c>
    </row>
    <row r="110" spans="9:40" x14ac:dyDescent="0.45">
      <c r="I110" t="s">
        <v>182</v>
      </c>
      <c r="J110" t="s">
        <v>306</v>
      </c>
      <c r="K110">
        <v>0.16047334072655836</v>
      </c>
      <c r="L110" t="s">
        <v>163</v>
      </c>
      <c r="N110" t="s">
        <v>198</v>
      </c>
      <c r="O110" t="s">
        <v>306</v>
      </c>
      <c r="P110">
        <v>0.11255175815170487</v>
      </c>
      <c r="Q110" t="s">
        <v>163</v>
      </c>
      <c r="S110" t="s">
        <v>213</v>
      </c>
      <c r="T110" t="s">
        <v>306</v>
      </c>
      <c r="U110">
        <v>9.1271659083217244E-2</v>
      </c>
      <c r="V110" t="s">
        <v>163</v>
      </c>
      <c r="AK110">
        <v>2046</v>
      </c>
      <c r="AL110" t="s">
        <v>302</v>
      </c>
      <c r="AM110">
        <v>0.5655</v>
      </c>
      <c r="AN110" t="s">
        <v>247</v>
      </c>
    </row>
    <row r="111" spans="9:40" x14ac:dyDescent="0.45">
      <c r="I111" t="s">
        <v>182</v>
      </c>
      <c r="J111" t="s">
        <v>307</v>
      </c>
      <c r="K111">
        <v>0</v>
      </c>
      <c r="L111" t="s">
        <v>163</v>
      </c>
      <c r="N111" t="s">
        <v>198</v>
      </c>
      <c r="O111" t="s">
        <v>307</v>
      </c>
      <c r="P111">
        <v>0.11352381997512329</v>
      </c>
      <c r="Q111" t="s">
        <v>163</v>
      </c>
      <c r="S111" t="s">
        <v>213</v>
      </c>
      <c r="T111" t="s">
        <v>307</v>
      </c>
      <c r="U111">
        <v>9.5459748936948613E-2</v>
      </c>
      <c r="V111" t="s">
        <v>163</v>
      </c>
      <c r="AK111">
        <v>2047</v>
      </c>
      <c r="AL111" t="s">
        <v>297</v>
      </c>
      <c r="AM111">
        <v>0.59033333333333327</v>
      </c>
      <c r="AN111" t="s">
        <v>247</v>
      </c>
    </row>
    <row r="112" spans="9:40" x14ac:dyDescent="0.45">
      <c r="I112" t="s">
        <v>182</v>
      </c>
      <c r="J112" t="s">
        <v>308</v>
      </c>
      <c r="K112">
        <v>1.7397083956947033E-2</v>
      </c>
      <c r="L112" t="s">
        <v>163</v>
      </c>
      <c r="N112" t="s">
        <v>198</v>
      </c>
      <c r="O112" t="s">
        <v>308</v>
      </c>
      <c r="P112">
        <v>2.1888954566639415E-2</v>
      </c>
      <c r="Q112" t="s">
        <v>163</v>
      </c>
      <c r="S112" t="s">
        <v>213</v>
      </c>
      <c r="T112" t="s">
        <v>308</v>
      </c>
      <c r="U112">
        <v>1.9016508002978296E-2</v>
      </c>
      <c r="V112" t="s">
        <v>163</v>
      </c>
      <c r="AK112">
        <v>2047</v>
      </c>
      <c r="AL112" t="s">
        <v>299</v>
      </c>
      <c r="AM112">
        <v>0.52116666666666667</v>
      </c>
      <c r="AN112" t="s">
        <v>247</v>
      </c>
    </row>
    <row r="113" spans="9:40" x14ac:dyDescent="0.45">
      <c r="I113" t="s">
        <v>182</v>
      </c>
      <c r="J113" t="s">
        <v>309</v>
      </c>
      <c r="K113">
        <v>9.2940517838097675E-2</v>
      </c>
      <c r="L113" t="s">
        <v>163</v>
      </c>
      <c r="N113" t="s">
        <v>198</v>
      </c>
      <c r="O113" t="s">
        <v>309</v>
      </c>
      <c r="P113">
        <v>0.11138731951314058</v>
      </c>
      <c r="Q113" t="s">
        <v>163</v>
      </c>
      <c r="S113" t="s">
        <v>213</v>
      </c>
      <c r="T113" t="s">
        <v>309</v>
      </c>
      <c r="U113">
        <v>0.11896745967975597</v>
      </c>
      <c r="V113" t="s">
        <v>163</v>
      </c>
      <c r="AK113">
        <v>2047</v>
      </c>
      <c r="AL113" t="s">
        <v>300</v>
      </c>
      <c r="AM113">
        <v>0.61473333333333324</v>
      </c>
      <c r="AN113" t="s">
        <v>247</v>
      </c>
    </row>
    <row r="114" spans="9:40" x14ac:dyDescent="0.45">
      <c r="I114" t="s">
        <v>182</v>
      </c>
      <c r="J114" t="s">
        <v>310</v>
      </c>
      <c r="K114">
        <v>0</v>
      </c>
      <c r="L114" t="s">
        <v>163</v>
      </c>
      <c r="N114" t="s">
        <v>198</v>
      </c>
      <c r="O114" t="s">
        <v>310</v>
      </c>
      <c r="P114">
        <v>0.11732310618820274</v>
      </c>
      <c r="Q114" t="s">
        <v>163</v>
      </c>
      <c r="S114" t="s">
        <v>213</v>
      </c>
      <c r="T114" t="s">
        <v>310</v>
      </c>
      <c r="U114">
        <v>0.11222649839474506</v>
      </c>
      <c r="V114" t="s">
        <v>163</v>
      </c>
      <c r="AK114">
        <v>2047</v>
      </c>
      <c r="AL114" t="s">
        <v>302</v>
      </c>
      <c r="AM114">
        <v>0.53056666666666674</v>
      </c>
      <c r="AN114" t="s">
        <v>247</v>
      </c>
    </row>
    <row r="115" spans="9:40" x14ac:dyDescent="0.45">
      <c r="I115" t="s">
        <v>182</v>
      </c>
      <c r="J115" t="s">
        <v>311</v>
      </c>
      <c r="K115">
        <v>3.4623582809782658E-3</v>
      </c>
      <c r="L115" t="s">
        <v>163</v>
      </c>
      <c r="N115" t="s">
        <v>198</v>
      </c>
      <c r="O115" t="s">
        <v>311</v>
      </c>
      <c r="P115">
        <v>2.0493732605007531E-2</v>
      </c>
      <c r="Q115" t="s">
        <v>163</v>
      </c>
      <c r="S115" t="s">
        <v>213</v>
      </c>
      <c r="T115" t="s">
        <v>311</v>
      </c>
      <c r="U115">
        <v>2.2089762478229597E-2</v>
      </c>
      <c r="V115" t="s">
        <v>163</v>
      </c>
      <c r="AK115">
        <v>2048</v>
      </c>
      <c r="AL115" t="s">
        <v>297</v>
      </c>
      <c r="AM115">
        <v>0.57643333333333324</v>
      </c>
      <c r="AN115" t="s">
        <v>247</v>
      </c>
    </row>
    <row r="116" spans="9:40" x14ac:dyDescent="0.45">
      <c r="I116" t="s">
        <v>182</v>
      </c>
      <c r="J116" t="s">
        <v>312</v>
      </c>
      <c r="K116">
        <v>0.33421604994028226</v>
      </c>
      <c r="L116" t="s">
        <v>163</v>
      </c>
      <c r="N116" t="s">
        <v>198</v>
      </c>
      <c r="O116" t="s">
        <v>312</v>
      </c>
      <c r="P116">
        <v>0.1120922117980208</v>
      </c>
      <c r="Q116" t="s">
        <v>163</v>
      </c>
      <c r="S116" t="s">
        <v>213</v>
      </c>
      <c r="T116" t="s">
        <v>312</v>
      </c>
      <c r="U116">
        <v>0.10258804022213562</v>
      </c>
      <c r="V116" t="s">
        <v>163</v>
      </c>
      <c r="AK116">
        <v>2048</v>
      </c>
      <c r="AL116" t="s">
        <v>299</v>
      </c>
      <c r="AM116">
        <v>0.5043333333333333</v>
      </c>
      <c r="AN116" t="s">
        <v>247</v>
      </c>
    </row>
    <row r="117" spans="9:40" x14ac:dyDescent="0.45">
      <c r="I117" t="s">
        <v>182</v>
      </c>
      <c r="J117" t="s">
        <v>313</v>
      </c>
      <c r="K117">
        <v>1.9794019616507751E-2</v>
      </c>
      <c r="L117" t="s">
        <v>163</v>
      </c>
      <c r="N117" t="s">
        <v>198</v>
      </c>
      <c r="O117" t="s">
        <v>313</v>
      </c>
      <c r="P117">
        <v>0.10336961264515757</v>
      </c>
      <c r="Q117" t="s">
        <v>163</v>
      </c>
      <c r="S117" t="s">
        <v>213</v>
      </c>
      <c r="T117" t="s">
        <v>313</v>
      </c>
      <c r="U117">
        <v>8.8648441447009133E-2</v>
      </c>
      <c r="V117" t="s">
        <v>163</v>
      </c>
      <c r="AK117">
        <v>2048</v>
      </c>
      <c r="AL117" t="s">
        <v>300</v>
      </c>
      <c r="AM117">
        <v>0.60070000000000001</v>
      </c>
      <c r="AN117" t="s">
        <v>247</v>
      </c>
    </row>
    <row r="118" spans="9:40" x14ac:dyDescent="0.45">
      <c r="I118" t="s">
        <v>182</v>
      </c>
      <c r="J118" t="s">
        <v>314</v>
      </c>
      <c r="K118">
        <v>5.2241693848181746E-2</v>
      </c>
      <c r="L118" t="s">
        <v>163</v>
      </c>
      <c r="N118" t="s">
        <v>198</v>
      </c>
      <c r="O118" t="s">
        <v>314</v>
      </c>
      <c r="P118">
        <v>2.0482583923245323E-2</v>
      </c>
      <c r="Q118" t="s">
        <v>163</v>
      </c>
      <c r="S118" t="s">
        <v>213</v>
      </c>
      <c r="T118" t="s">
        <v>314</v>
      </c>
      <c r="U118">
        <v>2.2559947548823883E-2</v>
      </c>
      <c r="V118" t="s">
        <v>163</v>
      </c>
      <c r="AK118">
        <v>2048</v>
      </c>
      <c r="AL118" t="s">
        <v>302</v>
      </c>
      <c r="AM118">
        <v>0.59526666666666672</v>
      </c>
      <c r="AN118" t="s">
        <v>247</v>
      </c>
    </row>
    <row r="119" spans="9:40" x14ac:dyDescent="0.45">
      <c r="I119" t="s">
        <v>183</v>
      </c>
      <c r="J119" t="s">
        <v>303</v>
      </c>
      <c r="K119">
        <v>0.28397258371456807</v>
      </c>
      <c r="L119" t="s">
        <v>163</v>
      </c>
      <c r="N119" t="s">
        <v>199</v>
      </c>
      <c r="O119" t="s">
        <v>303</v>
      </c>
      <c r="P119">
        <v>0.13286627855673874</v>
      </c>
      <c r="Q119" t="s">
        <v>163</v>
      </c>
      <c r="S119" t="s">
        <v>214</v>
      </c>
      <c r="T119" t="s">
        <v>303</v>
      </c>
      <c r="U119">
        <v>0.12502175555162487</v>
      </c>
      <c r="V119" t="s">
        <v>163</v>
      </c>
      <c r="AK119">
        <v>2049</v>
      </c>
      <c r="AL119" t="s">
        <v>297</v>
      </c>
      <c r="AM119">
        <v>0.49713333333333337</v>
      </c>
      <c r="AN119" t="s">
        <v>247</v>
      </c>
    </row>
    <row r="120" spans="9:40" x14ac:dyDescent="0.45">
      <c r="I120" t="s">
        <v>183</v>
      </c>
      <c r="J120" t="s">
        <v>304</v>
      </c>
      <c r="K120">
        <v>7.4721517721241726E-3</v>
      </c>
      <c r="L120" t="s">
        <v>163</v>
      </c>
      <c r="N120" t="s">
        <v>199</v>
      </c>
      <c r="O120" t="s">
        <v>304</v>
      </c>
      <c r="P120">
        <v>0.11262631980776817</v>
      </c>
      <c r="Q120" t="s">
        <v>163</v>
      </c>
      <c r="S120" t="s">
        <v>214</v>
      </c>
      <c r="T120" t="s">
        <v>304</v>
      </c>
      <c r="U120">
        <v>0.13347037295505365</v>
      </c>
      <c r="V120" t="s">
        <v>163</v>
      </c>
      <c r="AK120">
        <v>2049</v>
      </c>
      <c r="AL120" t="s">
        <v>299</v>
      </c>
      <c r="AM120">
        <v>0.4582</v>
      </c>
      <c r="AN120" t="s">
        <v>247</v>
      </c>
    </row>
    <row r="121" spans="9:40" x14ac:dyDescent="0.45">
      <c r="I121" t="s">
        <v>183</v>
      </c>
      <c r="J121" t="s">
        <v>305</v>
      </c>
      <c r="K121">
        <v>3.6363017620193921E-2</v>
      </c>
      <c r="L121" t="s">
        <v>163</v>
      </c>
      <c r="N121" t="s">
        <v>199</v>
      </c>
      <c r="O121" t="s">
        <v>305</v>
      </c>
      <c r="P121">
        <v>2.4159662756514898E-2</v>
      </c>
      <c r="Q121" t="s">
        <v>163</v>
      </c>
      <c r="S121" t="s">
        <v>214</v>
      </c>
      <c r="T121" t="s">
        <v>305</v>
      </c>
      <c r="U121">
        <v>2.3969808401932566E-2</v>
      </c>
      <c r="V121" t="s">
        <v>163</v>
      </c>
      <c r="AK121">
        <v>2049</v>
      </c>
      <c r="AL121" t="s">
        <v>300</v>
      </c>
      <c r="AM121">
        <v>0.53663333333333341</v>
      </c>
      <c r="AN121" t="s">
        <v>247</v>
      </c>
    </row>
    <row r="122" spans="9:40" x14ac:dyDescent="0.45">
      <c r="I122" t="s">
        <v>183</v>
      </c>
      <c r="J122" t="s">
        <v>306</v>
      </c>
      <c r="K122">
        <v>0.15240581446845719</v>
      </c>
      <c r="L122" t="s">
        <v>163</v>
      </c>
      <c r="N122" t="s">
        <v>199</v>
      </c>
      <c r="O122" t="s">
        <v>306</v>
      </c>
      <c r="P122">
        <v>0.10782305904572316</v>
      </c>
      <c r="Q122" t="s">
        <v>163</v>
      </c>
      <c r="S122" t="s">
        <v>214</v>
      </c>
      <c r="T122" t="s">
        <v>306</v>
      </c>
      <c r="U122">
        <v>9.6588180491829184E-2</v>
      </c>
      <c r="V122" t="s">
        <v>163</v>
      </c>
      <c r="AK122">
        <v>2049</v>
      </c>
      <c r="AL122" t="s">
        <v>302</v>
      </c>
      <c r="AM122">
        <v>0.49049999999999999</v>
      </c>
      <c r="AN122" t="s">
        <v>247</v>
      </c>
    </row>
    <row r="123" spans="9:40" x14ac:dyDescent="0.45">
      <c r="I123" t="s">
        <v>183</v>
      </c>
      <c r="J123" t="s">
        <v>307</v>
      </c>
      <c r="K123">
        <v>4.8718751896851696E-7</v>
      </c>
      <c r="L123" t="s">
        <v>163</v>
      </c>
      <c r="N123" t="s">
        <v>199</v>
      </c>
      <c r="O123" t="s">
        <v>307</v>
      </c>
      <c r="P123">
        <v>0.10368615307345545</v>
      </c>
      <c r="Q123" t="s">
        <v>163</v>
      </c>
      <c r="S123" t="s">
        <v>214</v>
      </c>
      <c r="T123" t="s">
        <v>307</v>
      </c>
      <c r="U123">
        <v>0.10663858691121358</v>
      </c>
      <c r="V123" t="s">
        <v>163</v>
      </c>
      <c r="AK123">
        <v>2050</v>
      </c>
      <c r="AL123" t="s">
        <v>297</v>
      </c>
      <c r="AM123">
        <v>0.47846666666666665</v>
      </c>
      <c r="AN123" t="s">
        <v>247</v>
      </c>
    </row>
    <row r="124" spans="9:40" x14ac:dyDescent="0.45">
      <c r="I124" t="s">
        <v>183</v>
      </c>
      <c r="J124" t="s">
        <v>308</v>
      </c>
      <c r="K124">
        <v>1.6332869650348341E-2</v>
      </c>
      <c r="L124" t="s">
        <v>163</v>
      </c>
      <c r="N124" t="s">
        <v>199</v>
      </c>
      <c r="O124" t="s">
        <v>308</v>
      </c>
      <c r="P124">
        <v>1.9690684962682801E-2</v>
      </c>
      <c r="Q124" t="s">
        <v>163</v>
      </c>
      <c r="S124" t="s">
        <v>214</v>
      </c>
      <c r="T124" t="s">
        <v>308</v>
      </c>
      <c r="U124">
        <v>1.9557472164379548E-2</v>
      </c>
      <c r="V124" t="s">
        <v>163</v>
      </c>
      <c r="AK124">
        <v>2050</v>
      </c>
      <c r="AL124" t="s">
        <v>299</v>
      </c>
      <c r="AM124">
        <v>0.44996666666666668</v>
      </c>
      <c r="AN124" t="s">
        <v>247</v>
      </c>
    </row>
    <row r="125" spans="9:40" x14ac:dyDescent="0.45">
      <c r="I125" t="s">
        <v>183</v>
      </c>
      <c r="J125" t="s">
        <v>309</v>
      </c>
      <c r="K125">
        <v>8.524656938506503E-2</v>
      </c>
      <c r="L125" t="s">
        <v>163</v>
      </c>
      <c r="N125" t="s">
        <v>199</v>
      </c>
      <c r="O125" t="s">
        <v>309</v>
      </c>
      <c r="P125">
        <v>0.12345319245248329</v>
      </c>
      <c r="Q125" t="s">
        <v>163</v>
      </c>
      <c r="S125" t="s">
        <v>214</v>
      </c>
      <c r="T125" t="s">
        <v>309</v>
      </c>
      <c r="U125">
        <v>0.12565731536232858</v>
      </c>
      <c r="V125" t="s">
        <v>163</v>
      </c>
      <c r="AK125">
        <v>2050</v>
      </c>
      <c r="AL125" t="s">
        <v>300</v>
      </c>
      <c r="AM125">
        <v>0.52190000000000003</v>
      </c>
      <c r="AN125" t="s">
        <v>247</v>
      </c>
    </row>
    <row r="126" spans="9:40" x14ac:dyDescent="0.45">
      <c r="I126" t="s">
        <v>183</v>
      </c>
      <c r="J126" t="s">
        <v>310</v>
      </c>
      <c r="K126">
        <v>0</v>
      </c>
      <c r="L126" t="s">
        <v>163</v>
      </c>
      <c r="N126" t="s">
        <v>199</v>
      </c>
      <c r="O126" t="s">
        <v>310</v>
      </c>
      <c r="P126">
        <v>0.12260287779964589</v>
      </c>
      <c r="Q126" t="s">
        <v>163</v>
      </c>
      <c r="S126" t="s">
        <v>214</v>
      </c>
      <c r="T126" t="s">
        <v>310</v>
      </c>
      <c r="U126">
        <v>0.13451321919780354</v>
      </c>
      <c r="V126" t="s">
        <v>163</v>
      </c>
      <c r="AK126">
        <v>2050</v>
      </c>
      <c r="AL126" t="s">
        <v>302</v>
      </c>
      <c r="AM126">
        <v>0.48503333333333326</v>
      </c>
      <c r="AN126" t="s">
        <v>247</v>
      </c>
    </row>
    <row r="127" spans="9:40" x14ac:dyDescent="0.45">
      <c r="I127" t="s">
        <v>183</v>
      </c>
      <c r="J127" t="s">
        <v>311</v>
      </c>
      <c r="K127">
        <v>3.8685158405756485E-3</v>
      </c>
      <c r="L127" t="s">
        <v>163</v>
      </c>
      <c r="N127" t="s">
        <v>199</v>
      </c>
      <c r="O127" t="s">
        <v>311</v>
      </c>
      <c r="P127">
        <v>2.2037437831977577E-2</v>
      </c>
      <c r="Q127" t="s">
        <v>163</v>
      </c>
      <c r="S127" t="s">
        <v>214</v>
      </c>
      <c r="T127" t="s">
        <v>311</v>
      </c>
      <c r="U127">
        <v>2.307585753203353E-2</v>
      </c>
      <c r="V127" t="s">
        <v>163</v>
      </c>
    </row>
    <row r="128" spans="9:40" x14ac:dyDescent="0.45">
      <c r="I128" t="s">
        <v>183</v>
      </c>
      <c r="J128" t="s">
        <v>312</v>
      </c>
      <c r="K128">
        <v>0.34215413393615213</v>
      </c>
      <c r="L128" t="s">
        <v>163</v>
      </c>
      <c r="N128" t="s">
        <v>199</v>
      </c>
      <c r="O128" t="s">
        <v>312</v>
      </c>
      <c r="P128">
        <v>0.11448694592407581</v>
      </c>
      <c r="Q128" t="s">
        <v>163</v>
      </c>
      <c r="S128" t="s">
        <v>214</v>
      </c>
      <c r="T128" t="s">
        <v>312</v>
      </c>
      <c r="U128">
        <v>9.097216217228625E-2</v>
      </c>
      <c r="V128" t="s">
        <v>163</v>
      </c>
    </row>
    <row r="129" spans="9:22" x14ac:dyDescent="0.45">
      <c r="I129" t="s">
        <v>183</v>
      </c>
      <c r="J129" t="s">
        <v>313</v>
      </c>
      <c r="K129">
        <v>2.0804578673899073E-2</v>
      </c>
      <c r="L129" t="s">
        <v>163</v>
      </c>
      <c r="N129" t="s">
        <v>199</v>
      </c>
      <c r="O129" t="s">
        <v>313</v>
      </c>
      <c r="P129">
        <v>9.5263808070087871E-2</v>
      </c>
      <c r="Q129" t="s">
        <v>163</v>
      </c>
      <c r="S129" t="s">
        <v>214</v>
      </c>
      <c r="T129" t="s">
        <v>313</v>
      </c>
      <c r="U129">
        <v>0.10097534210721347</v>
      </c>
      <c r="V129" t="s">
        <v>163</v>
      </c>
    </row>
    <row r="130" spans="9:22" x14ac:dyDescent="0.45">
      <c r="I130" t="s">
        <v>183</v>
      </c>
      <c r="J130" t="s">
        <v>314</v>
      </c>
      <c r="K130">
        <v>5.1379277751099649E-2</v>
      </c>
      <c r="L130" t="s">
        <v>163</v>
      </c>
      <c r="N130" t="s">
        <v>199</v>
      </c>
      <c r="O130" t="s">
        <v>314</v>
      </c>
      <c r="P130">
        <v>2.1303579718847193E-2</v>
      </c>
      <c r="Q130" t="s">
        <v>163</v>
      </c>
      <c r="S130" t="s">
        <v>214</v>
      </c>
      <c r="T130" t="s">
        <v>314</v>
      </c>
      <c r="U130">
        <v>1.9559927152302439E-2</v>
      </c>
      <c r="V130" t="s">
        <v>163</v>
      </c>
    </row>
    <row r="131" spans="9:22" x14ac:dyDescent="0.45">
      <c r="I131" t="s">
        <v>184</v>
      </c>
      <c r="J131" t="s">
        <v>303</v>
      </c>
      <c r="K131">
        <v>0.28551821114776343</v>
      </c>
      <c r="L131" t="s">
        <v>163</v>
      </c>
      <c r="N131" t="s">
        <v>200</v>
      </c>
      <c r="O131" t="s">
        <v>303</v>
      </c>
      <c r="P131">
        <v>0.11809394947645199</v>
      </c>
      <c r="Q131" t="s">
        <v>163</v>
      </c>
      <c r="S131" t="s">
        <v>215</v>
      </c>
      <c r="T131" t="s">
        <v>303</v>
      </c>
      <c r="U131">
        <v>0.13214741822124029</v>
      </c>
      <c r="V131" t="s">
        <v>163</v>
      </c>
    </row>
    <row r="132" spans="9:22" x14ac:dyDescent="0.45">
      <c r="I132" t="s">
        <v>184</v>
      </c>
      <c r="J132" t="s">
        <v>304</v>
      </c>
      <c r="K132">
        <v>6.754664158782054E-3</v>
      </c>
      <c r="L132" t="s">
        <v>163</v>
      </c>
      <c r="N132" t="s">
        <v>200</v>
      </c>
      <c r="O132" t="s">
        <v>304</v>
      </c>
      <c r="P132">
        <v>0.13721374238607262</v>
      </c>
      <c r="Q132" t="s">
        <v>163</v>
      </c>
      <c r="S132" t="s">
        <v>215</v>
      </c>
      <c r="T132" t="s">
        <v>304</v>
      </c>
      <c r="U132">
        <v>0.12582557912179268</v>
      </c>
      <c r="V132" t="s">
        <v>163</v>
      </c>
    </row>
    <row r="133" spans="9:22" x14ac:dyDescent="0.45">
      <c r="I133" t="s">
        <v>184</v>
      </c>
      <c r="J133" t="s">
        <v>305</v>
      </c>
      <c r="K133">
        <v>3.4937975306536265E-2</v>
      </c>
      <c r="L133" t="s">
        <v>163</v>
      </c>
      <c r="N133" t="s">
        <v>200</v>
      </c>
      <c r="O133" t="s">
        <v>305</v>
      </c>
      <c r="P133">
        <v>2.7145076683810485E-2</v>
      </c>
      <c r="Q133" t="s">
        <v>163</v>
      </c>
      <c r="S133" t="s">
        <v>215</v>
      </c>
      <c r="T133" t="s">
        <v>305</v>
      </c>
      <c r="U133">
        <v>2.3570986388426064E-2</v>
      </c>
      <c r="V133" t="s">
        <v>163</v>
      </c>
    </row>
    <row r="134" spans="9:22" x14ac:dyDescent="0.45">
      <c r="I134" t="s">
        <v>184</v>
      </c>
      <c r="J134" t="s">
        <v>306</v>
      </c>
      <c r="K134">
        <v>0.15190300255789163</v>
      </c>
      <c r="L134" t="s">
        <v>163</v>
      </c>
      <c r="N134" t="s">
        <v>200</v>
      </c>
      <c r="O134" t="s">
        <v>306</v>
      </c>
      <c r="P134">
        <v>9.2458027719119262E-2</v>
      </c>
      <c r="Q134" t="s">
        <v>163</v>
      </c>
      <c r="S134" t="s">
        <v>215</v>
      </c>
      <c r="T134" t="s">
        <v>306</v>
      </c>
      <c r="U134">
        <v>9.9019214299809116E-2</v>
      </c>
      <c r="V134" t="s">
        <v>163</v>
      </c>
    </row>
    <row r="135" spans="9:22" x14ac:dyDescent="0.45">
      <c r="I135" t="s">
        <v>184</v>
      </c>
      <c r="J135" t="s">
        <v>307</v>
      </c>
      <c r="K135">
        <v>0</v>
      </c>
      <c r="L135" t="s">
        <v>163</v>
      </c>
      <c r="N135" t="s">
        <v>200</v>
      </c>
      <c r="O135" t="s">
        <v>307</v>
      </c>
      <c r="P135">
        <v>0.10636791179206039</v>
      </c>
      <c r="Q135" t="s">
        <v>163</v>
      </c>
      <c r="S135" t="s">
        <v>215</v>
      </c>
      <c r="T135" t="s">
        <v>307</v>
      </c>
      <c r="U135">
        <v>0.10033769125434638</v>
      </c>
      <c r="V135" t="s">
        <v>163</v>
      </c>
    </row>
    <row r="136" spans="9:22" x14ac:dyDescent="0.45">
      <c r="I136" t="s">
        <v>184</v>
      </c>
      <c r="J136" t="s">
        <v>308</v>
      </c>
      <c r="K136">
        <v>1.5777506716237885E-2</v>
      </c>
      <c r="L136" t="s">
        <v>163</v>
      </c>
      <c r="N136" t="s">
        <v>200</v>
      </c>
      <c r="O136" t="s">
        <v>308</v>
      </c>
      <c r="P136">
        <v>2.1012696063501972E-2</v>
      </c>
      <c r="Q136" t="s">
        <v>163</v>
      </c>
      <c r="S136" t="s">
        <v>215</v>
      </c>
      <c r="T136" t="s">
        <v>308</v>
      </c>
      <c r="U136">
        <v>1.95308435336074E-2</v>
      </c>
      <c r="V136" t="s">
        <v>163</v>
      </c>
    </row>
    <row r="137" spans="9:22" x14ac:dyDescent="0.45">
      <c r="I137" t="s">
        <v>184</v>
      </c>
      <c r="J137" t="s">
        <v>309</v>
      </c>
      <c r="K137">
        <v>8.9683447998822177E-2</v>
      </c>
      <c r="L137" t="s">
        <v>163</v>
      </c>
      <c r="N137" t="s">
        <v>200</v>
      </c>
      <c r="O137" t="s">
        <v>309</v>
      </c>
      <c r="P137">
        <v>0.1151918287393387</v>
      </c>
      <c r="Q137" t="s">
        <v>163</v>
      </c>
      <c r="S137" t="s">
        <v>215</v>
      </c>
      <c r="T137" t="s">
        <v>309</v>
      </c>
      <c r="U137">
        <v>0.12698469074424817</v>
      </c>
      <c r="V137" t="s">
        <v>163</v>
      </c>
    </row>
    <row r="138" spans="9:22" x14ac:dyDescent="0.45">
      <c r="I138" t="s">
        <v>184</v>
      </c>
      <c r="J138" t="s">
        <v>310</v>
      </c>
      <c r="K138">
        <v>0</v>
      </c>
      <c r="L138" t="s">
        <v>163</v>
      </c>
      <c r="N138" t="s">
        <v>200</v>
      </c>
      <c r="O138" t="s">
        <v>310</v>
      </c>
      <c r="P138">
        <v>0.13188048341782552</v>
      </c>
      <c r="Q138" t="s">
        <v>163</v>
      </c>
      <c r="S138" t="s">
        <v>215</v>
      </c>
      <c r="T138" t="s">
        <v>310</v>
      </c>
      <c r="U138">
        <v>0.12892216592086073</v>
      </c>
      <c r="V138" t="s">
        <v>163</v>
      </c>
    </row>
    <row r="139" spans="9:22" x14ac:dyDescent="0.45">
      <c r="I139" t="s">
        <v>184</v>
      </c>
      <c r="J139" t="s">
        <v>311</v>
      </c>
      <c r="K139">
        <v>3.6690562273884886E-3</v>
      </c>
      <c r="L139" t="s">
        <v>163</v>
      </c>
      <c r="N139" t="s">
        <v>200</v>
      </c>
      <c r="O139" t="s">
        <v>311</v>
      </c>
      <c r="P139">
        <v>2.3546023673927899E-2</v>
      </c>
      <c r="Q139" t="s">
        <v>163</v>
      </c>
      <c r="S139" t="s">
        <v>215</v>
      </c>
      <c r="T139" t="s">
        <v>311</v>
      </c>
      <c r="U139">
        <v>2.3078424834862145E-2</v>
      </c>
      <c r="V139" t="s">
        <v>163</v>
      </c>
    </row>
    <row r="140" spans="9:22" x14ac:dyDescent="0.45">
      <c r="I140" t="s">
        <v>184</v>
      </c>
      <c r="J140" t="s">
        <v>312</v>
      </c>
      <c r="K140">
        <v>0.3403922013897509</v>
      </c>
      <c r="L140" t="s">
        <v>163</v>
      </c>
      <c r="N140" t="s">
        <v>200</v>
      </c>
      <c r="O140" t="s">
        <v>312</v>
      </c>
      <c r="P140">
        <v>9.8167878237529177E-2</v>
      </c>
      <c r="Q140" t="s">
        <v>163</v>
      </c>
      <c r="S140" t="s">
        <v>215</v>
      </c>
      <c r="T140" t="s">
        <v>312</v>
      </c>
      <c r="U140">
        <v>9.9542573410940652E-2</v>
      </c>
      <c r="V140" t="s">
        <v>163</v>
      </c>
    </row>
    <row r="141" spans="9:22" x14ac:dyDescent="0.45">
      <c r="I141" t="s">
        <v>184</v>
      </c>
      <c r="J141" t="s">
        <v>313</v>
      </c>
      <c r="K141">
        <v>2.0884877023877771E-2</v>
      </c>
      <c r="L141" t="s">
        <v>163</v>
      </c>
      <c r="N141" t="s">
        <v>200</v>
      </c>
      <c r="O141" t="s">
        <v>313</v>
      </c>
      <c r="P141">
        <v>0.10489670767399328</v>
      </c>
      <c r="Q141" t="s">
        <v>163</v>
      </c>
      <c r="S141" t="s">
        <v>215</v>
      </c>
      <c r="T141" t="s">
        <v>313</v>
      </c>
      <c r="U141">
        <v>9.9907739561894679E-2</v>
      </c>
      <c r="V141" t="s">
        <v>163</v>
      </c>
    </row>
    <row r="142" spans="9:22" x14ac:dyDescent="0.45">
      <c r="I142" t="s">
        <v>184</v>
      </c>
      <c r="J142" t="s">
        <v>314</v>
      </c>
      <c r="K142">
        <v>5.047905747295113E-2</v>
      </c>
      <c r="L142" t="s">
        <v>163</v>
      </c>
      <c r="N142" t="s">
        <v>200</v>
      </c>
      <c r="O142" t="s">
        <v>314</v>
      </c>
      <c r="P142">
        <v>2.4025674136368001E-2</v>
      </c>
      <c r="Q142" t="s">
        <v>163</v>
      </c>
      <c r="S142" t="s">
        <v>215</v>
      </c>
      <c r="T142" t="s">
        <v>314</v>
      </c>
      <c r="U142">
        <v>2.1132672707973223E-2</v>
      </c>
      <c r="V142" t="s">
        <v>163</v>
      </c>
    </row>
    <row r="143" spans="9:22" x14ac:dyDescent="0.45">
      <c r="I143" t="s">
        <v>185</v>
      </c>
      <c r="J143" t="s">
        <v>303</v>
      </c>
      <c r="K143">
        <v>0.26660204348289346</v>
      </c>
      <c r="L143" t="s">
        <v>163</v>
      </c>
      <c r="N143" t="s">
        <v>201</v>
      </c>
      <c r="O143" t="s">
        <v>303</v>
      </c>
      <c r="P143">
        <v>0.14880802324391099</v>
      </c>
      <c r="Q143" t="s">
        <v>163</v>
      </c>
      <c r="S143" t="s">
        <v>216</v>
      </c>
      <c r="T143" t="s">
        <v>303</v>
      </c>
      <c r="U143">
        <v>0.12570593867518287</v>
      </c>
      <c r="V143" t="s">
        <v>163</v>
      </c>
    </row>
    <row r="144" spans="9:22" x14ac:dyDescent="0.45">
      <c r="I144" t="s">
        <v>185</v>
      </c>
      <c r="J144" t="s">
        <v>304</v>
      </c>
      <c r="K144">
        <v>4.6652170479392066E-3</v>
      </c>
      <c r="L144" t="s">
        <v>163</v>
      </c>
      <c r="N144" t="s">
        <v>201</v>
      </c>
      <c r="O144" t="s">
        <v>304</v>
      </c>
      <c r="P144">
        <v>0.11926227619030701</v>
      </c>
      <c r="Q144" t="s">
        <v>163</v>
      </c>
      <c r="S144" t="s">
        <v>216</v>
      </c>
      <c r="T144" t="s">
        <v>304</v>
      </c>
      <c r="U144">
        <v>0.11685318686515586</v>
      </c>
      <c r="V144" t="s">
        <v>163</v>
      </c>
    </row>
    <row r="145" spans="9:22" x14ac:dyDescent="0.45">
      <c r="I145" t="s">
        <v>185</v>
      </c>
      <c r="J145" t="s">
        <v>305</v>
      </c>
      <c r="K145">
        <v>2.7498925736001243E-2</v>
      </c>
      <c r="L145" t="s">
        <v>163</v>
      </c>
      <c r="N145" t="s">
        <v>201</v>
      </c>
      <c r="O145" t="s">
        <v>305</v>
      </c>
      <c r="P145">
        <v>2.4987853192681528E-2</v>
      </c>
      <c r="Q145" t="s">
        <v>163</v>
      </c>
      <c r="S145" t="s">
        <v>216</v>
      </c>
      <c r="T145" t="s">
        <v>305</v>
      </c>
      <c r="U145">
        <v>2.3646225384714732E-2</v>
      </c>
      <c r="V145" t="s">
        <v>163</v>
      </c>
    </row>
    <row r="146" spans="9:22" x14ac:dyDescent="0.45">
      <c r="I146" t="s">
        <v>185</v>
      </c>
      <c r="J146" t="s">
        <v>306</v>
      </c>
      <c r="K146">
        <v>0.16893090037461042</v>
      </c>
      <c r="L146" t="s">
        <v>163</v>
      </c>
      <c r="N146" t="s">
        <v>201</v>
      </c>
      <c r="O146" t="s">
        <v>306</v>
      </c>
      <c r="P146">
        <v>9.7009275428601174E-2</v>
      </c>
      <c r="Q146" t="s">
        <v>163</v>
      </c>
      <c r="S146" t="s">
        <v>216</v>
      </c>
      <c r="T146" t="s">
        <v>306</v>
      </c>
      <c r="U146">
        <v>0.11343841805927886</v>
      </c>
      <c r="V146" t="s">
        <v>163</v>
      </c>
    </row>
    <row r="147" spans="9:22" x14ac:dyDescent="0.45">
      <c r="I147" t="s">
        <v>185</v>
      </c>
      <c r="J147" t="s">
        <v>307</v>
      </c>
      <c r="K147">
        <v>0</v>
      </c>
      <c r="L147" t="s">
        <v>163</v>
      </c>
      <c r="N147" t="s">
        <v>201</v>
      </c>
      <c r="O147" t="s">
        <v>307</v>
      </c>
      <c r="P147">
        <v>8.44378692312477E-2</v>
      </c>
      <c r="Q147" t="s">
        <v>163</v>
      </c>
      <c r="S147" t="s">
        <v>216</v>
      </c>
      <c r="T147" t="s">
        <v>307</v>
      </c>
      <c r="U147">
        <v>0.11602419237956904</v>
      </c>
      <c r="V147" t="s">
        <v>163</v>
      </c>
    </row>
    <row r="148" spans="9:22" x14ac:dyDescent="0.45">
      <c r="I148" t="s">
        <v>185</v>
      </c>
      <c r="J148" t="s">
        <v>308</v>
      </c>
      <c r="K148">
        <v>1.277027498609906E-2</v>
      </c>
      <c r="L148" t="s">
        <v>163</v>
      </c>
      <c r="N148" t="s">
        <v>201</v>
      </c>
      <c r="O148" t="s">
        <v>308</v>
      </c>
      <c r="P148">
        <v>1.6891501688113857E-2</v>
      </c>
      <c r="Q148" t="s">
        <v>163</v>
      </c>
      <c r="S148" t="s">
        <v>216</v>
      </c>
      <c r="T148" t="s">
        <v>308</v>
      </c>
      <c r="U148">
        <v>2.2208582711697983E-2</v>
      </c>
      <c r="V148" t="s">
        <v>163</v>
      </c>
    </row>
    <row r="149" spans="9:22" x14ac:dyDescent="0.45">
      <c r="I149" t="s">
        <v>185</v>
      </c>
      <c r="J149" t="s">
        <v>309</v>
      </c>
      <c r="K149">
        <v>0.10691863494778024</v>
      </c>
      <c r="L149" t="s">
        <v>163</v>
      </c>
      <c r="N149" t="s">
        <v>201</v>
      </c>
      <c r="O149" t="s">
        <v>309</v>
      </c>
      <c r="P149">
        <v>0.11914529444312602</v>
      </c>
      <c r="Q149" t="s">
        <v>163</v>
      </c>
      <c r="S149" t="s">
        <v>216</v>
      </c>
      <c r="T149" t="s">
        <v>309</v>
      </c>
      <c r="U149">
        <v>0.1135808369294366</v>
      </c>
      <c r="V149" t="s">
        <v>163</v>
      </c>
    </row>
    <row r="150" spans="9:22" x14ac:dyDescent="0.45">
      <c r="I150" t="s">
        <v>185</v>
      </c>
      <c r="J150" t="s">
        <v>310</v>
      </c>
      <c r="K150">
        <v>0</v>
      </c>
      <c r="L150" t="s">
        <v>163</v>
      </c>
      <c r="N150" t="s">
        <v>201</v>
      </c>
      <c r="O150" t="s">
        <v>310</v>
      </c>
      <c r="P150">
        <v>0.12565805124580121</v>
      </c>
      <c r="Q150" t="s">
        <v>163</v>
      </c>
      <c r="S150" t="s">
        <v>216</v>
      </c>
      <c r="T150" t="s">
        <v>310</v>
      </c>
      <c r="U150">
        <v>0.12094497161339182</v>
      </c>
      <c r="V150" t="s">
        <v>163</v>
      </c>
    </row>
    <row r="151" spans="9:22" x14ac:dyDescent="0.45">
      <c r="I151" t="s">
        <v>185</v>
      </c>
      <c r="J151" t="s">
        <v>311</v>
      </c>
      <c r="K151">
        <v>2.8628119491509512E-3</v>
      </c>
      <c r="L151" t="s">
        <v>163</v>
      </c>
      <c r="N151" t="s">
        <v>201</v>
      </c>
      <c r="O151" t="s">
        <v>311</v>
      </c>
      <c r="P151">
        <v>2.2621647129153252E-2</v>
      </c>
      <c r="Q151" t="s">
        <v>163</v>
      </c>
      <c r="S151" t="s">
        <v>216</v>
      </c>
      <c r="T151" t="s">
        <v>311</v>
      </c>
      <c r="U151">
        <v>2.1231330861400374E-2</v>
      </c>
      <c r="V151" t="s">
        <v>163</v>
      </c>
    </row>
    <row r="152" spans="9:22" x14ac:dyDescent="0.45">
      <c r="I152" t="s">
        <v>185</v>
      </c>
      <c r="J152" t="s">
        <v>312</v>
      </c>
      <c r="K152">
        <v>0.34288666601225504</v>
      </c>
      <c r="L152" t="s">
        <v>163</v>
      </c>
      <c r="N152" t="s">
        <v>201</v>
      </c>
      <c r="O152" t="s">
        <v>312</v>
      </c>
      <c r="P152">
        <v>0.12670396353370994</v>
      </c>
      <c r="Q152" t="s">
        <v>163</v>
      </c>
      <c r="S152" t="s">
        <v>216</v>
      </c>
      <c r="T152" t="s">
        <v>312</v>
      </c>
      <c r="U152">
        <v>0.10519978349707913</v>
      </c>
      <c r="V152" t="s">
        <v>163</v>
      </c>
    </row>
    <row r="153" spans="9:22" x14ac:dyDescent="0.45">
      <c r="I153" t="s">
        <v>185</v>
      </c>
      <c r="J153" t="s">
        <v>313</v>
      </c>
      <c r="K153">
        <v>1.8572208764925147E-2</v>
      </c>
      <c r="L153" t="s">
        <v>163</v>
      </c>
      <c r="N153" t="s">
        <v>201</v>
      </c>
      <c r="O153" t="s">
        <v>313</v>
      </c>
      <c r="P153">
        <v>9.1176895763977195E-2</v>
      </c>
      <c r="Q153" t="s">
        <v>163</v>
      </c>
      <c r="S153" t="s">
        <v>216</v>
      </c>
      <c r="T153" t="s">
        <v>313</v>
      </c>
      <c r="U153">
        <v>0.10182132065215885</v>
      </c>
      <c r="V153" t="s">
        <v>163</v>
      </c>
    </row>
    <row r="154" spans="9:22" x14ac:dyDescent="0.45">
      <c r="I154" t="s">
        <v>185</v>
      </c>
      <c r="J154" t="s">
        <v>314</v>
      </c>
      <c r="K154">
        <v>4.8292316698344162E-2</v>
      </c>
      <c r="L154" t="s">
        <v>163</v>
      </c>
      <c r="N154" t="s">
        <v>201</v>
      </c>
      <c r="O154" t="s">
        <v>314</v>
      </c>
      <c r="P154">
        <v>2.3297348909368621E-2</v>
      </c>
      <c r="Q154" t="s">
        <v>163</v>
      </c>
      <c r="S154" t="s">
        <v>216</v>
      </c>
      <c r="T154" t="s">
        <v>314</v>
      </c>
      <c r="U154">
        <v>1.9345212370932219E-2</v>
      </c>
      <c r="V154" t="s">
        <v>163</v>
      </c>
    </row>
    <row r="155" spans="9:22" x14ac:dyDescent="0.45">
      <c r="I155" t="s">
        <v>186</v>
      </c>
      <c r="J155" t="s">
        <v>303</v>
      </c>
      <c r="K155">
        <v>0.27476334058255053</v>
      </c>
      <c r="L155" t="s">
        <v>163</v>
      </c>
      <c r="N155" t="s">
        <v>202</v>
      </c>
      <c r="O155" t="s">
        <v>303</v>
      </c>
      <c r="P155">
        <v>0.15521711963463317</v>
      </c>
      <c r="Q155" t="s">
        <v>163</v>
      </c>
      <c r="S155" t="s">
        <v>217</v>
      </c>
      <c r="T155" t="s">
        <v>303</v>
      </c>
      <c r="U155">
        <v>0.11595011304877945</v>
      </c>
      <c r="V155" t="s">
        <v>163</v>
      </c>
    </row>
    <row r="156" spans="9:22" x14ac:dyDescent="0.45">
      <c r="I156" t="s">
        <v>186</v>
      </c>
      <c r="J156" t="s">
        <v>304</v>
      </c>
      <c r="K156">
        <v>5.2257085455021651E-3</v>
      </c>
      <c r="L156" t="s">
        <v>163</v>
      </c>
      <c r="N156" t="s">
        <v>202</v>
      </c>
      <c r="O156" t="s">
        <v>304</v>
      </c>
      <c r="P156">
        <v>0.14250243178141883</v>
      </c>
      <c r="Q156" t="s">
        <v>163</v>
      </c>
      <c r="S156" t="s">
        <v>217</v>
      </c>
      <c r="T156" t="s">
        <v>304</v>
      </c>
      <c r="U156">
        <v>0.1157121245245868</v>
      </c>
      <c r="V156" t="s">
        <v>163</v>
      </c>
    </row>
    <row r="157" spans="9:22" x14ac:dyDescent="0.45">
      <c r="I157" t="s">
        <v>186</v>
      </c>
      <c r="J157" t="s">
        <v>305</v>
      </c>
      <c r="K157">
        <v>2.9484591994977494E-2</v>
      </c>
      <c r="L157" t="s">
        <v>163</v>
      </c>
      <c r="N157" t="s">
        <v>202</v>
      </c>
      <c r="O157" t="s">
        <v>305</v>
      </c>
      <c r="P157">
        <v>2.8300712555839286E-2</v>
      </c>
      <c r="Q157" t="s">
        <v>163</v>
      </c>
      <c r="S157" t="s">
        <v>217</v>
      </c>
      <c r="T157" t="s">
        <v>305</v>
      </c>
      <c r="U157">
        <v>2.0577132450377972E-2</v>
      </c>
      <c r="V157" t="s">
        <v>163</v>
      </c>
    </row>
    <row r="158" spans="9:22" x14ac:dyDescent="0.45">
      <c r="I158" t="s">
        <v>186</v>
      </c>
      <c r="J158" t="s">
        <v>306</v>
      </c>
      <c r="K158">
        <v>0.16118982160776341</v>
      </c>
      <c r="L158" t="s">
        <v>163</v>
      </c>
      <c r="N158" t="s">
        <v>202</v>
      </c>
      <c r="O158" t="s">
        <v>306</v>
      </c>
      <c r="P158">
        <v>9.0921065116291597E-2</v>
      </c>
      <c r="Q158" t="s">
        <v>163</v>
      </c>
      <c r="S158" t="s">
        <v>217</v>
      </c>
      <c r="T158" t="s">
        <v>306</v>
      </c>
      <c r="U158">
        <v>0.11454250479779184</v>
      </c>
      <c r="V158" t="s">
        <v>163</v>
      </c>
    </row>
    <row r="159" spans="9:22" x14ac:dyDescent="0.45">
      <c r="I159" t="s">
        <v>186</v>
      </c>
      <c r="J159" t="s">
        <v>307</v>
      </c>
      <c r="K159">
        <v>0</v>
      </c>
      <c r="L159" t="s">
        <v>163</v>
      </c>
      <c r="N159" t="s">
        <v>202</v>
      </c>
      <c r="O159" t="s">
        <v>307</v>
      </c>
      <c r="P159">
        <v>9.0268554758241568E-2</v>
      </c>
      <c r="Q159" t="s">
        <v>163</v>
      </c>
      <c r="S159" t="s">
        <v>217</v>
      </c>
      <c r="T159" t="s">
        <v>307</v>
      </c>
      <c r="U159">
        <v>0.11791666484872999</v>
      </c>
      <c r="V159" t="s">
        <v>163</v>
      </c>
    </row>
    <row r="160" spans="9:22" x14ac:dyDescent="0.45">
      <c r="I160" t="s">
        <v>186</v>
      </c>
      <c r="J160" t="s">
        <v>308</v>
      </c>
      <c r="K160">
        <v>1.2573478960989804E-2</v>
      </c>
      <c r="L160" t="s">
        <v>163</v>
      </c>
      <c r="N160" t="s">
        <v>202</v>
      </c>
      <c r="O160" t="s">
        <v>308</v>
      </c>
      <c r="P160">
        <v>1.642175685572753E-2</v>
      </c>
      <c r="Q160" t="s">
        <v>163</v>
      </c>
      <c r="S160" t="s">
        <v>217</v>
      </c>
      <c r="T160" t="s">
        <v>308</v>
      </c>
      <c r="U160">
        <v>2.1324997273156648E-2</v>
      </c>
      <c r="V160" t="s">
        <v>163</v>
      </c>
    </row>
    <row r="161" spans="9:22" x14ac:dyDescent="0.45">
      <c r="I161" t="s">
        <v>186</v>
      </c>
      <c r="J161" t="s">
        <v>309</v>
      </c>
      <c r="K161">
        <v>0.10880105209420594</v>
      </c>
      <c r="L161" t="s">
        <v>163</v>
      </c>
      <c r="N161" t="s">
        <v>202</v>
      </c>
      <c r="O161" t="s">
        <v>309</v>
      </c>
      <c r="P161">
        <v>0.12045502765785455</v>
      </c>
      <c r="Q161" t="s">
        <v>163</v>
      </c>
      <c r="S161" t="s">
        <v>217</v>
      </c>
      <c r="T161" t="s">
        <v>309</v>
      </c>
      <c r="U161">
        <v>0.12078390756784424</v>
      </c>
      <c r="V161" t="s">
        <v>163</v>
      </c>
    </row>
    <row r="162" spans="9:22" x14ac:dyDescent="0.45">
      <c r="I162" t="s">
        <v>186</v>
      </c>
      <c r="J162" t="s">
        <v>310</v>
      </c>
      <c r="K162">
        <v>0</v>
      </c>
      <c r="L162" t="s">
        <v>163</v>
      </c>
      <c r="N162" t="s">
        <v>202</v>
      </c>
      <c r="O162" t="s">
        <v>310</v>
      </c>
      <c r="P162">
        <v>0.11719687754315855</v>
      </c>
      <c r="Q162" t="s">
        <v>163</v>
      </c>
      <c r="S162" t="s">
        <v>217</v>
      </c>
      <c r="T162" t="s">
        <v>310</v>
      </c>
      <c r="U162">
        <v>0.12111024622003952</v>
      </c>
      <c r="V162" t="s">
        <v>163</v>
      </c>
    </row>
    <row r="163" spans="9:22" x14ac:dyDescent="0.45">
      <c r="I163" t="s">
        <v>186</v>
      </c>
      <c r="J163" t="s">
        <v>311</v>
      </c>
      <c r="K163">
        <v>3.1211073502269999E-3</v>
      </c>
      <c r="L163" t="s">
        <v>163</v>
      </c>
      <c r="N163" t="s">
        <v>202</v>
      </c>
      <c r="O163" t="s">
        <v>311</v>
      </c>
      <c r="P163">
        <v>2.1535536947590663E-2</v>
      </c>
      <c r="Q163" t="s">
        <v>163</v>
      </c>
      <c r="S163" t="s">
        <v>217</v>
      </c>
      <c r="T163" t="s">
        <v>311</v>
      </c>
      <c r="U163">
        <v>2.1448303267540273E-2</v>
      </c>
      <c r="V163" t="s">
        <v>163</v>
      </c>
    </row>
    <row r="164" spans="9:22" x14ac:dyDescent="0.45">
      <c r="I164" t="s">
        <v>186</v>
      </c>
      <c r="J164" t="s">
        <v>312</v>
      </c>
      <c r="K164">
        <v>0.34010326061731633</v>
      </c>
      <c r="L164" t="s">
        <v>163</v>
      </c>
      <c r="N164" t="s">
        <v>202</v>
      </c>
      <c r="O164" t="s">
        <v>312</v>
      </c>
      <c r="P164">
        <v>0.11238858785628497</v>
      </c>
      <c r="Q164" t="s">
        <v>163</v>
      </c>
      <c r="S164" t="s">
        <v>217</v>
      </c>
      <c r="T164" t="s">
        <v>312</v>
      </c>
      <c r="U164">
        <v>0.10638376087462231</v>
      </c>
      <c r="V164" t="s">
        <v>163</v>
      </c>
    </row>
    <row r="165" spans="9:22" x14ac:dyDescent="0.45">
      <c r="I165" t="s">
        <v>186</v>
      </c>
      <c r="J165" t="s">
        <v>313</v>
      </c>
      <c r="K165">
        <v>1.8044891433066108E-2</v>
      </c>
      <c r="L165" t="s">
        <v>163</v>
      </c>
      <c r="N165" t="s">
        <v>202</v>
      </c>
      <c r="O165" t="s">
        <v>313</v>
      </c>
      <c r="P165">
        <v>8.7215026764289119E-2</v>
      </c>
      <c r="Q165" t="s">
        <v>163</v>
      </c>
      <c r="S165" t="s">
        <v>217</v>
      </c>
      <c r="T165" t="s">
        <v>313</v>
      </c>
      <c r="U165">
        <v>0.10542366301666771</v>
      </c>
      <c r="V165" t="s">
        <v>163</v>
      </c>
    </row>
    <row r="166" spans="9:22" x14ac:dyDescent="0.45">
      <c r="I166" t="s">
        <v>186</v>
      </c>
      <c r="J166" t="s">
        <v>314</v>
      </c>
      <c r="K166">
        <v>4.66927468134034E-2</v>
      </c>
      <c r="L166" t="s">
        <v>163</v>
      </c>
      <c r="N166" t="s">
        <v>202</v>
      </c>
      <c r="O166" t="s">
        <v>314</v>
      </c>
      <c r="P166">
        <v>1.7577302528668695E-2</v>
      </c>
      <c r="Q166" t="s">
        <v>163</v>
      </c>
      <c r="S166" t="s">
        <v>217</v>
      </c>
      <c r="T166" t="s">
        <v>314</v>
      </c>
      <c r="U166">
        <v>1.8826582109858589E-2</v>
      </c>
      <c r="V166" t="s">
        <v>163</v>
      </c>
    </row>
    <row r="167" spans="9:22" x14ac:dyDescent="0.45">
      <c r="I167" t="s">
        <v>187</v>
      </c>
      <c r="J167" t="s">
        <v>303</v>
      </c>
      <c r="K167">
        <v>0.25884274943475183</v>
      </c>
      <c r="L167" t="s">
        <v>163</v>
      </c>
      <c r="N167" t="s">
        <v>203</v>
      </c>
      <c r="O167" t="s">
        <v>303</v>
      </c>
      <c r="P167">
        <v>0.15928092240426012</v>
      </c>
      <c r="Q167" t="s">
        <v>163</v>
      </c>
      <c r="S167" t="s">
        <v>218</v>
      </c>
      <c r="T167" t="s">
        <v>303</v>
      </c>
      <c r="U167">
        <v>0.11338252416013357</v>
      </c>
      <c r="V167" t="s">
        <v>163</v>
      </c>
    </row>
    <row r="168" spans="9:22" x14ac:dyDescent="0.45">
      <c r="I168" t="s">
        <v>187</v>
      </c>
      <c r="J168" t="s">
        <v>304</v>
      </c>
      <c r="K168">
        <v>4.0271433498258492E-3</v>
      </c>
      <c r="L168" t="s">
        <v>163</v>
      </c>
      <c r="N168" t="s">
        <v>203</v>
      </c>
      <c r="O168" t="s">
        <v>304</v>
      </c>
      <c r="P168">
        <v>0.12574050435016337</v>
      </c>
      <c r="Q168" t="s">
        <v>163</v>
      </c>
      <c r="S168" t="s">
        <v>218</v>
      </c>
      <c r="T168" t="s">
        <v>304</v>
      </c>
      <c r="U168">
        <v>0.10948874226163639</v>
      </c>
      <c r="V168" t="s">
        <v>163</v>
      </c>
    </row>
    <row r="169" spans="9:22" x14ac:dyDescent="0.45">
      <c r="I169" t="s">
        <v>187</v>
      </c>
      <c r="J169" t="s">
        <v>305</v>
      </c>
      <c r="K169">
        <v>2.5974928027664653E-2</v>
      </c>
      <c r="L169" t="s">
        <v>163</v>
      </c>
      <c r="N169" t="s">
        <v>203</v>
      </c>
      <c r="O169" t="s">
        <v>305</v>
      </c>
      <c r="P169">
        <v>2.8873121295525595E-2</v>
      </c>
      <c r="Q169" t="s">
        <v>163</v>
      </c>
      <c r="S169" t="s">
        <v>218</v>
      </c>
      <c r="T169" t="s">
        <v>305</v>
      </c>
      <c r="U169">
        <v>2.0065759728602313E-2</v>
      </c>
      <c r="V169" t="s">
        <v>163</v>
      </c>
    </row>
    <row r="170" spans="9:22" x14ac:dyDescent="0.45">
      <c r="I170" t="s">
        <v>187</v>
      </c>
      <c r="J170" t="s">
        <v>306</v>
      </c>
      <c r="K170">
        <v>0.17439163134759592</v>
      </c>
      <c r="L170" t="s">
        <v>163</v>
      </c>
      <c r="N170" t="s">
        <v>203</v>
      </c>
      <c r="O170" t="s">
        <v>306</v>
      </c>
      <c r="P170">
        <v>8.8686083994127599E-2</v>
      </c>
      <c r="Q170" t="s">
        <v>163</v>
      </c>
      <c r="S170" t="s">
        <v>218</v>
      </c>
      <c r="T170" t="s">
        <v>306</v>
      </c>
      <c r="U170">
        <v>0.11128292209570376</v>
      </c>
      <c r="V170" t="s">
        <v>163</v>
      </c>
    </row>
    <row r="171" spans="9:22" x14ac:dyDescent="0.45">
      <c r="I171" t="s">
        <v>187</v>
      </c>
      <c r="J171" t="s">
        <v>307</v>
      </c>
      <c r="K171">
        <v>0</v>
      </c>
      <c r="L171" t="s">
        <v>163</v>
      </c>
      <c r="N171" t="s">
        <v>203</v>
      </c>
      <c r="O171" t="s">
        <v>307</v>
      </c>
      <c r="P171">
        <v>7.9948802010258002E-2</v>
      </c>
      <c r="Q171" t="s">
        <v>163</v>
      </c>
      <c r="S171" t="s">
        <v>218</v>
      </c>
      <c r="T171" t="s">
        <v>307</v>
      </c>
      <c r="U171">
        <v>0.1128697943176378</v>
      </c>
      <c r="V171" t="s">
        <v>163</v>
      </c>
    </row>
    <row r="172" spans="9:22" x14ac:dyDescent="0.45">
      <c r="I172" t="s">
        <v>187</v>
      </c>
      <c r="J172" t="s">
        <v>308</v>
      </c>
      <c r="K172">
        <v>1.3887629742735452E-2</v>
      </c>
      <c r="L172" t="s">
        <v>163</v>
      </c>
      <c r="N172" t="s">
        <v>203</v>
      </c>
      <c r="O172" t="s">
        <v>308</v>
      </c>
      <c r="P172">
        <v>1.5095828897726192E-2</v>
      </c>
      <c r="Q172" t="s">
        <v>163</v>
      </c>
      <c r="S172" t="s">
        <v>218</v>
      </c>
      <c r="T172" t="s">
        <v>308</v>
      </c>
      <c r="U172">
        <v>2.1859708188060347E-2</v>
      </c>
      <c r="V172" t="s">
        <v>163</v>
      </c>
    </row>
    <row r="173" spans="9:22" x14ac:dyDescent="0.45">
      <c r="I173" t="s">
        <v>187</v>
      </c>
      <c r="J173" t="s">
        <v>309</v>
      </c>
      <c r="K173">
        <v>0.10880847881611726</v>
      </c>
      <c r="L173" t="s">
        <v>163</v>
      </c>
      <c r="N173" t="s">
        <v>203</v>
      </c>
      <c r="O173" t="s">
        <v>309</v>
      </c>
      <c r="P173">
        <v>0.12052507233819465</v>
      </c>
      <c r="Q173" t="s">
        <v>163</v>
      </c>
      <c r="S173" t="s">
        <v>218</v>
      </c>
      <c r="T173" t="s">
        <v>309</v>
      </c>
      <c r="U173">
        <v>0.11803192109380267</v>
      </c>
      <c r="V173" t="s">
        <v>163</v>
      </c>
    </row>
    <row r="174" spans="9:22" x14ac:dyDescent="0.45">
      <c r="I174" t="s">
        <v>187</v>
      </c>
      <c r="J174" t="s">
        <v>310</v>
      </c>
      <c r="K174">
        <v>0</v>
      </c>
      <c r="L174" t="s">
        <v>163</v>
      </c>
      <c r="N174" t="s">
        <v>203</v>
      </c>
      <c r="O174" t="s">
        <v>310</v>
      </c>
      <c r="P174">
        <v>0.11699595318326189</v>
      </c>
      <c r="Q174" t="s">
        <v>163</v>
      </c>
      <c r="S174" t="s">
        <v>218</v>
      </c>
      <c r="T174" t="s">
        <v>310</v>
      </c>
      <c r="U174">
        <v>0.11722100769266709</v>
      </c>
      <c r="V174" t="s">
        <v>163</v>
      </c>
    </row>
    <row r="175" spans="9:22" x14ac:dyDescent="0.45">
      <c r="I175" t="s">
        <v>187</v>
      </c>
      <c r="J175" t="s">
        <v>311</v>
      </c>
      <c r="K175">
        <v>2.8810792348718684E-3</v>
      </c>
      <c r="L175" t="s">
        <v>163</v>
      </c>
      <c r="N175" t="s">
        <v>203</v>
      </c>
      <c r="O175" t="s">
        <v>311</v>
      </c>
      <c r="P175">
        <v>2.1882137845158311E-2</v>
      </c>
      <c r="Q175" t="s">
        <v>163</v>
      </c>
      <c r="S175" t="s">
        <v>218</v>
      </c>
      <c r="T175" t="s">
        <v>311</v>
      </c>
      <c r="U175">
        <v>2.1674995532828454E-2</v>
      </c>
      <c r="V175" t="s">
        <v>163</v>
      </c>
    </row>
    <row r="176" spans="9:22" x14ac:dyDescent="0.45">
      <c r="I176" t="s">
        <v>187</v>
      </c>
      <c r="J176" t="s">
        <v>312</v>
      </c>
      <c r="K176">
        <v>0.34651858772401506</v>
      </c>
      <c r="L176" t="s">
        <v>163</v>
      </c>
      <c r="N176" t="s">
        <v>203</v>
      </c>
      <c r="O176" t="s">
        <v>312</v>
      </c>
      <c r="P176">
        <v>0.13143959623631774</v>
      </c>
      <c r="Q176" t="s">
        <v>163</v>
      </c>
      <c r="S176" t="s">
        <v>218</v>
      </c>
      <c r="T176" t="s">
        <v>312</v>
      </c>
      <c r="U176">
        <v>0.11620197659949118</v>
      </c>
      <c r="V176" t="s">
        <v>163</v>
      </c>
    </row>
    <row r="177" spans="9:22" x14ac:dyDescent="0.45">
      <c r="I177" t="s">
        <v>187</v>
      </c>
      <c r="J177" t="s">
        <v>313</v>
      </c>
      <c r="K177">
        <v>1.6326007476608461E-2</v>
      </c>
      <c r="L177" t="s">
        <v>163</v>
      </c>
      <c r="N177" t="s">
        <v>203</v>
      </c>
      <c r="O177" t="s">
        <v>313</v>
      </c>
      <c r="P177">
        <v>8.7109941101944172E-2</v>
      </c>
      <c r="Q177" t="s">
        <v>163</v>
      </c>
      <c r="S177" t="s">
        <v>218</v>
      </c>
      <c r="T177" t="s">
        <v>313</v>
      </c>
      <c r="U177">
        <v>0.11613158567752985</v>
      </c>
      <c r="V177" t="s">
        <v>163</v>
      </c>
    </row>
    <row r="178" spans="9:22" x14ac:dyDescent="0.45">
      <c r="I178" t="s">
        <v>187</v>
      </c>
      <c r="J178" t="s">
        <v>314</v>
      </c>
      <c r="K178">
        <v>4.834176484581424E-2</v>
      </c>
      <c r="L178" t="s">
        <v>163</v>
      </c>
      <c r="N178" t="s">
        <v>203</v>
      </c>
      <c r="O178" t="s">
        <v>314</v>
      </c>
      <c r="P178">
        <v>2.4422036343056952E-2</v>
      </c>
      <c r="Q178" t="s">
        <v>163</v>
      </c>
      <c r="S178" t="s">
        <v>218</v>
      </c>
      <c r="T178" t="s">
        <v>314</v>
      </c>
      <c r="U178">
        <v>2.1789062651908019E-2</v>
      </c>
      <c r="V178" t="s">
        <v>163</v>
      </c>
    </row>
    <row r="179" spans="9:22" x14ac:dyDescent="0.45">
      <c r="I179" t="s">
        <v>188</v>
      </c>
      <c r="J179" t="s">
        <v>303</v>
      </c>
      <c r="K179">
        <v>0.26474982115375623</v>
      </c>
      <c r="L179" t="s">
        <v>163</v>
      </c>
      <c r="N179" t="s">
        <v>204</v>
      </c>
      <c r="O179" t="s">
        <v>303</v>
      </c>
      <c r="P179">
        <v>0.16172901523958175</v>
      </c>
      <c r="Q179" t="s">
        <v>163</v>
      </c>
      <c r="S179" t="s">
        <v>219</v>
      </c>
      <c r="T179" t="s">
        <v>303</v>
      </c>
      <c r="U179">
        <v>0.11515348265432834</v>
      </c>
      <c r="V179" t="s">
        <v>163</v>
      </c>
    </row>
    <row r="180" spans="9:22" x14ac:dyDescent="0.45">
      <c r="I180" t="s">
        <v>188</v>
      </c>
      <c r="J180" t="s">
        <v>304</v>
      </c>
      <c r="K180">
        <v>6.2692153599431663E-3</v>
      </c>
      <c r="L180" t="s">
        <v>163</v>
      </c>
      <c r="N180" t="s">
        <v>204</v>
      </c>
      <c r="O180" t="s">
        <v>304</v>
      </c>
      <c r="P180">
        <v>0.13460255786326661</v>
      </c>
      <c r="Q180" t="s">
        <v>163</v>
      </c>
      <c r="S180" t="s">
        <v>219</v>
      </c>
      <c r="T180" t="s">
        <v>304</v>
      </c>
      <c r="U180">
        <v>0.11365181181133856</v>
      </c>
      <c r="V180" t="s">
        <v>163</v>
      </c>
    </row>
    <row r="181" spans="9:22" x14ac:dyDescent="0.45">
      <c r="I181" t="s">
        <v>188</v>
      </c>
      <c r="J181" t="s">
        <v>305</v>
      </c>
      <c r="K181">
        <v>3.1476735552928424E-2</v>
      </c>
      <c r="L181" t="s">
        <v>163</v>
      </c>
      <c r="N181" t="s">
        <v>204</v>
      </c>
      <c r="O181" t="s">
        <v>305</v>
      </c>
      <c r="P181">
        <v>3.1257232184870018E-2</v>
      </c>
      <c r="Q181" t="s">
        <v>163</v>
      </c>
      <c r="S181" t="s">
        <v>219</v>
      </c>
      <c r="T181" t="s">
        <v>305</v>
      </c>
      <c r="U181">
        <v>2.0329023613229514E-2</v>
      </c>
      <c r="V181" t="s">
        <v>163</v>
      </c>
    </row>
    <row r="182" spans="9:22" x14ac:dyDescent="0.45">
      <c r="I182" t="s">
        <v>188</v>
      </c>
      <c r="J182" t="s">
        <v>306</v>
      </c>
      <c r="K182">
        <v>0.16494547004939766</v>
      </c>
      <c r="L182" t="s">
        <v>163</v>
      </c>
      <c r="N182" t="s">
        <v>204</v>
      </c>
      <c r="O182" t="s">
        <v>306</v>
      </c>
      <c r="P182">
        <v>8.8916137896206782E-2</v>
      </c>
      <c r="Q182" t="s">
        <v>163</v>
      </c>
      <c r="S182" t="s">
        <v>219</v>
      </c>
      <c r="T182" t="s">
        <v>306</v>
      </c>
      <c r="U182">
        <v>0.11041657491780597</v>
      </c>
      <c r="V182" t="s">
        <v>163</v>
      </c>
    </row>
    <row r="183" spans="9:22" x14ac:dyDescent="0.45">
      <c r="I183" t="s">
        <v>188</v>
      </c>
      <c r="J183" t="s">
        <v>307</v>
      </c>
      <c r="K183">
        <v>0</v>
      </c>
      <c r="L183" t="s">
        <v>163</v>
      </c>
      <c r="N183" t="s">
        <v>204</v>
      </c>
      <c r="O183" t="s">
        <v>307</v>
      </c>
      <c r="P183">
        <v>7.223022941796442E-2</v>
      </c>
      <c r="Q183" t="s">
        <v>163</v>
      </c>
      <c r="S183" t="s">
        <v>219</v>
      </c>
      <c r="T183" t="s">
        <v>307</v>
      </c>
      <c r="U183">
        <v>0.10932835658256149</v>
      </c>
      <c r="V183" t="s">
        <v>163</v>
      </c>
    </row>
    <row r="184" spans="9:22" x14ac:dyDescent="0.45">
      <c r="I184" t="s">
        <v>188</v>
      </c>
      <c r="J184" t="s">
        <v>308</v>
      </c>
      <c r="K184">
        <v>1.4754588855935988E-2</v>
      </c>
      <c r="L184" t="s">
        <v>163</v>
      </c>
      <c r="N184" t="s">
        <v>204</v>
      </c>
      <c r="O184" t="s">
        <v>308</v>
      </c>
      <c r="P184">
        <v>1.6068068373769062E-2</v>
      </c>
      <c r="Q184" t="s">
        <v>163</v>
      </c>
      <c r="S184" t="s">
        <v>219</v>
      </c>
      <c r="T184" t="s">
        <v>308</v>
      </c>
      <c r="U184">
        <v>2.0596588256061706E-2</v>
      </c>
      <c r="V184" t="s">
        <v>163</v>
      </c>
    </row>
    <row r="185" spans="9:22" x14ac:dyDescent="0.45">
      <c r="I185" t="s">
        <v>188</v>
      </c>
      <c r="J185" t="s">
        <v>309</v>
      </c>
      <c r="K185">
        <v>0.10006370030436722</v>
      </c>
      <c r="L185" t="s">
        <v>163</v>
      </c>
      <c r="N185" t="s">
        <v>204</v>
      </c>
      <c r="O185" t="s">
        <v>309</v>
      </c>
      <c r="P185">
        <v>0.11724666903987105</v>
      </c>
      <c r="Q185" t="s">
        <v>163</v>
      </c>
      <c r="S185" t="s">
        <v>219</v>
      </c>
      <c r="T185" t="s">
        <v>309</v>
      </c>
      <c r="U185">
        <v>0.11720570572105228</v>
      </c>
      <c r="V185" t="s">
        <v>163</v>
      </c>
    </row>
    <row r="186" spans="9:22" x14ac:dyDescent="0.45">
      <c r="I186" t="s">
        <v>188</v>
      </c>
      <c r="J186" t="s">
        <v>310</v>
      </c>
      <c r="K186">
        <v>0</v>
      </c>
      <c r="L186" t="s">
        <v>163</v>
      </c>
      <c r="N186" t="s">
        <v>204</v>
      </c>
      <c r="O186" t="s">
        <v>310</v>
      </c>
      <c r="P186">
        <v>0.11137664234451572</v>
      </c>
      <c r="Q186" t="s">
        <v>163</v>
      </c>
      <c r="S186" t="s">
        <v>219</v>
      </c>
      <c r="T186" t="s">
        <v>310</v>
      </c>
      <c r="U186">
        <v>0.11706514489089401</v>
      </c>
      <c r="V186" t="s">
        <v>163</v>
      </c>
    </row>
    <row r="187" spans="9:22" x14ac:dyDescent="0.45">
      <c r="I187" t="s">
        <v>188</v>
      </c>
      <c r="J187" t="s">
        <v>311</v>
      </c>
      <c r="K187">
        <v>2.8836025457267878E-3</v>
      </c>
      <c r="L187" t="s">
        <v>163</v>
      </c>
      <c r="N187" t="s">
        <v>204</v>
      </c>
      <c r="O187" t="s">
        <v>311</v>
      </c>
      <c r="P187">
        <v>2.2734519012808971E-2</v>
      </c>
      <c r="Q187" t="s">
        <v>163</v>
      </c>
      <c r="S187" t="s">
        <v>219</v>
      </c>
      <c r="T187" t="s">
        <v>311</v>
      </c>
      <c r="U187">
        <v>2.131599926589501E-2</v>
      </c>
      <c r="V187" t="s">
        <v>163</v>
      </c>
    </row>
    <row r="188" spans="9:22" x14ac:dyDescent="0.45">
      <c r="I188" t="s">
        <v>188</v>
      </c>
      <c r="J188" t="s">
        <v>312</v>
      </c>
      <c r="K188">
        <v>0.34308926576028892</v>
      </c>
      <c r="L188" t="s">
        <v>163</v>
      </c>
      <c r="N188" t="s">
        <v>204</v>
      </c>
      <c r="O188" t="s">
        <v>312</v>
      </c>
      <c r="P188">
        <v>0.12732433639650115</v>
      </c>
      <c r="Q188" t="s">
        <v>163</v>
      </c>
      <c r="S188" t="s">
        <v>219</v>
      </c>
      <c r="T188" t="s">
        <v>312</v>
      </c>
      <c r="U188">
        <v>0.11698875325871361</v>
      </c>
      <c r="V188" t="s">
        <v>163</v>
      </c>
    </row>
    <row r="189" spans="9:22" x14ac:dyDescent="0.45">
      <c r="I189" t="s">
        <v>188</v>
      </c>
      <c r="J189" t="s">
        <v>313</v>
      </c>
      <c r="K189">
        <v>1.9171422009326221E-2</v>
      </c>
      <c r="L189" t="s">
        <v>163</v>
      </c>
      <c r="N189" t="s">
        <v>204</v>
      </c>
      <c r="O189" t="s">
        <v>313</v>
      </c>
      <c r="P189">
        <v>9.271127788971012E-2</v>
      </c>
      <c r="Q189" t="s">
        <v>163</v>
      </c>
      <c r="S189" t="s">
        <v>219</v>
      </c>
      <c r="T189" t="s">
        <v>313</v>
      </c>
      <c r="U189">
        <v>0.11678728705717903</v>
      </c>
      <c r="V189" t="s">
        <v>163</v>
      </c>
    </row>
    <row r="190" spans="9:22" x14ac:dyDescent="0.45">
      <c r="I190" t="s">
        <v>188</v>
      </c>
      <c r="J190" t="s">
        <v>314</v>
      </c>
      <c r="K190">
        <v>5.2596178408328878E-2</v>
      </c>
      <c r="L190" t="s">
        <v>163</v>
      </c>
      <c r="N190" t="s">
        <v>204</v>
      </c>
      <c r="O190" t="s">
        <v>314</v>
      </c>
      <c r="P190">
        <v>2.3803314340935935E-2</v>
      </c>
      <c r="Q190" t="s">
        <v>163</v>
      </c>
      <c r="S190" t="s">
        <v>219</v>
      </c>
      <c r="T190" t="s">
        <v>314</v>
      </c>
      <c r="U190">
        <v>2.1161271970941944E-2</v>
      </c>
      <c r="V190" t="s">
        <v>163</v>
      </c>
    </row>
    <row r="191" spans="9:22" x14ac:dyDescent="0.45">
      <c r="I191" t="s">
        <v>189</v>
      </c>
      <c r="J191" t="s">
        <v>303</v>
      </c>
      <c r="K191">
        <v>0.26157996351616103</v>
      </c>
      <c r="L191" t="s">
        <v>163</v>
      </c>
      <c r="S191" t="s">
        <v>220</v>
      </c>
      <c r="T191" t="s">
        <v>303</v>
      </c>
      <c r="U191">
        <v>0.11393794803189934</v>
      </c>
      <c r="V191" t="s">
        <v>163</v>
      </c>
    </row>
    <row r="192" spans="9:22" x14ac:dyDescent="0.45">
      <c r="I192" t="s">
        <v>189</v>
      </c>
      <c r="J192" t="s">
        <v>304</v>
      </c>
      <c r="K192">
        <v>4.8391511968053913E-3</v>
      </c>
      <c r="L192" t="s">
        <v>163</v>
      </c>
      <c r="S192" t="s">
        <v>220</v>
      </c>
      <c r="T192" t="s">
        <v>304</v>
      </c>
      <c r="U192">
        <v>0.11061795275094871</v>
      </c>
      <c r="V192" t="s">
        <v>163</v>
      </c>
    </row>
    <row r="193" spans="9:22" x14ac:dyDescent="0.45">
      <c r="I193" t="s">
        <v>189</v>
      </c>
      <c r="J193" t="s">
        <v>305</v>
      </c>
      <c r="K193">
        <v>2.7793659581838277E-2</v>
      </c>
      <c r="L193" t="s">
        <v>163</v>
      </c>
      <c r="S193" t="s">
        <v>220</v>
      </c>
      <c r="T193" t="s">
        <v>305</v>
      </c>
      <c r="U193">
        <v>2.0364919987033148E-2</v>
      </c>
      <c r="V193" t="s">
        <v>163</v>
      </c>
    </row>
    <row r="194" spans="9:22" x14ac:dyDescent="0.45">
      <c r="I194" t="s">
        <v>189</v>
      </c>
      <c r="J194" t="s">
        <v>306</v>
      </c>
      <c r="K194">
        <v>0.17073858874318656</v>
      </c>
      <c r="L194" t="s">
        <v>163</v>
      </c>
      <c r="S194" t="s">
        <v>220</v>
      </c>
      <c r="T194" t="s">
        <v>306</v>
      </c>
      <c r="U194">
        <v>0.12126109058927055</v>
      </c>
      <c r="V194" t="s">
        <v>163</v>
      </c>
    </row>
    <row r="195" spans="9:22" x14ac:dyDescent="0.45">
      <c r="I195" t="s">
        <v>189</v>
      </c>
      <c r="J195" t="s">
        <v>307</v>
      </c>
      <c r="K195">
        <v>0</v>
      </c>
      <c r="L195" t="s">
        <v>163</v>
      </c>
      <c r="S195" t="s">
        <v>220</v>
      </c>
      <c r="T195" t="s">
        <v>307</v>
      </c>
      <c r="U195">
        <v>0.12015191305469618</v>
      </c>
      <c r="V195" t="s">
        <v>163</v>
      </c>
    </row>
    <row r="196" spans="9:22" x14ac:dyDescent="0.45">
      <c r="I196" t="s">
        <v>189</v>
      </c>
      <c r="J196" t="s">
        <v>308</v>
      </c>
      <c r="K196">
        <v>1.3147305503609562E-2</v>
      </c>
      <c r="L196" t="s">
        <v>163</v>
      </c>
      <c r="S196" t="s">
        <v>220</v>
      </c>
      <c r="T196" t="s">
        <v>308</v>
      </c>
      <c r="U196">
        <v>2.1608042821763471E-2</v>
      </c>
      <c r="V196" t="s">
        <v>163</v>
      </c>
    </row>
    <row r="197" spans="9:22" x14ac:dyDescent="0.45">
      <c r="I197" t="s">
        <v>189</v>
      </c>
      <c r="J197" t="s">
        <v>309</v>
      </c>
      <c r="K197">
        <v>0.10663352429038594</v>
      </c>
      <c r="L197" t="s">
        <v>163</v>
      </c>
      <c r="S197" t="s">
        <v>220</v>
      </c>
      <c r="T197" t="s">
        <v>309</v>
      </c>
      <c r="U197">
        <v>0.11853615424464042</v>
      </c>
      <c r="V197" t="s">
        <v>163</v>
      </c>
    </row>
    <row r="198" spans="9:22" x14ac:dyDescent="0.45">
      <c r="I198" t="s">
        <v>189</v>
      </c>
      <c r="J198" t="s">
        <v>310</v>
      </c>
      <c r="K198">
        <v>0</v>
      </c>
      <c r="L198" t="s">
        <v>163</v>
      </c>
      <c r="S198" t="s">
        <v>220</v>
      </c>
      <c r="T198" t="s">
        <v>310</v>
      </c>
      <c r="U198">
        <v>0.11752270383128273</v>
      </c>
      <c r="V198" t="s">
        <v>163</v>
      </c>
    </row>
    <row r="199" spans="9:22" x14ac:dyDescent="0.45">
      <c r="I199" t="s">
        <v>189</v>
      </c>
      <c r="J199" t="s">
        <v>311</v>
      </c>
      <c r="K199">
        <v>2.8619890404803922E-3</v>
      </c>
      <c r="L199" t="s">
        <v>163</v>
      </c>
      <c r="S199" t="s">
        <v>220</v>
      </c>
      <c r="T199" t="s">
        <v>311</v>
      </c>
      <c r="U199">
        <v>2.0767175877751041E-2</v>
      </c>
      <c r="V199" t="s">
        <v>163</v>
      </c>
    </row>
    <row r="200" spans="9:22" x14ac:dyDescent="0.45">
      <c r="I200" t="s">
        <v>189</v>
      </c>
      <c r="J200" t="s">
        <v>312</v>
      </c>
      <c r="K200">
        <v>0.34748181341344159</v>
      </c>
      <c r="L200" t="s">
        <v>163</v>
      </c>
      <c r="S200" t="s">
        <v>220</v>
      </c>
      <c r="T200" t="s">
        <v>312</v>
      </c>
      <c r="U200">
        <v>0.10819354788906041</v>
      </c>
      <c r="V200" t="s">
        <v>163</v>
      </c>
    </row>
    <row r="201" spans="9:22" x14ac:dyDescent="0.45">
      <c r="I201" t="s">
        <v>189</v>
      </c>
      <c r="J201" t="s">
        <v>313</v>
      </c>
      <c r="K201">
        <v>1.5983490324597411E-2</v>
      </c>
      <c r="L201" t="s">
        <v>163</v>
      </c>
      <c r="S201" t="s">
        <v>220</v>
      </c>
      <c r="T201" t="s">
        <v>313</v>
      </c>
      <c r="U201">
        <v>0.10706985871638972</v>
      </c>
      <c r="V201" t="s">
        <v>163</v>
      </c>
    </row>
    <row r="202" spans="9:22" x14ac:dyDescent="0.45">
      <c r="I202" t="s">
        <v>189</v>
      </c>
      <c r="J202" t="s">
        <v>314</v>
      </c>
      <c r="K202">
        <v>4.8940514389494226E-2</v>
      </c>
      <c r="L202" t="s">
        <v>163</v>
      </c>
      <c r="S202" t="s">
        <v>220</v>
      </c>
      <c r="T202" t="s">
        <v>314</v>
      </c>
      <c r="U202">
        <v>1.9968692205263729E-2</v>
      </c>
      <c r="V202" t="s">
        <v>163</v>
      </c>
    </row>
    <row r="203" spans="9:22" x14ac:dyDescent="0.45">
      <c r="S203" t="s">
        <v>221</v>
      </c>
      <c r="T203" t="s">
        <v>303</v>
      </c>
      <c r="U203">
        <v>0.1178839863663107</v>
      </c>
      <c r="V203" t="s">
        <v>163</v>
      </c>
    </row>
    <row r="204" spans="9:22" x14ac:dyDescent="0.45">
      <c r="S204" t="s">
        <v>221</v>
      </c>
      <c r="T204" t="s">
        <v>304</v>
      </c>
      <c r="U204">
        <v>0.11568047826019931</v>
      </c>
      <c r="V204" t="s">
        <v>163</v>
      </c>
    </row>
    <row r="205" spans="9:22" x14ac:dyDescent="0.45">
      <c r="S205" t="s">
        <v>221</v>
      </c>
      <c r="T205" t="s">
        <v>305</v>
      </c>
      <c r="U205">
        <v>2.0641236147966542E-2</v>
      </c>
      <c r="V205" t="s">
        <v>163</v>
      </c>
    </row>
    <row r="206" spans="9:22" x14ac:dyDescent="0.45">
      <c r="S206" t="s">
        <v>221</v>
      </c>
      <c r="T206" t="s">
        <v>306</v>
      </c>
      <c r="U206">
        <v>0.11076503489442305</v>
      </c>
      <c r="V206" t="s">
        <v>163</v>
      </c>
    </row>
    <row r="207" spans="9:22" x14ac:dyDescent="0.45">
      <c r="S207" t="s">
        <v>221</v>
      </c>
      <c r="T207" t="s">
        <v>307</v>
      </c>
      <c r="U207">
        <v>0.10901163415884768</v>
      </c>
      <c r="V207" t="s">
        <v>163</v>
      </c>
    </row>
    <row r="208" spans="9:22" x14ac:dyDescent="0.45">
      <c r="S208" t="s">
        <v>221</v>
      </c>
      <c r="T208" t="s">
        <v>308</v>
      </c>
      <c r="U208">
        <v>2.0416004750134012E-2</v>
      </c>
      <c r="V208" t="s">
        <v>163</v>
      </c>
    </row>
    <row r="209" spans="19:22" x14ac:dyDescent="0.45">
      <c r="S209" t="s">
        <v>221</v>
      </c>
      <c r="T209" t="s">
        <v>309</v>
      </c>
      <c r="U209">
        <v>0.11526149743839011</v>
      </c>
      <c r="V209" t="s">
        <v>163</v>
      </c>
    </row>
    <row r="210" spans="19:22" x14ac:dyDescent="0.45">
      <c r="S210" t="s">
        <v>221</v>
      </c>
      <c r="T210" t="s">
        <v>310</v>
      </c>
      <c r="U210">
        <v>0.1159244280317643</v>
      </c>
      <c r="V210" t="s">
        <v>163</v>
      </c>
    </row>
    <row r="211" spans="19:22" x14ac:dyDescent="0.45">
      <c r="S211" t="s">
        <v>221</v>
      </c>
      <c r="T211" t="s">
        <v>311</v>
      </c>
      <c r="U211">
        <v>2.0723463706586204E-2</v>
      </c>
      <c r="V211" t="s">
        <v>163</v>
      </c>
    </row>
    <row r="212" spans="19:22" x14ac:dyDescent="0.45">
      <c r="S212" t="s">
        <v>221</v>
      </c>
      <c r="T212" t="s">
        <v>312</v>
      </c>
      <c r="U212">
        <v>0.11671044423035851</v>
      </c>
      <c r="V212" t="s">
        <v>163</v>
      </c>
    </row>
    <row r="213" spans="19:22" x14ac:dyDescent="0.45">
      <c r="S213" t="s">
        <v>221</v>
      </c>
      <c r="T213" t="s">
        <v>313</v>
      </c>
      <c r="U213">
        <v>0.11594236225172999</v>
      </c>
      <c r="V213" t="s">
        <v>163</v>
      </c>
    </row>
    <row r="214" spans="19:22" x14ac:dyDescent="0.45">
      <c r="S214" t="s">
        <v>221</v>
      </c>
      <c r="T214" t="s">
        <v>314</v>
      </c>
      <c r="U214">
        <v>2.103942976329121E-2</v>
      </c>
      <c r="V214" t="s">
        <v>163</v>
      </c>
    </row>
    <row r="215" spans="19:22" x14ac:dyDescent="0.45">
      <c r="S215" t="s">
        <v>222</v>
      </c>
      <c r="T215" t="s">
        <v>303</v>
      </c>
      <c r="U215">
        <v>0.11570459014628633</v>
      </c>
      <c r="V215" t="s">
        <v>163</v>
      </c>
    </row>
    <row r="216" spans="19:22" x14ac:dyDescent="0.45">
      <c r="S216" t="s">
        <v>222</v>
      </c>
      <c r="T216" t="s">
        <v>304</v>
      </c>
      <c r="U216">
        <v>0.11254747366701257</v>
      </c>
      <c r="V216" t="s">
        <v>163</v>
      </c>
    </row>
    <row r="217" spans="19:22" x14ac:dyDescent="0.45">
      <c r="S217" t="s">
        <v>222</v>
      </c>
      <c r="T217" t="s">
        <v>305</v>
      </c>
      <c r="U217">
        <v>2.0999502006816169E-2</v>
      </c>
      <c r="V217" t="s">
        <v>163</v>
      </c>
    </row>
    <row r="218" spans="19:22" x14ac:dyDescent="0.45">
      <c r="S218" t="s">
        <v>222</v>
      </c>
      <c r="T218" t="s">
        <v>306</v>
      </c>
      <c r="U218">
        <v>0.11462160059890976</v>
      </c>
      <c r="V218" t="s">
        <v>163</v>
      </c>
    </row>
    <row r="219" spans="19:22" x14ac:dyDescent="0.45">
      <c r="S219" t="s">
        <v>222</v>
      </c>
      <c r="T219" t="s">
        <v>307</v>
      </c>
      <c r="U219">
        <v>0.11289449227819413</v>
      </c>
      <c r="V219" t="s">
        <v>163</v>
      </c>
    </row>
    <row r="220" spans="19:22" x14ac:dyDescent="0.45">
      <c r="S220" t="s">
        <v>222</v>
      </c>
      <c r="T220" t="s">
        <v>308</v>
      </c>
      <c r="U220">
        <v>2.110468745081405E-2</v>
      </c>
      <c r="V220" t="s">
        <v>163</v>
      </c>
    </row>
    <row r="221" spans="19:22" x14ac:dyDescent="0.45">
      <c r="S221" t="s">
        <v>222</v>
      </c>
      <c r="T221" t="s">
        <v>309</v>
      </c>
      <c r="U221">
        <v>0.11833961558207363</v>
      </c>
      <c r="V221" t="s">
        <v>163</v>
      </c>
    </row>
    <row r="222" spans="19:22" x14ac:dyDescent="0.45">
      <c r="S222" t="s">
        <v>222</v>
      </c>
      <c r="T222" t="s">
        <v>310</v>
      </c>
      <c r="U222">
        <v>0.11589775469949855</v>
      </c>
      <c r="V222" t="s">
        <v>163</v>
      </c>
    </row>
    <row r="223" spans="19:22" x14ac:dyDescent="0.45">
      <c r="S223" t="s">
        <v>222</v>
      </c>
      <c r="T223" t="s">
        <v>311</v>
      </c>
      <c r="U223">
        <v>2.1134836168632022E-2</v>
      </c>
      <c r="V223" t="s">
        <v>163</v>
      </c>
    </row>
    <row r="224" spans="19:22" x14ac:dyDescent="0.45">
      <c r="S224" t="s">
        <v>222</v>
      </c>
      <c r="T224" t="s">
        <v>312</v>
      </c>
      <c r="U224">
        <v>0.11346313307527689</v>
      </c>
      <c r="V224" t="s">
        <v>163</v>
      </c>
    </row>
    <row r="225" spans="19:22" x14ac:dyDescent="0.45">
      <c r="S225" t="s">
        <v>222</v>
      </c>
      <c r="T225" t="s">
        <v>313</v>
      </c>
      <c r="U225">
        <v>0.11220508659839382</v>
      </c>
      <c r="V225" t="s">
        <v>163</v>
      </c>
    </row>
    <row r="226" spans="19:22" x14ac:dyDescent="0.45">
      <c r="S226" t="s">
        <v>222</v>
      </c>
      <c r="T226" t="s">
        <v>314</v>
      </c>
      <c r="U226">
        <v>2.1087227728091257E-2</v>
      </c>
      <c r="V226" t="s">
        <v>163</v>
      </c>
    </row>
    <row r="227" spans="19:22" x14ac:dyDescent="0.45">
      <c r="S227" t="s">
        <v>223</v>
      </c>
      <c r="T227" t="s">
        <v>303</v>
      </c>
      <c r="U227">
        <v>0.11605390933722523</v>
      </c>
      <c r="V227" t="s">
        <v>163</v>
      </c>
    </row>
    <row r="228" spans="19:22" x14ac:dyDescent="0.45">
      <c r="S228" t="s">
        <v>223</v>
      </c>
      <c r="T228" t="s">
        <v>304</v>
      </c>
      <c r="U228">
        <v>0.11331972978618253</v>
      </c>
      <c r="V228" t="s">
        <v>163</v>
      </c>
    </row>
    <row r="229" spans="19:22" x14ac:dyDescent="0.45">
      <c r="S229" t="s">
        <v>223</v>
      </c>
      <c r="T229" t="s">
        <v>305</v>
      </c>
      <c r="U229">
        <v>2.0558475972854078E-2</v>
      </c>
      <c r="V229" t="s">
        <v>163</v>
      </c>
    </row>
    <row r="230" spans="19:22" x14ac:dyDescent="0.45">
      <c r="S230" t="s">
        <v>223</v>
      </c>
      <c r="T230" t="s">
        <v>306</v>
      </c>
      <c r="U230">
        <v>0.11639741823799485</v>
      </c>
      <c r="V230" t="s">
        <v>163</v>
      </c>
    </row>
    <row r="231" spans="19:22" x14ac:dyDescent="0.45">
      <c r="S231" t="s">
        <v>223</v>
      </c>
      <c r="T231" t="s">
        <v>307</v>
      </c>
      <c r="U231">
        <v>0.11389142901013978</v>
      </c>
      <c r="V231" t="s">
        <v>163</v>
      </c>
    </row>
    <row r="232" spans="19:22" x14ac:dyDescent="0.45">
      <c r="S232" t="s">
        <v>223</v>
      </c>
      <c r="T232" t="s">
        <v>308</v>
      </c>
      <c r="U232">
        <v>2.1249413482703532E-2</v>
      </c>
      <c r="V232" t="s">
        <v>163</v>
      </c>
    </row>
    <row r="233" spans="19:22" x14ac:dyDescent="0.45">
      <c r="S233" t="s">
        <v>223</v>
      </c>
      <c r="T233" t="s">
        <v>309</v>
      </c>
      <c r="U233">
        <v>0.114485879951083</v>
      </c>
      <c r="V233" t="s">
        <v>163</v>
      </c>
    </row>
    <row r="234" spans="19:22" x14ac:dyDescent="0.45">
      <c r="S234" t="s">
        <v>223</v>
      </c>
      <c r="T234" t="s">
        <v>310</v>
      </c>
      <c r="U234">
        <v>0.11487966274147915</v>
      </c>
      <c r="V234" t="s">
        <v>163</v>
      </c>
    </row>
    <row r="235" spans="19:22" x14ac:dyDescent="0.45">
      <c r="S235" t="s">
        <v>223</v>
      </c>
      <c r="T235" t="s">
        <v>311</v>
      </c>
      <c r="U235">
        <v>2.104033777372288E-2</v>
      </c>
      <c r="V235" t="s">
        <v>163</v>
      </c>
    </row>
    <row r="236" spans="19:22" x14ac:dyDescent="0.45">
      <c r="S236" t="s">
        <v>223</v>
      </c>
      <c r="T236" t="s">
        <v>312</v>
      </c>
      <c r="U236">
        <v>0.11453027060842653</v>
      </c>
      <c r="V236" t="s">
        <v>163</v>
      </c>
    </row>
    <row r="237" spans="19:22" x14ac:dyDescent="0.45">
      <c r="S237" t="s">
        <v>223</v>
      </c>
      <c r="T237" t="s">
        <v>313</v>
      </c>
      <c r="U237">
        <v>0.11281765166204398</v>
      </c>
      <c r="V237" t="s">
        <v>163</v>
      </c>
    </row>
    <row r="238" spans="19:22" x14ac:dyDescent="0.45">
      <c r="S238" t="s">
        <v>223</v>
      </c>
      <c r="T238" t="s">
        <v>314</v>
      </c>
      <c r="U238">
        <v>2.0775821436143899E-2</v>
      </c>
      <c r="V238" t="s">
        <v>163</v>
      </c>
    </row>
    <row r="239" spans="19:22" x14ac:dyDescent="0.45">
      <c r="S239" t="s">
        <v>224</v>
      </c>
      <c r="T239" t="s">
        <v>303</v>
      </c>
      <c r="U239">
        <v>0.12527235774831438</v>
      </c>
      <c r="V239" t="s">
        <v>163</v>
      </c>
    </row>
    <row r="240" spans="19:22" x14ac:dyDescent="0.45">
      <c r="S240" t="s">
        <v>224</v>
      </c>
      <c r="T240" t="s">
        <v>304</v>
      </c>
      <c r="U240">
        <v>0.13358696460894479</v>
      </c>
      <c r="V240" t="s">
        <v>163</v>
      </c>
    </row>
    <row r="241" spans="19:22" x14ac:dyDescent="0.45">
      <c r="S241" t="s">
        <v>224</v>
      </c>
      <c r="T241" t="s">
        <v>305</v>
      </c>
      <c r="U241">
        <v>2.4458377310024822E-2</v>
      </c>
      <c r="V241" t="s">
        <v>163</v>
      </c>
    </row>
    <row r="242" spans="19:22" x14ac:dyDescent="0.45">
      <c r="S242" t="s">
        <v>224</v>
      </c>
      <c r="T242" t="s">
        <v>306</v>
      </c>
      <c r="U242">
        <v>9.7841885933528897E-2</v>
      </c>
      <c r="V242" t="s">
        <v>163</v>
      </c>
    </row>
    <row r="243" spans="19:22" x14ac:dyDescent="0.45">
      <c r="S243" t="s">
        <v>224</v>
      </c>
      <c r="T243" t="s">
        <v>307</v>
      </c>
      <c r="U243">
        <v>0.10037077481143185</v>
      </c>
      <c r="V243" t="s">
        <v>163</v>
      </c>
    </row>
    <row r="244" spans="19:22" x14ac:dyDescent="0.45">
      <c r="S244" t="s">
        <v>224</v>
      </c>
      <c r="T244" t="s">
        <v>308</v>
      </c>
      <c r="U244">
        <v>1.8713215983783636E-2</v>
      </c>
      <c r="V244" t="s">
        <v>163</v>
      </c>
    </row>
    <row r="245" spans="19:22" x14ac:dyDescent="0.45">
      <c r="S245" t="s">
        <v>224</v>
      </c>
      <c r="T245" t="s">
        <v>309</v>
      </c>
      <c r="U245">
        <v>0.12755399451929539</v>
      </c>
      <c r="V245" t="s">
        <v>163</v>
      </c>
    </row>
    <row r="246" spans="19:22" x14ac:dyDescent="0.45">
      <c r="S246" t="s">
        <v>224</v>
      </c>
      <c r="T246" t="s">
        <v>310</v>
      </c>
      <c r="U246">
        <v>0.12784690512719718</v>
      </c>
      <c r="V246" t="s">
        <v>163</v>
      </c>
    </row>
    <row r="247" spans="19:22" x14ac:dyDescent="0.45">
      <c r="S247" t="s">
        <v>224</v>
      </c>
      <c r="T247" t="s">
        <v>311</v>
      </c>
      <c r="U247">
        <v>2.2885951549423567E-2</v>
      </c>
      <c r="V247" t="s">
        <v>163</v>
      </c>
    </row>
    <row r="248" spans="19:22" x14ac:dyDescent="0.45">
      <c r="S248" t="s">
        <v>224</v>
      </c>
      <c r="T248" t="s">
        <v>312</v>
      </c>
      <c r="U248">
        <v>9.9166866083796545E-2</v>
      </c>
      <c r="V248" t="s">
        <v>163</v>
      </c>
    </row>
    <row r="249" spans="19:22" x14ac:dyDescent="0.45">
      <c r="S249" t="s">
        <v>224</v>
      </c>
      <c r="T249" t="s">
        <v>313</v>
      </c>
      <c r="U249">
        <v>0.10311498201250245</v>
      </c>
      <c r="V249" t="s">
        <v>163</v>
      </c>
    </row>
    <row r="250" spans="19:22" x14ac:dyDescent="0.45">
      <c r="S250" t="s">
        <v>224</v>
      </c>
      <c r="T250" t="s">
        <v>314</v>
      </c>
      <c r="U250">
        <v>1.9187724311753467E-2</v>
      </c>
      <c r="V250" t="s">
        <v>163</v>
      </c>
    </row>
    <row r="251" spans="19:22" x14ac:dyDescent="0.45">
      <c r="S251" t="s">
        <v>225</v>
      </c>
      <c r="T251" t="s">
        <v>303</v>
      </c>
      <c r="U251">
        <v>0.12995156799097099</v>
      </c>
      <c r="V251" t="s">
        <v>163</v>
      </c>
    </row>
    <row r="252" spans="19:22" x14ac:dyDescent="0.45">
      <c r="S252" t="s">
        <v>225</v>
      </c>
      <c r="T252" t="s">
        <v>304</v>
      </c>
      <c r="U252">
        <v>0.13231622126289075</v>
      </c>
      <c r="V252" t="s">
        <v>163</v>
      </c>
    </row>
    <row r="253" spans="19:22" x14ac:dyDescent="0.45">
      <c r="S253" t="s">
        <v>225</v>
      </c>
      <c r="T253" t="s">
        <v>305</v>
      </c>
      <c r="U253">
        <v>2.4848496996174967E-2</v>
      </c>
      <c r="V253" t="s">
        <v>163</v>
      </c>
    </row>
    <row r="254" spans="19:22" x14ac:dyDescent="0.45">
      <c r="S254" t="s">
        <v>225</v>
      </c>
      <c r="T254" t="s">
        <v>306</v>
      </c>
      <c r="U254">
        <v>9.7356100043753599E-2</v>
      </c>
      <c r="V254" t="s">
        <v>163</v>
      </c>
    </row>
    <row r="255" spans="19:22" x14ac:dyDescent="0.45">
      <c r="S255" t="s">
        <v>225</v>
      </c>
      <c r="T255" t="s">
        <v>307</v>
      </c>
      <c r="U255">
        <v>9.6362032319308843E-2</v>
      </c>
      <c r="V255" t="s">
        <v>163</v>
      </c>
    </row>
    <row r="256" spans="19:22" x14ac:dyDescent="0.45">
      <c r="S256" t="s">
        <v>225</v>
      </c>
      <c r="T256" t="s">
        <v>308</v>
      </c>
      <c r="U256">
        <v>1.72515914894368E-2</v>
      </c>
      <c r="V256" t="s">
        <v>163</v>
      </c>
    </row>
    <row r="257" spans="19:22" x14ac:dyDescent="0.45">
      <c r="S257" t="s">
        <v>225</v>
      </c>
      <c r="T257" t="s">
        <v>309</v>
      </c>
      <c r="U257">
        <v>0.12658433562577551</v>
      </c>
      <c r="V257" t="s">
        <v>163</v>
      </c>
    </row>
    <row r="258" spans="19:22" x14ac:dyDescent="0.45">
      <c r="S258" t="s">
        <v>225</v>
      </c>
      <c r="T258" t="s">
        <v>310</v>
      </c>
      <c r="U258">
        <v>0.12704269055694484</v>
      </c>
      <c r="V258" t="s">
        <v>163</v>
      </c>
    </row>
    <row r="259" spans="19:22" x14ac:dyDescent="0.45">
      <c r="S259" t="s">
        <v>225</v>
      </c>
      <c r="T259" t="s">
        <v>311</v>
      </c>
      <c r="U259">
        <v>2.3391861215414481E-2</v>
      </c>
      <c r="V259" t="s">
        <v>163</v>
      </c>
    </row>
    <row r="260" spans="19:22" x14ac:dyDescent="0.45">
      <c r="S260" t="s">
        <v>225</v>
      </c>
      <c r="T260" t="s">
        <v>312</v>
      </c>
      <c r="U260">
        <v>0.10256470545630264</v>
      </c>
      <c r="V260" t="s">
        <v>163</v>
      </c>
    </row>
    <row r="261" spans="19:22" x14ac:dyDescent="0.45">
      <c r="S261" t="s">
        <v>225</v>
      </c>
      <c r="T261" t="s">
        <v>313</v>
      </c>
      <c r="U261">
        <v>0.10381321627432204</v>
      </c>
      <c r="V261" t="s">
        <v>163</v>
      </c>
    </row>
    <row r="262" spans="19:22" x14ac:dyDescent="0.45">
      <c r="S262" t="s">
        <v>225</v>
      </c>
      <c r="T262" t="s">
        <v>314</v>
      </c>
      <c r="U262">
        <v>1.8517180768702426E-2</v>
      </c>
      <c r="V262" t="s">
        <v>163</v>
      </c>
    </row>
    <row r="263" spans="19:22" x14ac:dyDescent="0.45">
      <c r="S263" t="s">
        <v>226</v>
      </c>
      <c r="T263" t="s">
        <v>303</v>
      </c>
      <c r="U263">
        <v>0.1289425974613902</v>
      </c>
      <c r="V263" t="s">
        <v>163</v>
      </c>
    </row>
    <row r="264" spans="19:22" x14ac:dyDescent="0.45">
      <c r="S264" t="s">
        <v>226</v>
      </c>
      <c r="T264" t="s">
        <v>304</v>
      </c>
      <c r="U264">
        <v>0.13096324137967172</v>
      </c>
      <c r="V264" t="s">
        <v>163</v>
      </c>
    </row>
    <row r="265" spans="19:22" x14ac:dyDescent="0.45">
      <c r="S265" t="s">
        <v>226</v>
      </c>
      <c r="T265" t="s">
        <v>305</v>
      </c>
      <c r="U265">
        <v>2.4460559801278172E-2</v>
      </c>
      <c r="V265" t="s">
        <v>163</v>
      </c>
    </row>
    <row r="266" spans="19:22" x14ac:dyDescent="0.45">
      <c r="S266" t="s">
        <v>226</v>
      </c>
      <c r="T266" t="s">
        <v>306</v>
      </c>
      <c r="U266">
        <v>0.10274889460974623</v>
      </c>
      <c r="V266" t="s">
        <v>163</v>
      </c>
    </row>
    <row r="267" spans="19:22" x14ac:dyDescent="0.45">
      <c r="S267" t="s">
        <v>226</v>
      </c>
      <c r="T267" t="s">
        <v>307</v>
      </c>
      <c r="U267">
        <v>0.10216231157821853</v>
      </c>
      <c r="V267" t="s">
        <v>163</v>
      </c>
    </row>
    <row r="268" spans="19:22" x14ac:dyDescent="0.45">
      <c r="S268" t="s">
        <v>226</v>
      </c>
      <c r="T268" t="s">
        <v>308</v>
      </c>
      <c r="U268">
        <v>1.8739387384305747E-2</v>
      </c>
      <c r="V268" t="s">
        <v>163</v>
      </c>
    </row>
    <row r="269" spans="19:22" x14ac:dyDescent="0.45">
      <c r="S269" t="s">
        <v>226</v>
      </c>
      <c r="T269" t="s">
        <v>309</v>
      </c>
      <c r="U269">
        <v>0.13072649076476148</v>
      </c>
      <c r="V269" t="s">
        <v>163</v>
      </c>
    </row>
    <row r="270" spans="19:22" x14ac:dyDescent="0.45">
      <c r="S270" t="s">
        <v>226</v>
      </c>
      <c r="T270" t="s">
        <v>310</v>
      </c>
      <c r="U270">
        <v>0.12752256597528819</v>
      </c>
      <c r="V270" t="s">
        <v>163</v>
      </c>
    </row>
    <row r="271" spans="19:22" x14ac:dyDescent="0.45">
      <c r="S271" t="s">
        <v>226</v>
      </c>
      <c r="T271" t="s">
        <v>311</v>
      </c>
      <c r="U271">
        <v>2.4726025466516689E-2</v>
      </c>
      <c r="V271" t="s">
        <v>163</v>
      </c>
    </row>
    <row r="272" spans="19:22" x14ac:dyDescent="0.45">
      <c r="S272" t="s">
        <v>226</v>
      </c>
      <c r="T272" t="s">
        <v>312</v>
      </c>
      <c r="U272">
        <v>9.5206994995879188E-2</v>
      </c>
      <c r="V272" t="s">
        <v>163</v>
      </c>
    </row>
    <row r="273" spans="19:22" x14ac:dyDescent="0.45">
      <c r="S273" t="s">
        <v>226</v>
      </c>
      <c r="T273" t="s">
        <v>313</v>
      </c>
      <c r="U273">
        <v>9.6309254354441834E-2</v>
      </c>
      <c r="V273" t="s">
        <v>163</v>
      </c>
    </row>
    <row r="274" spans="19:22" x14ac:dyDescent="0.45">
      <c r="S274" t="s">
        <v>226</v>
      </c>
      <c r="T274" t="s">
        <v>314</v>
      </c>
      <c r="U274">
        <v>1.7491676228502222E-2</v>
      </c>
      <c r="V274" t="s">
        <v>163</v>
      </c>
    </row>
    <row r="275" spans="19:22" x14ac:dyDescent="0.45">
      <c r="S275" t="s">
        <v>227</v>
      </c>
      <c r="T275" t="s">
        <v>303</v>
      </c>
      <c r="U275">
        <v>0.12617054340742223</v>
      </c>
      <c r="V275" t="s">
        <v>163</v>
      </c>
    </row>
    <row r="276" spans="19:22" x14ac:dyDescent="0.45">
      <c r="S276" t="s">
        <v>227</v>
      </c>
      <c r="T276" t="s">
        <v>304</v>
      </c>
      <c r="U276">
        <v>0.1263751994102113</v>
      </c>
      <c r="V276" t="s">
        <v>163</v>
      </c>
    </row>
    <row r="277" spans="19:22" x14ac:dyDescent="0.45">
      <c r="S277" t="s">
        <v>227</v>
      </c>
      <c r="T277" t="s">
        <v>305</v>
      </c>
      <c r="U277">
        <v>2.5945998336484786E-2</v>
      </c>
      <c r="V277" t="s">
        <v>163</v>
      </c>
    </row>
    <row r="278" spans="19:22" x14ac:dyDescent="0.45">
      <c r="S278" t="s">
        <v>227</v>
      </c>
      <c r="T278" t="s">
        <v>306</v>
      </c>
      <c r="U278">
        <v>0.10252853611930449</v>
      </c>
      <c r="V278" t="s">
        <v>163</v>
      </c>
    </row>
    <row r="279" spans="19:22" x14ac:dyDescent="0.45">
      <c r="S279" t="s">
        <v>227</v>
      </c>
      <c r="T279" t="s">
        <v>307</v>
      </c>
      <c r="U279">
        <v>9.6183875348006473E-2</v>
      </c>
      <c r="V279" t="s">
        <v>163</v>
      </c>
    </row>
    <row r="280" spans="19:22" x14ac:dyDescent="0.45">
      <c r="S280" t="s">
        <v>227</v>
      </c>
      <c r="T280" t="s">
        <v>308</v>
      </c>
      <c r="U280">
        <v>1.8909081629865737E-2</v>
      </c>
      <c r="V280" t="s">
        <v>163</v>
      </c>
    </row>
    <row r="281" spans="19:22" x14ac:dyDescent="0.45">
      <c r="S281" t="s">
        <v>227</v>
      </c>
      <c r="T281" t="s">
        <v>309</v>
      </c>
      <c r="U281">
        <v>0.12840401264955414</v>
      </c>
      <c r="V281" t="s">
        <v>163</v>
      </c>
    </row>
    <row r="282" spans="19:22" x14ac:dyDescent="0.45">
      <c r="S282" t="s">
        <v>227</v>
      </c>
      <c r="T282" t="s">
        <v>310</v>
      </c>
      <c r="U282">
        <v>0.12195240483296638</v>
      </c>
      <c r="V282" t="s">
        <v>163</v>
      </c>
    </row>
    <row r="283" spans="19:22" x14ac:dyDescent="0.45">
      <c r="S283" t="s">
        <v>227</v>
      </c>
      <c r="T283" t="s">
        <v>311</v>
      </c>
      <c r="U283">
        <v>2.2223234259536047E-2</v>
      </c>
      <c r="V283" t="s">
        <v>163</v>
      </c>
    </row>
    <row r="284" spans="19:22" x14ac:dyDescent="0.45">
      <c r="S284" t="s">
        <v>227</v>
      </c>
      <c r="T284" t="s">
        <v>312</v>
      </c>
      <c r="U284">
        <v>0.10549334213602923</v>
      </c>
      <c r="V284" t="s">
        <v>163</v>
      </c>
    </row>
    <row r="285" spans="19:22" x14ac:dyDescent="0.45">
      <c r="S285" t="s">
        <v>227</v>
      </c>
      <c r="T285" t="s">
        <v>313</v>
      </c>
      <c r="U285">
        <v>0.10492958152215191</v>
      </c>
      <c r="V285" t="s">
        <v>163</v>
      </c>
    </row>
    <row r="286" spans="19:22" x14ac:dyDescent="0.45">
      <c r="S286" t="s">
        <v>227</v>
      </c>
      <c r="T286" t="s">
        <v>314</v>
      </c>
      <c r="U286">
        <v>2.0884190348464123E-2</v>
      </c>
      <c r="V286" t="s">
        <v>163</v>
      </c>
    </row>
    <row r="287" spans="19:22" x14ac:dyDescent="0.45">
      <c r="S287" t="s">
        <v>228</v>
      </c>
      <c r="T287" t="s">
        <v>303</v>
      </c>
      <c r="U287">
        <v>0.12882894193252725</v>
      </c>
      <c r="V287" t="s">
        <v>163</v>
      </c>
    </row>
    <row r="288" spans="19:22" x14ac:dyDescent="0.45">
      <c r="S288" t="s">
        <v>228</v>
      </c>
      <c r="T288" t="s">
        <v>304</v>
      </c>
      <c r="U288">
        <v>0.13207094895892707</v>
      </c>
      <c r="V288" t="s">
        <v>163</v>
      </c>
    </row>
    <row r="289" spans="19:22" x14ac:dyDescent="0.45">
      <c r="S289" t="s">
        <v>228</v>
      </c>
      <c r="T289" t="s">
        <v>305</v>
      </c>
      <c r="U289">
        <v>2.6329094048233255E-2</v>
      </c>
      <c r="V289" t="s">
        <v>163</v>
      </c>
    </row>
    <row r="290" spans="19:22" x14ac:dyDescent="0.45">
      <c r="S290" t="s">
        <v>228</v>
      </c>
      <c r="T290" t="s">
        <v>306</v>
      </c>
      <c r="U290">
        <v>9.864502205228913E-2</v>
      </c>
      <c r="V290" t="s">
        <v>163</v>
      </c>
    </row>
    <row r="291" spans="19:22" x14ac:dyDescent="0.45">
      <c r="S291" t="s">
        <v>228</v>
      </c>
      <c r="T291" t="s">
        <v>307</v>
      </c>
      <c r="U291">
        <v>9.3520780617070615E-2</v>
      </c>
      <c r="V291" t="s">
        <v>163</v>
      </c>
    </row>
    <row r="292" spans="19:22" x14ac:dyDescent="0.45">
      <c r="S292" t="s">
        <v>228</v>
      </c>
      <c r="T292" t="s">
        <v>308</v>
      </c>
      <c r="U292">
        <v>1.8712653671308213E-2</v>
      </c>
      <c r="V292" t="s">
        <v>163</v>
      </c>
    </row>
    <row r="293" spans="19:22" x14ac:dyDescent="0.45">
      <c r="S293" t="s">
        <v>228</v>
      </c>
      <c r="T293" t="s">
        <v>309</v>
      </c>
      <c r="U293">
        <v>0.12285436253289124</v>
      </c>
      <c r="V293" t="s">
        <v>163</v>
      </c>
    </row>
    <row r="294" spans="19:22" x14ac:dyDescent="0.45">
      <c r="S294" t="s">
        <v>228</v>
      </c>
      <c r="T294" t="s">
        <v>310</v>
      </c>
      <c r="U294">
        <v>0.12343650544769084</v>
      </c>
      <c r="V294" t="s">
        <v>163</v>
      </c>
    </row>
    <row r="295" spans="19:22" x14ac:dyDescent="0.45">
      <c r="S295" t="s">
        <v>228</v>
      </c>
      <c r="T295" t="s">
        <v>311</v>
      </c>
      <c r="U295">
        <v>2.3940226813495811E-2</v>
      </c>
      <c r="V295" t="s">
        <v>163</v>
      </c>
    </row>
    <row r="296" spans="19:22" x14ac:dyDescent="0.45">
      <c r="S296" t="s">
        <v>228</v>
      </c>
      <c r="T296" t="s">
        <v>312</v>
      </c>
      <c r="U296">
        <v>0.10551767238588855</v>
      </c>
      <c r="V296" t="s">
        <v>163</v>
      </c>
    </row>
    <row r="297" spans="19:22" x14ac:dyDescent="0.45">
      <c r="S297" t="s">
        <v>228</v>
      </c>
      <c r="T297" t="s">
        <v>313</v>
      </c>
      <c r="U297">
        <v>0.10488499275757343</v>
      </c>
      <c r="V297" t="s">
        <v>163</v>
      </c>
    </row>
    <row r="298" spans="19:22" x14ac:dyDescent="0.45">
      <c r="S298" t="s">
        <v>228</v>
      </c>
      <c r="T298" t="s">
        <v>314</v>
      </c>
      <c r="U298">
        <v>2.1258798782105248E-2</v>
      </c>
      <c r="V298" t="s">
        <v>163</v>
      </c>
    </row>
    <row r="299" spans="19:22" x14ac:dyDescent="0.45">
      <c r="S299" t="s">
        <v>229</v>
      </c>
      <c r="T299" t="s">
        <v>303</v>
      </c>
      <c r="U299">
        <v>0.10934642865360546</v>
      </c>
      <c r="V299" t="s">
        <v>163</v>
      </c>
    </row>
    <row r="300" spans="19:22" x14ac:dyDescent="0.45">
      <c r="S300" t="s">
        <v>229</v>
      </c>
      <c r="T300" t="s">
        <v>304</v>
      </c>
      <c r="U300">
        <v>0.12906703784140394</v>
      </c>
      <c r="V300" t="s">
        <v>163</v>
      </c>
    </row>
    <row r="301" spans="19:22" x14ac:dyDescent="0.45">
      <c r="S301" t="s">
        <v>229</v>
      </c>
      <c r="T301" t="s">
        <v>305</v>
      </c>
      <c r="U301">
        <v>2.2332851763372283E-2</v>
      </c>
      <c r="V301" t="s">
        <v>163</v>
      </c>
    </row>
    <row r="302" spans="19:22" x14ac:dyDescent="0.45">
      <c r="S302" t="s">
        <v>229</v>
      </c>
      <c r="T302" t="s">
        <v>306</v>
      </c>
      <c r="U302">
        <v>9.7149889651328744E-2</v>
      </c>
      <c r="V302" t="s">
        <v>163</v>
      </c>
    </row>
    <row r="303" spans="19:22" x14ac:dyDescent="0.45">
      <c r="S303" t="s">
        <v>229</v>
      </c>
      <c r="T303" t="s">
        <v>307</v>
      </c>
      <c r="U303">
        <v>0.10621399098962876</v>
      </c>
      <c r="V303" t="s">
        <v>163</v>
      </c>
    </row>
    <row r="304" spans="19:22" x14ac:dyDescent="0.45">
      <c r="S304" t="s">
        <v>229</v>
      </c>
      <c r="T304" t="s">
        <v>308</v>
      </c>
      <c r="U304">
        <v>1.8853135690863422E-2</v>
      </c>
      <c r="V304" t="s">
        <v>163</v>
      </c>
    </row>
    <row r="305" spans="19:22" x14ac:dyDescent="0.45">
      <c r="S305" t="s">
        <v>229</v>
      </c>
      <c r="T305" t="s">
        <v>309</v>
      </c>
      <c r="U305">
        <v>0.11957063822316191</v>
      </c>
      <c r="V305" t="s">
        <v>163</v>
      </c>
    </row>
    <row r="306" spans="19:22" x14ac:dyDescent="0.45">
      <c r="S306" t="s">
        <v>229</v>
      </c>
      <c r="T306" t="s">
        <v>310</v>
      </c>
      <c r="U306">
        <v>0.12934833355648881</v>
      </c>
      <c r="V306" t="s">
        <v>163</v>
      </c>
    </row>
    <row r="307" spans="19:22" x14ac:dyDescent="0.45">
      <c r="S307" t="s">
        <v>229</v>
      </c>
      <c r="T307" t="s">
        <v>311</v>
      </c>
      <c r="U307">
        <v>2.2601765932593398E-2</v>
      </c>
      <c r="V307" t="s">
        <v>163</v>
      </c>
    </row>
    <row r="308" spans="19:22" x14ac:dyDescent="0.45">
      <c r="S308" t="s">
        <v>229</v>
      </c>
      <c r="T308" t="s">
        <v>312</v>
      </c>
      <c r="U308">
        <v>0.10949521022487475</v>
      </c>
      <c r="V308" t="s">
        <v>163</v>
      </c>
    </row>
    <row r="309" spans="19:22" x14ac:dyDescent="0.45">
      <c r="S309" t="s">
        <v>229</v>
      </c>
      <c r="T309" t="s">
        <v>313</v>
      </c>
      <c r="U309">
        <v>0.11384057483176378</v>
      </c>
      <c r="V309" t="s">
        <v>163</v>
      </c>
    </row>
    <row r="310" spans="19:22" x14ac:dyDescent="0.45">
      <c r="S310" t="s">
        <v>229</v>
      </c>
      <c r="T310" t="s">
        <v>314</v>
      </c>
      <c r="U310">
        <v>2.2180142640913839E-2</v>
      </c>
      <c r="V310" t="s">
        <v>163</v>
      </c>
    </row>
    <row r="311" spans="19:22" x14ac:dyDescent="0.45">
      <c r="S311" t="s">
        <v>230</v>
      </c>
      <c r="T311" t="s">
        <v>303</v>
      </c>
      <c r="U311">
        <v>0.1054496799299806</v>
      </c>
      <c r="V311" t="s">
        <v>163</v>
      </c>
    </row>
    <row r="312" spans="19:22" x14ac:dyDescent="0.45">
      <c r="S312" t="s">
        <v>230</v>
      </c>
      <c r="T312" t="s">
        <v>304</v>
      </c>
      <c r="U312">
        <v>0.12926907665100112</v>
      </c>
      <c r="V312" t="s">
        <v>163</v>
      </c>
    </row>
    <row r="313" spans="19:22" x14ac:dyDescent="0.45">
      <c r="S313" t="s">
        <v>230</v>
      </c>
      <c r="T313" t="s">
        <v>305</v>
      </c>
      <c r="U313">
        <v>2.4096593871932265E-2</v>
      </c>
      <c r="V313" t="s">
        <v>163</v>
      </c>
    </row>
    <row r="314" spans="19:22" x14ac:dyDescent="0.45">
      <c r="S314" t="s">
        <v>230</v>
      </c>
      <c r="T314" t="s">
        <v>306</v>
      </c>
      <c r="U314">
        <v>9.5892776870824273E-2</v>
      </c>
      <c r="V314" t="s">
        <v>163</v>
      </c>
    </row>
    <row r="315" spans="19:22" x14ac:dyDescent="0.45">
      <c r="S315" t="s">
        <v>230</v>
      </c>
      <c r="T315" t="s">
        <v>307</v>
      </c>
      <c r="U315">
        <v>0.10858676542395425</v>
      </c>
      <c r="V315" t="s">
        <v>163</v>
      </c>
    </row>
    <row r="316" spans="19:22" x14ac:dyDescent="0.45">
      <c r="S316" t="s">
        <v>230</v>
      </c>
      <c r="T316" t="s">
        <v>308</v>
      </c>
      <c r="U316">
        <v>2.029586243227292E-2</v>
      </c>
      <c r="V316" t="s">
        <v>163</v>
      </c>
    </row>
    <row r="317" spans="19:22" x14ac:dyDescent="0.45">
      <c r="S317" t="s">
        <v>230</v>
      </c>
      <c r="T317" t="s">
        <v>309</v>
      </c>
      <c r="U317">
        <v>0.12072524680229703</v>
      </c>
      <c r="V317" t="s">
        <v>163</v>
      </c>
    </row>
    <row r="318" spans="19:22" x14ac:dyDescent="0.45">
      <c r="S318" t="s">
        <v>230</v>
      </c>
      <c r="T318" t="s">
        <v>310</v>
      </c>
      <c r="U318">
        <v>0.1312983423168281</v>
      </c>
      <c r="V318" t="s">
        <v>163</v>
      </c>
    </row>
    <row r="319" spans="19:22" x14ac:dyDescent="0.45">
      <c r="S319" t="s">
        <v>230</v>
      </c>
      <c r="T319" t="s">
        <v>311</v>
      </c>
      <c r="U319">
        <v>2.4022920954296704E-2</v>
      </c>
      <c r="V319" t="s">
        <v>163</v>
      </c>
    </row>
    <row r="320" spans="19:22" x14ac:dyDescent="0.45">
      <c r="S320" t="s">
        <v>230</v>
      </c>
      <c r="T320" t="s">
        <v>312</v>
      </c>
      <c r="U320">
        <v>0.1039632014312722</v>
      </c>
      <c r="V320" t="s">
        <v>163</v>
      </c>
    </row>
    <row r="321" spans="19:22" x14ac:dyDescent="0.45">
      <c r="S321" t="s">
        <v>230</v>
      </c>
      <c r="T321" t="s">
        <v>313</v>
      </c>
      <c r="U321">
        <v>0.11272214068114883</v>
      </c>
      <c r="V321" t="s">
        <v>163</v>
      </c>
    </row>
    <row r="322" spans="19:22" x14ac:dyDescent="0.45">
      <c r="S322" t="s">
        <v>230</v>
      </c>
      <c r="T322" t="s">
        <v>314</v>
      </c>
      <c r="U322">
        <v>2.367739263419336E-2</v>
      </c>
      <c r="V322" t="s">
        <v>163</v>
      </c>
    </row>
    <row r="323" spans="19:22" x14ac:dyDescent="0.45">
      <c r="S323" t="s">
        <v>231</v>
      </c>
      <c r="T323" t="s">
        <v>303</v>
      </c>
      <c r="U323">
        <v>0.12448536922453196</v>
      </c>
      <c r="V323" t="s">
        <v>163</v>
      </c>
    </row>
    <row r="324" spans="19:22" x14ac:dyDescent="0.45">
      <c r="S324" t="s">
        <v>231</v>
      </c>
      <c r="T324" t="s">
        <v>304</v>
      </c>
      <c r="U324">
        <v>0.11351604290456345</v>
      </c>
      <c r="V324" t="s">
        <v>163</v>
      </c>
    </row>
    <row r="325" spans="19:22" x14ac:dyDescent="0.45">
      <c r="S325" t="s">
        <v>231</v>
      </c>
      <c r="T325" t="s">
        <v>305</v>
      </c>
      <c r="U325">
        <v>2.314777885919065E-2</v>
      </c>
      <c r="V325" t="s">
        <v>163</v>
      </c>
    </row>
    <row r="326" spans="19:22" x14ac:dyDescent="0.45">
      <c r="S326" t="s">
        <v>231</v>
      </c>
      <c r="T326" t="s">
        <v>306</v>
      </c>
      <c r="U326">
        <v>0.10743356419581157</v>
      </c>
      <c r="V326" t="s">
        <v>163</v>
      </c>
    </row>
    <row r="327" spans="19:22" x14ac:dyDescent="0.45">
      <c r="S327" t="s">
        <v>231</v>
      </c>
      <c r="T327" t="s">
        <v>307</v>
      </c>
      <c r="U327">
        <v>0.11027689919106591</v>
      </c>
      <c r="V327" t="s">
        <v>163</v>
      </c>
    </row>
    <row r="328" spans="19:22" x14ac:dyDescent="0.45">
      <c r="S328" t="s">
        <v>231</v>
      </c>
      <c r="T328" t="s">
        <v>308</v>
      </c>
      <c r="U328">
        <v>2.0402760120059996E-2</v>
      </c>
      <c r="V328" t="s">
        <v>163</v>
      </c>
    </row>
    <row r="329" spans="19:22" x14ac:dyDescent="0.45">
      <c r="S329" t="s">
        <v>231</v>
      </c>
      <c r="T329" t="s">
        <v>309</v>
      </c>
      <c r="U329">
        <v>0.12328106157560799</v>
      </c>
      <c r="V329" t="s">
        <v>163</v>
      </c>
    </row>
    <row r="330" spans="19:22" x14ac:dyDescent="0.45">
      <c r="S330" t="s">
        <v>231</v>
      </c>
      <c r="T330" t="s">
        <v>310</v>
      </c>
      <c r="U330">
        <v>0.12461965990300593</v>
      </c>
      <c r="V330" t="s">
        <v>163</v>
      </c>
    </row>
    <row r="331" spans="19:22" x14ac:dyDescent="0.45">
      <c r="S331" t="s">
        <v>231</v>
      </c>
      <c r="T331" t="s">
        <v>311</v>
      </c>
      <c r="U331">
        <v>2.2606686170476776E-2</v>
      </c>
      <c r="V331" t="s">
        <v>163</v>
      </c>
    </row>
    <row r="332" spans="19:22" x14ac:dyDescent="0.45">
      <c r="S332" t="s">
        <v>231</v>
      </c>
      <c r="T332" t="s">
        <v>312</v>
      </c>
      <c r="U332">
        <v>0.10782118842021329</v>
      </c>
      <c r="V332" t="s">
        <v>163</v>
      </c>
    </row>
    <row r="333" spans="19:22" x14ac:dyDescent="0.45">
      <c r="S333" t="s">
        <v>231</v>
      </c>
      <c r="T333" t="s">
        <v>313</v>
      </c>
      <c r="U333">
        <v>0.10176823351235954</v>
      </c>
      <c r="V333" t="s">
        <v>163</v>
      </c>
    </row>
    <row r="334" spans="19:22" x14ac:dyDescent="0.45">
      <c r="S334" t="s">
        <v>231</v>
      </c>
      <c r="T334" t="s">
        <v>314</v>
      </c>
      <c r="U334">
        <v>2.0640755923110429E-2</v>
      </c>
      <c r="V334" t="s">
        <v>163</v>
      </c>
    </row>
    <row r="335" spans="19:22" x14ac:dyDescent="0.45">
      <c r="S335" t="s">
        <v>232</v>
      </c>
      <c r="T335" t="s">
        <v>303</v>
      </c>
      <c r="U335">
        <v>0.11763431210609618</v>
      </c>
      <c r="V335" t="s">
        <v>163</v>
      </c>
    </row>
    <row r="336" spans="19:22" x14ac:dyDescent="0.45">
      <c r="S336" t="s">
        <v>232</v>
      </c>
      <c r="T336" t="s">
        <v>304</v>
      </c>
      <c r="U336">
        <v>0.1203234673977573</v>
      </c>
      <c r="V336" t="s">
        <v>163</v>
      </c>
    </row>
    <row r="337" spans="19:22" x14ac:dyDescent="0.45">
      <c r="S337" t="s">
        <v>232</v>
      </c>
      <c r="T337" t="s">
        <v>305</v>
      </c>
      <c r="U337">
        <v>2.447745299790317E-2</v>
      </c>
      <c r="V337" t="s">
        <v>163</v>
      </c>
    </row>
    <row r="338" spans="19:22" x14ac:dyDescent="0.45">
      <c r="S338" t="s">
        <v>232</v>
      </c>
      <c r="T338" t="s">
        <v>306</v>
      </c>
      <c r="U338">
        <v>0.10987794175253715</v>
      </c>
      <c r="V338" t="s">
        <v>163</v>
      </c>
    </row>
    <row r="339" spans="19:22" x14ac:dyDescent="0.45">
      <c r="S339" t="s">
        <v>232</v>
      </c>
      <c r="T339" t="s">
        <v>307</v>
      </c>
      <c r="U339">
        <v>0.11341509891042538</v>
      </c>
      <c r="V339" t="s">
        <v>163</v>
      </c>
    </row>
    <row r="340" spans="19:22" x14ac:dyDescent="0.45">
      <c r="S340" t="s">
        <v>232</v>
      </c>
      <c r="T340" t="s">
        <v>308</v>
      </c>
      <c r="U340">
        <v>2.1576870622846321E-2</v>
      </c>
      <c r="V340" t="s">
        <v>163</v>
      </c>
    </row>
    <row r="341" spans="19:22" x14ac:dyDescent="0.45">
      <c r="S341" t="s">
        <v>232</v>
      </c>
      <c r="T341" t="s">
        <v>309</v>
      </c>
      <c r="U341">
        <v>0.12178213844281963</v>
      </c>
      <c r="V341" t="s">
        <v>163</v>
      </c>
    </row>
    <row r="342" spans="19:22" x14ac:dyDescent="0.45">
      <c r="S342" t="s">
        <v>232</v>
      </c>
      <c r="T342" t="s">
        <v>310</v>
      </c>
      <c r="U342">
        <v>0.12242404469213866</v>
      </c>
      <c r="V342" t="s">
        <v>163</v>
      </c>
    </row>
    <row r="343" spans="19:22" x14ac:dyDescent="0.45">
      <c r="S343" t="s">
        <v>232</v>
      </c>
      <c r="T343" t="s">
        <v>311</v>
      </c>
      <c r="U343">
        <v>2.3454982965141227E-2</v>
      </c>
      <c r="V343" t="s">
        <v>163</v>
      </c>
    </row>
    <row r="344" spans="19:22" x14ac:dyDescent="0.45">
      <c r="S344" t="s">
        <v>232</v>
      </c>
      <c r="T344" t="s">
        <v>312</v>
      </c>
      <c r="U344">
        <v>0.10406043685697461</v>
      </c>
      <c r="V344" t="s">
        <v>163</v>
      </c>
    </row>
    <row r="345" spans="19:22" x14ac:dyDescent="0.45">
      <c r="S345" t="s">
        <v>232</v>
      </c>
      <c r="T345" t="s">
        <v>313</v>
      </c>
      <c r="U345">
        <v>0.10103101436992554</v>
      </c>
      <c r="V345" t="s">
        <v>163</v>
      </c>
    </row>
    <row r="346" spans="19:22" x14ac:dyDescent="0.45">
      <c r="S346" t="s">
        <v>232</v>
      </c>
      <c r="T346" t="s">
        <v>314</v>
      </c>
      <c r="U346">
        <v>1.9942238885436787E-2</v>
      </c>
      <c r="V346" t="s">
        <v>163</v>
      </c>
    </row>
    <row r="347" spans="19:22" x14ac:dyDescent="0.45">
      <c r="S347" t="s">
        <v>233</v>
      </c>
      <c r="T347" t="s">
        <v>303</v>
      </c>
      <c r="U347">
        <v>9.8836166490462382E-2</v>
      </c>
      <c r="V347" t="s">
        <v>163</v>
      </c>
    </row>
    <row r="348" spans="19:22" x14ac:dyDescent="0.45">
      <c r="S348" t="s">
        <v>233</v>
      </c>
      <c r="T348" t="s">
        <v>304</v>
      </c>
      <c r="U348">
        <v>0.12066860219860735</v>
      </c>
      <c r="V348" t="s">
        <v>163</v>
      </c>
    </row>
    <row r="349" spans="19:22" x14ac:dyDescent="0.45">
      <c r="S349" t="s">
        <v>233</v>
      </c>
      <c r="T349" t="s">
        <v>305</v>
      </c>
      <c r="U349">
        <v>1.9469831077335326E-2</v>
      </c>
      <c r="V349" t="s">
        <v>163</v>
      </c>
    </row>
    <row r="350" spans="19:22" x14ac:dyDescent="0.45">
      <c r="S350" t="s">
        <v>233</v>
      </c>
      <c r="T350" t="s">
        <v>306</v>
      </c>
      <c r="U350">
        <v>0.11066616686766956</v>
      </c>
      <c r="V350" t="s">
        <v>163</v>
      </c>
    </row>
    <row r="351" spans="19:22" x14ac:dyDescent="0.45">
      <c r="S351" t="s">
        <v>233</v>
      </c>
      <c r="T351" t="s">
        <v>307</v>
      </c>
      <c r="U351">
        <v>0.11380875152207968</v>
      </c>
      <c r="V351" t="s">
        <v>163</v>
      </c>
    </row>
    <row r="352" spans="19:22" x14ac:dyDescent="0.45">
      <c r="S352" t="s">
        <v>233</v>
      </c>
      <c r="T352" t="s">
        <v>308</v>
      </c>
      <c r="U352">
        <v>1.9635349030859589E-2</v>
      </c>
      <c r="V352" t="s">
        <v>163</v>
      </c>
    </row>
    <row r="353" spans="19:22" x14ac:dyDescent="0.45">
      <c r="S353" t="s">
        <v>233</v>
      </c>
      <c r="T353" t="s">
        <v>309</v>
      </c>
      <c r="U353">
        <v>0.12449081179928249</v>
      </c>
      <c r="V353" t="s">
        <v>163</v>
      </c>
    </row>
    <row r="354" spans="19:22" x14ac:dyDescent="0.45">
      <c r="S354" t="s">
        <v>233</v>
      </c>
      <c r="T354" t="s">
        <v>310</v>
      </c>
      <c r="U354">
        <v>0.1268626086834829</v>
      </c>
      <c r="V354" t="s">
        <v>163</v>
      </c>
    </row>
    <row r="355" spans="19:22" x14ac:dyDescent="0.45">
      <c r="S355" t="s">
        <v>233</v>
      </c>
      <c r="T355" t="s">
        <v>311</v>
      </c>
      <c r="U355">
        <v>2.3089069773450561E-2</v>
      </c>
      <c r="V355" t="s">
        <v>163</v>
      </c>
    </row>
    <row r="356" spans="19:22" x14ac:dyDescent="0.45">
      <c r="S356" t="s">
        <v>233</v>
      </c>
      <c r="T356" t="s">
        <v>312</v>
      </c>
      <c r="U356">
        <v>0.11339871525903476</v>
      </c>
      <c r="V356" t="s">
        <v>163</v>
      </c>
    </row>
    <row r="357" spans="19:22" x14ac:dyDescent="0.45">
      <c r="S357" t="s">
        <v>233</v>
      </c>
      <c r="T357" t="s">
        <v>313</v>
      </c>
      <c r="U357">
        <v>0.10906697221795497</v>
      </c>
      <c r="V357" t="s">
        <v>163</v>
      </c>
    </row>
    <row r="358" spans="19:22" x14ac:dyDescent="0.45">
      <c r="S358" t="s">
        <v>233</v>
      </c>
      <c r="T358" t="s">
        <v>314</v>
      </c>
      <c r="U358">
        <v>2.0006955079779454E-2</v>
      </c>
      <c r="V358" t="s">
        <v>163</v>
      </c>
    </row>
    <row r="359" spans="19:22" x14ac:dyDescent="0.45">
      <c r="S359" t="s">
        <v>234</v>
      </c>
      <c r="T359" t="s">
        <v>303</v>
      </c>
      <c r="U359">
        <v>0.11375978564095607</v>
      </c>
      <c r="V359" t="s">
        <v>163</v>
      </c>
    </row>
    <row r="360" spans="19:22" x14ac:dyDescent="0.45">
      <c r="S360" t="s">
        <v>234</v>
      </c>
      <c r="T360" t="s">
        <v>304</v>
      </c>
      <c r="U360">
        <v>0.12221889818308286</v>
      </c>
      <c r="V360" t="s">
        <v>163</v>
      </c>
    </row>
    <row r="361" spans="19:22" x14ac:dyDescent="0.45">
      <c r="S361" t="s">
        <v>234</v>
      </c>
      <c r="T361" t="s">
        <v>305</v>
      </c>
      <c r="U361">
        <v>2.0083765112268951E-2</v>
      </c>
      <c r="V361" t="s">
        <v>163</v>
      </c>
    </row>
    <row r="362" spans="19:22" x14ac:dyDescent="0.45">
      <c r="S362" t="s">
        <v>234</v>
      </c>
      <c r="T362" t="s">
        <v>306</v>
      </c>
      <c r="U362">
        <v>0.10768378398079843</v>
      </c>
      <c r="V362" t="s">
        <v>163</v>
      </c>
    </row>
    <row r="363" spans="19:22" x14ac:dyDescent="0.45">
      <c r="S363" t="s">
        <v>234</v>
      </c>
      <c r="T363" t="s">
        <v>307</v>
      </c>
      <c r="U363">
        <v>0.11137506327831019</v>
      </c>
      <c r="V363" t="s">
        <v>163</v>
      </c>
    </row>
    <row r="364" spans="19:22" x14ac:dyDescent="0.45">
      <c r="S364" t="s">
        <v>234</v>
      </c>
      <c r="T364" t="s">
        <v>308</v>
      </c>
      <c r="U364">
        <v>1.9053419819596067E-2</v>
      </c>
      <c r="V364" t="s">
        <v>163</v>
      </c>
    </row>
    <row r="365" spans="19:22" x14ac:dyDescent="0.45">
      <c r="S365" t="s">
        <v>234</v>
      </c>
      <c r="T365" t="s">
        <v>309</v>
      </c>
      <c r="U365">
        <v>0.1231603463811822</v>
      </c>
      <c r="V365" t="s">
        <v>163</v>
      </c>
    </row>
    <row r="366" spans="19:22" x14ac:dyDescent="0.45">
      <c r="S366" t="s">
        <v>234</v>
      </c>
      <c r="T366" t="s">
        <v>310</v>
      </c>
      <c r="U366">
        <v>0.12829246465487545</v>
      </c>
      <c r="V366" t="s">
        <v>163</v>
      </c>
    </row>
    <row r="367" spans="19:22" x14ac:dyDescent="0.45">
      <c r="S367" t="s">
        <v>234</v>
      </c>
      <c r="T367" t="s">
        <v>311</v>
      </c>
      <c r="U367">
        <v>2.2807034991517577E-2</v>
      </c>
      <c r="V367" t="s">
        <v>163</v>
      </c>
    </row>
    <row r="368" spans="19:22" x14ac:dyDescent="0.45">
      <c r="S368" t="s">
        <v>234</v>
      </c>
      <c r="T368" t="s">
        <v>312</v>
      </c>
      <c r="U368">
        <v>0.10648821446666115</v>
      </c>
      <c r="V368" t="s">
        <v>163</v>
      </c>
    </row>
    <row r="369" spans="19:22" x14ac:dyDescent="0.45">
      <c r="S369" t="s">
        <v>234</v>
      </c>
      <c r="T369" t="s">
        <v>313</v>
      </c>
      <c r="U369">
        <v>0.1061659390361611</v>
      </c>
      <c r="V369" t="s">
        <v>163</v>
      </c>
    </row>
    <row r="370" spans="19:22" x14ac:dyDescent="0.45">
      <c r="S370" t="s">
        <v>234</v>
      </c>
      <c r="T370" t="s">
        <v>314</v>
      </c>
      <c r="U370">
        <v>1.8911284454586497E-2</v>
      </c>
      <c r="V370" t="s">
        <v>163</v>
      </c>
    </row>
    <row r="371" spans="19:22" x14ac:dyDescent="0.45">
      <c r="S371" t="s">
        <v>235</v>
      </c>
      <c r="T371" t="s">
        <v>303</v>
      </c>
      <c r="U371">
        <v>0.12410705123386702</v>
      </c>
      <c r="V371" t="s">
        <v>163</v>
      </c>
    </row>
    <row r="372" spans="19:22" x14ac:dyDescent="0.45">
      <c r="S372" t="s">
        <v>235</v>
      </c>
      <c r="T372" t="s">
        <v>304</v>
      </c>
      <c r="U372">
        <v>0.12944192455092618</v>
      </c>
      <c r="V372" t="s">
        <v>163</v>
      </c>
    </row>
    <row r="373" spans="19:22" x14ac:dyDescent="0.45">
      <c r="S373" t="s">
        <v>235</v>
      </c>
      <c r="T373" t="s">
        <v>305</v>
      </c>
      <c r="U373">
        <v>2.1778649065768162E-2</v>
      </c>
      <c r="V373" t="s">
        <v>163</v>
      </c>
    </row>
    <row r="374" spans="19:22" x14ac:dyDescent="0.45">
      <c r="S374" t="s">
        <v>235</v>
      </c>
      <c r="T374" t="s">
        <v>306</v>
      </c>
      <c r="U374">
        <v>0.10352260452379709</v>
      </c>
      <c r="V374" t="s">
        <v>163</v>
      </c>
    </row>
    <row r="375" spans="19:22" x14ac:dyDescent="0.45">
      <c r="S375" t="s">
        <v>235</v>
      </c>
      <c r="T375" t="s">
        <v>307</v>
      </c>
      <c r="U375">
        <v>0.10413240206888788</v>
      </c>
      <c r="V375" t="s">
        <v>163</v>
      </c>
    </row>
    <row r="376" spans="19:22" x14ac:dyDescent="0.45">
      <c r="S376" t="s">
        <v>235</v>
      </c>
      <c r="T376" t="s">
        <v>308</v>
      </c>
      <c r="U376">
        <v>1.9582539810636894E-2</v>
      </c>
      <c r="V376" t="s">
        <v>163</v>
      </c>
    </row>
    <row r="377" spans="19:22" x14ac:dyDescent="0.45">
      <c r="S377" t="s">
        <v>235</v>
      </c>
      <c r="T377" t="s">
        <v>309</v>
      </c>
      <c r="U377">
        <v>0.1274397380955464</v>
      </c>
      <c r="V377" t="s">
        <v>163</v>
      </c>
    </row>
    <row r="378" spans="19:22" x14ac:dyDescent="0.45">
      <c r="S378" t="s">
        <v>235</v>
      </c>
      <c r="T378" t="s">
        <v>310</v>
      </c>
      <c r="U378">
        <v>0.12943128057264744</v>
      </c>
      <c r="V378" t="s">
        <v>163</v>
      </c>
    </row>
    <row r="379" spans="19:22" x14ac:dyDescent="0.45">
      <c r="S379" t="s">
        <v>235</v>
      </c>
      <c r="T379" t="s">
        <v>311</v>
      </c>
      <c r="U379">
        <v>2.2665736868761648E-2</v>
      </c>
      <c r="V379" t="s">
        <v>163</v>
      </c>
    </row>
    <row r="380" spans="19:22" x14ac:dyDescent="0.45">
      <c r="S380" t="s">
        <v>235</v>
      </c>
      <c r="T380" t="s">
        <v>312</v>
      </c>
      <c r="U380">
        <v>9.4991087532311974E-2</v>
      </c>
      <c r="V380" t="s">
        <v>163</v>
      </c>
    </row>
    <row r="381" spans="19:22" x14ac:dyDescent="0.45">
      <c r="S381" t="s">
        <v>235</v>
      </c>
      <c r="T381" t="s">
        <v>313</v>
      </c>
      <c r="U381">
        <v>0.10401307087588325</v>
      </c>
      <c r="V381" t="s">
        <v>163</v>
      </c>
    </row>
    <row r="382" spans="19:22" x14ac:dyDescent="0.45">
      <c r="S382" t="s">
        <v>235</v>
      </c>
      <c r="T382" t="s">
        <v>314</v>
      </c>
      <c r="U382">
        <v>1.889391480096313E-2</v>
      </c>
      <c r="V382" t="s">
        <v>163</v>
      </c>
    </row>
    <row r="383" spans="19:22" x14ac:dyDescent="0.45">
      <c r="S383" t="s">
        <v>236</v>
      </c>
      <c r="T383" t="s">
        <v>303</v>
      </c>
      <c r="U383">
        <v>0.13787935340451626</v>
      </c>
      <c r="V383" t="s">
        <v>163</v>
      </c>
    </row>
    <row r="384" spans="19:22" x14ac:dyDescent="0.45">
      <c r="S384" t="s">
        <v>236</v>
      </c>
      <c r="T384" t="s">
        <v>304</v>
      </c>
      <c r="U384">
        <v>0.13532130613941329</v>
      </c>
      <c r="V384" t="s">
        <v>163</v>
      </c>
    </row>
    <row r="385" spans="19:22" x14ac:dyDescent="0.45">
      <c r="S385" t="s">
        <v>236</v>
      </c>
      <c r="T385" t="s">
        <v>305</v>
      </c>
      <c r="U385">
        <v>2.7659005594295728E-2</v>
      </c>
      <c r="V385" t="s">
        <v>163</v>
      </c>
    </row>
    <row r="386" spans="19:22" x14ac:dyDescent="0.45">
      <c r="S386" t="s">
        <v>236</v>
      </c>
      <c r="T386" t="s">
        <v>306</v>
      </c>
      <c r="U386">
        <v>9.6566794836813477E-2</v>
      </c>
      <c r="V386" t="s">
        <v>163</v>
      </c>
    </row>
    <row r="387" spans="19:22" x14ac:dyDescent="0.45">
      <c r="S387" t="s">
        <v>236</v>
      </c>
      <c r="T387" t="s">
        <v>307</v>
      </c>
      <c r="U387">
        <v>9.5199974744647142E-2</v>
      </c>
      <c r="V387" t="s">
        <v>163</v>
      </c>
    </row>
    <row r="388" spans="19:22" x14ac:dyDescent="0.45">
      <c r="S388" t="s">
        <v>236</v>
      </c>
      <c r="T388" t="s">
        <v>308</v>
      </c>
      <c r="U388">
        <v>1.846170478855836E-2</v>
      </c>
      <c r="V388" t="s">
        <v>163</v>
      </c>
    </row>
    <row r="389" spans="19:22" x14ac:dyDescent="0.45">
      <c r="S389" t="s">
        <v>236</v>
      </c>
      <c r="T389" t="s">
        <v>309</v>
      </c>
      <c r="U389">
        <v>0.12089493717642846</v>
      </c>
      <c r="V389" t="s">
        <v>163</v>
      </c>
    </row>
    <row r="390" spans="19:22" x14ac:dyDescent="0.45">
      <c r="S390" t="s">
        <v>236</v>
      </c>
      <c r="T390" t="s">
        <v>310</v>
      </c>
      <c r="U390">
        <v>0.12343710110190614</v>
      </c>
      <c r="V390" t="s">
        <v>163</v>
      </c>
    </row>
    <row r="391" spans="19:22" x14ac:dyDescent="0.45">
      <c r="S391" t="s">
        <v>236</v>
      </c>
      <c r="T391" t="s">
        <v>311</v>
      </c>
      <c r="U391">
        <v>2.3009658713639594E-2</v>
      </c>
      <c r="V391" t="s">
        <v>163</v>
      </c>
    </row>
    <row r="392" spans="19:22" x14ac:dyDescent="0.45">
      <c r="S392" t="s">
        <v>236</v>
      </c>
      <c r="T392" t="s">
        <v>312</v>
      </c>
      <c r="U392">
        <v>9.8119292100332683E-2</v>
      </c>
      <c r="V392" t="s">
        <v>163</v>
      </c>
    </row>
    <row r="393" spans="19:22" x14ac:dyDescent="0.45">
      <c r="S393" t="s">
        <v>236</v>
      </c>
      <c r="T393" t="s">
        <v>313</v>
      </c>
      <c r="U393">
        <v>0.10264000684374516</v>
      </c>
      <c r="V393" t="s">
        <v>163</v>
      </c>
    </row>
    <row r="394" spans="19:22" x14ac:dyDescent="0.45">
      <c r="S394" t="s">
        <v>236</v>
      </c>
      <c r="T394" t="s">
        <v>314</v>
      </c>
      <c r="U394">
        <v>2.0810864555702555E-2</v>
      </c>
      <c r="V394" t="s">
        <v>163</v>
      </c>
    </row>
    <row r="395" spans="19:22" x14ac:dyDescent="0.45">
      <c r="S395" t="s">
        <v>237</v>
      </c>
      <c r="T395" t="s">
        <v>303</v>
      </c>
      <c r="U395">
        <v>0.12991707634764427</v>
      </c>
      <c r="V395" t="s">
        <v>163</v>
      </c>
    </row>
    <row r="396" spans="19:22" x14ac:dyDescent="0.45">
      <c r="S396" t="s">
        <v>237</v>
      </c>
      <c r="T396" t="s">
        <v>304</v>
      </c>
      <c r="U396">
        <v>0.12540959269875013</v>
      </c>
      <c r="V396" t="s">
        <v>163</v>
      </c>
    </row>
    <row r="397" spans="19:22" x14ac:dyDescent="0.45">
      <c r="S397" t="s">
        <v>237</v>
      </c>
      <c r="T397" t="s">
        <v>305</v>
      </c>
      <c r="U397">
        <v>2.39722436118989E-2</v>
      </c>
      <c r="V397" t="s">
        <v>163</v>
      </c>
    </row>
    <row r="398" spans="19:22" x14ac:dyDescent="0.45">
      <c r="S398" t="s">
        <v>237</v>
      </c>
      <c r="T398" t="s">
        <v>306</v>
      </c>
      <c r="U398">
        <v>0.10539268647178159</v>
      </c>
      <c r="V398" t="s">
        <v>163</v>
      </c>
    </row>
    <row r="399" spans="19:22" x14ac:dyDescent="0.45">
      <c r="S399" t="s">
        <v>237</v>
      </c>
      <c r="T399" t="s">
        <v>307</v>
      </c>
      <c r="U399">
        <v>0.10458537913397814</v>
      </c>
      <c r="V399" t="s">
        <v>163</v>
      </c>
    </row>
    <row r="400" spans="19:22" x14ac:dyDescent="0.45">
      <c r="S400" t="s">
        <v>237</v>
      </c>
      <c r="T400" t="s">
        <v>308</v>
      </c>
      <c r="U400">
        <v>2.0120261229496381E-2</v>
      </c>
      <c r="V400" t="s">
        <v>163</v>
      </c>
    </row>
    <row r="401" spans="19:22" x14ac:dyDescent="0.45">
      <c r="S401" t="s">
        <v>237</v>
      </c>
      <c r="T401" t="s">
        <v>309</v>
      </c>
      <c r="U401">
        <v>0.11396276265193385</v>
      </c>
      <c r="V401" t="s">
        <v>163</v>
      </c>
    </row>
    <row r="402" spans="19:22" x14ac:dyDescent="0.45">
      <c r="S402" t="s">
        <v>237</v>
      </c>
      <c r="T402" t="s">
        <v>310</v>
      </c>
      <c r="U402">
        <v>0.11701108862156309</v>
      </c>
      <c r="V402" t="s">
        <v>163</v>
      </c>
    </row>
    <row r="403" spans="19:22" x14ac:dyDescent="0.45">
      <c r="S403" t="s">
        <v>237</v>
      </c>
      <c r="T403" t="s">
        <v>311</v>
      </c>
      <c r="U403">
        <v>2.0812851671103486E-2</v>
      </c>
      <c r="V403" t="s">
        <v>163</v>
      </c>
    </row>
    <row r="404" spans="19:22" x14ac:dyDescent="0.45">
      <c r="S404" t="s">
        <v>237</v>
      </c>
      <c r="T404" t="s">
        <v>312</v>
      </c>
      <c r="U404">
        <v>0.10807638094363586</v>
      </c>
      <c r="V404" t="s">
        <v>163</v>
      </c>
    </row>
    <row r="405" spans="19:22" x14ac:dyDescent="0.45">
      <c r="S405" t="s">
        <v>237</v>
      </c>
      <c r="T405" t="s">
        <v>313</v>
      </c>
      <c r="U405">
        <v>0.10882604918140559</v>
      </c>
      <c r="V405" t="s">
        <v>163</v>
      </c>
    </row>
    <row r="406" spans="19:22" x14ac:dyDescent="0.45">
      <c r="S406" t="s">
        <v>237</v>
      </c>
      <c r="T406" t="s">
        <v>314</v>
      </c>
      <c r="U406">
        <v>2.1913627436802904E-2</v>
      </c>
      <c r="V406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Veda</vt:lpstr>
      <vt:lpstr>fuel_prices</vt:lpstr>
      <vt:lpstr>iea_data</vt:lpstr>
      <vt:lpstr>ar6_r10</vt:lpstr>
      <vt:lpstr>ev_charging_uc</vt:lpstr>
      <vt:lpstr>ts_012</vt:lpstr>
      <vt:lpstr>ts_048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2025-09-25T12:06:07Z</dcterms:modified>
</cp:coreProperties>
</file>