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ZL_grids\SuppXLS\"/>
    </mc:Choice>
  </mc:AlternateContent>
  <xr:revisionPtr revIDLastSave="0" documentId="8_{64FBBCA5-F987-4B3B-8926-AFDC49A01FA7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rids" sheetId="5" r:id="rId1"/>
    <sheet name="Veda" sheetId="1" r:id="rId2"/>
    <sheet name="buildrates" sheetId="4" r:id="rId3"/>
    <sheet name="historical_data_long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D5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<sst xmlns="http://schemas.openxmlformats.org/spreadsheetml/2006/main" count="2720" uniqueCount="488">
  <si>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</si>
  <si>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</si>
  <si>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</si>
  <si>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</si>
  <si>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</si>
  <si>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</si>
  <si>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</si>
  <si>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</si>
  <si>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</si>
  <si>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</si>
  <si>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</si>
  <si>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</si>
  <si>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</si>
  <si>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</si>
  <si>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</si>
  <si>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</si>
  <si>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</si>
  <si>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</si>
  <si>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</si>
  <si>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</si>
  <si>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</si>
  <si>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</si>
  <si>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</si>
  <si>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</si>
  <si>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</si>
  <si>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</si>
  <si>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</si>
  <si>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</si>
  <si>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</si>
  <si>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</si>
  <si>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</si>
  <si>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</si>
  <si>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</si>
  <si>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</si>
  <si>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</si>
  <si>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</si>
  <si>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</si>
  <si>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</si>
  <si>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</si>
  <si>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</si>
  <si>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</si>
  <si>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</si>
  <si>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</si>
  <si>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</si>
  <si>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</si>
  <si>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</si>
  <si>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</si>
  <si>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</si>
  <si>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</si>
  <si>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</si>
  <si>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</si>
  <si>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</si>
  <si>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</si>
  <si>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</si>
  <si>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</si>
  <si>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</si>
  <si>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</si>
  <si>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</si>
  <si>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</si>
  <si>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</si>
  <si>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</si>
  <si>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</si>
  <si>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</si>
  <si>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</si>
  <si>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</si>
  <si>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</si>
  <si>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</si>
  <si>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</si>
  <si>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</si>
  <si>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</si>
  <si>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</si>
  <si>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</si>
  <si>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</si>
  <si>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</si>
  <si>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</si>
  <si>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</si>
  <si>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</si>
  <si>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</si>
  <si>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</si>
  <si>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</si>
  <si>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</si>
  <si>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</si>
  <si>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</si>
  <si>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</si>
  <si>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</si>
  <si>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</si>
  <si>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</si>
  <si>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geothermal</t>
  </si>
  <si>
    <t>windon</t>
  </si>
  <si>
    <t>BUILD RATE ASSUMPTIONS</t>
  </si>
  <si>
    <t>iso</t>
  </si>
  <si>
    <t>NZL</t>
  </si>
  <si>
    <t>pasti</t>
  </si>
  <si>
    <t>ncap_cost</t>
  </si>
  <si>
    <t>efficiency</t>
  </si>
  <si>
    <t>g_NZ1-220-w87897292-220</t>
  </si>
  <si>
    <t>g_NZ10-220-NZ8-220</t>
  </si>
  <si>
    <t>g_NZ11-220-NZ12-220</t>
  </si>
  <si>
    <t>g_NZ11-220-NZ6-220</t>
  </si>
  <si>
    <t>g_NZ12-220-NZ11-220</t>
  </si>
  <si>
    <t>g_NZ13-220-w167283894-220</t>
  </si>
  <si>
    <t>g_NZ16-220-w275188676-220</t>
  </si>
  <si>
    <t>g_NZ17-220-w1034927052-220</t>
  </si>
  <si>
    <t>g_NZ18-220-w89411122-220</t>
  </si>
  <si>
    <t>g_NZ19-220-w89411122-220</t>
  </si>
  <si>
    <t>g_NZ2-220-NZ3-220</t>
  </si>
  <si>
    <t>g_NZ2-220-w156094589-220</t>
  </si>
  <si>
    <t>g_NZ20-220-NZ22-220</t>
  </si>
  <si>
    <t>g_NZ20-220-NZ23-220</t>
  </si>
  <si>
    <t>g_NZ21-220-NZ22-220</t>
  </si>
  <si>
    <t>g_NZ22-220-NZ21-220</t>
  </si>
  <si>
    <t>g_NZ24-220-w167285336-220</t>
  </si>
  <si>
    <t>g_NZ25-220-NZ24-220</t>
  </si>
  <si>
    <t>g_NZ26-220-w167285336-220</t>
  </si>
  <si>
    <t>g_NZ27-220-w167705537-220</t>
  </si>
  <si>
    <t>g_NZ28-220-NZ29-220</t>
  </si>
  <si>
    <t>g_NZ29-220-w268826084-220</t>
  </si>
  <si>
    <t>g_NZ3-220-NZ2-220</t>
  </si>
  <si>
    <t>g_NZ30-220-w270012796-220</t>
  </si>
  <si>
    <t>g_NZ31-220-NZ34-220</t>
  </si>
  <si>
    <t>g_NZ32-220-w167286837-220</t>
  </si>
  <si>
    <t>g_NZ32-220-w268826084-220</t>
  </si>
  <si>
    <t>g_NZ34-220-w170300247-220</t>
  </si>
  <si>
    <t>g_NZ34-220-w89664063-220</t>
  </si>
  <si>
    <t>g_NZ36-220-NZ37-220</t>
  </si>
  <si>
    <t>g_NZ36-220-w89636266-220</t>
  </si>
  <si>
    <t>g_NZ37-220-w89635947-220</t>
  </si>
  <si>
    <t>g_NZ39-220-w89637173-220</t>
  </si>
  <si>
    <t>g_NZ4-220-w235066414-220</t>
  </si>
  <si>
    <t>g_NZ4-220-w61455399-220</t>
  </si>
  <si>
    <t>g_NZ40-220-w180514007-220</t>
  </si>
  <si>
    <t>g_NZ40-220-w180519027-220</t>
  </si>
  <si>
    <t>g_NZ41-220-w268841395-220</t>
  </si>
  <si>
    <t>g_NZ42-220-w270521928-220</t>
  </si>
  <si>
    <t>g_NZ43-220-w272195826-220</t>
  </si>
  <si>
    <t>g_NZ5-220-NZ3-220</t>
  </si>
  <si>
    <t>g_NZ5-220-NZ6-220</t>
  </si>
  <si>
    <t>g_NZ6-220-NZ5-220</t>
  </si>
  <si>
    <t>g_NZ7-220-w167177413-220</t>
  </si>
  <si>
    <t>g_NZ7-220-w167293888-220</t>
  </si>
  <si>
    <t>g_NZ9-220-w167293888-220</t>
  </si>
  <si>
    <t>g_NZ9-220-w187858674-220</t>
  </si>
  <si>
    <t>g_r17609399-220-w167427251-220</t>
  </si>
  <si>
    <t>g_r17609399-220-w95344674-220</t>
  </si>
  <si>
    <t>g_w100957314-220-NZ28-220</t>
  </si>
  <si>
    <t>g_w1018655038-220-w87837416-220</t>
  </si>
  <si>
    <t>g_w1034927052-220-w167285260-220</t>
  </si>
  <si>
    <t>g_w1099619174-220-w33795353-220</t>
  </si>
  <si>
    <t>g_w1167708390-220-w1026587442-220</t>
  </si>
  <si>
    <t>g_w119877500-220-w270022030-220</t>
  </si>
  <si>
    <t>g_w1363994055-220-w907631032-220</t>
  </si>
  <si>
    <t>g_w148300699-220-NZ13-220</t>
  </si>
  <si>
    <t>g_w161270797-220-w1363994055-220</t>
  </si>
  <si>
    <t>g_w161270797-220-w82881422-220</t>
  </si>
  <si>
    <t>g_w167177413-220-NZ7-220</t>
  </si>
  <si>
    <t>g_w167177413-220-NZ8-220</t>
  </si>
  <si>
    <t>g_w167285260-220-NZ15-220</t>
  </si>
  <si>
    <t>g_w167285260-220-NZ20-220</t>
  </si>
  <si>
    <t>g_w167285260-220-w270018358-220</t>
  </si>
  <si>
    <t>g_w167285260-220-w270554679-220</t>
  </si>
  <si>
    <t>g_w167285336-220-NZ18-220</t>
  </si>
  <si>
    <t>g_w167285336-220-NZ19-220</t>
  </si>
  <si>
    <t>g_w167285336-220-NZ23-220</t>
  </si>
  <si>
    <t>g_w167285336-220-w95344674-220</t>
  </si>
  <si>
    <t>g_w167300914-220-NZ25-220</t>
  </si>
  <si>
    <t>g_w167300914-220-w1167708390-220</t>
  </si>
  <si>
    <t>g_w167300914-220-w93713118-220</t>
  </si>
  <si>
    <t>g_w167427251-220-NZ9-220</t>
  </si>
  <si>
    <t>g_w167572576-220-NZ24-220</t>
  </si>
  <si>
    <t>g_w167705537-220-NZ27-220</t>
  </si>
  <si>
    <t>g_w169512273-220-w87928925-220</t>
  </si>
  <si>
    <t>g_w170300247-220-NZ32-220</t>
  </si>
  <si>
    <t>g_w170300247-220-w89635947-220</t>
  </si>
  <si>
    <t>g_w180514007-220-NZ43-220</t>
  </si>
  <si>
    <t>g_w180514007-220-w270521928-220</t>
  </si>
  <si>
    <t>g_w180514007-220-w414953388-220</t>
  </si>
  <si>
    <t>g_w180519027-220-w170300247-220</t>
  </si>
  <si>
    <t>g_w191346761-220-NZ23-220</t>
  </si>
  <si>
    <t>g_w235066414-220-w188180344-220</t>
  </si>
  <si>
    <t>g_w235066414-220-w90098853-220</t>
  </si>
  <si>
    <t>g_w26671244-220-NZ1-220</t>
  </si>
  <si>
    <t>g_w26671244-220-w61853727-220</t>
  </si>
  <si>
    <t>g_w268841395-220-NZ41-220</t>
  </si>
  <si>
    <t>g_w268841395-220-NZ42-220</t>
  </si>
  <si>
    <t>g_w268841395-220-w412588974-220</t>
  </si>
  <si>
    <t>g_w270012796-220-NZ30-220</t>
  </si>
  <si>
    <t>g_w270012796-220-NZ31-220</t>
  </si>
  <si>
    <t>g_w270022030-220-w167283894-220</t>
  </si>
  <si>
    <t>g_w270521928-220-w89637277-220</t>
  </si>
  <si>
    <t>g_w270554679-220-w255873374-220</t>
  </si>
  <si>
    <t>g_w270554679-220-w270556206-220</t>
  </si>
  <si>
    <t>g_w272195826-220-w268841395-220</t>
  </si>
  <si>
    <t>g_w272522517-220-NZ13-220</t>
  </si>
  <si>
    <t>g_w272522517-220-w167285260-220</t>
  </si>
  <si>
    <t>g_w275188676-220-NZ15-220</t>
  </si>
  <si>
    <t>g_w275188676-220-w87837416-220</t>
  </si>
  <si>
    <t>g_w33795353-220-NZ28-220</t>
  </si>
  <si>
    <t>g_w33795353-220-NZ31-220</t>
  </si>
  <si>
    <t>g_w33795353-220-w93827784-220</t>
  </si>
  <si>
    <t>g_w33795353-220-w95048289-220</t>
  </si>
  <si>
    <t>g_w341099346-220-w156094589-220</t>
  </si>
  <si>
    <t>g_w341099346-220-w75609279-220</t>
  </si>
  <si>
    <t>g_w359449581-220-w341099346-220</t>
  </si>
  <si>
    <t>g_w359449581-220-w75609279-220</t>
  </si>
  <si>
    <t>g_w409049317-220-w93419960-220</t>
  </si>
  <si>
    <t>g_w412588974-220-w272195826-220</t>
  </si>
  <si>
    <t>g_w412589726-220-NZ41-220</t>
  </si>
  <si>
    <t>g_w414953388-220-w94840399-220</t>
  </si>
  <si>
    <t>g_w61455399-220-NZ4-220</t>
  </si>
  <si>
    <t>g_w61853727-220-w161270797-220</t>
  </si>
  <si>
    <t>g_w61853727-220-w232382576-220</t>
  </si>
  <si>
    <t>g_w627162826-220-NZ26-220</t>
  </si>
  <si>
    <t>g_w75609279-220-w167177413-220</t>
  </si>
  <si>
    <t>g_w75609279-220-w61455399-220</t>
  </si>
  <si>
    <t>g_w849110529-220-w1018655038-220</t>
  </si>
  <si>
    <t>g_w849110529-220-w75609279-220</t>
  </si>
  <si>
    <t>g_w87837416-220-NZ10-220</t>
  </si>
  <si>
    <t>g_w87837416-220-NZ12-220</t>
  </si>
  <si>
    <t>g_w87837416-220-NZ14-220</t>
  </si>
  <si>
    <t>g_w87837416-220-NZ18-220</t>
  </si>
  <si>
    <t>g_w87837416-220-NZ19-220</t>
  </si>
  <si>
    <t>g_w87837416-220-w93556808-220</t>
  </si>
  <si>
    <t>g_w87897292-220-NZ1-220</t>
  </si>
  <si>
    <t>g_w87897292-220-w75609279-220</t>
  </si>
  <si>
    <t>g_w87928925-220-w87837416-220</t>
  </si>
  <si>
    <t>g_w89635947-220-NZ35-220</t>
  </si>
  <si>
    <t>g_w89636266-220-NZ36-220</t>
  </si>
  <si>
    <t>g_w89636266-220-w89635947-220</t>
  </si>
  <si>
    <t>g_w89636510-220-NZ33-220</t>
  </si>
  <si>
    <t>g_w89636510-220-w170300247-220</t>
  </si>
  <si>
    <t>g_w89637174-220-NZ38-220</t>
  </si>
  <si>
    <t>g_w89637174-220-NZ39-220</t>
  </si>
  <si>
    <t>g_w89664063-220-NZ37-220</t>
  </si>
  <si>
    <t>g_w89664063-220-NZ38-220</t>
  </si>
  <si>
    <t>g_w89943957-220-w232382576-220</t>
  </si>
  <si>
    <t>g_w90092620-220-NZ42-220</t>
  </si>
  <si>
    <t>g_w90098853-220-w167293888-220</t>
  </si>
  <si>
    <t>g_w907631032-220-w359449581-220</t>
  </si>
  <si>
    <t>g_w93556808-220-w270022030-220</t>
  </si>
  <si>
    <t>g_w93556808-220-w272522517-220</t>
  </si>
  <si>
    <t>g_w93713118-220-NZ26-220</t>
  </si>
  <si>
    <t>g_w93713118-220-w95343089-220</t>
  </si>
  <si>
    <t>g_w94053861-220-NZ10-220</t>
  </si>
  <si>
    <t>g_w94840399-220-NZ39-220</t>
  </si>
  <si>
    <t>g_w94840399-220-w1099619174-220</t>
  </si>
  <si>
    <t>g_w95046918-220-w93827784-220</t>
  </si>
  <si>
    <t>g_w95048289-220-NZ27-220</t>
  </si>
  <si>
    <t>g_w95048289-220-w95046918-220</t>
  </si>
  <si>
    <t>g_w95344674-220-r17609399-220</t>
  </si>
  <si>
    <t>g_w95512216-220-w1034927052-220</t>
  </si>
  <si>
    <t>g_w95512216-220-w409049317-220</t>
  </si>
  <si>
    <t>~tfm_ins-at</t>
  </si>
  <si>
    <t>commodity</t>
  </si>
  <si>
    <t>flo_mark</t>
  </si>
  <si>
    <t>lim_type</t>
  </si>
  <si>
    <t>e_demand_w93713118-220</t>
  </si>
  <si>
    <t>elc_buildings,elc_transport,elc_industry,elc_roadtransport</t>
  </si>
  <si>
    <t>lo</t>
  </si>
  <si>
    <t>e_demand_w94053861-220</t>
  </si>
  <si>
    <t>e_demand_w95343089-220</t>
  </si>
  <si>
    <t>e_demand_w100957314-220</t>
  </si>
  <si>
    <t>e_demand_w119877500-220</t>
  </si>
  <si>
    <t>e_demand_w167300914-220</t>
  </si>
  <si>
    <t>e_demand_w167705537-220</t>
  </si>
  <si>
    <t>e_demand_w907631032-220</t>
  </si>
  <si>
    <t>e_demand_w1363994055-220</t>
  </si>
  <si>
    <t>e_demand_r17609399-220</t>
  </si>
  <si>
    <t>ev_battery_w93713118-220</t>
  </si>
  <si>
    <t>ev_battery_w94053861-220</t>
  </si>
  <si>
    <t>ev_battery_w95343089-220</t>
  </si>
  <si>
    <t>ev_battery_w100957314-220</t>
  </si>
  <si>
    <t>ev_battery_w119877500-220</t>
  </si>
  <si>
    <t>ev_battery_w167300914-220</t>
  </si>
  <si>
    <t>ev_battery_w167705537-220</t>
  </si>
  <si>
    <t>ev_battery_w907631032-220</t>
  </si>
  <si>
    <t>ev_battery_w1363994055-220</t>
  </si>
  <si>
    <t>ev_battery_r17609399-220</t>
  </si>
  <si>
    <t>H2prd_Elc_PEM_w93713118-220</t>
  </si>
  <si>
    <t>H2prd_Elc_PEM_w94053861-220</t>
  </si>
  <si>
    <t>H2prd_Elc_PEM_w95343089-220</t>
  </si>
  <si>
    <t>H2prd_Elc_PEM_w100957314-220</t>
  </si>
  <si>
    <t>H2prd_Elc_PEM_w119877500-220</t>
  </si>
  <si>
    <t>H2prd_Elc_PEM_w167300914-220</t>
  </si>
  <si>
    <t>H2prd_Elc_PEM_w167705537-220</t>
  </si>
  <si>
    <t>H2prd_Elc_PEM_w907631032-220</t>
  </si>
  <si>
    <t>H2prd_Elc_PEM_w1363994055-220</t>
  </si>
  <si>
    <t>H2prd_Elc_PEM_r17609399-220</t>
  </si>
  <si>
    <t>H2prd_Elc_ALK_w93713118-220</t>
  </si>
  <si>
    <t>H2prd_Elc_ALK_w94053861-220</t>
  </si>
  <si>
    <t>H2prd_Elc_ALK_w95343089-220</t>
  </si>
  <si>
    <t>H2prd_Elc_ALK_w100957314-220</t>
  </si>
  <si>
    <t>H2prd_Elc_ALK_w119877500-220</t>
  </si>
  <si>
    <t>H2prd_Elc_ALK_w167300914-220</t>
  </si>
  <si>
    <t>H2prd_Elc_ALK_w167705537-220</t>
  </si>
  <si>
    <t>H2prd_Elc_ALK_w907631032-220</t>
  </si>
  <si>
    <t>H2prd_Elc_ALK_w1363994055-220</t>
  </si>
  <si>
    <t>H2prd_Elc_ALK_r17609399-220</t>
  </si>
  <si>
    <t>~tfm_topins</t>
  </si>
  <si>
    <t>io</t>
  </si>
  <si>
    <t>e_w93713118-220</t>
  </si>
  <si>
    <t>IN</t>
  </si>
  <si>
    <t>e_w94053861-220</t>
  </si>
  <si>
    <t>e_w95343089-220</t>
  </si>
  <si>
    <t>e_w100957314-220</t>
  </si>
  <si>
    <t>e_w119877500-220</t>
  </si>
  <si>
    <t>e_w167300914-220</t>
  </si>
  <si>
    <t>e_w167705537-220</t>
  </si>
  <si>
    <t>e_w907631032-220</t>
  </si>
  <si>
    <t>e_w1363994055-220</t>
  </si>
  <si>
    <t>e_r17609399-220</t>
  </si>
  <si>
    <t>region</t>
  </si>
  <si>
    <t>Bioenergy + CCUS_w188180344-220</t>
  </si>
  <si>
    <t>e_w188180344-220</t>
  </si>
  <si>
    <t>OUT</t>
  </si>
  <si>
    <t>Bioenergy - Large scale unit_w188180344-220</t>
  </si>
  <si>
    <t>CCGT_w188180344-220</t>
  </si>
  <si>
    <t>CCGT + CCS_w188180344-220</t>
  </si>
  <si>
    <t>Coal + CCS_w188180344-220</t>
  </si>
  <si>
    <t>Gas turbine_w188180344-220</t>
  </si>
  <si>
    <t>IGCC_w188180344-220</t>
  </si>
  <si>
    <t>IGCC + CCS_w188180344-220</t>
  </si>
  <si>
    <t>Nuclear large_w188180344-220</t>
  </si>
  <si>
    <t>Oxyfuel + CCS_w188180344-220</t>
  </si>
  <si>
    <t>Steam Coal - SUBCRITICAL_w188180344-220</t>
  </si>
  <si>
    <t>Steam Coal - SUPERCRITICAL_w188180344-220</t>
  </si>
  <si>
    <t>Steam Coal - ULTRASUPERCRITICAL_w188180344-220</t>
  </si>
  <si>
    <t>Bioenergy + CCUS_w167293888-220</t>
  </si>
  <si>
    <t>e_w167293888-220</t>
  </si>
  <si>
    <t>Bioenergy - Large scale unit_w167293888-220</t>
  </si>
  <si>
    <t>CCGT_w167293888-220</t>
  </si>
  <si>
    <t>CCGT + CCS_w167293888-220</t>
  </si>
  <si>
    <t>Coal + CCS_w167293888-220</t>
  </si>
  <si>
    <t>Gas turbine_w167293888-220</t>
  </si>
  <si>
    <t>IGCC_w167293888-220</t>
  </si>
  <si>
    <t>IGCC + CCS_w167293888-220</t>
  </si>
  <si>
    <t>Nuclear large_w167293888-220</t>
  </si>
  <si>
    <t>Oxyfuel + CCS_w167293888-220</t>
  </si>
  <si>
    <t>Steam Coal - SUBCRITICAL_w167293888-220</t>
  </si>
  <si>
    <t>Steam Coal - SUPERCRITICAL_w167293888-220</t>
  </si>
  <si>
    <t>Steam Coal - ULTRASUPERCRITICAL_w167293888-220</t>
  </si>
  <si>
    <t>Bioenergy + CCUS_r17609399-220</t>
  </si>
  <si>
    <t>Bioenergy - Large scale unit_r17609399-220</t>
  </si>
  <si>
    <t>CCGT_r17609399-220</t>
  </si>
  <si>
    <t>CCGT + CCS_r17609399-220</t>
  </si>
  <si>
    <t>Coal + CCS_r17609399-220</t>
  </si>
  <si>
    <t>Gas turbine_r17609399-220</t>
  </si>
  <si>
    <t>IGCC_r17609399-220</t>
  </si>
  <si>
    <t>IGCC + CCS_r17609399-220</t>
  </si>
  <si>
    <t>Nuclear large_r17609399-220</t>
  </si>
  <si>
    <t>Oxyfuel + CCS_r17609399-220</t>
  </si>
  <si>
    <t>Steam Coal - SUBCRITICAL_r17609399-220</t>
  </si>
  <si>
    <t>Steam Coal - SUPERCRITICAL_r17609399-220</t>
  </si>
  <si>
    <t>Steam Coal - ULTRASUPERCRITICAL_r17609399-220</t>
  </si>
  <si>
    <t>EN_Hydro_NZ12-220</t>
  </si>
  <si>
    <t>e_NZ12-220</t>
  </si>
  <si>
    <t>EN_Hydro_w270018358-220</t>
  </si>
  <si>
    <t>e_w270018358-220</t>
  </si>
  <si>
    <t>EN_Hydro_w93556808-220</t>
  </si>
  <si>
    <t>e_w93556808-220</t>
  </si>
  <si>
    <t>EN_Hydro_w89637174-220</t>
  </si>
  <si>
    <t>e_w89637174-220</t>
  </si>
  <si>
    <t>EN_Hydro_w89664063-220</t>
  </si>
  <si>
    <t>e_w89664063-220</t>
  </si>
  <si>
    <t>EN_Hydro_NZ40-220</t>
  </si>
  <si>
    <t>e_NZ40-220</t>
  </si>
  <si>
    <t>EN_Hydro_NZ11-220</t>
  </si>
  <si>
    <t>e_NZ11-220</t>
  </si>
  <si>
    <t>EN_Hydro_w412589726-220</t>
  </si>
  <si>
    <t>e_w412589726-220</t>
  </si>
  <si>
    <t>EN_Hydro_w87928925-220</t>
  </si>
  <si>
    <t>e_w87928925-220</t>
  </si>
  <si>
    <t>EN_Hydro_NZ13-220</t>
  </si>
  <si>
    <t>e_NZ13-220</t>
  </si>
  <si>
    <t>EN_Hydro_w272522517-220</t>
  </si>
  <si>
    <t>e_w272522517-220</t>
  </si>
  <si>
    <t>EN_Hydro_NZ33-220</t>
  </si>
  <si>
    <t>e_NZ33-220</t>
  </si>
  <si>
    <t>EN_Hydro_NZ35-220</t>
  </si>
  <si>
    <t>e_NZ35-220</t>
  </si>
  <si>
    <t>EN_Hydro_w89636266-220</t>
  </si>
  <si>
    <t>e_w89636266-220</t>
  </si>
  <si>
    <t>EN_Hydro_NZ22-220</t>
  </si>
  <si>
    <t>e_NZ22-220</t>
  </si>
  <si>
    <t>EN_Hydro_w180514007-220</t>
  </si>
  <si>
    <t>e_w180514007-220</t>
  </si>
  <si>
    <t>EN_Hydro_NZ30-220</t>
  </si>
  <si>
    <t>e_NZ30-220</t>
  </si>
  <si>
    <t>EN_Hydro_w89411122-220</t>
  </si>
  <si>
    <t>e_w89411122-220</t>
  </si>
  <si>
    <t>EN_Hydro_w95512216-220</t>
  </si>
  <si>
    <t>e_w95512216-220</t>
  </si>
  <si>
    <t>EN_Hydro_w169512273-220</t>
  </si>
  <si>
    <t>e_w169512273-220</t>
  </si>
  <si>
    <t>EN_Hydro_w270521928-220</t>
  </si>
  <si>
    <t>e_w270521928-220</t>
  </si>
  <si>
    <t>EN_Hydro_w89637173-220</t>
  </si>
  <si>
    <t>e_w89637173-220</t>
  </si>
  <si>
    <t>EN_Hydro_NZ14-220</t>
  </si>
  <si>
    <t>e_NZ14-220</t>
  </si>
  <si>
    <t>EN_STG8hbNREL_w188180344-220</t>
  </si>
  <si>
    <t>EN_STG4hbNREL_w188180344-220</t>
  </si>
  <si>
    <t>EN_STG8hbNREL_w167293888-220</t>
  </si>
  <si>
    <t>EN_STG4hbNREL_w167293888-220</t>
  </si>
  <si>
    <t>EN_STG8hbNREL_r17609399-220</t>
  </si>
  <si>
    <t>EN_STG4hbNREL_r17609399-220</t>
  </si>
  <si>
    <t>EN_STG8hbNREL_w148300699-220</t>
  </si>
  <si>
    <t>e_w148300699-220</t>
  </si>
  <si>
    <t>EN_STG4hbNREL_w148300699-220</t>
  </si>
  <si>
    <t>EN_STG8hbNREL_NZ15-220</t>
  </si>
  <si>
    <t>e_NZ15-220</t>
  </si>
  <si>
    <t>EN_STG4hbNREL_NZ15-220</t>
  </si>
  <si>
    <t>EN_STG8hbNREL_w270554679-220</t>
  </si>
  <si>
    <t>e_w270554679-220</t>
  </si>
  <si>
    <t>EN_STG4hbNREL_w270554679-220</t>
  </si>
  <si>
    <t>EN_STG8hbNREL_w255873374-220</t>
  </si>
  <si>
    <t>e_w255873374-220</t>
  </si>
  <si>
    <t>EN_STG4hbNREL_w255873374-220</t>
  </si>
  <si>
    <t>EN_STG8hbNREL_w89943957-220</t>
  </si>
  <si>
    <t>e_w89943957-220</t>
  </si>
  <si>
    <t>EN_STG4hbNREL_w89943957-220</t>
  </si>
  <si>
    <t>EN_STG8hbNREL_w270556206-220</t>
  </si>
  <si>
    <t>e_w270556206-220</t>
  </si>
  <si>
    <t>EN_STG4hbNREL_w270556206-220</t>
  </si>
  <si>
    <t>EN_STG8hbNREL_NZ16-220</t>
  </si>
  <si>
    <t>e_NZ16-220</t>
  </si>
  <si>
    <t>EN_STG4hbNREL_NZ16-220</t>
  </si>
  <si>
    <t>EN_STG8hbNREL_NZ17-220</t>
  </si>
  <si>
    <t>e_NZ17-220</t>
  </si>
  <si>
    <t>EN_STG4hbNREL_NZ17-220</t>
  </si>
  <si>
    <t>EN_STG8hbNREL_w275188676-220</t>
  </si>
  <si>
    <t>e_w275188676-220</t>
  </si>
  <si>
    <t>EN_STG4hbNREL_w275188676-220</t>
  </si>
  <si>
    <t>EN_STG8hbNREL_w167285260-220</t>
  </si>
  <si>
    <t>e_w167285260-220</t>
  </si>
  <si>
    <t>EN_STG4hbNREL_w167285260-220</t>
  </si>
  <si>
    <t>EN_STG8hbNREL_NZ12-220</t>
  </si>
  <si>
    <t>EN_STG4hbNREL_NZ12-220</t>
  </si>
  <si>
    <t>EN_STG8hbNREL_w270018358-220</t>
  </si>
  <si>
    <t>EN_STG4hbNREL_w270018358-220</t>
  </si>
  <si>
    <t>EN_STG8hbNREL_w93556808-220</t>
  </si>
  <si>
    <t>EN_STG4hbNREL_w93556808-220</t>
  </si>
  <si>
    <t>EN_STG8hbNREL_w89637174-220</t>
  </si>
  <si>
    <t>EN_STG4hbNREL_w89637174-220</t>
  </si>
  <si>
    <t>EN_STG8hbNREL_w89664063-220</t>
  </si>
  <si>
    <t>EN_STG4hbNREL_w89664063-220</t>
  </si>
  <si>
    <t>EN_STG8hbNREL_NZ40-220</t>
  </si>
  <si>
    <t>EN_STG4hbNREL_NZ40-220</t>
  </si>
  <si>
    <t>EN_STG8hbNREL_NZ11-220</t>
  </si>
  <si>
    <t>EN_STG4hbNREL_NZ11-220</t>
  </si>
  <si>
    <t>EN_STG8hbNREL_w412589726-220</t>
  </si>
  <si>
    <t>EN_STG4hbNREL_w412589726-220</t>
  </si>
  <si>
    <t>EN_STG8hbNREL_w87928925-220</t>
  </si>
  <si>
    <t>EN_STG4hbNREL_w87928925-220</t>
  </si>
  <si>
    <t>EN_STG8hbNREL_NZ13-220</t>
  </si>
  <si>
    <t>EN_STG4hbNREL_NZ13-220</t>
  </si>
  <si>
    <t>EN_STG8hbNREL_w272522517-220</t>
  </si>
  <si>
    <t>EN_STG4hbNREL_w272522517-220</t>
  </si>
  <si>
    <t>EN_STG8hbNREL_NZ33-220</t>
  </si>
  <si>
    <t>EN_STG4hbNREL_NZ33-220</t>
  </si>
  <si>
    <t>EN_STG8hbNREL_NZ35-220</t>
  </si>
  <si>
    <t>EN_STG4hbNREL_NZ35-220</t>
  </si>
  <si>
    <t>EN_STG8hbNREL_w89636266-220</t>
  </si>
  <si>
    <t>EN_STG4hbNREL_w89636266-220</t>
  </si>
  <si>
    <t>EN_STG8hbNREL_NZ22-220</t>
  </si>
  <si>
    <t>EN_STG4hbNREL_NZ22-220</t>
  </si>
  <si>
    <t>EN_STG8hbNREL_w180514007-220</t>
  </si>
  <si>
    <t>EN_STG4hbNREL_w180514007-220</t>
  </si>
  <si>
    <t>EN_STG8hbNREL_NZ30-220</t>
  </si>
  <si>
    <t>EN_STG4hbNREL_NZ30-220</t>
  </si>
  <si>
    <t>EN_STG8hbNREL_w89411122-220</t>
  </si>
  <si>
    <t>EN_STG4hbNREL_w89411122-220</t>
  </si>
  <si>
    <t>EN_STG8hbNREL_w95512216-220</t>
  </si>
  <si>
    <t>EN_STG4hbNREL_w95512216-220</t>
  </si>
  <si>
    <t>EN_STG8hbNREL_w169512273-220</t>
  </si>
  <si>
    <t>EN_STG4hbNREL_w169512273-220</t>
  </si>
  <si>
    <t>EN_STG8hbNREL_w270521928-220</t>
  </si>
  <si>
    <t>EN_STG4hbNREL_w270521928-220</t>
  </si>
  <si>
    <t>EN_STG8hbNREL_w89637173-220</t>
  </si>
  <si>
    <t>EN_STG4hbNREL_w89637173-220</t>
  </si>
  <si>
    <t>EN_STG8hbNREL_NZ14-220</t>
  </si>
  <si>
    <t>EN_STG4hbNREL_NZ14-220</t>
  </si>
  <si>
    <t>ELC</t>
  </si>
  <si>
    <t>limtype</t>
  </si>
  <si>
    <t>UP</t>
  </si>
  <si>
    <t>flo_bnd</t>
  </si>
  <si>
    <t>year</t>
  </si>
  <si>
    <t>pset_set</t>
  </si>
  <si>
    <t>ELE,DMD,PRE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</si>
</sst>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1EA7A-3DD2-4EFB-857F-EC304B5960BC}">
  <dimension ref="B2:AE183"/>
  <sheetViews>
    <sheetView tabSelected="1" workbookViewId="0"/>
  </sheetViews>
  <sheetFormatPr defaultRowHeight="14.25" x14ac:dyDescent="0.45"/>
  <sheetData>
    <row r="2" spans="2:31" x14ac:dyDescent="0.45">
      <c r="B2" t="s">
        <v>0</v>
      </c>
      <c r="H2" t="s">
        <v>251</v>
      </c>
      <c r="P2" t="s">
        <v>297</v>
      </c>
      <c r="U2" t="s">
        <v>297</v>
      </c>
    </row>
    <row r="3" spans="2:31" x14ac:dyDescent="0.45">
      <c r="B3" t="s">
        <v>3</v>
      </c>
      <c r="C3" t="s">
        <v>92</v>
      </c>
      <c r="D3" t="s">
        <v>93</v>
      </c>
      <c r="E3" t="s">
        <v>94</v>
      </c>
      <c r="H3" t="s">
        <v>3</v>
      </c>
      <c r="I3" t="s">
        <v>252</v>
      </c>
      <c r="J3" t="s">
        <v>253</v>
      </c>
      <c r="K3" t="s">
        <v>254</v>
      </c>
      <c r="L3" t="s">
        <v>14</v>
      </c>
      <c r="P3" t="s">
        <v>3</v>
      </c>
      <c r="Q3" t="s">
        <v>252</v>
      </c>
      <c r="R3" t="s">
        <v>298</v>
      </c>
      <c r="U3" t="s">
        <v>310</v>
      </c>
      <c r="V3" t="s">
        <v>3</v>
      </c>
      <c r="W3" t="s">
        <v>252</v>
      </c>
      <c r="X3" t="s">
        <v>298</v>
      </c>
      <c r="AA3" t="s">
        <v>251</v>
      </c>
    </row>
    <row r="4" spans="2:31" x14ac:dyDescent="0.45">
      <c r="B4" t="s">
        <v>95</v>
      </c>
      <c r="C4">
        <v>0.49155601918804742</v>
      </c>
      <c r="D4">
        <v>2.2000000000000002</v>
      </c>
      <c r="E4">
        <v>0.99987999999999999</v>
      </c>
      <c r="H4" t="s">
        <v>255</v>
      </c>
      <c r="I4" t="s">
        <v>256</v>
      </c>
      <c r="J4">
        <v>6.4746879831177079E-2</v>
      </c>
      <c r="K4" t="s">
        <v>257</v>
      </c>
      <c r="L4" t="s">
        <v>256</v>
      </c>
      <c r="P4" t="s">
        <v>255</v>
      </c>
      <c r="Q4" t="s">
        <v>299</v>
      </c>
      <c r="R4" t="s">
        <v>300</v>
      </c>
      <c r="U4" t="s">
        <v>91</v>
      </c>
      <c r="V4" t="s">
        <v>311</v>
      </c>
      <c r="W4" t="s">
        <v>312</v>
      </c>
      <c r="X4" t="s">
        <v>313</v>
      </c>
      <c r="AA4" t="s">
        <v>252</v>
      </c>
      <c r="AB4" t="s">
        <v>482</v>
      </c>
      <c r="AC4" t="s">
        <v>484</v>
      </c>
      <c r="AD4" t="s">
        <v>485</v>
      </c>
      <c r="AE4" t="s">
        <v>486</v>
      </c>
    </row>
    <row r="5" spans="2:31" x14ac:dyDescent="0.45">
      <c r="B5" t="s">
        <v>96</v>
      </c>
      <c r="C5">
        <v>0.98311203837609484</v>
      </c>
      <c r="D5">
        <v>80.300000000000011</v>
      </c>
      <c r="E5">
        <v>0.99561999999999995</v>
      </c>
      <c r="H5" t="s">
        <v>258</v>
      </c>
      <c r="I5" t="s">
        <v>256</v>
      </c>
      <c r="J5">
        <v>6.120396201617069E-2</v>
      </c>
      <c r="K5" t="s">
        <v>257</v>
      </c>
      <c r="L5" t="s">
        <v>256</v>
      </c>
      <c r="P5" t="s">
        <v>258</v>
      </c>
      <c r="Q5" t="s">
        <v>301</v>
      </c>
      <c r="R5" t="s">
        <v>300</v>
      </c>
      <c r="U5" t="s">
        <v>91</v>
      </c>
      <c r="V5" t="s">
        <v>314</v>
      </c>
      <c r="W5" t="s">
        <v>312</v>
      </c>
      <c r="X5" t="s">
        <v>313</v>
      </c>
      <c r="AA5" t="s">
        <v>481</v>
      </c>
      <c r="AB5" t="s">
        <v>483</v>
      </c>
      <c r="AC5">
        <v>2</v>
      </c>
      <c r="AD5">
        <v>0</v>
      </c>
      <c r="AE5" t="s">
        <v>487</v>
      </c>
    </row>
    <row r="6" spans="2:31" x14ac:dyDescent="0.45">
      <c r="B6" t="s">
        <v>97</v>
      </c>
      <c r="C6">
        <v>0.49155601918804742</v>
      </c>
      <c r="D6">
        <v>1.1000000000000001</v>
      </c>
      <c r="E6">
        <v>0.99994000000000005</v>
      </c>
      <c r="H6" t="s">
        <v>259</v>
      </c>
      <c r="I6" t="s">
        <v>256</v>
      </c>
      <c r="J6">
        <v>7.0125316451925546E-2</v>
      </c>
      <c r="K6" t="s">
        <v>257</v>
      </c>
      <c r="L6" t="s">
        <v>256</v>
      </c>
      <c r="P6" t="s">
        <v>259</v>
      </c>
      <c r="Q6" t="s">
        <v>302</v>
      </c>
      <c r="R6" t="s">
        <v>300</v>
      </c>
      <c r="U6" t="s">
        <v>91</v>
      </c>
      <c r="V6" t="s">
        <v>315</v>
      </c>
      <c r="W6" t="s">
        <v>312</v>
      </c>
      <c r="X6" t="s">
        <v>313</v>
      </c>
    </row>
    <row r="7" spans="2:31" x14ac:dyDescent="0.45">
      <c r="B7" t="s">
        <v>98</v>
      </c>
      <c r="C7">
        <v>0.98311203837609484</v>
      </c>
      <c r="D7">
        <v>122.10000000000001</v>
      </c>
      <c r="E7">
        <v>0.99334</v>
      </c>
      <c r="H7" t="s">
        <v>260</v>
      </c>
      <c r="I7" t="s">
        <v>256</v>
      </c>
      <c r="J7">
        <v>0.12429242027926862</v>
      </c>
      <c r="K7" t="s">
        <v>257</v>
      </c>
      <c r="L7" t="s">
        <v>256</v>
      </c>
      <c r="P7" t="s">
        <v>260</v>
      </c>
      <c r="Q7" t="s">
        <v>303</v>
      </c>
      <c r="R7" t="s">
        <v>300</v>
      </c>
      <c r="U7" t="s">
        <v>91</v>
      </c>
      <c r="V7" t="s">
        <v>316</v>
      </c>
      <c r="W7" t="s">
        <v>312</v>
      </c>
      <c r="X7" t="s">
        <v>313</v>
      </c>
    </row>
    <row r="8" spans="2:31" x14ac:dyDescent="0.45">
      <c r="B8" t="s">
        <v>99</v>
      </c>
      <c r="C8">
        <v>0.49155601918804742</v>
      </c>
      <c r="D8">
        <v>1.1000000000000001</v>
      </c>
      <c r="E8">
        <v>0.99994000000000005</v>
      </c>
      <c r="H8" t="s">
        <v>261</v>
      </c>
      <c r="I8" t="s">
        <v>256</v>
      </c>
      <c r="J8">
        <v>4.9074747359742522E-2</v>
      </c>
      <c r="K8" t="s">
        <v>257</v>
      </c>
      <c r="L8" t="s">
        <v>256</v>
      </c>
      <c r="P8" t="s">
        <v>261</v>
      </c>
      <c r="Q8" t="s">
        <v>304</v>
      </c>
      <c r="R8" t="s">
        <v>300</v>
      </c>
      <c r="U8" t="s">
        <v>91</v>
      </c>
      <c r="V8" t="s">
        <v>317</v>
      </c>
      <c r="W8" t="s">
        <v>312</v>
      </c>
      <c r="X8" t="s">
        <v>313</v>
      </c>
    </row>
    <row r="9" spans="2:31" x14ac:dyDescent="0.45">
      <c r="B9" t="s">
        <v>100</v>
      </c>
      <c r="C9">
        <v>0.49155601918804742</v>
      </c>
      <c r="D9">
        <v>64.900000000000006</v>
      </c>
      <c r="E9">
        <v>0.99646000000000001</v>
      </c>
      <c r="H9" t="s">
        <v>262</v>
      </c>
      <c r="I9" t="s">
        <v>256</v>
      </c>
      <c r="J9">
        <v>2.4727445074139667E-2</v>
      </c>
      <c r="K9" t="s">
        <v>257</v>
      </c>
      <c r="L9" t="s">
        <v>256</v>
      </c>
      <c r="P9" t="s">
        <v>262</v>
      </c>
      <c r="Q9" t="s">
        <v>305</v>
      </c>
      <c r="R9" t="s">
        <v>300</v>
      </c>
      <c r="U9" t="s">
        <v>91</v>
      </c>
      <c r="V9" t="s">
        <v>318</v>
      </c>
      <c r="W9" t="s">
        <v>312</v>
      </c>
      <c r="X9" t="s">
        <v>313</v>
      </c>
    </row>
    <row r="10" spans="2:31" x14ac:dyDescent="0.45">
      <c r="B10" t="s">
        <v>101</v>
      </c>
      <c r="C10">
        <v>0.49155601918804742</v>
      </c>
      <c r="D10">
        <v>8.8000000000000007</v>
      </c>
      <c r="E10">
        <v>0.99951999999999996</v>
      </c>
      <c r="H10" t="s">
        <v>263</v>
      </c>
      <c r="I10" t="s">
        <v>256</v>
      </c>
      <c r="J10">
        <v>2.3624966116599904E-2</v>
      </c>
      <c r="K10" t="s">
        <v>257</v>
      </c>
      <c r="L10" t="s">
        <v>256</v>
      </c>
      <c r="P10" t="s">
        <v>263</v>
      </c>
      <c r="Q10" t="s">
        <v>306</v>
      </c>
      <c r="R10" t="s">
        <v>300</v>
      </c>
      <c r="U10" t="s">
        <v>91</v>
      </c>
      <c r="V10" t="s">
        <v>319</v>
      </c>
      <c r="W10" t="s">
        <v>312</v>
      </c>
      <c r="X10" t="s">
        <v>313</v>
      </c>
    </row>
    <row r="11" spans="2:31" x14ac:dyDescent="0.45">
      <c r="B11" t="s">
        <v>102</v>
      </c>
      <c r="C11">
        <v>0.49155601918804742</v>
      </c>
      <c r="D11">
        <v>4.4000000000000004</v>
      </c>
      <c r="E11">
        <v>0.99975999999999998</v>
      </c>
      <c r="H11" t="s">
        <v>264</v>
      </c>
      <c r="I11" t="s">
        <v>256</v>
      </c>
      <c r="J11">
        <v>0.47683269063818606</v>
      </c>
      <c r="K11" t="s">
        <v>257</v>
      </c>
      <c r="L11" t="s">
        <v>256</v>
      </c>
      <c r="P11" t="s">
        <v>264</v>
      </c>
      <c r="Q11" t="s">
        <v>307</v>
      </c>
      <c r="R11" t="s">
        <v>300</v>
      </c>
      <c r="U11" t="s">
        <v>91</v>
      </c>
      <c r="V11" t="s">
        <v>320</v>
      </c>
      <c r="W11" t="s">
        <v>312</v>
      </c>
      <c r="X11" t="s">
        <v>313</v>
      </c>
    </row>
    <row r="12" spans="2:31" x14ac:dyDescent="0.45">
      <c r="B12" t="s">
        <v>103</v>
      </c>
      <c r="C12">
        <v>0.98311203837609484</v>
      </c>
      <c r="D12">
        <v>2.2000000000000002</v>
      </c>
      <c r="E12">
        <v>0.99987999999999999</v>
      </c>
      <c r="H12" t="s">
        <v>265</v>
      </c>
      <c r="I12" t="s">
        <v>256</v>
      </c>
      <c r="J12">
        <v>6.6688786721083068E-2</v>
      </c>
      <c r="K12" t="s">
        <v>257</v>
      </c>
      <c r="L12" t="s">
        <v>256</v>
      </c>
      <c r="P12" t="s">
        <v>265</v>
      </c>
      <c r="Q12" t="s">
        <v>308</v>
      </c>
      <c r="R12" t="s">
        <v>300</v>
      </c>
      <c r="U12" t="s">
        <v>91</v>
      </c>
      <c r="V12" t="s">
        <v>321</v>
      </c>
      <c r="W12" t="s">
        <v>312</v>
      </c>
      <c r="X12" t="s">
        <v>313</v>
      </c>
    </row>
    <row r="13" spans="2:31" x14ac:dyDescent="0.45">
      <c r="B13" t="s">
        <v>104</v>
      </c>
      <c r="C13">
        <v>0.98311203837609484</v>
      </c>
      <c r="D13">
        <v>4.4000000000000004</v>
      </c>
      <c r="E13">
        <v>0.99975999999999998</v>
      </c>
      <c r="H13" t="s">
        <v>266</v>
      </c>
      <c r="I13" t="s">
        <v>256</v>
      </c>
      <c r="J13">
        <v>1.8682785511706303E-2</v>
      </c>
      <c r="K13" t="s">
        <v>257</v>
      </c>
      <c r="L13" t="s">
        <v>256</v>
      </c>
      <c r="P13" t="s">
        <v>266</v>
      </c>
      <c r="Q13" t="s">
        <v>309</v>
      </c>
      <c r="R13" t="s">
        <v>300</v>
      </c>
      <c r="U13" t="s">
        <v>91</v>
      </c>
      <c r="V13" t="s">
        <v>322</v>
      </c>
      <c r="W13" t="s">
        <v>312</v>
      </c>
      <c r="X13" t="s">
        <v>313</v>
      </c>
    </row>
    <row r="14" spans="2:31" x14ac:dyDescent="0.45">
      <c r="B14" t="s">
        <v>105</v>
      </c>
      <c r="C14">
        <v>0.49155601918804742</v>
      </c>
      <c r="D14">
        <v>2.2000000000000002</v>
      </c>
      <c r="E14">
        <v>0.99987999999999999</v>
      </c>
      <c r="H14" t="s">
        <v>267</v>
      </c>
      <c r="I14" t="s">
        <v>256</v>
      </c>
      <c r="J14">
        <v>6.4746879831177079E-2</v>
      </c>
      <c r="K14" t="s">
        <v>257</v>
      </c>
      <c r="L14" t="s">
        <v>256</v>
      </c>
      <c r="P14" t="s">
        <v>267</v>
      </c>
      <c r="Q14" t="s">
        <v>299</v>
      </c>
      <c r="R14" t="s">
        <v>300</v>
      </c>
      <c r="U14" t="s">
        <v>91</v>
      </c>
      <c r="V14" t="s">
        <v>323</v>
      </c>
      <c r="W14" t="s">
        <v>312</v>
      </c>
      <c r="X14" t="s">
        <v>313</v>
      </c>
    </row>
    <row r="15" spans="2:31" x14ac:dyDescent="0.45">
      <c r="B15" t="s">
        <v>106</v>
      </c>
      <c r="C15">
        <v>0.98311203837609484</v>
      </c>
      <c r="D15">
        <v>20.900000000000002</v>
      </c>
      <c r="E15">
        <v>0.99885999999999997</v>
      </c>
      <c r="H15" t="s">
        <v>268</v>
      </c>
      <c r="I15" t="s">
        <v>256</v>
      </c>
      <c r="J15">
        <v>6.120396201617069E-2</v>
      </c>
      <c r="K15" t="s">
        <v>257</v>
      </c>
      <c r="L15" t="s">
        <v>256</v>
      </c>
      <c r="P15" t="s">
        <v>268</v>
      </c>
      <c r="Q15" t="s">
        <v>301</v>
      </c>
      <c r="R15" t="s">
        <v>300</v>
      </c>
      <c r="U15" t="s">
        <v>91</v>
      </c>
      <c r="V15" t="s">
        <v>324</v>
      </c>
      <c r="W15" t="s">
        <v>312</v>
      </c>
      <c r="X15" t="s">
        <v>313</v>
      </c>
    </row>
    <row r="16" spans="2:31" x14ac:dyDescent="0.45">
      <c r="B16" t="s">
        <v>107</v>
      </c>
      <c r="C16">
        <v>0.98311203837609484</v>
      </c>
      <c r="D16">
        <v>11</v>
      </c>
      <c r="E16">
        <v>0.99939999999999996</v>
      </c>
      <c r="H16" t="s">
        <v>269</v>
      </c>
      <c r="I16" t="s">
        <v>256</v>
      </c>
      <c r="J16">
        <v>7.0125316451925546E-2</v>
      </c>
      <c r="K16" t="s">
        <v>257</v>
      </c>
      <c r="L16" t="s">
        <v>256</v>
      </c>
      <c r="P16" t="s">
        <v>269</v>
      </c>
      <c r="Q16" t="s">
        <v>302</v>
      </c>
      <c r="R16" t="s">
        <v>300</v>
      </c>
      <c r="U16" t="s">
        <v>91</v>
      </c>
      <c r="V16" t="s">
        <v>325</v>
      </c>
      <c r="W16" t="s">
        <v>312</v>
      </c>
      <c r="X16" t="s">
        <v>313</v>
      </c>
    </row>
    <row r="17" spans="2:24" x14ac:dyDescent="0.45">
      <c r="B17" t="s">
        <v>108</v>
      </c>
      <c r="C17">
        <v>0.49155601918804742</v>
      </c>
      <c r="D17">
        <v>250.8</v>
      </c>
      <c r="E17">
        <v>0.98631999999999997</v>
      </c>
      <c r="H17" t="s">
        <v>270</v>
      </c>
      <c r="I17" t="s">
        <v>256</v>
      </c>
      <c r="J17">
        <v>0.12429242027926862</v>
      </c>
      <c r="K17" t="s">
        <v>257</v>
      </c>
      <c r="L17" t="s">
        <v>256</v>
      </c>
      <c r="P17" t="s">
        <v>270</v>
      </c>
      <c r="Q17" t="s">
        <v>303</v>
      </c>
      <c r="R17" t="s">
        <v>300</v>
      </c>
      <c r="U17" t="s">
        <v>91</v>
      </c>
      <c r="V17" t="s">
        <v>326</v>
      </c>
      <c r="W17" t="s">
        <v>327</v>
      </c>
      <c r="X17" t="s">
        <v>313</v>
      </c>
    </row>
    <row r="18" spans="2:24" x14ac:dyDescent="0.45">
      <c r="B18" t="s">
        <v>109</v>
      </c>
      <c r="C18">
        <v>0.49155601918804742</v>
      </c>
      <c r="D18">
        <v>3.3000000000000003</v>
      </c>
      <c r="E18">
        <v>0.99982000000000004</v>
      </c>
      <c r="H18" t="s">
        <v>271</v>
      </c>
      <c r="I18" t="s">
        <v>256</v>
      </c>
      <c r="J18">
        <v>4.9074747359742522E-2</v>
      </c>
      <c r="K18" t="s">
        <v>257</v>
      </c>
      <c r="L18" t="s">
        <v>256</v>
      </c>
      <c r="P18" t="s">
        <v>271</v>
      </c>
      <c r="Q18" t="s">
        <v>304</v>
      </c>
      <c r="R18" t="s">
        <v>300</v>
      </c>
      <c r="U18" t="s">
        <v>91</v>
      </c>
      <c r="V18" t="s">
        <v>328</v>
      </c>
      <c r="W18" t="s">
        <v>327</v>
      </c>
      <c r="X18" t="s">
        <v>313</v>
      </c>
    </row>
    <row r="19" spans="2:24" x14ac:dyDescent="0.45">
      <c r="B19" t="s">
        <v>110</v>
      </c>
      <c r="C19">
        <v>0.49155601918804742</v>
      </c>
      <c r="D19">
        <v>3.3000000000000003</v>
      </c>
      <c r="E19">
        <v>0.99982000000000004</v>
      </c>
      <c r="H19" t="s">
        <v>272</v>
      </c>
      <c r="I19" t="s">
        <v>256</v>
      </c>
      <c r="J19">
        <v>2.4727445074139667E-2</v>
      </c>
      <c r="K19" t="s">
        <v>257</v>
      </c>
      <c r="L19" t="s">
        <v>256</v>
      </c>
      <c r="P19" t="s">
        <v>272</v>
      </c>
      <c r="Q19" t="s">
        <v>305</v>
      </c>
      <c r="R19" t="s">
        <v>300</v>
      </c>
      <c r="U19" t="s">
        <v>91</v>
      </c>
      <c r="V19" t="s">
        <v>329</v>
      </c>
      <c r="W19" t="s">
        <v>327</v>
      </c>
      <c r="X19" t="s">
        <v>313</v>
      </c>
    </row>
    <row r="20" spans="2:24" x14ac:dyDescent="0.45">
      <c r="B20" t="s">
        <v>111</v>
      </c>
      <c r="C20">
        <v>0.98311203837609484</v>
      </c>
      <c r="D20">
        <v>38.5</v>
      </c>
      <c r="E20">
        <v>0.99790000000000001</v>
      </c>
      <c r="H20" t="s">
        <v>273</v>
      </c>
      <c r="I20" t="s">
        <v>256</v>
      </c>
      <c r="J20">
        <v>2.3624966116599904E-2</v>
      </c>
      <c r="K20" t="s">
        <v>257</v>
      </c>
      <c r="L20" t="s">
        <v>256</v>
      </c>
      <c r="P20" t="s">
        <v>273</v>
      </c>
      <c r="Q20" t="s">
        <v>306</v>
      </c>
      <c r="R20" t="s">
        <v>300</v>
      </c>
      <c r="U20" t="s">
        <v>91</v>
      </c>
      <c r="V20" t="s">
        <v>330</v>
      </c>
      <c r="W20" t="s">
        <v>327</v>
      </c>
      <c r="X20" t="s">
        <v>313</v>
      </c>
    </row>
    <row r="21" spans="2:24" x14ac:dyDescent="0.45">
      <c r="B21" t="s">
        <v>112</v>
      </c>
      <c r="C21">
        <v>0.98311203837609484</v>
      </c>
      <c r="D21">
        <v>71.5</v>
      </c>
      <c r="E21">
        <v>0.99609999999999999</v>
      </c>
      <c r="H21" t="s">
        <v>274</v>
      </c>
      <c r="I21" t="s">
        <v>256</v>
      </c>
      <c r="J21">
        <v>0.47683269063818606</v>
      </c>
      <c r="K21" t="s">
        <v>257</v>
      </c>
      <c r="L21" t="s">
        <v>256</v>
      </c>
      <c r="P21" t="s">
        <v>274</v>
      </c>
      <c r="Q21" t="s">
        <v>307</v>
      </c>
      <c r="R21" t="s">
        <v>300</v>
      </c>
      <c r="U21" t="s">
        <v>91</v>
      </c>
      <c r="V21" t="s">
        <v>331</v>
      </c>
      <c r="W21" t="s">
        <v>327</v>
      </c>
      <c r="X21" t="s">
        <v>313</v>
      </c>
    </row>
    <row r="22" spans="2:24" x14ac:dyDescent="0.45">
      <c r="B22" t="s">
        <v>113</v>
      </c>
      <c r="C22">
        <v>0.98311203837609484</v>
      </c>
      <c r="D22">
        <v>702.90000000000009</v>
      </c>
      <c r="E22">
        <v>0.96165999999999996</v>
      </c>
      <c r="H22" t="s">
        <v>275</v>
      </c>
      <c r="I22" t="s">
        <v>256</v>
      </c>
      <c r="J22">
        <v>6.6688786721083068E-2</v>
      </c>
      <c r="K22" t="s">
        <v>257</v>
      </c>
      <c r="L22" t="s">
        <v>256</v>
      </c>
      <c r="P22" t="s">
        <v>275</v>
      </c>
      <c r="Q22" t="s">
        <v>308</v>
      </c>
      <c r="R22" t="s">
        <v>300</v>
      </c>
      <c r="U22" t="s">
        <v>91</v>
      </c>
      <c r="V22" t="s">
        <v>332</v>
      </c>
      <c r="W22" t="s">
        <v>327</v>
      </c>
      <c r="X22" t="s">
        <v>313</v>
      </c>
    </row>
    <row r="23" spans="2:24" x14ac:dyDescent="0.45">
      <c r="B23" t="s">
        <v>114</v>
      </c>
      <c r="C23">
        <v>0.49155601918804742</v>
      </c>
      <c r="D23">
        <v>2.2000000000000002</v>
      </c>
      <c r="E23">
        <v>0.99987999999999999</v>
      </c>
      <c r="H23" t="s">
        <v>276</v>
      </c>
      <c r="I23" t="s">
        <v>256</v>
      </c>
      <c r="J23">
        <v>1.8682785511706303E-2</v>
      </c>
      <c r="K23" t="s">
        <v>257</v>
      </c>
      <c r="L23" t="s">
        <v>256</v>
      </c>
      <c r="P23" t="s">
        <v>276</v>
      </c>
      <c r="Q23" t="s">
        <v>309</v>
      </c>
      <c r="R23" t="s">
        <v>300</v>
      </c>
      <c r="U23" t="s">
        <v>91</v>
      </c>
      <c r="V23" t="s">
        <v>333</v>
      </c>
      <c r="W23" t="s">
        <v>327</v>
      </c>
      <c r="X23" t="s">
        <v>313</v>
      </c>
    </row>
    <row r="24" spans="2:24" x14ac:dyDescent="0.45">
      <c r="B24" t="s">
        <v>115</v>
      </c>
      <c r="C24">
        <v>0.98311203837609484</v>
      </c>
      <c r="D24">
        <v>2.2000000000000002</v>
      </c>
      <c r="E24">
        <v>0.99987999999999999</v>
      </c>
      <c r="H24" t="s">
        <v>277</v>
      </c>
      <c r="I24" t="s">
        <v>256</v>
      </c>
      <c r="J24">
        <v>6.4746879831177079E-2</v>
      </c>
      <c r="K24" t="s">
        <v>257</v>
      </c>
      <c r="L24" t="s">
        <v>256</v>
      </c>
      <c r="P24" t="s">
        <v>277</v>
      </c>
      <c r="Q24" t="s">
        <v>299</v>
      </c>
      <c r="R24" t="s">
        <v>300</v>
      </c>
      <c r="U24" t="s">
        <v>91</v>
      </c>
      <c r="V24" t="s">
        <v>334</v>
      </c>
      <c r="W24" t="s">
        <v>327</v>
      </c>
      <c r="X24" t="s">
        <v>313</v>
      </c>
    </row>
    <row r="25" spans="2:24" x14ac:dyDescent="0.45">
      <c r="B25" t="s">
        <v>116</v>
      </c>
      <c r="C25">
        <v>0.98311203837609484</v>
      </c>
      <c r="D25">
        <v>590.70000000000005</v>
      </c>
      <c r="E25">
        <v>0.96777999999999997</v>
      </c>
      <c r="H25" t="s">
        <v>278</v>
      </c>
      <c r="I25" t="s">
        <v>256</v>
      </c>
      <c r="J25">
        <v>6.120396201617069E-2</v>
      </c>
      <c r="K25" t="s">
        <v>257</v>
      </c>
      <c r="L25" t="s">
        <v>256</v>
      </c>
      <c r="P25" t="s">
        <v>278</v>
      </c>
      <c r="Q25" t="s">
        <v>301</v>
      </c>
      <c r="R25" t="s">
        <v>300</v>
      </c>
      <c r="U25" t="s">
        <v>91</v>
      </c>
      <c r="V25" t="s">
        <v>335</v>
      </c>
      <c r="W25" t="s">
        <v>327</v>
      </c>
      <c r="X25" t="s">
        <v>313</v>
      </c>
    </row>
    <row r="26" spans="2:24" x14ac:dyDescent="0.45">
      <c r="B26" t="s">
        <v>117</v>
      </c>
      <c r="C26">
        <v>0.49155601918804742</v>
      </c>
      <c r="D26">
        <v>2.2000000000000002</v>
      </c>
      <c r="E26">
        <v>0.99987999999999999</v>
      </c>
      <c r="H26" t="s">
        <v>279</v>
      </c>
      <c r="I26" t="s">
        <v>256</v>
      </c>
      <c r="J26">
        <v>7.0125316451925546E-2</v>
      </c>
      <c r="K26" t="s">
        <v>257</v>
      </c>
      <c r="L26" t="s">
        <v>256</v>
      </c>
      <c r="P26" t="s">
        <v>279</v>
      </c>
      <c r="Q26" t="s">
        <v>302</v>
      </c>
      <c r="R26" t="s">
        <v>300</v>
      </c>
      <c r="U26" t="s">
        <v>91</v>
      </c>
      <c r="V26" t="s">
        <v>336</v>
      </c>
      <c r="W26" t="s">
        <v>327</v>
      </c>
      <c r="X26" t="s">
        <v>313</v>
      </c>
    </row>
    <row r="27" spans="2:24" x14ac:dyDescent="0.45">
      <c r="B27" t="s">
        <v>118</v>
      </c>
      <c r="C27">
        <v>1.4746680575641422</v>
      </c>
      <c r="D27">
        <v>2.2000000000000002</v>
      </c>
      <c r="E27">
        <v>0.99987999999999999</v>
      </c>
      <c r="H27" t="s">
        <v>280</v>
      </c>
      <c r="I27" t="s">
        <v>256</v>
      </c>
      <c r="J27">
        <v>0.12429242027926862</v>
      </c>
      <c r="K27" t="s">
        <v>257</v>
      </c>
      <c r="L27" t="s">
        <v>256</v>
      </c>
      <c r="P27" t="s">
        <v>280</v>
      </c>
      <c r="Q27" t="s">
        <v>303</v>
      </c>
      <c r="R27" t="s">
        <v>300</v>
      </c>
      <c r="U27" t="s">
        <v>91</v>
      </c>
      <c r="V27" t="s">
        <v>337</v>
      </c>
      <c r="W27" t="s">
        <v>327</v>
      </c>
      <c r="X27" t="s">
        <v>313</v>
      </c>
    </row>
    <row r="28" spans="2:24" x14ac:dyDescent="0.45">
      <c r="B28" t="s">
        <v>119</v>
      </c>
      <c r="C28">
        <v>0.49155601918804742</v>
      </c>
      <c r="D28">
        <v>118.80000000000001</v>
      </c>
      <c r="E28">
        <v>0.99351999999999996</v>
      </c>
      <c r="H28" t="s">
        <v>281</v>
      </c>
      <c r="I28" t="s">
        <v>256</v>
      </c>
      <c r="J28">
        <v>4.9074747359742522E-2</v>
      </c>
      <c r="K28" t="s">
        <v>257</v>
      </c>
      <c r="L28" t="s">
        <v>256</v>
      </c>
      <c r="P28" t="s">
        <v>281</v>
      </c>
      <c r="Q28" t="s">
        <v>304</v>
      </c>
      <c r="R28" t="s">
        <v>300</v>
      </c>
      <c r="U28" t="s">
        <v>91</v>
      </c>
      <c r="V28" t="s">
        <v>338</v>
      </c>
      <c r="W28" t="s">
        <v>327</v>
      </c>
      <c r="X28" t="s">
        <v>313</v>
      </c>
    </row>
    <row r="29" spans="2:24" x14ac:dyDescent="0.45">
      <c r="B29" t="s">
        <v>120</v>
      </c>
      <c r="C29">
        <v>0.98311203837609484</v>
      </c>
      <c r="D29">
        <v>118.80000000000001</v>
      </c>
      <c r="E29">
        <v>0.99351999999999996</v>
      </c>
      <c r="H29" t="s">
        <v>282</v>
      </c>
      <c r="I29" t="s">
        <v>256</v>
      </c>
      <c r="J29">
        <v>2.4727445074139667E-2</v>
      </c>
      <c r="K29" t="s">
        <v>257</v>
      </c>
      <c r="L29" t="s">
        <v>256</v>
      </c>
      <c r="P29" t="s">
        <v>282</v>
      </c>
      <c r="Q29" t="s">
        <v>305</v>
      </c>
      <c r="R29" t="s">
        <v>300</v>
      </c>
      <c r="U29" t="s">
        <v>91</v>
      </c>
      <c r="V29" t="s">
        <v>339</v>
      </c>
      <c r="W29" t="s">
        <v>327</v>
      </c>
      <c r="X29" t="s">
        <v>313</v>
      </c>
    </row>
    <row r="30" spans="2:24" x14ac:dyDescent="0.45">
      <c r="B30" t="s">
        <v>121</v>
      </c>
      <c r="C30">
        <v>0.98311203837609484</v>
      </c>
      <c r="D30">
        <v>528</v>
      </c>
      <c r="E30">
        <v>0.97119999999999995</v>
      </c>
      <c r="H30" t="s">
        <v>283</v>
      </c>
      <c r="I30" t="s">
        <v>256</v>
      </c>
      <c r="J30">
        <v>2.3624966116599904E-2</v>
      </c>
      <c r="K30" t="s">
        <v>257</v>
      </c>
      <c r="L30" t="s">
        <v>256</v>
      </c>
      <c r="P30" t="s">
        <v>283</v>
      </c>
      <c r="Q30" t="s">
        <v>306</v>
      </c>
      <c r="R30" t="s">
        <v>300</v>
      </c>
      <c r="U30" t="s">
        <v>91</v>
      </c>
      <c r="V30" t="s">
        <v>340</v>
      </c>
      <c r="W30" t="s">
        <v>309</v>
      </c>
      <c r="X30" t="s">
        <v>313</v>
      </c>
    </row>
    <row r="31" spans="2:24" x14ac:dyDescent="0.45">
      <c r="B31" t="s">
        <v>122</v>
      </c>
      <c r="C31">
        <v>0.98311203837609484</v>
      </c>
      <c r="D31">
        <v>41.800000000000004</v>
      </c>
      <c r="E31">
        <v>0.99772000000000005</v>
      </c>
      <c r="H31" t="s">
        <v>284</v>
      </c>
      <c r="I31" t="s">
        <v>256</v>
      </c>
      <c r="J31">
        <v>0.47683269063818606</v>
      </c>
      <c r="K31" t="s">
        <v>257</v>
      </c>
      <c r="L31" t="s">
        <v>256</v>
      </c>
      <c r="P31" t="s">
        <v>284</v>
      </c>
      <c r="Q31" t="s">
        <v>307</v>
      </c>
      <c r="R31" t="s">
        <v>300</v>
      </c>
      <c r="U31" t="s">
        <v>91</v>
      </c>
      <c r="V31" t="s">
        <v>341</v>
      </c>
      <c r="W31" t="s">
        <v>309</v>
      </c>
      <c r="X31" t="s">
        <v>313</v>
      </c>
    </row>
    <row r="32" spans="2:24" x14ac:dyDescent="0.45">
      <c r="B32" t="s">
        <v>123</v>
      </c>
      <c r="C32">
        <v>0.49155601918804742</v>
      </c>
      <c r="D32">
        <v>216.70000000000002</v>
      </c>
      <c r="E32">
        <v>0.98817999999999995</v>
      </c>
      <c r="H32" t="s">
        <v>285</v>
      </c>
      <c r="I32" t="s">
        <v>256</v>
      </c>
      <c r="J32">
        <v>6.6688786721083068E-2</v>
      </c>
      <c r="K32" t="s">
        <v>257</v>
      </c>
      <c r="L32" t="s">
        <v>256</v>
      </c>
      <c r="P32" t="s">
        <v>285</v>
      </c>
      <c r="Q32" t="s">
        <v>308</v>
      </c>
      <c r="R32" t="s">
        <v>300</v>
      </c>
      <c r="U32" t="s">
        <v>91</v>
      </c>
      <c r="V32" t="s">
        <v>342</v>
      </c>
      <c r="W32" t="s">
        <v>309</v>
      </c>
      <c r="X32" t="s">
        <v>313</v>
      </c>
    </row>
    <row r="33" spans="2:24" x14ac:dyDescent="0.45">
      <c r="B33" t="s">
        <v>124</v>
      </c>
      <c r="C33">
        <v>0.98311203837609484</v>
      </c>
      <c r="D33">
        <v>2.2000000000000002</v>
      </c>
      <c r="E33">
        <v>0.99987999999999999</v>
      </c>
      <c r="H33" t="s">
        <v>286</v>
      </c>
      <c r="I33" t="s">
        <v>256</v>
      </c>
      <c r="J33">
        <v>1.8682785511706303E-2</v>
      </c>
      <c r="K33" t="s">
        <v>257</v>
      </c>
      <c r="L33" t="s">
        <v>256</v>
      </c>
      <c r="P33" t="s">
        <v>286</v>
      </c>
      <c r="Q33" t="s">
        <v>309</v>
      </c>
      <c r="R33" t="s">
        <v>300</v>
      </c>
      <c r="U33" t="s">
        <v>91</v>
      </c>
      <c r="V33" t="s">
        <v>343</v>
      </c>
      <c r="W33" t="s">
        <v>309</v>
      </c>
      <c r="X33" t="s">
        <v>313</v>
      </c>
    </row>
    <row r="34" spans="2:24" x14ac:dyDescent="0.45">
      <c r="B34" t="s">
        <v>125</v>
      </c>
      <c r="C34">
        <v>0.49155601918804742</v>
      </c>
      <c r="D34">
        <v>3.3000000000000003</v>
      </c>
      <c r="E34">
        <v>0.99982000000000004</v>
      </c>
      <c r="H34" t="s">
        <v>287</v>
      </c>
      <c r="I34" t="s">
        <v>256</v>
      </c>
      <c r="J34">
        <v>6.4746879831177079E-2</v>
      </c>
      <c r="K34" t="s">
        <v>257</v>
      </c>
      <c r="L34" t="s">
        <v>256</v>
      </c>
      <c r="P34" t="s">
        <v>287</v>
      </c>
      <c r="Q34" t="s">
        <v>299</v>
      </c>
      <c r="R34" t="s">
        <v>300</v>
      </c>
      <c r="U34" t="s">
        <v>91</v>
      </c>
      <c r="V34" t="s">
        <v>344</v>
      </c>
      <c r="W34" t="s">
        <v>309</v>
      </c>
      <c r="X34" t="s">
        <v>313</v>
      </c>
    </row>
    <row r="35" spans="2:24" x14ac:dyDescent="0.45">
      <c r="B35" t="s">
        <v>126</v>
      </c>
      <c r="C35">
        <v>0.98311203837609484</v>
      </c>
      <c r="D35">
        <v>13.200000000000001</v>
      </c>
      <c r="E35">
        <v>0.99927999999999995</v>
      </c>
      <c r="H35" t="s">
        <v>288</v>
      </c>
      <c r="I35" t="s">
        <v>256</v>
      </c>
      <c r="J35">
        <v>6.120396201617069E-2</v>
      </c>
      <c r="K35" t="s">
        <v>257</v>
      </c>
      <c r="L35" t="s">
        <v>256</v>
      </c>
      <c r="P35" t="s">
        <v>288</v>
      </c>
      <c r="Q35" t="s">
        <v>301</v>
      </c>
      <c r="R35" t="s">
        <v>300</v>
      </c>
      <c r="U35" t="s">
        <v>91</v>
      </c>
      <c r="V35" t="s">
        <v>345</v>
      </c>
      <c r="W35" t="s">
        <v>309</v>
      </c>
      <c r="X35" t="s">
        <v>313</v>
      </c>
    </row>
    <row r="36" spans="2:24" x14ac:dyDescent="0.45">
      <c r="B36" t="s">
        <v>127</v>
      </c>
      <c r="C36">
        <v>0.98311203837609484</v>
      </c>
      <c r="D36">
        <v>11</v>
      </c>
      <c r="E36">
        <v>0.99939999999999996</v>
      </c>
      <c r="H36" t="s">
        <v>289</v>
      </c>
      <c r="I36" t="s">
        <v>256</v>
      </c>
      <c r="J36">
        <v>7.0125316451925546E-2</v>
      </c>
      <c r="K36" t="s">
        <v>257</v>
      </c>
      <c r="L36" t="s">
        <v>256</v>
      </c>
      <c r="P36" t="s">
        <v>289</v>
      </c>
      <c r="Q36" t="s">
        <v>302</v>
      </c>
      <c r="R36" t="s">
        <v>300</v>
      </c>
      <c r="U36" t="s">
        <v>91</v>
      </c>
      <c r="V36" t="s">
        <v>346</v>
      </c>
      <c r="W36" t="s">
        <v>309</v>
      </c>
      <c r="X36" t="s">
        <v>313</v>
      </c>
    </row>
    <row r="37" spans="2:24" x14ac:dyDescent="0.45">
      <c r="B37" t="s">
        <v>128</v>
      </c>
      <c r="C37">
        <v>0.98311203837609484</v>
      </c>
      <c r="D37">
        <v>19.8</v>
      </c>
      <c r="E37">
        <v>0.99892000000000003</v>
      </c>
      <c r="H37" t="s">
        <v>290</v>
      </c>
      <c r="I37" t="s">
        <v>256</v>
      </c>
      <c r="J37">
        <v>0.12429242027926862</v>
      </c>
      <c r="K37" t="s">
        <v>257</v>
      </c>
      <c r="L37" t="s">
        <v>256</v>
      </c>
      <c r="P37" t="s">
        <v>290</v>
      </c>
      <c r="Q37" t="s">
        <v>303</v>
      </c>
      <c r="R37" t="s">
        <v>300</v>
      </c>
      <c r="U37" t="s">
        <v>91</v>
      </c>
      <c r="V37" t="s">
        <v>347</v>
      </c>
      <c r="W37" t="s">
        <v>309</v>
      </c>
      <c r="X37" t="s">
        <v>313</v>
      </c>
    </row>
    <row r="38" spans="2:24" x14ac:dyDescent="0.45">
      <c r="B38" t="s">
        <v>129</v>
      </c>
      <c r="C38">
        <v>0.49155601918804742</v>
      </c>
      <c r="D38">
        <v>2.2000000000000002</v>
      </c>
      <c r="E38">
        <v>0.99987999999999999</v>
      </c>
      <c r="H38" t="s">
        <v>291</v>
      </c>
      <c r="I38" t="s">
        <v>256</v>
      </c>
      <c r="J38">
        <v>4.9074747359742522E-2</v>
      </c>
      <c r="K38" t="s">
        <v>257</v>
      </c>
      <c r="L38" t="s">
        <v>256</v>
      </c>
      <c r="P38" t="s">
        <v>291</v>
      </c>
      <c r="Q38" t="s">
        <v>304</v>
      </c>
      <c r="R38" t="s">
        <v>300</v>
      </c>
      <c r="U38" t="s">
        <v>91</v>
      </c>
      <c r="V38" t="s">
        <v>348</v>
      </c>
      <c r="W38" t="s">
        <v>309</v>
      </c>
      <c r="X38" t="s">
        <v>313</v>
      </c>
    </row>
    <row r="39" spans="2:24" x14ac:dyDescent="0.45">
      <c r="B39" t="s">
        <v>130</v>
      </c>
      <c r="C39">
        <v>0.98311203837609484</v>
      </c>
      <c r="D39">
        <v>224.4</v>
      </c>
      <c r="E39">
        <v>0.98775999999999997</v>
      </c>
      <c r="H39" t="s">
        <v>292</v>
      </c>
      <c r="I39" t="s">
        <v>256</v>
      </c>
      <c r="J39">
        <v>2.4727445074139667E-2</v>
      </c>
      <c r="K39" t="s">
        <v>257</v>
      </c>
      <c r="L39" t="s">
        <v>256</v>
      </c>
      <c r="P39" t="s">
        <v>292</v>
      </c>
      <c r="Q39" t="s">
        <v>305</v>
      </c>
      <c r="R39" t="s">
        <v>300</v>
      </c>
      <c r="U39" t="s">
        <v>91</v>
      </c>
      <c r="V39" t="s">
        <v>349</v>
      </c>
      <c r="W39" t="s">
        <v>309</v>
      </c>
      <c r="X39" t="s">
        <v>313</v>
      </c>
    </row>
    <row r="40" spans="2:24" x14ac:dyDescent="0.45">
      <c r="B40" t="s">
        <v>131</v>
      </c>
      <c r="C40">
        <v>0.98311203837609484</v>
      </c>
      <c r="D40">
        <v>97.9</v>
      </c>
      <c r="E40">
        <v>0.99465999999999999</v>
      </c>
      <c r="H40" t="s">
        <v>293</v>
      </c>
      <c r="I40" t="s">
        <v>256</v>
      </c>
      <c r="J40">
        <v>2.3624966116599904E-2</v>
      </c>
      <c r="K40" t="s">
        <v>257</v>
      </c>
      <c r="L40" t="s">
        <v>256</v>
      </c>
      <c r="P40" t="s">
        <v>293</v>
      </c>
      <c r="Q40" t="s">
        <v>306</v>
      </c>
      <c r="R40" t="s">
        <v>300</v>
      </c>
      <c r="U40" t="s">
        <v>91</v>
      </c>
      <c r="V40" t="s">
        <v>350</v>
      </c>
      <c r="W40" t="s">
        <v>309</v>
      </c>
      <c r="X40" t="s">
        <v>313</v>
      </c>
    </row>
    <row r="41" spans="2:24" x14ac:dyDescent="0.45">
      <c r="B41" t="s">
        <v>132</v>
      </c>
      <c r="C41">
        <v>0.98311203837609484</v>
      </c>
      <c r="D41">
        <v>369.6</v>
      </c>
      <c r="E41">
        <v>0.97984000000000004</v>
      </c>
      <c r="H41" t="s">
        <v>294</v>
      </c>
      <c r="I41" t="s">
        <v>256</v>
      </c>
      <c r="J41">
        <v>0.47683269063818606</v>
      </c>
      <c r="K41" t="s">
        <v>257</v>
      </c>
      <c r="L41" t="s">
        <v>256</v>
      </c>
      <c r="P41" t="s">
        <v>294</v>
      </c>
      <c r="Q41" t="s">
        <v>307</v>
      </c>
      <c r="R41" t="s">
        <v>300</v>
      </c>
      <c r="U41" t="s">
        <v>91</v>
      </c>
      <c r="V41" t="s">
        <v>351</v>
      </c>
      <c r="W41" t="s">
        <v>309</v>
      </c>
      <c r="X41" t="s">
        <v>313</v>
      </c>
    </row>
    <row r="42" spans="2:24" x14ac:dyDescent="0.45">
      <c r="B42" t="s">
        <v>133</v>
      </c>
      <c r="C42">
        <v>0.98311203837609484</v>
      </c>
      <c r="D42">
        <v>782.1</v>
      </c>
      <c r="E42">
        <v>0.95733999999999997</v>
      </c>
      <c r="H42" t="s">
        <v>295</v>
      </c>
      <c r="I42" t="s">
        <v>256</v>
      </c>
      <c r="J42">
        <v>6.6688786721083068E-2</v>
      </c>
      <c r="K42" t="s">
        <v>257</v>
      </c>
      <c r="L42" t="s">
        <v>256</v>
      </c>
      <c r="P42" t="s">
        <v>295</v>
      </c>
      <c r="Q42" t="s">
        <v>308</v>
      </c>
      <c r="R42" t="s">
        <v>300</v>
      </c>
      <c r="U42" t="s">
        <v>91</v>
      </c>
      <c r="V42" t="s">
        <v>352</v>
      </c>
      <c r="W42" t="s">
        <v>309</v>
      </c>
      <c r="X42" t="s">
        <v>313</v>
      </c>
    </row>
    <row r="43" spans="2:24" x14ac:dyDescent="0.45">
      <c r="B43" t="s">
        <v>134</v>
      </c>
      <c r="C43">
        <v>0.98311203837609484</v>
      </c>
      <c r="D43">
        <v>20.900000000000002</v>
      </c>
      <c r="E43">
        <v>0.99885999999999997</v>
      </c>
      <c r="H43" t="s">
        <v>296</v>
      </c>
      <c r="I43" t="s">
        <v>256</v>
      </c>
      <c r="J43">
        <v>1.8682785511706303E-2</v>
      </c>
      <c r="K43" t="s">
        <v>257</v>
      </c>
      <c r="L43" t="s">
        <v>256</v>
      </c>
      <c r="P43" t="s">
        <v>296</v>
      </c>
      <c r="Q43" t="s">
        <v>309</v>
      </c>
      <c r="R43" t="s">
        <v>300</v>
      </c>
      <c r="U43" t="s">
        <v>91</v>
      </c>
      <c r="V43" t="s">
        <v>353</v>
      </c>
      <c r="W43" t="s">
        <v>354</v>
      </c>
      <c r="X43" t="s">
        <v>313</v>
      </c>
    </row>
    <row r="44" spans="2:24" x14ac:dyDescent="0.45">
      <c r="B44" t="s">
        <v>135</v>
      </c>
      <c r="C44">
        <v>0.98311203837609484</v>
      </c>
      <c r="D44">
        <v>55.000000000000007</v>
      </c>
      <c r="E44">
        <v>0.997</v>
      </c>
      <c r="U44" t="s">
        <v>91</v>
      </c>
      <c r="V44" t="s">
        <v>353</v>
      </c>
      <c r="W44" t="s">
        <v>354</v>
      </c>
      <c r="X44" t="s">
        <v>313</v>
      </c>
    </row>
    <row r="45" spans="2:24" x14ac:dyDescent="0.45">
      <c r="B45" t="s">
        <v>136</v>
      </c>
      <c r="C45">
        <v>0.49155601918804742</v>
      </c>
      <c r="D45">
        <v>1.1000000000000001</v>
      </c>
      <c r="E45">
        <v>0.99994000000000005</v>
      </c>
      <c r="U45" t="s">
        <v>91</v>
      </c>
      <c r="V45" t="s">
        <v>353</v>
      </c>
      <c r="W45" t="s">
        <v>354</v>
      </c>
      <c r="X45" t="s">
        <v>313</v>
      </c>
    </row>
    <row r="46" spans="2:24" x14ac:dyDescent="0.45">
      <c r="B46" t="s">
        <v>137</v>
      </c>
      <c r="C46">
        <v>0.49155601918804742</v>
      </c>
      <c r="D46">
        <v>1.1000000000000001</v>
      </c>
      <c r="E46">
        <v>0.99994000000000005</v>
      </c>
      <c r="U46" t="s">
        <v>91</v>
      </c>
      <c r="V46" t="s">
        <v>355</v>
      </c>
      <c r="W46" t="s">
        <v>356</v>
      </c>
      <c r="X46" t="s">
        <v>313</v>
      </c>
    </row>
    <row r="47" spans="2:24" x14ac:dyDescent="0.45">
      <c r="B47" t="s">
        <v>138</v>
      </c>
      <c r="C47">
        <v>0.49155601918804742</v>
      </c>
      <c r="D47">
        <v>3.3000000000000003</v>
      </c>
      <c r="E47">
        <v>0.99982000000000004</v>
      </c>
      <c r="U47" t="s">
        <v>91</v>
      </c>
      <c r="V47" t="s">
        <v>355</v>
      </c>
      <c r="W47" t="s">
        <v>356</v>
      </c>
      <c r="X47" t="s">
        <v>313</v>
      </c>
    </row>
    <row r="48" spans="2:24" x14ac:dyDescent="0.45">
      <c r="B48" t="s">
        <v>139</v>
      </c>
      <c r="C48">
        <v>0.98311203837609484</v>
      </c>
      <c r="D48">
        <v>100.10000000000001</v>
      </c>
      <c r="E48">
        <v>0.99453999999999998</v>
      </c>
      <c r="U48" t="s">
        <v>91</v>
      </c>
      <c r="V48" t="s">
        <v>355</v>
      </c>
      <c r="W48" t="s">
        <v>356</v>
      </c>
      <c r="X48" t="s">
        <v>313</v>
      </c>
    </row>
    <row r="49" spans="2:24" x14ac:dyDescent="0.45">
      <c r="B49" t="s">
        <v>140</v>
      </c>
      <c r="C49">
        <v>0.98311203837609484</v>
      </c>
      <c r="D49">
        <v>103.4</v>
      </c>
      <c r="E49">
        <v>0.99436000000000002</v>
      </c>
      <c r="U49" t="s">
        <v>91</v>
      </c>
      <c r="V49" t="s">
        <v>357</v>
      </c>
      <c r="W49" t="s">
        <v>358</v>
      </c>
      <c r="X49" t="s">
        <v>313</v>
      </c>
    </row>
    <row r="50" spans="2:24" x14ac:dyDescent="0.45">
      <c r="B50" t="s">
        <v>141</v>
      </c>
      <c r="C50">
        <v>0.98311203837609484</v>
      </c>
      <c r="D50">
        <v>9.9</v>
      </c>
      <c r="E50">
        <v>0.99946000000000002</v>
      </c>
      <c r="U50" t="s">
        <v>91</v>
      </c>
      <c r="V50" t="s">
        <v>357</v>
      </c>
      <c r="W50" t="s">
        <v>358</v>
      </c>
      <c r="X50" t="s">
        <v>313</v>
      </c>
    </row>
    <row r="51" spans="2:24" x14ac:dyDescent="0.45">
      <c r="B51" t="s">
        <v>142</v>
      </c>
      <c r="C51">
        <v>0.98311203837609484</v>
      </c>
      <c r="D51">
        <v>756.80000000000007</v>
      </c>
      <c r="E51">
        <v>0.95872000000000002</v>
      </c>
      <c r="U51" t="s">
        <v>91</v>
      </c>
      <c r="V51" t="s">
        <v>357</v>
      </c>
      <c r="W51" t="s">
        <v>358</v>
      </c>
      <c r="X51" t="s">
        <v>313</v>
      </c>
    </row>
    <row r="52" spans="2:24" x14ac:dyDescent="0.45">
      <c r="B52" t="s">
        <v>143</v>
      </c>
      <c r="C52">
        <v>0.49155601918804742</v>
      </c>
      <c r="D52">
        <v>314.60000000000002</v>
      </c>
      <c r="E52">
        <v>0.98284000000000005</v>
      </c>
      <c r="U52" t="s">
        <v>91</v>
      </c>
      <c r="V52" t="s">
        <v>359</v>
      </c>
      <c r="W52" t="s">
        <v>360</v>
      </c>
      <c r="X52" t="s">
        <v>313</v>
      </c>
    </row>
    <row r="53" spans="2:24" x14ac:dyDescent="0.45">
      <c r="B53" t="s">
        <v>144</v>
      </c>
      <c r="C53">
        <v>0.98311203837609484</v>
      </c>
      <c r="D53">
        <v>122.10000000000001</v>
      </c>
      <c r="E53">
        <v>0.99334</v>
      </c>
      <c r="U53" t="s">
        <v>91</v>
      </c>
      <c r="V53" t="s">
        <v>359</v>
      </c>
      <c r="W53" t="s">
        <v>360</v>
      </c>
      <c r="X53" t="s">
        <v>313</v>
      </c>
    </row>
    <row r="54" spans="2:24" x14ac:dyDescent="0.45">
      <c r="B54" t="s">
        <v>145</v>
      </c>
      <c r="C54">
        <v>0.98311203837609484</v>
      </c>
      <c r="D54">
        <v>315.70000000000005</v>
      </c>
      <c r="E54">
        <v>0.98277999999999999</v>
      </c>
      <c r="U54" t="s">
        <v>91</v>
      </c>
      <c r="V54" t="s">
        <v>359</v>
      </c>
      <c r="W54" t="s">
        <v>360</v>
      </c>
      <c r="X54" t="s">
        <v>313</v>
      </c>
    </row>
    <row r="55" spans="2:24" x14ac:dyDescent="0.45">
      <c r="B55" t="s">
        <v>146</v>
      </c>
      <c r="C55">
        <v>0.98311203837609484</v>
      </c>
      <c r="D55">
        <v>27.500000000000004</v>
      </c>
      <c r="E55">
        <v>0.99850000000000005</v>
      </c>
      <c r="U55" t="s">
        <v>91</v>
      </c>
      <c r="V55" t="s">
        <v>361</v>
      </c>
      <c r="W55" t="s">
        <v>362</v>
      </c>
      <c r="X55" t="s">
        <v>313</v>
      </c>
    </row>
    <row r="56" spans="2:24" x14ac:dyDescent="0.45">
      <c r="B56" t="s">
        <v>147</v>
      </c>
      <c r="C56">
        <v>0.49155601918804742</v>
      </c>
      <c r="D56">
        <v>190.3</v>
      </c>
      <c r="E56">
        <v>0.98961999999999994</v>
      </c>
      <c r="U56" t="s">
        <v>91</v>
      </c>
      <c r="V56" t="s">
        <v>361</v>
      </c>
      <c r="W56" t="s">
        <v>362</v>
      </c>
      <c r="X56" t="s">
        <v>313</v>
      </c>
    </row>
    <row r="57" spans="2:24" x14ac:dyDescent="0.45">
      <c r="B57" t="s">
        <v>148</v>
      </c>
      <c r="C57">
        <v>0.98311203837609484</v>
      </c>
      <c r="D57">
        <v>46.2</v>
      </c>
      <c r="E57">
        <v>0.99748000000000003</v>
      </c>
      <c r="U57" t="s">
        <v>91</v>
      </c>
      <c r="V57" t="s">
        <v>361</v>
      </c>
      <c r="W57" t="s">
        <v>362</v>
      </c>
      <c r="X57" t="s">
        <v>313</v>
      </c>
    </row>
    <row r="58" spans="2:24" x14ac:dyDescent="0.45">
      <c r="B58" t="s">
        <v>149</v>
      </c>
      <c r="C58">
        <v>0.98311203837609484</v>
      </c>
      <c r="D58">
        <v>143</v>
      </c>
      <c r="E58">
        <v>0.99219999999999997</v>
      </c>
      <c r="U58" t="s">
        <v>91</v>
      </c>
      <c r="V58" t="s">
        <v>363</v>
      </c>
      <c r="W58" t="s">
        <v>364</v>
      </c>
      <c r="X58" t="s">
        <v>313</v>
      </c>
    </row>
    <row r="59" spans="2:24" x14ac:dyDescent="0.45">
      <c r="B59" t="s">
        <v>150</v>
      </c>
      <c r="C59">
        <v>0.49155601918804742</v>
      </c>
      <c r="D59">
        <v>17.600000000000001</v>
      </c>
      <c r="E59">
        <v>0.99904000000000004</v>
      </c>
      <c r="U59" t="s">
        <v>91</v>
      </c>
      <c r="V59" t="s">
        <v>363</v>
      </c>
      <c r="W59" t="s">
        <v>364</v>
      </c>
      <c r="X59" t="s">
        <v>313</v>
      </c>
    </row>
    <row r="60" spans="2:24" x14ac:dyDescent="0.45">
      <c r="B60" t="s">
        <v>151</v>
      </c>
      <c r="C60">
        <v>0.98311203837609484</v>
      </c>
      <c r="D60">
        <v>33</v>
      </c>
      <c r="E60">
        <v>0.99819999999999998</v>
      </c>
      <c r="U60" t="s">
        <v>91</v>
      </c>
      <c r="V60" t="s">
        <v>363</v>
      </c>
      <c r="W60" t="s">
        <v>364</v>
      </c>
      <c r="X60" t="s">
        <v>313</v>
      </c>
    </row>
    <row r="61" spans="2:24" x14ac:dyDescent="0.45">
      <c r="B61" t="s">
        <v>152</v>
      </c>
      <c r="C61">
        <v>0.49155601918804742</v>
      </c>
      <c r="D61">
        <v>23.1</v>
      </c>
      <c r="E61">
        <v>0.99873999999999996</v>
      </c>
      <c r="U61" t="s">
        <v>91</v>
      </c>
      <c r="V61" t="s">
        <v>365</v>
      </c>
      <c r="W61" t="s">
        <v>366</v>
      </c>
      <c r="X61" t="s">
        <v>313</v>
      </c>
    </row>
    <row r="62" spans="2:24" x14ac:dyDescent="0.45">
      <c r="B62" t="s">
        <v>153</v>
      </c>
      <c r="C62">
        <v>0.98311203837609484</v>
      </c>
      <c r="D62">
        <v>40.700000000000003</v>
      </c>
      <c r="E62">
        <v>0.99778</v>
      </c>
      <c r="U62" t="s">
        <v>91</v>
      </c>
      <c r="V62" t="s">
        <v>365</v>
      </c>
      <c r="W62" t="s">
        <v>366</v>
      </c>
      <c r="X62" t="s">
        <v>313</v>
      </c>
    </row>
    <row r="63" spans="2:24" x14ac:dyDescent="0.45">
      <c r="B63" t="s">
        <v>154</v>
      </c>
      <c r="C63">
        <v>0.49155601918804742</v>
      </c>
      <c r="D63">
        <v>3.3000000000000003</v>
      </c>
      <c r="E63">
        <v>0.99982000000000004</v>
      </c>
      <c r="U63" t="s">
        <v>91</v>
      </c>
      <c r="V63" t="s">
        <v>365</v>
      </c>
      <c r="W63" t="s">
        <v>366</v>
      </c>
      <c r="X63" t="s">
        <v>313</v>
      </c>
    </row>
    <row r="64" spans="2:24" x14ac:dyDescent="0.45">
      <c r="B64" t="s">
        <v>155</v>
      </c>
      <c r="C64">
        <v>0.98311203837609484</v>
      </c>
      <c r="D64">
        <v>2.2000000000000002</v>
      </c>
      <c r="E64">
        <v>0.99987999999999999</v>
      </c>
      <c r="U64" t="s">
        <v>91</v>
      </c>
      <c r="V64" t="s">
        <v>367</v>
      </c>
      <c r="W64" t="s">
        <v>368</v>
      </c>
      <c r="X64" t="s">
        <v>313</v>
      </c>
    </row>
    <row r="65" spans="2:24" x14ac:dyDescent="0.45">
      <c r="B65" t="s">
        <v>156</v>
      </c>
      <c r="C65">
        <v>0.98311203837609484</v>
      </c>
      <c r="D65">
        <v>27.500000000000004</v>
      </c>
      <c r="E65">
        <v>0.99850000000000005</v>
      </c>
      <c r="U65" t="s">
        <v>91</v>
      </c>
      <c r="V65" t="s">
        <v>367</v>
      </c>
      <c r="W65" t="s">
        <v>368</v>
      </c>
      <c r="X65" t="s">
        <v>313</v>
      </c>
    </row>
    <row r="66" spans="2:24" x14ac:dyDescent="0.45">
      <c r="B66" t="s">
        <v>157</v>
      </c>
      <c r="C66">
        <v>0.49155601918804742</v>
      </c>
      <c r="D66">
        <v>407.00000000000006</v>
      </c>
      <c r="E66">
        <v>0.9778</v>
      </c>
      <c r="U66" t="s">
        <v>91</v>
      </c>
      <c r="V66" t="s">
        <v>367</v>
      </c>
      <c r="W66" t="s">
        <v>368</v>
      </c>
      <c r="X66" t="s">
        <v>313</v>
      </c>
    </row>
    <row r="67" spans="2:24" x14ac:dyDescent="0.45">
      <c r="B67" t="s">
        <v>158</v>
      </c>
      <c r="C67">
        <v>0.49155601918804742</v>
      </c>
      <c r="D67">
        <v>26.400000000000002</v>
      </c>
      <c r="E67">
        <v>0.99856</v>
      </c>
      <c r="U67" t="s">
        <v>91</v>
      </c>
      <c r="V67" t="s">
        <v>369</v>
      </c>
      <c r="W67" t="s">
        <v>370</v>
      </c>
      <c r="X67" t="s">
        <v>313</v>
      </c>
    </row>
    <row r="68" spans="2:24" x14ac:dyDescent="0.45">
      <c r="B68" t="s">
        <v>159</v>
      </c>
      <c r="C68">
        <v>0.98311203837609484</v>
      </c>
      <c r="D68">
        <v>50.6</v>
      </c>
      <c r="E68">
        <v>0.99724000000000002</v>
      </c>
      <c r="U68" t="s">
        <v>91</v>
      </c>
      <c r="V68" t="s">
        <v>369</v>
      </c>
      <c r="W68" t="s">
        <v>370</v>
      </c>
      <c r="X68" t="s">
        <v>313</v>
      </c>
    </row>
    <row r="69" spans="2:24" x14ac:dyDescent="0.45">
      <c r="B69" t="s">
        <v>160</v>
      </c>
      <c r="C69">
        <v>0.49155601918804742</v>
      </c>
      <c r="D69">
        <v>812.90000000000009</v>
      </c>
      <c r="E69">
        <v>0.95565999999999995</v>
      </c>
      <c r="U69" t="s">
        <v>91</v>
      </c>
      <c r="V69" t="s">
        <v>369</v>
      </c>
      <c r="W69" t="s">
        <v>370</v>
      </c>
      <c r="X69" t="s">
        <v>313</v>
      </c>
    </row>
    <row r="70" spans="2:24" x14ac:dyDescent="0.45">
      <c r="B70" t="s">
        <v>161</v>
      </c>
      <c r="C70">
        <v>0.49155601918804742</v>
      </c>
      <c r="D70">
        <v>815.1</v>
      </c>
      <c r="E70">
        <v>0.95554000000000006</v>
      </c>
      <c r="U70" t="s">
        <v>91</v>
      </c>
      <c r="V70" t="s">
        <v>371</v>
      </c>
      <c r="W70" t="s">
        <v>372</v>
      </c>
      <c r="X70" t="s">
        <v>313</v>
      </c>
    </row>
    <row r="71" spans="2:24" x14ac:dyDescent="0.45">
      <c r="B71" t="s">
        <v>162</v>
      </c>
      <c r="C71">
        <v>0.49155601918804742</v>
      </c>
      <c r="D71">
        <v>524.70000000000005</v>
      </c>
      <c r="E71">
        <v>0.97138000000000002</v>
      </c>
      <c r="U71" t="s">
        <v>91</v>
      </c>
      <c r="V71" t="s">
        <v>371</v>
      </c>
      <c r="W71" t="s">
        <v>372</v>
      </c>
      <c r="X71" t="s">
        <v>313</v>
      </c>
    </row>
    <row r="72" spans="2:24" x14ac:dyDescent="0.45">
      <c r="B72" t="s">
        <v>163</v>
      </c>
      <c r="C72">
        <v>0.98311203837609484</v>
      </c>
      <c r="D72">
        <v>170.5</v>
      </c>
      <c r="E72">
        <v>0.99070000000000003</v>
      </c>
      <c r="U72" t="s">
        <v>91</v>
      </c>
      <c r="V72" t="s">
        <v>371</v>
      </c>
      <c r="W72" t="s">
        <v>372</v>
      </c>
      <c r="X72" t="s">
        <v>313</v>
      </c>
    </row>
    <row r="73" spans="2:24" x14ac:dyDescent="0.45">
      <c r="B73" t="s">
        <v>164</v>
      </c>
      <c r="C73">
        <v>0.98311203837609484</v>
      </c>
      <c r="D73">
        <v>2.2000000000000002</v>
      </c>
      <c r="E73">
        <v>0.99987999999999999</v>
      </c>
      <c r="U73" t="s">
        <v>91</v>
      </c>
      <c r="V73" t="s">
        <v>373</v>
      </c>
      <c r="W73" t="s">
        <v>374</v>
      </c>
      <c r="X73" t="s">
        <v>313</v>
      </c>
    </row>
    <row r="74" spans="2:24" x14ac:dyDescent="0.45">
      <c r="B74" t="s">
        <v>165</v>
      </c>
      <c r="C74">
        <v>0.98311203837609484</v>
      </c>
      <c r="D74">
        <v>22</v>
      </c>
      <c r="E74">
        <v>0.99880000000000002</v>
      </c>
      <c r="U74" t="s">
        <v>91</v>
      </c>
      <c r="V74" t="s">
        <v>373</v>
      </c>
      <c r="W74" t="s">
        <v>374</v>
      </c>
      <c r="X74" t="s">
        <v>313</v>
      </c>
    </row>
    <row r="75" spans="2:24" x14ac:dyDescent="0.45">
      <c r="B75" t="s">
        <v>166</v>
      </c>
      <c r="C75">
        <v>0.98311203837609484</v>
      </c>
      <c r="D75">
        <v>783.2</v>
      </c>
      <c r="E75">
        <v>0.95728000000000002</v>
      </c>
      <c r="U75" t="s">
        <v>91</v>
      </c>
      <c r="V75" t="s">
        <v>373</v>
      </c>
      <c r="W75" t="s">
        <v>374</v>
      </c>
      <c r="X75" t="s">
        <v>313</v>
      </c>
    </row>
    <row r="76" spans="2:24" x14ac:dyDescent="0.45">
      <c r="B76" t="s">
        <v>167</v>
      </c>
      <c r="C76">
        <v>0.98311203837609484</v>
      </c>
      <c r="D76">
        <v>455.40000000000003</v>
      </c>
      <c r="E76">
        <v>0.97516000000000003</v>
      </c>
      <c r="U76" t="s">
        <v>91</v>
      </c>
      <c r="V76" t="s">
        <v>375</v>
      </c>
      <c r="W76" t="s">
        <v>376</v>
      </c>
      <c r="X76" t="s">
        <v>313</v>
      </c>
    </row>
    <row r="77" spans="2:24" x14ac:dyDescent="0.45">
      <c r="B77" t="s">
        <v>168</v>
      </c>
      <c r="C77">
        <v>0.49155601918804742</v>
      </c>
      <c r="D77">
        <v>38.5</v>
      </c>
      <c r="E77">
        <v>0.99790000000000001</v>
      </c>
      <c r="U77" t="s">
        <v>91</v>
      </c>
      <c r="V77" t="s">
        <v>375</v>
      </c>
      <c r="W77" t="s">
        <v>376</v>
      </c>
      <c r="X77" t="s">
        <v>313</v>
      </c>
    </row>
    <row r="78" spans="2:24" x14ac:dyDescent="0.45">
      <c r="B78" t="s">
        <v>169</v>
      </c>
      <c r="C78">
        <v>0.49155601918804742</v>
      </c>
      <c r="D78">
        <v>2.2000000000000002</v>
      </c>
      <c r="E78">
        <v>0.99987999999999999</v>
      </c>
      <c r="U78" t="s">
        <v>91</v>
      </c>
      <c r="V78" t="s">
        <v>375</v>
      </c>
      <c r="W78" t="s">
        <v>376</v>
      </c>
      <c r="X78" t="s">
        <v>313</v>
      </c>
    </row>
    <row r="79" spans="2:24" x14ac:dyDescent="0.45">
      <c r="B79" t="s">
        <v>170</v>
      </c>
      <c r="C79">
        <v>0.49155601918804742</v>
      </c>
      <c r="D79">
        <v>23.1</v>
      </c>
      <c r="E79">
        <v>0.99873999999999996</v>
      </c>
      <c r="U79" t="s">
        <v>91</v>
      </c>
      <c r="V79" t="s">
        <v>377</v>
      </c>
      <c r="W79" t="s">
        <v>378</v>
      </c>
      <c r="X79" t="s">
        <v>313</v>
      </c>
    </row>
    <row r="80" spans="2:24" x14ac:dyDescent="0.45">
      <c r="B80" t="s">
        <v>171</v>
      </c>
      <c r="C80">
        <v>0.98311203837609484</v>
      </c>
      <c r="D80">
        <v>437.8</v>
      </c>
      <c r="E80">
        <v>0.97611999999999999</v>
      </c>
      <c r="U80" t="s">
        <v>91</v>
      </c>
      <c r="V80" t="s">
        <v>377</v>
      </c>
      <c r="W80" t="s">
        <v>378</v>
      </c>
      <c r="X80" t="s">
        <v>313</v>
      </c>
    </row>
    <row r="81" spans="2:24" x14ac:dyDescent="0.45">
      <c r="B81" t="s">
        <v>172</v>
      </c>
      <c r="C81">
        <v>0.98311203837609484</v>
      </c>
      <c r="D81">
        <v>20.900000000000002</v>
      </c>
      <c r="E81">
        <v>0.99885999999999997</v>
      </c>
      <c r="U81" t="s">
        <v>91</v>
      </c>
      <c r="V81" t="s">
        <v>377</v>
      </c>
      <c r="W81" t="s">
        <v>378</v>
      </c>
      <c r="X81" t="s">
        <v>313</v>
      </c>
    </row>
    <row r="82" spans="2:24" x14ac:dyDescent="0.45">
      <c r="B82" t="s">
        <v>173</v>
      </c>
      <c r="C82">
        <v>0.98311203837609484</v>
      </c>
      <c r="D82">
        <v>1018.6000000000001</v>
      </c>
      <c r="E82">
        <v>0.94443999999999995</v>
      </c>
      <c r="U82" t="s">
        <v>91</v>
      </c>
      <c r="V82" t="s">
        <v>379</v>
      </c>
      <c r="W82" t="s">
        <v>380</v>
      </c>
      <c r="X82" t="s">
        <v>313</v>
      </c>
    </row>
    <row r="83" spans="2:24" x14ac:dyDescent="0.45">
      <c r="B83" t="s">
        <v>174</v>
      </c>
      <c r="C83">
        <v>0.98311203837609484</v>
      </c>
      <c r="D83">
        <v>205.70000000000002</v>
      </c>
      <c r="E83">
        <v>0.98877999999999999</v>
      </c>
      <c r="U83" t="s">
        <v>91</v>
      </c>
      <c r="V83" t="s">
        <v>379</v>
      </c>
      <c r="W83" t="s">
        <v>380</v>
      </c>
      <c r="X83" t="s">
        <v>313</v>
      </c>
    </row>
    <row r="84" spans="2:24" x14ac:dyDescent="0.45">
      <c r="B84" t="s">
        <v>175</v>
      </c>
      <c r="C84">
        <v>0.98311203837609484</v>
      </c>
      <c r="D84">
        <v>632.5</v>
      </c>
      <c r="E84">
        <v>0.96550000000000002</v>
      </c>
      <c r="U84" t="s">
        <v>91</v>
      </c>
      <c r="V84" t="s">
        <v>379</v>
      </c>
      <c r="W84" t="s">
        <v>380</v>
      </c>
      <c r="X84" t="s">
        <v>313</v>
      </c>
    </row>
    <row r="85" spans="2:24" x14ac:dyDescent="0.45">
      <c r="B85" t="s">
        <v>176</v>
      </c>
      <c r="C85">
        <v>0.98311203837609484</v>
      </c>
      <c r="D85">
        <v>926.2</v>
      </c>
      <c r="E85">
        <v>0.94947999999999999</v>
      </c>
      <c r="U85" t="s">
        <v>91</v>
      </c>
      <c r="V85" t="s">
        <v>381</v>
      </c>
      <c r="W85" t="s">
        <v>382</v>
      </c>
      <c r="X85" t="s">
        <v>313</v>
      </c>
    </row>
    <row r="86" spans="2:24" x14ac:dyDescent="0.45">
      <c r="B86" t="s">
        <v>177</v>
      </c>
      <c r="C86">
        <v>0.98311203837609484</v>
      </c>
      <c r="D86">
        <v>35.200000000000003</v>
      </c>
      <c r="E86">
        <v>0.99807999999999997</v>
      </c>
      <c r="U86" t="s">
        <v>91</v>
      </c>
      <c r="V86" t="s">
        <v>381</v>
      </c>
      <c r="W86" t="s">
        <v>382</v>
      </c>
      <c r="X86" t="s">
        <v>313</v>
      </c>
    </row>
    <row r="87" spans="2:24" x14ac:dyDescent="0.45">
      <c r="B87" t="s">
        <v>178</v>
      </c>
      <c r="C87">
        <v>0.98311203837609484</v>
      </c>
      <c r="D87">
        <v>151.80000000000001</v>
      </c>
      <c r="E87">
        <v>0.99172000000000005</v>
      </c>
      <c r="U87" t="s">
        <v>91</v>
      </c>
      <c r="V87" t="s">
        <v>381</v>
      </c>
      <c r="W87" t="s">
        <v>382</v>
      </c>
      <c r="X87" t="s">
        <v>313</v>
      </c>
    </row>
    <row r="88" spans="2:24" x14ac:dyDescent="0.45">
      <c r="B88" t="s">
        <v>179</v>
      </c>
      <c r="C88">
        <v>0.98311203837609484</v>
      </c>
      <c r="D88">
        <v>7.7000000000000011</v>
      </c>
      <c r="E88">
        <v>0.99958000000000002</v>
      </c>
      <c r="U88" t="s">
        <v>91</v>
      </c>
      <c r="V88" t="s">
        <v>383</v>
      </c>
      <c r="W88" t="s">
        <v>384</v>
      </c>
      <c r="X88" t="s">
        <v>313</v>
      </c>
    </row>
    <row r="89" spans="2:24" x14ac:dyDescent="0.45">
      <c r="B89" t="s">
        <v>180</v>
      </c>
      <c r="C89">
        <v>0.98311203837609484</v>
      </c>
      <c r="D89">
        <v>100.10000000000001</v>
      </c>
      <c r="E89">
        <v>0.99453999999999998</v>
      </c>
      <c r="U89" t="s">
        <v>91</v>
      </c>
      <c r="V89" t="s">
        <v>383</v>
      </c>
      <c r="W89" t="s">
        <v>384</v>
      </c>
      <c r="X89" t="s">
        <v>313</v>
      </c>
    </row>
    <row r="90" spans="2:24" x14ac:dyDescent="0.45">
      <c r="B90" t="s">
        <v>181</v>
      </c>
      <c r="C90">
        <v>0.98311203837609484</v>
      </c>
      <c r="D90">
        <v>23.1</v>
      </c>
      <c r="E90">
        <v>0.99873999999999996</v>
      </c>
      <c r="U90" t="s">
        <v>91</v>
      </c>
      <c r="V90" t="s">
        <v>383</v>
      </c>
      <c r="W90" t="s">
        <v>384</v>
      </c>
      <c r="X90" t="s">
        <v>313</v>
      </c>
    </row>
    <row r="91" spans="2:24" x14ac:dyDescent="0.45">
      <c r="B91" t="s">
        <v>182</v>
      </c>
      <c r="C91">
        <v>0.98311203837609484</v>
      </c>
      <c r="D91">
        <v>369.6</v>
      </c>
      <c r="E91">
        <v>0.97984000000000004</v>
      </c>
      <c r="U91" t="s">
        <v>91</v>
      </c>
      <c r="V91" t="s">
        <v>385</v>
      </c>
      <c r="W91" t="s">
        <v>386</v>
      </c>
      <c r="X91" t="s">
        <v>313</v>
      </c>
    </row>
    <row r="92" spans="2:24" x14ac:dyDescent="0.45">
      <c r="B92" t="s">
        <v>183</v>
      </c>
      <c r="C92">
        <v>0.98311203837609484</v>
      </c>
      <c r="D92">
        <v>319</v>
      </c>
      <c r="E92">
        <v>0.98260000000000003</v>
      </c>
      <c r="U92" t="s">
        <v>91</v>
      </c>
      <c r="V92" t="s">
        <v>385</v>
      </c>
      <c r="W92" t="s">
        <v>386</v>
      </c>
      <c r="X92" t="s">
        <v>313</v>
      </c>
    </row>
    <row r="93" spans="2:24" x14ac:dyDescent="0.45">
      <c r="B93" t="s">
        <v>184</v>
      </c>
      <c r="C93">
        <v>0.98311203837609484</v>
      </c>
      <c r="D93">
        <v>218.9</v>
      </c>
      <c r="E93">
        <v>0.98806000000000005</v>
      </c>
      <c r="U93" t="s">
        <v>91</v>
      </c>
      <c r="V93" t="s">
        <v>385</v>
      </c>
      <c r="W93" t="s">
        <v>386</v>
      </c>
      <c r="X93" t="s">
        <v>313</v>
      </c>
    </row>
    <row r="94" spans="2:24" x14ac:dyDescent="0.45">
      <c r="B94" t="s">
        <v>185</v>
      </c>
      <c r="C94">
        <v>0.98311203837609484</v>
      </c>
      <c r="D94">
        <v>2.2000000000000002</v>
      </c>
      <c r="E94">
        <v>0.99987999999999999</v>
      </c>
      <c r="U94" t="s">
        <v>91</v>
      </c>
      <c r="V94" t="s">
        <v>387</v>
      </c>
      <c r="W94" t="s">
        <v>388</v>
      </c>
      <c r="X94" t="s">
        <v>313</v>
      </c>
    </row>
    <row r="95" spans="2:24" x14ac:dyDescent="0.45">
      <c r="B95" t="s">
        <v>186</v>
      </c>
      <c r="C95">
        <v>0.98311203837609484</v>
      </c>
      <c r="D95">
        <v>4.4000000000000004</v>
      </c>
      <c r="E95">
        <v>0.99975999999999998</v>
      </c>
      <c r="U95" t="s">
        <v>91</v>
      </c>
      <c r="V95" t="s">
        <v>387</v>
      </c>
      <c r="W95" t="s">
        <v>388</v>
      </c>
      <c r="X95" t="s">
        <v>313</v>
      </c>
    </row>
    <row r="96" spans="2:24" x14ac:dyDescent="0.45">
      <c r="B96" t="s">
        <v>187</v>
      </c>
      <c r="C96">
        <v>0.98311203837609484</v>
      </c>
      <c r="D96">
        <v>418.00000000000006</v>
      </c>
      <c r="E96">
        <v>0.97719999999999996</v>
      </c>
      <c r="U96" t="s">
        <v>91</v>
      </c>
      <c r="V96" t="s">
        <v>387</v>
      </c>
      <c r="W96" t="s">
        <v>388</v>
      </c>
      <c r="X96" t="s">
        <v>313</v>
      </c>
    </row>
    <row r="97" spans="2:24" x14ac:dyDescent="0.45">
      <c r="B97" t="s">
        <v>188</v>
      </c>
      <c r="C97">
        <v>0.98311203837609484</v>
      </c>
      <c r="D97">
        <v>16.5</v>
      </c>
      <c r="E97">
        <v>0.99909999999999999</v>
      </c>
      <c r="U97" t="s">
        <v>91</v>
      </c>
      <c r="V97" t="s">
        <v>389</v>
      </c>
      <c r="W97" t="s">
        <v>390</v>
      </c>
      <c r="X97" t="s">
        <v>313</v>
      </c>
    </row>
    <row r="98" spans="2:24" x14ac:dyDescent="0.45">
      <c r="B98" t="s">
        <v>189</v>
      </c>
      <c r="C98">
        <v>0.49155601918804742</v>
      </c>
      <c r="D98">
        <v>36.300000000000004</v>
      </c>
      <c r="E98">
        <v>0.99802000000000002</v>
      </c>
      <c r="U98" t="s">
        <v>91</v>
      </c>
      <c r="V98" t="s">
        <v>389</v>
      </c>
      <c r="W98" t="s">
        <v>390</v>
      </c>
      <c r="X98" t="s">
        <v>313</v>
      </c>
    </row>
    <row r="99" spans="2:24" x14ac:dyDescent="0.45">
      <c r="B99" t="s">
        <v>190</v>
      </c>
      <c r="C99">
        <v>0.98311203837609484</v>
      </c>
      <c r="D99">
        <v>100.10000000000001</v>
      </c>
      <c r="E99">
        <v>0.99453999999999998</v>
      </c>
      <c r="U99" t="s">
        <v>91</v>
      </c>
      <c r="V99" t="s">
        <v>389</v>
      </c>
      <c r="W99" t="s">
        <v>390</v>
      </c>
      <c r="X99" t="s">
        <v>313</v>
      </c>
    </row>
    <row r="100" spans="2:24" x14ac:dyDescent="0.45">
      <c r="B100" t="s">
        <v>191</v>
      </c>
      <c r="C100">
        <v>0.98311203837609484</v>
      </c>
      <c r="D100">
        <v>59.400000000000006</v>
      </c>
      <c r="E100">
        <v>0.99675999999999998</v>
      </c>
      <c r="U100" t="s">
        <v>91</v>
      </c>
      <c r="V100" t="s">
        <v>391</v>
      </c>
      <c r="W100" t="s">
        <v>392</v>
      </c>
      <c r="X100" t="s">
        <v>313</v>
      </c>
    </row>
    <row r="101" spans="2:24" x14ac:dyDescent="0.45">
      <c r="B101" t="s">
        <v>192</v>
      </c>
      <c r="C101">
        <v>0.49155601918804742</v>
      </c>
      <c r="D101">
        <v>537.90000000000009</v>
      </c>
      <c r="E101">
        <v>0.97065999999999997</v>
      </c>
      <c r="U101" t="s">
        <v>91</v>
      </c>
      <c r="V101" t="s">
        <v>391</v>
      </c>
      <c r="W101" t="s">
        <v>392</v>
      </c>
      <c r="X101" t="s">
        <v>313</v>
      </c>
    </row>
    <row r="102" spans="2:24" x14ac:dyDescent="0.45">
      <c r="B102" t="s">
        <v>193</v>
      </c>
      <c r="C102">
        <v>0.49155601918804742</v>
      </c>
      <c r="D102">
        <v>92.4</v>
      </c>
      <c r="E102">
        <v>0.99495999999999996</v>
      </c>
      <c r="U102" t="s">
        <v>91</v>
      </c>
      <c r="V102" t="s">
        <v>391</v>
      </c>
      <c r="W102" t="s">
        <v>392</v>
      </c>
      <c r="X102" t="s">
        <v>313</v>
      </c>
    </row>
    <row r="103" spans="2:24" x14ac:dyDescent="0.45">
      <c r="B103" t="s">
        <v>194</v>
      </c>
      <c r="C103">
        <v>0.98311203837609484</v>
      </c>
      <c r="D103">
        <v>2.2000000000000002</v>
      </c>
      <c r="E103">
        <v>0.99987999999999999</v>
      </c>
      <c r="U103" t="s">
        <v>91</v>
      </c>
      <c r="V103" t="s">
        <v>393</v>
      </c>
      <c r="W103" t="s">
        <v>394</v>
      </c>
      <c r="X103" t="s">
        <v>313</v>
      </c>
    </row>
    <row r="104" spans="2:24" x14ac:dyDescent="0.45">
      <c r="B104" t="s">
        <v>195</v>
      </c>
      <c r="C104">
        <v>0.98311203837609484</v>
      </c>
      <c r="D104">
        <v>92.4</v>
      </c>
      <c r="E104">
        <v>0.99495999999999996</v>
      </c>
      <c r="U104" t="s">
        <v>91</v>
      </c>
      <c r="V104" t="s">
        <v>393</v>
      </c>
      <c r="W104" t="s">
        <v>394</v>
      </c>
      <c r="X104" t="s">
        <v>313</v>
      </c>
    </row>
    <row r="105" spans="2:24" x14ac:dyDescent="0.45">
      <c r="B105" t="s">
        <v>196</v>
      </c>
      <c r="C105">
        <v>0.98311203837609484</v>
      </c>
      <c r="D105">
        <v>29.700000000000003</v>
      </c>
      <c r="E105">
        <v>0.99838000000000005</v>
      </c>
      <c r="U105" t="s">
        <v>91</v>
      </c>
      <c r="V105" t="s">
        <v>393</v>
      </c>
      <c r="W105" t="s">
        <v>394</v>
      </c>
      <c r="X105" t="s">
        <v>313</v>
      </c>
    </row>
    <row r="106" spans="2:24" x14ac:dyDescent="0.45">
      <c r="B106" t="s">
        <v>197</v>
      </c>
      <c r="C106">
        <v>0.49155601918804742</v>
      </c>
      <c r="D106">
        <v>1427.8000000000002</v>
      </c>
      <c r="E106">
        <v>0.92212000000000005</v>
      </c>
      <c r="U106" t="s">
        <v>91</v>
      </c>
      <c r="V106" t="s">
        <v>395</v>
      </c>
      <c r="W106" t="s">
        <v>396</v>
      </c>
      <c r="X106" t="s">
        <v>313</v>
      </c>
    </row>
    <row r="107" spans="2:24" x14ac:dyDescent="0.45">
      <c r="B107" t="s">
        <v>198</v>
      </c>
      <c r="C107">
        <v>0.98311203837609484</v>
      </c>
      <c r="D107">
        <v>460.90000000000003</v>
      </c>
      <c r="E107">
        <v>0.97485999999999995</v>
      </c>
      <c r="U107" t="s">
        <v>91</v>
      </c>
      <c r="V107" t="s">
        <v>395</v>
      </c>
      <c r="W107" t="s">
        <v>396</v>
      </c>
      <c r="X107" t="s">
        <v>313</v>
      </c>
    </row>
    <row r="108" spans="2:24" x14ac:dyDescent="0.45">
      <c r="B108" t="s">
        <v>199</v>
      </c>
      <c r="C108">
        <v>0.49155601918804742</v>
      </c>
      <c r="D108">
        <v>1483.9</v>
      </c>
      <c r="E108">
        <v>0.91905999999999999</v>
      </c>
      <c r="U108" t="s">
        <v>91</v>
      </c>
      <c r="V108" t="s">
        <v>395</v>
      </c>
      <c r="W108" t="s">
        <v>396</v>
      </c>
      <c r="X108" t="s">
        <v>313</v>
      </c>
    </row>
    <row r="109" spans="2:24" x14ac:dyDescent="0.45">
      <c r="B109" t="s">
        <v>200</v>
      </c>
      <c r="C109">
        <v>0.98311203837609484</v>
      </c>
      <c r="D109">
        <v>14.3</v>
      </c>
      <c r="E109">
        <v>0.99922</v>
      </c>
      <c r="U109" t="s">
        <v>91</v>
      </c>
      <c r="V109" t="s">
        <v>397</v>
      </c>
      <c r="W109" t="s">
        <v>398</v>
      </c>
      <c r="X109" t="s">
        <v>313</v>
      </c>
    </row>
    <row r="110" spans="2:24" x14ac:dyDescent="0.45">
      <c r="B110" t="s">
        <v>201</v>
      </c>
      <c r="C110">
        <v>0.98311203837609484</v>
      </c>
      <c r="D110">
        <v>34.1</v>
      </c>
      <c r="E110">
        <v>0.99814000000000003</v>
      </c>
      <c r="U110" t="s">
        <v>91</v>
      </c>
      <c r="V110" t="s">
        <v>397</v>
      </c>
      <c r="W110" t="s">
        <v>398</v>
      </c>
      <c r="X110" t="s">
        <v>313</v>
      </c>
    </row>
    <row r="111" spans="2:24" x14ac:dyDescent="0.45">
      <c r="B111" t="s">
        <v>202</v>
      </c>
      <c r="C111">
        <v>0.49155601918804742</v>
      </c>
      <c r="D111">
        <v>40.700000000000003</v>
      </c>
      <c r="E111">
        <v>0.99778</v>
      </c>
      <c r="U111" t="s">
        <v>91</v>
      </c>
      <c r="V111" t="s">
        <v>397</v>
      </c>
      <c r="W111" t="s">
        <v>398</v>
      </c>
      <c r="X111" t="s">
        <v>313</v>
      </c>
    </row>
    <row r="112" spans="2:24" x14ac:dyDescent="0.45">
      <c r="B112" t="s">
        <v>203</v>
      </c>
      <c r="C112">
        <v>0.98311203837609484</v>
      </c>
      <c r="D112">
        <v>40.700000000000003</v>
      </c>
      <c r="E112">
        <v>0.99778</v>
      </c>
      <c r="U112" t="s">
        <v>91</v>
      </c>
      <c r="V112" t="s">
        <v>399</v>
      </c>
      <c r="W112" t="s">
        <v>312</v>
      </c>
      <c r="X112" t="s">
        <v>313</v>
      </c>
    </row>
    <row r="113" spans="2:24" x14ac:dyDescent="0.45">
      <c r="B113" t="s">
        <v>204</v>
      </c>
      <c r="C113">
        <v>0.98311203837609484</v>
      </c>
      <c r="D113">
        <v>20.900000000000002</v>
      </c>
      <c r="E113">
        <v>0.99885999999999997</v>
      </c>
      <c r="U113" t="s">
        <v>91</v>
      </c>
      <c r="V113" t="s">
        <v>400</v>
      </c>
      <c r="W113" t="s">
        <v>312</v>
      </c>
      <c r="X113" t="s">
        <v>313</v>
      </c>
    </row>
    <row r="114" spans="2:24" x14ac:dyDescent="0.45">
      <c r="B114" t="s">
        <v>205</v>
      </c>
      <c r="C114">
        <v>0.98311203837609484</v>
      </c>
      <c r="D114">
        <v>159.5</v>
      </c>
      <c r="E114">
        <v>0.99129999999999996</v>
      </c>
      <c r="U114" t="s">
        <v>91</v>
      </c>
      <c r="V114" t="s">
        <v>401</v>
      </c>
      <c r="W114" t="s">
        <v>327</v>
      </c>
      <c r="X114" t="s">
        <v>313</v>
      </c>
    </row>
    <row r="115" spans="2:24" x14ac:dyDescent="0.45">
      <c r="B115" t="s">
        <v>206</v>
      </c>
      <c r="C115">
        <v>1.9662240767521897</v>
      </c>
      <c r="D115">
        <v>5.5</v>
      </c>
      <c r="E115">
        <v>0.99970000000000003</v>
      </c>
      <c r="U115" t="s">
        <v>91</v>
      </c>
      <c r="V115" t="s">
        <v>402</v>
      </c>
      <c r="W115" t="s">
        <v>327</v>
      </c>
      <c r="X115" t="s">
        <v>313</v>
      </c>
    </row>
    <row r="116" spans="2:24" x14ac:dyDescent="0.45">
      <c r="B116" t="s">
        <v>207</v>
      </c>
      <c r="C116">
        <v>0.49155601918804742</v>
      </c>
      <c r="D116">
        <v>291.5</v>
      </c>
      <c r="E116">
        <v>0.98409999999999997</v>
      </c>
      <c r="U116" t="s">
        <v>91</v>
      </c>
      <c r="V116" t="s">
        <v>403</v>
      </c>
      <c r="W116" t="s">
        <v>309</v>
      </c>
      <c r="X116" t="s">
        <v>313</v>
      </c>
    </row>
    <row r="117" spans="2:24" x14ac:dyDescent="0.45">
      <c r="B117" t="s">
        <v>208</v>
      </c>
      <c r="C117">
        <v>0.98311203837609484</v>
      </c>
      <c r="D117">
        <v>2.2000000000000002</v>
      </c>
      <c r="E117">
        <v>0.99987999999999999</v>
      </c>
      <c r="U117" t="s">
        <v>91</v>
      </c>
      <c r="V117" t="s">
        <v>404</v>
      </c>
      <c r="W117" t="s">
        <v>309</v>
      </c>
      <c r="X117" t="s">
        <v>313</v>
      </c>
    </row>
    <row r="118" spans="2:24" x14ac:dyDescent="0.45">
      <c r="B118" t="s">
        <v>209</v>
      </c>
      <c r="C118">
        <v>0.98311203837609484</v>
      </c>
      <c r="D118">
        <v>85.800000000000011</v>
      </c>
      <c r="E118">
        <v>0.99531999999999998</v>
      </c>
      <c r="U118" t="s">
        <v>91</v>
      </c>
      <c r="V118" t="s">
        <v>405</v>
      </c>
      <c r="W118" t="s">
        <v>406</v>
      </c>
      <c r="X118" t="s">
        <v>313</v>
      </c>
    </row>
    <row r="119" spans="2:24" x14ac:dyDescent="0.45">
      <c r="B119" t="s">
        <v>210</v>
      </c>
      <c r="C119">
        <v>0.98311203837609484</v>
      </c>
      <c r="D119">
        <v>326.70000000000005</v>
      </c>
      <c r="E119">
        <v>0.98218000000000005</v>
      </c>
      <c r="U119" t="s">
        <v>91</v>
      </c>
      <c r="V119" t="s">
        <v>407</v>
      </c>
      <c r="W119" t="s">
        <v>406</v>
      </c>
      <c r="X119" t="s">
        <v>313</v>
      </c>
    </row>
    <row r="120" spans="2:24" x14ac:dyDescent="0.45">
      <c r="B120" t="s">
        <v>211</v>
      </c>
      <c r="C120">
        <v>0.98311203837609484</v>
      </c>
      <c r="D120">
        <v>5.5</v>
      </c>
      <c r="E120">
        <v>0.99970000000000003</v>
      </c>
      <c r="U120" t="s">
        <v>91</v>
      </c>
      <c r="V120" t="s">
        <v>408</v>
      </c>
      <c r="W120" t="s">
        <v>409</v>
      </c>
      <c r="X120" t="s">
        <v>313</v>
      </c>
    </row>
    <row r="121" spans="2:24" x14ac:dyDescent="0.45">
      <c r="B121" t="s">
        <v>212</v>
      </c>
      <c r="C121">
        <v>0.98311203837609484</v>
      </c>
      <c r="D121">
        <v>115.50000000000001</v>
      </c>
      <c r="E121">
        <v>0.99370000000000003</v>
      </c>
      <c r="U121" t="s">
        <v>91</v>
      </c>
      <c r="V121" t="s">
        <v>410</v>
      </c>
      <c r="W121" t="s">
        <v>409</v>
      </c>
      <c r="X121" t="s">
        <v>313</v>
      </c>
    </row>
    <row r="122" spans="2:24" x14ac:dyDescent="0.45">
      <c r="B122" t="s">
        <v>213</v>
      </c>
      <c r="C122">
        <v>0.98311203837609484</v>
      </c>
      <c r="D122">
        <v>17.600000000000001</v>
      </c>
      <c r="E122">
        <v>0.99904000000000004</v>
      </c>
      <c r="U122" t="s">
        <v>91</v>
      </c>
      <c r="V122" t="s">
        <v>411</v>
      </c>
      <c r="W122" t="s">
        <v>412</v>
      </c>
      <c r="X122" t="s">
        <v>313</v>
      </c>
    </row>
    <row r="123" spans="2:24" x14ac:dyDescent="0.45">
      <c r="B123" t="s">
        <v>214</v>
      </c>
      <c r="C123">
        <v>0.98311203837609484</v>
      </c>
      <c r="D123">
        <v>7.7000000000000011</v>
      </c>
      <c r="E123">
        <v>0.99958000000000002</v>
      </c>
      <c r="U123" t="s">
        <v>91</v>
      </c>
      <c r="V123" t="s">
        <v>413</v>
      </c>
      <c r="W123" t="s">
        <v>412</v>
      </c>
      <c r="X123" t="s">
        <v>313</v>
      </c>
    </row>
    <row r="124" spans="2:24" x14ac:dyDescent="0.45">
      <c r="B124" t="s">
        <v>215</v>
      </c>
      <c r="C124">
        <v>0.98311203837609484</v>
      </c>
      <c r="D124">
        <v>16.5</v>
      </c>
      <c r="E124">
        <v>0.99909999999999999</v>
      </c>
      <c r="U124" t="s">
        <v>91</v>
      </c>
      <c r="V124" t="s">
        <v>414</v>
      </c>
      <c r="W124" t="s">
        <v>415</v>
      </c>
      <c r="X124" t="s">
        <v>313</v>
      </c>
    </row>
    <row r="125" spans="2:24" x14ac:dyDescent="0.45">
      <c r="B125" t="s">
        <v>216</v>
      </c>
      <c r="C125">
        <v>0.98311203837609484</v>
      </c>
      <c r="D125">
        <v>135.30000000000001</v>
      </c>
      <c r="E125">
        <v>0.99261999999999995</v>
      </c>
      <c r="U125" t="s">
        <v>91</v>
      </c>
      <c r="V125" t="s">
        <v>416</v>
      </c>
      <c r="W125" t="s">
        <v>415</v>
      </c>
      <c r="X125" t="s">
        <v>313</v>
      </c>
    </row>
    <row r="126" spans="2:24" x14ac:dyDescent="0.45">
      <c r="B126" t="s">
        <v>217</v>
      </c>
      <c r="C126">
        <v>0.98311203837609484</v>
      </c>
      <c r="D126">
        <v>126.50000000000001</v>
      </c>
      <c r="E126">
        <v>0.99309999999999998</v>
      </c>
      <c r="U126" t="s">
        <v>91</v>
      </c>
      <c r="V126" t="s">
        <v>417</v>
      </c>
      <c r="W126" t="s">
        <v>418</v>
      </c>
      <c r="X126" t="s">
        <v>313</v>
      </c>
    </row>
    <row r="127" spans="2:24" x14ac:dyDescent="0.45">
      <c r="B127" t="s">
        <v>218</v>
      </c>
      <c r="C127">
        <v>1.9662240767521897</v>
      </c>
      <c r="D127">
        <v>4.4000000000000004</v>
      </c>
      <c r="E127">
        <v>0.99975999999999998</v>
      </c>
      <c r="U127" t="s">
        <v>91</v>
      </c>
      <c r="V127" t="s">
        <v>419</v>
      </c>
      <c r="W127" t="s">
        <v>418</v>
      </c>
      <c r="X127" t="s">
        <v>313</v>
      </c>
    </row>
    <row r="128" spans="2:24" x14ac:dyDescent="0.45">
      <c r="B128" t="s">
        <v>219</v>
      </c>
      <c r="C128">
        <v>0.49155601918804742</v>
      </c>
      <c r="D128">
        <v>278.3</v>
      </c>
      <c r="E128">
        <v>0.98482000000000003</v>
      </c>
      <c r="U128" t="s">
        <v>91</v>
      </c>
      <c r="V128" t="s">
        <v>420</v>
      </c>
      <c r="W128" t="s">
        <v>421</v>
      </c>
      <c r="X128" t="s">
        <v>313</v>
      </c>
    </row>
    <row r="129" spans="2:24" x14ac:dyDescent="0.45">
      <c r="B129" t="s">
        <v>220</v>
      </c>
      <c r="C129">
        <v>0.49155601918804742</v>
      </c>
      <c r="D129">
        <v>275</v>
      </c>
      <c r="E129">
        <v>0.98499999999999999</v>
      </c>
      <c r="U129" t="s">
        <v>91</v>
      </c>
      <c r="V129" t="s">
        <v>422</v>
      </c>
      <c r="W129" t="s">
        <v>421</v>
      </c>
      <c r="X129" t="s">
        <v>313</v>
      </c>
    </row>
    <row r="130" spans="2:24" x14ac:dyDescent="0.45">
      <c r="B130" t="s">
        <v>221</v>
      </c>
      <c r="C130">
        <v>0.49155601918804742</v>
      </c>
      <c r="D130">
        <v>144.10000000000002</v>
      </c>
      <c r="E130">
        <v>0.99214000000000002</v>
      </c>
      <c r="U130" t="s">
        <v>91</v>
      </c>
      <c r="V130" t="s">
        <v>423</v>
      </c>
      <c r="W130" t="s">
        <v>424</v>
      </c>
      <c r="X130" t="s">
        <v>313</v>
      </c>
    </row>
    <row r="131" spans="2:24" x14ac:dyDescent="0.45">
      <c r="B131" t="s">
        <v>222</v>
      </c>
      <c r="C131">
        <v>0.49155601918804742</v>
      </c>
      <c r="D131">
        <v>2.2000000000000002</v>
      </c>
      <c r="E131">
        <v>0.99987999999999999</v>
      </c>
      <c r="U131" t="s">
        <v>91</v>
      </c>
      <c r="V131" t="s">
        <v>425</v>
      </c>
      <c r="W131" t="s">
        <v>424</v>
      </c>
      <c r="X131" t="s">
        <v>313</v>
      </c>
    </row>
    <row r="132" spans="2:24" x14ac:dyDescent="0.45">
      <c r="B132" t="s">
        <v>223</v>
      </c>
      <c r="C132">
        <v>0.98311203837609484</v>
      </c>
      <c r="D132">
        <v>16.5</v>
      </c>
      <c r="E132">
        <v>0.99909999999999999</v>
      </c>
      <c r="U132" t="s">
        <v>91</v>
      </c>
      <c r="V132" t="s">
        <v>426</v>
      </c>
      <c r="W132" t="s">
        <v>427</v>
      </c>
      <c r="X132" t="s">
        <v>313</v>
      </c>
    </row>
    <row r="133" spans="2:24" x14ac:dyDescent="0.45">
      <c r="B133" t="s">
        <v>224</v>
      </c>
      <c r="C133">
        <v>0.98311203837609484</v>
      </c>
      <c r="D133">
        <v>16.5</v>
      </c>
      <c r="E133">
        <v>0.99909999999999999</v>
      </c>
      <c r="U133" t="s">
        <v>91</v>
      </c>
      <c r="V133" t="s">
        <v>428</v>
      </c>
      <c r="W133" t="s">
        <v>427</v>
      </c>
      <c r="X133" t="s">
        <v>313</v>
      </c>
    </row>
    <row r="134" spans="2:24" x14ac:dyDescent="0.45">
      <c r="B134" t="s">
        <v>225</v>
      </c>
      <c r="C134">
        <v>1.9662240767521897</v>
      </c>
      <c r="D134">
        <v>2.2000000000000002</v>
      </c>
      <c r="E134">
        <v>0.99987999999999999</v>
      </c>
      <c r="U134" t="s">
        <v>91</v>
      </c>
      <c r="V134" t="s">
        <v>429</v>
      </c>
      <c r="W134" t="s">
        <v>430</v>
      </c>
      <c r="X134" t="s">
        <v>313</v>
      </c>
    </row>
    <row r="135" spans="2:24" x14ac:dyDescent="0.45">
      <c r="B135" t="s">
        <v>226</v>
      </c>
      <c r="C135">
        <v>0.49155601918804742</v>
      </c>
      <c r="D135">
        <v>3.3000000000000003</v>
      </c>
      <c r="E135">
        <v>0.99982000000000004</v>
      </c>
      <c r="U135" t="s">
        <v>91</v>
      </c>
      <c r="V135" t="s">
        <v>431</v>
      </c>
      <c r="W135" t="s">
        <v>430</v>
      </c>
      <c r="X135" t="s">
        <v>313</v>
      </c>
    </row>
    <row r="136" spans="2:24" x14ac:dyDescent="0.45">
      <c r="B136" t="s">
        <v>227</v>
      </c>
      <c r="C136">
        <v>1.9662240767521897</v>
      </c>
      <c r="D136">
        <v>4.4000000000000004</v>
      </c>
      <c r="E136">
        <v>0.99975999999999998</v>
      </c>
      <c r="U136" t="s">
        <v>91</v>
      </c>
      <c r="V136" t="s">
        <v>432</v>
      </c>
      <c r="W136" t="s">
        <v>433</v>
      </c>
      <c r="X136" t="s">
        <v>313</v>
      </c>
    </row>
    <row r="137" spans="2:24" x14ac:dyDescent="0.45">
      <c r="B137" t="s">
        <v>228</v>
      </c>
      <c r="C137">
        <v>1.9662240767521897</v>
      </c>
      <c r="D137">
        <v>2.2000000000000002</v>
      </c>
      <c r="E137">
        <v>0.99987999999999999</v>
      </c>
      <c r="U137" t="s">
        <v>91</v>
      </c>
      <c r="V137" t="s">
        <v>434</v>
      </c>
      <c r="W137" t="s">
        <v>433</v>
      </c>
      <c r="X137" t="s">
        <v>313</v>
      </c>
    </row>
    <row r="138" spans="2:24" x14ac:dyDescent="0.45">
      <c r="B138" t="s">
        <v>229</v>
      </c>
      <c r="C138">
        <v>0.98311203837609484</v>
      </c>
      <c r="D138">
        <v>28.6</v>
      </c>
      <c r="E138">
        <v>0.99843999999999999</v>
      </c>
      <c r="U138" t="s">
        <v>91</v>
      </c>
      <c r="V138" t="s">
        <v>435</v>
      </c>
      <c r="W138" t="s">
        <v>354</v>
      </c>
      <c r="X138" t="s">
        <v>313</v>
      </c>
    </row>
    <row r="139" spans="2:24" x14ac:dyDescent="0.45">
      <c r="B139" t="s">
        <v>230</v>
      </c>
      <c r="C139">
        <v>0.98311203837609484</v>
      </c>
      <c r="D139">
        <v>34.1</v>
      </c>
      <c r="E139">
        <v>0.99814000000000003</v>
      </c>
      <c r="U139" t="s">
        <v>91</v>
      </c>
      <c r="V139" t="s">
        <v>436</v>
      </c>
      <c r="W139" t="s">
        <v>354</v>
      </c>
      <c r="X139" t="s">
        <v>313</v>
      </c>
    </row>
    <row r="140" spans="2:24" x14ac:dyDescent="0.45">
      <c r="B140" t="s">
        <v>231</v>
      </c>
      <c r="C140">
        <v>0.49155601918804742</v>
      </c>
      <c r="D140">
        <v>7.7000000000000011</v>
      </c>
      <c r="E140">
        <v>0.99958000000000002</v>
      </c>
      <c r="U140" t="s">
        <v>91</v>
      </c>
      <c r="V140" t="s">
        <v>437</v>
      </c>
      <c r="W140" t="s">
        <v>356</v>
      </c>
      <c r="X140" t="s">
        <v>313</v>
      </c>
    </row>
    <row r="141" spans="2:24" x14ac:dyDescent="0.45">
      <c r="B141" t="s">
        <v>232</v>
      </c>
      <c r="C141">
        <v>0.98311203837609484</v>
      </c>
      <c r="D141">
        <v>154</v>
      </c>
      <c r="E141">
        <v>0.99160000000000004</v>
      </c>
      <c r="U141" t="s">
        <v>91</v>
      </c>
      <c r="V141" t="s">
        <v>438</v>
      </c>
      <c r="W141" t="s">
        <v>356</v>
      </c>
      <c r="X141" t="s">
        <v>313</v>
      </c>
    </row>
    <row r="142" spans="2:24" x14ac:dyDescent="0.45">
      <c r="B142" t="s">
        <v>233</v>
      </c>
      <c r="C142">
        <v>0.98311203837609484</v>
      </c>
      <c r="D142">
        <v>4.4000000000000004</v>
      </c>
      <c r="E142">
        <v>0.99975999999999998</v>
      </c>
      <c r="U142" t="s">
        <v>91</v>
      </c>
      <c r="V142" t="s">
        <v>439</v>
      </c>
      <c r="W142" t="s">
        <v>358</v>
      </c>
      <c r="X142" t="s">
        <v>313</v>
      </c>
    </row>
    <row r="143" spans="2:24" x14ac:dyDescent="0.45">
      <c r="B143" t="s">
        <v>234</v>
      </c>
      <c r="C143">
        <v>0.98311203837609484</v>
      </c>
      <c r="D143">
        <v>16.5</v>
      </c>
      <c r="E143">
        <v>0.99909999999999999</v>
      </c>
      <c r="U143" t="s">
        <v>91</v>
      </c>
      <c r="V143" t="s">
        <v>440</v>
      </c>
      <c r="W143" t="s">
        <v>358</v>
      </c>
      <c r="X143" t="s">
        <v>313</v>
      </c>
    </row>
    <row r="144" spans="2:24" x14ac:dyDescent="0.45">
      <c r="B144" t="s">
        <v>235</v>
      </c>
      <c r="C144">
        <v>0.98311203837609484</v>
      </c>
      <c r="D144">
        <v>14.3</v>
      </c>
      <c r="E144">
        <v>0.99922</v>
      </c>
      <c r="U144" t="s">
        <v>91</v>
      </c>
      <c r="V144" t="s">
        <v>441</v>
      </c>
      <c r="W144" t="s">
        <v>360</v>
      </c>
      <c r="X144" t="s">
        <v>313</v>
      </c>
    </row>
    <row r="145" spans="2:24" x14ac:dyDescent="0.45">
      <c r="B145" t="s">
        <v>236</v>
      </c>
      <c r="C145">
        <v>0.98311203837609484</v>
      </c>
      <c r="D145">
        <v>113.30000000000001</v>
      </c>
      <c r="E145">
        <v>0.99382000000000004</v>
      </c>
      <c r="U145" t="s">
        <v>91</v>
      </c>
      <c r="V145" t="s">
        <v>442</v>
      </c>
      <c r="W145" t="s">
        <v>360</v>
      </c>
      <c r="X145" t="s">
        <v>313</v>
      </c>
    </row>
    <row r="146" spans="2:24" x14ac:dyDescent="0.45">
      <c r="B146" t="s">
        <v>237</v>
      </c>
      <c r="C146">
        <v>0.49155601918804742</v>
      </c>
      <c r="D146">
        <v>23.1</v>
      </c>
      <c r="E146">
        <v>0.99873999999999996</v>
      </c>
      <c r="U146" t="s">
        <v>91</v>
      </c>
      <c r="V146" t="s">
        <v>443</v>
      </c>
      <c r="W146" t="s">
        <v>362</v>
      </c>
      <c r="X146" t="s">
        <v>313</v>
      </c>
    </row>
    <row r="147" spans="2:24" x14ac:dyDescent="0.45">
      <c r="B147" t="s">
        <v>238</v>
      </c>
      <c r="C147">
        <v>0.98311203837609484</v>
      </c>
      <c r="D147">
        <v>239.8</v>
      </c>
      <c r="E147">
        <v>0.98692000000000002</v>
      </c>
      <c r="U147" t="s">
        <v>91</v>
      </c>
      <c r="V147" t="s">
        <v>444</v>
      </c>
      <c r="W147" t="s">
        <v>362</v>
      </c>
      <c r="X147" t="s">
        <v>313</v>
      </c>
    </row>
    <row r="148" spans="2:24" x14ac:dyDescent="0.45">
      <c r="B148" t="s">
        <v>239</v>
      </c>
      <c r="C148">
        <v>0.49155601918804742</v>
      </c>
      <c r="D148">
        <v>29.700000000000003</v>
      </c>
      <c r="E148">
        <v>0.99838000000000005</v>
      </c>
      <c r="U148" t="s">
        <v>91</v>
      </c>
      <c r="V148" t="s">
        <v>445</v>
      </c>
      <c r="W148" t="s">
        <v>364</v>
      </c>
      <c r="X148" t="s">
        <v>313</v>
      </c>
    </row>
    <row r="149" spans="2:24" x14ac:dyDescent="0.45">
      <c r="B149" t="s">
        <v>240</v>
      </c>
      <c r="C149">
        <v>0.98311203837609484</v>
      </c>
      <c r="D149">
        <v>154</v>
      </c>
      <c r="E149">
        <v>0.99160000000000004</v>
      </c>
      <c r="U149" t="s">
        <v>91</v>
      </c>
      <c r="V149" t="s">
        <v>446</v>
      </c>
      <c r="W149" t="s">
        <v>364</v>
      </c>
      <c r="X149" t="s">
        <v>313</v>
      </c>
    </row>
    <row r="150" spans="2:24" x14ac:dyDescent="0.45">
      <c r="B150" t="s">
        <v>241</v>
      </c>
      <c r="C150">
        <v>0.98311203837609484</v>
      </c>
      <c r="D150">
        <v>189.20000000000002</v>
      </c>
      <c r="E150">
        <v>0.98968</v>
      </c>
      <c r="U150" t="s">
        <v>91</v>
      </c>
      <c r="V150" t="s">
        <v>447</v>
      </c>
      <c r="W150" t="s">
        <v>366</v>
      </c>
      <c r="X150" t="s">
        <v>313</v>
      </c>
    </row>
    <row r="151" spans="2:24" x14ac:dyDescent="0.45">
      <c r="B151" t="s">
        <v>242</v>
      </c>
      <c r="C151">
        <v>0.98311203837609484</v>
      </c>
      <c r="D151">
        <v>37.400000000000006</v>
      </c>
      <c r="E151">
        <v>0.99795999999999996</v>
      </c>
      <c r="U151" t="s">
        <v>91</v>
      </c>
      <c r="V151" t="s">
        <v>448</v>
      </c>
      <c r="W151" t="s">
        <v>366</v>
      </c>
      <c r="X151" t="s">
        <v>313</v>
      </c>
    </row>
    <row r="152" spans="2:24" x14ac:dyDescent="0.45">
      <c r="B152" t="s">
        <v>243</v>
      </c>
      <c r="C152">
        <v>0.49155601918804742</v>
      </c>
      <c r="D152">
        <v>91.300000000000011</v>
      </c>
      <c r="E152">
        <v>0.99502000000000002</v>
      </c>
      <c r="U152" t="s">
        <v>91</v>
      </c>
      <c r="V152" t="s">
        <v>449</v>
      </c>
      <c r="W152" t="s">
        <v>368</v>
      </c>
      <c r="X152" t="s">
        <v>313</v>
      </c>
    </row>
    <row r="153" spans="2:24" x14ac:dyDescent="0.45">
      <c r="B153" t="s">
        <v>244</v>
      </c>
      <c r="C153">
        <v>0.49155601918804742</v>
      </c>
      <c r="D153">
        <v>1677.5000000000002</v>
      </c>
      <c r="E153">
        <v>0.90849999999999997</v>
      </c>
      <c r="U153" t="s">
        <v>91</v>
      </c>
      <c r="V153" t="s">
        <v>450</v>
      </c>
      <c r="W153" t="s">
        <v>368</v>
      </c>
      <c r="X153" t="s">
        <v>313</v>
      </c>
    </row>
    <row r="154" spans="2:24" x14ac:dyDescent="0.45">
      <c r="B154" t="s">
        <v>245</v>
      </c>
      <c r="C154">
        <v>0.98311203837609484</v>
      </c>
      <c r="D154">
        <v>286</v>
      </c>
      <c r="E154">
        <v>0.98440000000000005</v>
      </c>
      <c r="U154" t="s">
        <v>91</v>
      </c>
      <c r="V154" t="s">
        <v>451</v>
      </c>
      <c r="W154" t="s">
        <v>370</v>
      </c>
      <c r="X154" t="s">
        <v>313</v>
      </c>
    </row>
    <row r="155" spans="2:24" x14ac:dyDescent="0.45">
      <c r="B155" t="s">
        <v>246</v>
      </c>
      <c r="C155">
        <v>0.98311203837609484</v>
      </c>
      <c r="D155">
        <v>399.3</v>
      </c>
      <c r="E155">
        <v>0.97821999999999998</v>
      </c>
      <c r="U155" t="s">
        <v>91</v>
      </c>
      <c r="V155" t="s">
        <v>452</v>
      </c>
      <c r="W155" t="s">
        <v>370</v>
      </c>
      <c r="X155" t="s">
        <v>313</v>
      </c>
    </row>
    <row r="156" spans="2:24" x14ac:dyDescent="0.45">
      <c r="B156" t="s">
        <v>247</v>
      </c>
      <c r="C156">
        <v>0.98311203837609484</v>
      </c>
      <c r="D156">
        <v>772.2</v>
      </c>
      <c r="E156">
        <v>0.95787999999999995</v>
      </c>
      <c r="U156" t="s">
        <v>91</v>
      </c>
      <c r="V156" t="s">
        <v>453</v>
      </c>
      <c r="W156" t="s">
        <v>372</v>
      </c>
      <c r="X156" t="s">
        <v>313</v>
      </c>
    </row>
    <row r="157" spans="2:24" x14ac:dyDescent="0.45">
      <c r="B157" t="s">
        <v>248</v>
      </c>
      <c r="C157">
        <v>0.98311203837609484</v>
      </c>
      <c r="D157">
        <v>297</v>
      </c>
      <c r="E157">
        <v>0.98380000000000001</v>
      </c>
      <c r="U157" t="s">
        <v>91</v>
      </c>
      <c r="V157" t="s">
        <v>454</v>
      </c>
      <c r="W157" t="s">
        <v>372</v>
      </c>
      <c r="X157" t="s">
        <v>313</v>
      </c>
    </row>
    <row r="158" spans="2:24" x14ac:dyDescent="0.45">
      <c r="B158" t="s">
        <v>249</v>
      </c>
      <c r="C158">
        <v>0.98311203837609484</v>
      </c>
      <c r="D158">
        <v>220.00000000000003</v>
      </c>
      <c r="E158">
        <v>0.98799999999999999</v>
      </c>
      <c r="U158" t="s">
        <v>91</v>
      </c>
      <c r="V158" t="s">
        <v>455</v>
      </c>
      <c r="W158" t="s">
        <v>374</v>
      </c>
      <c r="X158" t="s">
        <v>313</v>
      </c>
    </row>
    <row r="159" spans="2:24" x14ac:dyDescent="0.45">
      <c r="B159" t="s">
        <v>250</v>
      </c>
      <c r="C159">
        <v>0.98311203837609484</v>
      </c>
      <c r="D159">
        <v>119.9</v>
      </c>
      <c r="E159">
        <v>0.99346000000000001</v>
      </c>
      <c r="U159" t="s">
        <v>91</v>
      </c>
      <c r="V159" t="s">
        <v>456</v>
      </c>
      <c r="W159" t="s">
        <v>374</v>
      </c>
      <c r="X159" t="s">
        <v>313</v>
      </c>
    </row>
    <row r="160" spans="2:24" x14ac:dyDescent="0.45">
      <c r="U160" t="s">
        <v>91</v>
      </c>
      <c r="V160" t="s">
        <v>457</v>
      </c>
      <c r="W160" t="s">
        <v>376</v>
      </c>
      <c r="X160" t="s">
        <v>313</v>
      </c>
    </row>
    <row r="161" spans="21:24" x14ac:dyDescent="0.45">
      <c r="U161" t="s">
        <v>91</v>
      </c>
      <c r="V161" t="s">
        <v>458</v>
      </c>
      <c r="W161" t="s">
        <v>376</v>
      </c>
      <c r="X161" t="s">
        <v>313</v>
      </c>
    </row>
    <row r="162" spans="21:24" x14ac:dyDescent="0.45">
      <c r="U162" t="s">
        <v>91</v>
      </c>
      <c r="V162" t="s">
        <v>459</v>
      </c>
      <c r="W162" t="s">
        <v>378</v>
      </c>
      <c r="X162" t="s">
        <v>313</v>
      </c>
    </row>
    <row r="163" spans="21:24" x14ac:dyDescent="0.45">
      <c r="U163" t="s">
        <v>91</v>
      </c>
      <c r="V163" t="s">
        <v>460</v>
      </c>
      <c r="W163" t="s">
        <v>378</v>
      </c>
      <c r="X163" t="s">
        <v>313</v>
      </c>
    </row>
    <row r="164" spans="21:24" x14ac:dyDescent="0.45">
      <c r="U164" t="s">
        <v>91</v>
      </c>
      <c r="V164" t="s">
        <v>461</v>
      </c>
      <c r="W164" t="s">
        <v>380</v>
      </c>
      <c r="X164" t="s">
        <v>313</v>
      </c>
    </row>
    <row r="165" spans="21:24" x14ac:dyDescent="0.45">
      <c r="U165" t="s">
        <v>91</v>
      </c>
      <c r="V165" t="s">
        <v>462</v>
      </c>
      <c r="W165" t="s">
        <v>380</v>
      </c>
      <c r="X165" t="s">
        <v>313</v>
      </c>
    </row>
    <row r="166" spans="21:24" x14ac:dyDescent="0.45">
      <c r="U166" t="s">
        <v>91</v>
      </c>
      <c r="V166" t="s">
        <v>463</v>
      </c>
      <c r="W166" t="s">
        <v>382</v>
      </c>
      <c r="X166" t="s">
        <v>313</v>
      </c>
    </row>
    <row r="167" spans="21:24" x14ac:dyDescent="0.45">
      <c r="U167" t="s">
        <v>91</v>
      </c>
      <c r="V167" t="s">
        <v>464</v>
      </c>
      <c r="W167" t="s">
        <v>382</v>
      </c>
      <c r="X167" t="s">
        <v>313</v>
      </c>
    </row>
    <row r="168" spans="21:24" x14ac:dyDescent="0.45">
      <c r="U168" t="s">
        <v>91</v>
      </c>
      <c r="V168" t="s">
        <v>465</v>
      </c>
      <c r="W168" t="s">
        <v>384</v>
      </c>
      <c r="X168" t="s">
        <v>313</v>
      </c>
    </row>
    <row r="169" spans="21:24" x14ac:dyDescent="0.45">
      <c r="U169" t="s">
        <v>91</v>
      </c>
      <c r="V169" t="s">
        <v>466</v>
      </c>
      <c r="W169" t="s">
        <v>384</v>
      </c>
      <c r="X169" t="s">
        <v>313</v>
      </c>
    </row>
    <row r="170" spans="21:24" x14ac:dyDescent="0.45">
      <c r="U170" t="s">
        <v>91</v>
      </c>
      <c r="V170" t="s">
        <v>467</v>
      </c>
      <c r="W170" t="s">
        <v>386</v>
      </c>
      <c r="X170" t="s">
        <v>313</v>
      </c>
    </row>
    <row r="171" spans="21:24" x14ac:dyDescent="0.45">
      <c r="U171" t="s">
        <v>91</v>
      </c>
      <c r="V171" t="s">
        <v>468</v>
      </c>
      <c r="W171" t="s">
        <v>386</v>
      </c>
      <c r="X171" t="s">
        <v>313</v>
      </c>
    </row>
    <row r="172" spans="21:24" x14ac:dyDescent="0.45">
      <c r="U172" t="s">
        <v>91</v>
      </c>
      <c r="V172" t="s">
        <v>469</v>
      </c>
      <c r="W172" t="s">
        <v>388</v>
      </c>
      <c r="X172" t="s">
        <v>313</v>
      </c>
    </row>
    <row r="173" spans="21:24" x14ac:dyDescent="0.45">
      <c r="U173" t="s">
        <v>91</v>
      </c>
      <c r="V173" t="s">
        <v>470</v>
      </c>
      <c r="W173" t="s">
        <v>388</v>
      </c>
      <c r="X173" t="s">
        <v>313</v>
      </c>
    </row>
    <row r="174" spans="21:24" x14ac:dyDescent="0.45">
      <c r="U174" t="s">
        <v>91</v>
      </c>
      <c r="V174" t="s">
        <v>471</v>
      </c>
      <c r="W174" t="s">
        <v>390</v>
      </c>
      <c r="X174" t="s">
        <v>313</v>
      </c>
    </row>
    <row r="175" spans="21:24" x14ac:dyDescent="0.45">
      <c r="U175" t="s">
        <v>91</v>
      </c>
      <c r="V175" t="s">
        <v>472</v>
      </c>
      <c r="W175" t="s">
        <v>390</v>
      </c>
      <c r="X175" t="s">
        <v>313</v>
      </c>
    </row>
    <row r="176" spans="21:24" x14ac:dyDescent="0.45">
      <c r="U176" t="s">
        <v>91</v>
      </c>
      <c r="V176" t="s">
        <v>473</v>
      </c>
      <c r="W176" t="s">
        <v>392</v>
      </c>
      <c r="X176" t="s">
        <v>313</v>
      </c>
    </row>
    <row r="177" spans="21:24" x14ac:dyDescent="0.45">
      <c r="U177" t="s">
        <v>91</v>
      </c>
      <c r="V177" t="s">
        <v>474</v>
      </c>
      <c r="W177" t="s">
        <v>392</v>
      </c>
      <c r="X177" t="s">
        <v>313</v>
      </c>
    </row>
    <row r="178" spans="21:24" x14ac:dyDescent="0.45">
      <c r="U178" t="s">
        <v>91</v>
      </c>
      <c r="V178" t="s">
        <v>475</v>
      </c>
      <c r="W178" t="s">
        <v>394</v>
      </c>
      <c r="X178" t="s">
        <v>313</v>
      </c>
    </row>
    <row r="179" spans="21:24" x14ac:dyDescent="0.45">
      <c r="U179" t="s">
        <v>91</v>
      </c>
      <c r="V179" t="s">
        <v>476</v>
      </c>
      <c r="W179" t="s">
        <v>394</v>
      </c>
      <c r="X179" t="s">
        <v>313</v>
      </c>
    </row>
    <row r="180" spans="21:24" x14ac:dyDescent="0.45">
      <c r="U180" t="s">
        <v>91</v>
      </c>
      <c r="V180" t="s">
        <v>477</v>
      </c>
      <c r="W180" t="s">
        <v>396</v>
      </c>
      <c r="X180" t="s">
        <v>313</v>
      </c>
    </row>
    <row r="181" spans="21:24" x14ac:dyDescent="0.45">
      <c r="U181" t="s">
        <v>91</v>
      </c>
      <c r="V181" t="s">
        <v>478</v>
      </c>
      <c r="W181" t="s">
        <v>396</v>
      </c>
      <c r="X181" t="s">
        <v>313</v>
      </c>
    </row>
    <row r="182" spans="21:24" x14ac:dyDescent="0.45">
      <c r="U182" t="s">
        <v>91</v>
      </c>
      <c r="V182" t="s">
        <v>479</v>
      </c>
      <c r="W182" t="s">
        <v>398</v>
      </c>
      <c r="X182" t="s">
        <v>313</v>
      </c>
    </row>
    <row r="183" spans="21:24" x14ac:dyDescent="0.45">
      <c r="U183" t="s">
        <v>91</v>
      </c>
      <c r="V183" t="s">
        <v>480</v>
      </c>
      <c r="W183" t="s">
        <v>398</v>
      </c>
      <c r="X183" t="s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workbookViewId="0">
      <selection activeCell="A15" sqref="A1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6" width="9.73046875" bestFit="1" customWidth="1"/>
    <col min="7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0.70283821291073501</v>
      </c>
      <c r="H3" s="3">
        <v>0.93839486107886361</v>
      </c>
      <c r="I3" s="3">
        <v>0.50192070740015948</v>
      </c>
      <c r="J3" s="3">
        <v>1.1455815202793445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0.10045662100456622</v>
      </c>
      <c r="H4" s="3">
        <v>0.59931506849315075</v>
      </c>
      <c r="I4" s="3">
        <v>1.5707466049931804</v>
      </c>
      <c r="J4" s="3">
        <v>83.547374429223751</v>
      </c>
    </row>
    <row r="5" spans="1:38" x14ac:dyDescent="0.45">
      <c r="B5" t="s">
        <v>6</v>
      </c>
      <c r="C5" t="s">
        <v>43</v>
      </c>
      <c r="D5" s="4">
        <f>IFERROR(VLOOKUP(B5,$F$3:$J$11,5,FALSE),"")</f>
        <v>0.57943469536758585</v>
      </c>
      <c r="F5" t="s">
        <v>8</v>
      </c>
      <c r="G5" s="3">
        <v>0.19323154490106548</v>
      </c>
      <c r="H5" s="3">
        <v>1.3095545791332817</v>
      </c>
      <c r="I5" s="3">
        <v>0.38485673849769014</v>
      </c>
      <c r="J5" s="3">
        <v>1.0717499017905794</v>
      </c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87</v>
      </c>
      <c r="G6" s="3"/>
      <c r="H6" s="3"/>
      <c r="I6" s="3">
        <v>0.7769127164022207</v>
      </c>
      <c r="J6" s="3">
        <v>0.95955027138795568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0.46573606264215156</v>
      </c>
      <c r="H7" s="3">
        <v>0.57332721104053475</v>
      </c>
      <c r="I7" s="3">
        <v>0.47048891435317813</v>
      </c>
      <c r="J7" s="3">
        <v>0.57943469536758585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</v>
      </c>
      <c r="F8" t="s">
        <v>19</v>
      </c>
      <c r="G8" s="3"/>
      <c r="H8" s="3"/>
      <c r="I8" s="3"/>
      <c r="J8" s="3"/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0.59931506849315075</v>
      </c>
      <c r="AA8" s="2">
        <f>Z8*$AB$1</f>
        <v>0.65924657534246589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0.10045662100456622</v>
      </c>
      <c r="AJ8">
        <f>AI8*$AD$1</f>
        <v>2.0091324200913245E-2</v>
      </c>
      <c r="AK8">
        <v>0</v>
      </c>
      <c r="AL8">
        <v>3</v>
      </c>
    </row>
    <row r="9" spans="1:38" x14ac:dyDescent="0.45">
      <c r="F9" t="s">
        <v>23</v>
      </c>
      <c r="G9" s="3">
        <v>65535</v>
      </c>
      <c r="H9" s="3">
        <v>65535</v>
      </c>
      <c r="I9" s="3">
        <v>3.9528385469910724E-3</v>
      </c>
      <c r="J9" s="3">
        <v>1.5247033543473796E-2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1.3095545791332817</v>
      </c>
      <c r="AA9" s="2">
        <f>Z9*$AB$1</f>
        <v>1.44051003704661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0.19323154490106548</v>
      </c>
      <c r="AJ9">
        <f>AI9*$AD$1</f>
        <v>3.8646308980213095E-2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6.4790818215475748E-2</v>
      </c>
      <c r="H10" s="3">
        <v>0.13698630136986301</v>
      </c>
      <c r="I10" s="3">
        <v>8.8787417554540851E-2</v>
      </c>
      <c r="J10" s="3">
        <v>0.15220700152207001</v>
      </c>
    </row>
    <row r="11" spans="1:38" ht="14.65" customHeight="1" x14ac:dyDescent="0.45">
      <c r="F11" t="s">
        <v>88</v>
      </c>
      <c r="G11" s="3">
        <v>0.24174053182916999</v>
      </c>
      <c r="H11" s="3">
        <v>0.41633091592801502</v>
      </c>
      <c r="I11" s="3">
        <v>0.2330669710806697</v>
      </c>
      <c r="J11" s="3">
        <v>0.44076610857432785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0</v>
      </c>
      <c r="AC15">
        <v>3</v>
      </c>
      <c r="AE15" s="11">
        <f>SUMIFS(historical_data_long!$D$3:$D$626,historical_data_long!$A$3:$A$626,Veda!$V15,historical_data_long!$C$3:$C$626,"GW",historical_data_long!$B$3:$B$626,2022)</f>
        <v>0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89</v>
      </c>
    </row>
    <row r="10" spans="2:10" x14ac:dyDescent="0.45">
      <c r="B10" t="s">
        <v>90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91</v>
      </c>
      <c r="C11">
        <v>1.5</v>
      </c>
      <c r="D11">
        <v>2</v>
      </c>
      <c r="E11">
        <v>1</v>
      </c>
      <c r="F11">
        <v>1.5</v>
      </c>
      <c r="G11">
        <v>0.1</v>
      </c>
      <c r="H11">
        <v>0.2</v>
      </c>
      <c r="I11">
        <v>0</v>
      </c>
      <c r="J11">
        <v>0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1.5</v>
      </c>
      <c r="G20">
        <f>D11</f>
        <v>2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1</v>
      </c>
      <c r="G21">
        <f>F11</f>
        <v>1.5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0.1</v>
      </c>
      <c r="G22">
        <f>H11</f>
        <v>0.2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0</v>
      </c>
      <c r="G23">
        <f>J11</f>
        <v>0</v>
      </c>
      <c r="H23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0.85</v>
      </c>
    </row>
    <row r="3" spans="1:4" x14ac:dyDescent="0.45">
      <c r="A3" t="s">
        <v>5</v>
      </c>
      <c r="B3">
        <v>2000</v>
      </c>
      <c r="C3" t="s">
        <v>59</v>
      </c>
      <c r="D3">
        <v>1</v>
      </c>
    </row>
    <row r="4" spans="1:4" x14ac:dyDescent="0.45">
      <c r="A4" t="s">
        <v>8</v>
      </c>
      <c r="B4">
        <v>2000</v>
      </c>
      <c r="C4" t="s">
        <v>59</v>
      </c>
      <c r="D4">
        <v>9.4499999999999993</v>
      </c>
    </row>
    <row r="5" spans="1:4" x14ac:dyDescent="0.45">
      <c r="A5" t="s">
        <v>6</v>
      </c>
      <c r="B5">
        <v>2000</v>
      </c>
      <c r="C5" t="s">
        <v>59</v>
      </c>
      <c r="D5">
        <v>24.19</v>
      </c>
    </row>
    <row r="6" spans="1:4" x14ac:dyDescent="0.45">
      <c r="A6" t="s">
        <v>19</v>
      </c>
      <c r="B6">
        <v>2000</v>
      </c>
      <c r="C6" t="s">
        <v>59</v>
      </c>
      <c r="D6">
        <v>0</v>
      </c>
    </row>
    <row r="7" spans="1:4" x14ac:dyDescent="0.45">
      <c r="A7" t="s">
        <v>23</v>
      </c>
      <c r="B7">
        <v>2000</v>
      </c>
      <c r="C7" t="s">
        <v>59</v>
      </c>
      <c r="D7">
        <v>0.54</v>
      </c>
    </row>
    <row r="8" spans="1:4" x14ac:dyDescent="0.45">
      <c r="A8" t="s">
        <v>55</v>
      </c>
      <c r="B8">
        <v>2000</v>
      </c>
      <c r="C8" t="s">
        <v>59</v>
      </c>
      <c r="D8">
        <v>2.76</v>
      </c>
    </row>
    <row r="9" spans="1:4" x14ac:dyDescent="0.45">
      <c r="A9" t="s">
        <v>9</v>
      </c>
      <c r="B9">
        <v>2000</v>
      </c>
      <c r="C9" t="s">
        <v>59</v>
      </c>
      <c r="D9">
        <v>0</v>
      </c>
    </row>
    <row r="10" spans="1:4" x14ac:dyDescent="0.45">
      <c r="A10" t="s">
        <v>88</v>
      </c>
      <c r="B10">
        <v>2000</v>
      </c>
      <c r="C10" t="s">
        <v>59</v>
      </c>
      <c r="D10">
        <v>0.12</v>
      </c>
    </row>
    <row r="11" spans="1:4" x14ac:dyDescent="0.45">
      <c r="A11" t="s">
        <v>55</v>
      </c>
      <c r="B11">
        <v>2001</v>
      </c>
      <c r="C11" t="s">
        <v>59</v>
      </c>
      <c r="D11">
        <v>0.72</v>
      </c>
    </row>
    <row r="12" spans="1:4" x14ac:dyDescent="0.45">
      <c r="A12" t="s">
        <v>5</v>
      </c>
      <c r="B12">
        <v>2001</v>
      </c>
      <c r="C12" t="s">
        <v>59</v>
      </c>
      <c r="D12">
        <v>1.53</v>
      </c>
    </row>
    <row r="13" spans="1:4" x14ac:dyDescent="0.45">
      <c r="A13" t="s">
        <v>8</v>
      </c>
      <c r="B13">
        <v>2001</v>
      </c>
      <c r="C13" t="s">
        <v>59</v>
      </c>
      <c r="D13">
        <v>12.16</v>
      </c>
    </row>
    <row r="14" spans="1:4" x14ac:dyDescent="0.45">
      <c r="A14" t="s">
        <v>6</v>
      </c>
      <c r="B14">
        <v>2001</v>
      </c>
      <c r="C14" t="s">
        <v>59</v>
      </c>
      <c r="D14">
        <v>21.46</v>
      </c>
    </row>
    <row r="15" spans="1:4" x14ac:dyDescent="0.45">
      <c r="A15" t="s">
        <v>19</v>
      </c>
      <c r="B15">
        <v>2001</v>
      </c>
      <c r="C15" t="s">
        <v>59</v>
      </c>
      <c r="D15">
        <v>0</v>
      </c>
    </row>
    <row r="16" spans="1:4" x14ac:dyDescent="0.45">
      <c r="A16" t="s">
        <v>23</v>
      </c>
      <c r="B16">
        <v>2001</v>
      </c>
      <c r="C16" t="s">
        <v>59</v>
      </c>
      <c r="D16">
        <v>0.59</v>
      </c>
    </row>
    <row r="17" spans="1:4" x14ac:dyDescent="0.45">
      <c r="A17" t="s">
        <v>55</v>
      </c>
      <c r="B17">
        <v>2001</v>
      </c>
      <c r="C17" t="s">
        <v>59</v>
      </c>
      <c r="D17">
        <v>2.68</v>
      </c>
    </row>
    <row r="18" spans="1:4" x14ac:dyDescent="0.45">
      <c r="A18" t="s">
        <v>9</v>
      </c>
      <c r="B18">
        <v>2001</v>
      </c>
      <c r="C18" t="s">
        <v>59</v>
      </c>
      <c r="D18">
        <v>0</v>
      </c>
    </row>
    <row r="19" spans="1:4" x14ac:dyDescent="0.45">
      <c r="A19" t="s">
        <v>88</v>
      </c>
      <c r="B19">
        <v>2001</v>
      </c>
      <c r="C19" t="s">
        <v>59</v>
      </c>
      <c r="D19">
        <v>0.14000000000000001</v>
      </c>
    </row>
    <row r="20" spans="1:4" x14ac:dyDescent="0.45">
      <c r="A20" t="s">
        <v>55</v>
      </c>
      <c r="B20">
        <v>2002</v>
      </c>
      <c r="C20" t="s">
        <v>59</v>
      </c>
      <c r="D20">
        <v>0.57999999999999996</v>
      </c>
    </row>
    <row r="21" spans="1:4" x14ac:dyDescent="0.45">
      <c r="A21" t="s">
        <v>5</v>
      </c>
      <c r="B21">
        <v>2002</v>
      </c>
      <c r="C21" t="s">
        <v>59</v>
      </c>
      <c r="D21">
        <v>1.5</v>
      </c>
    </row>
    <row r="22" spans="1:4" x14ac:dyDescent="0.45">
      <c r="A22" t="s">
        <v>8</v>
      </c>
      <c r="B22">
        <v>2002</v>
      </c>
      <c r="C22" t="s">
        <v>59</v>
      </c>
      <c r="D22">
        <v>10.15</v>
      </c>
    </row>
    <row r="23" spans="1:4" x14ac:dyDescent="0.45">
      <c r="A23" t="s">
        <v>6</v>
      </c>
      <c r="B23">
        <v>2002</v>
      </c>
      <c r="C23" t="s">
        <v>59</v>
      </c>
      <c r="D23">
        <v>24.62</v>
      </c>
    </row>
    <row r="24" spans="1:4" x14ac:dyDescent="0.45">
      <c r="A24" t="s">
        <v>19</v>
      </c>
      <c r="B24">
        <v>2002</v>
      </c>
      <c r="C24" t="s">
        <v>59</v>
      </c>
      <c r="D24">
        <v>0</v>
      </c>
    </row>
    <row r="25" spans="1:4" x14ac:dyDescent="0.45">
      <c r="A25" t="s">
        <v>23</v>
      </c>
      <c r="B25">
        <v>2002</v>
      </c>
      <c r="C25" t="s">
        <v>59</v>
      </c>
      <c r="D25">
        <v>0.56000000000000005</v>
      </c>
    </row>
    <row r="26" spans="1:4" x14ac:dyDescent="0.45">
      <c r="A26" t="s">
        <v>55</v>
      </c>
      <c r="B26">
        <v>2002</v>
      </c>
      <c r="C26" t="s">
        <v>59</v>
      </c>
      <c r="D26">
        <v>2.65</v>
      </c>
    </row>
    <row r="27" spans="1:4" x14ac:dyDescent="0.45">
      <c r="A27" t="s">
        <v>9</v>
      </c>
      <c r="B27">
        <v>2002</v>
      </c>
      <c r="C27" t="s">
        <v>59</v>
      </c>
      <c r="D27">
        <v>0</v>
      </c>
    </row>
    <row r="28" spans="1:4" x14ac:dyDescent="0.45">
      <c r="A28" t="s">
        <v>88</v>
      </c>
      <c r="B28">
        <v>2002</v>
      </c>
      <c r="C28" t="s">
        <v>59</v>
      </c>
      <c r="D28">
        <v>0.15</v>
      </c>
    </row>
    <row r="29" spans="1:4" x14ac:dyDescent="0.45">
      <c r="A29" t="s">
        <v>55</v>
      </c>
      <c r="B29">
        <v>2003</v>
      </c>
      <c r="C29" t="s">
        <v>59</v>
      </c>
      <c r="D29">
        <v>0.55000000000000004</v>
      </c>
    </row>
    <row r="30" spans="1:4" x14ac:dyDescent="0.45">
      <c r="A30" t="s">
        <v>5</v>
      </c>
      <c r="B30">
        <v>2003</v>
      </c>
      <c r="C30" t="s">
        <v>59</v>
      </c>
      <c r="D30">
        <v>3.29</v>
      </c>
    </row>
    <row r="31" spans="1:4" x14ac:dyDescent="0.45">
      <c r="A31" t="s">
        <v>8</v>
      </c>
      <c r="B31">
        <v>2003</v>
      </c>
      <c r="C31" t="s">
        <v>59</v>
      </c>
      <c r="D31">
        <v>9.7100000000000009</v>
      </c>
    </row>
    <row r="32" spans="1:4" x14ac:dyDescent="0.45">
      <c r="A32" t="s">
        <v>6</v>
      </c>
      <c r="B32">
        <v>2003</v>
      </c>
      <c r="C32" t="s">
        <v>59</v>
      </c>
      <c r="D32">
        <v>23.39</v>
      </c>
    </row>
    <row r="33" spans="1:4" x14ac:dyDescent="0.45">
      <c r="A33" t="s">
        <v>19</v>
      </c>
      <c r="B33">
        <v>2003</v>
      </c>
      <c r="C33" t="s">
        <v>59</v>
      </c>
      <c r="D33">
        <v>0</v>
      </c>
    </row>
    <row r="34" spans="1:4" x14ac:dyDescent="0.45">
      <c r="A34" t="s">
        <v>23</v>
      </c>
      <c r="B34">
        <v>2003</v>
      </c>
      <c r="C34" t="s">
        <v>59</v>
      </c>
      <c r="D34">
        <v>0.69</v>
      </c>
    </row>
    <row r="35" spans="1:4" x14ac:dyDescent="0.45">
      <c r="A35" t="s">
        <v>55</v>
      </c>
      <c r="B35">
        <v>2003</v>
      </c>
      <c r="C35" t="s">
        <v>59</v>
      </c>
      <c r="D35">
        <v>2.59</v>
      </c>
    </row>
    <row r="36" spans="1:4" x14ac:dyDescent="0.45">
      <c r="A36" t="s">
        <v>9</v>
      </c>
      <c r="B36">
        <v>2003</v>
      </c>
      <c r="C36" t="s">
        <v>59</v>
      </c>
      <c r="D36">
        <v>0</v>
      </c>
    </row>
    <row r="37" spans="1:4" x14ac:dyDescent="0.45">
      <c r="A37" t="s">
        <v>88</v>
      </c>
      <c r="B37">
        <v>2003</v>
      </c>
      <c r="C37" t="s">
        <v>59</v>
      </c>
      <c r="D37">
        <v>0.15</v>
      </c>
    </row>
    <row r="38" spans="1:4" x14ac:dyDescent="0.45">
      <c r="A38" t="s">
        <v>55</v>
      </c>
      <c r="B38">
        <v>2004</v>
      </c>
      <c r="C38" t="s">
        <v>59</v>
      </c>
      <c r="D38">
        <v>0.64</v>
      </c>
    </row>
    <row r="39" spans="1:4" x14ac:dyDescent="0.45">
      <c r="A39" t="s">
        <v>5</v>
      </c>
      <c r="B39">
        <v>2004</v>
      </c>
      <c r="C39" t="s">
        <v>59</v>
      </c>
      <c r="D39">
        <v>4.13</v>
      </c>
    </row>
    <row r="40" spans="1:4" x14ac:dyDescent="0.45">
      <c r="A40" t="s">
        <v>8</v>
      </c>
      <c r="B40">
        <v>2004</v>
      </c>
      <c r="C40" t="s">
        <v>59</v>
      </c>
      <c r="D40">
        <v>6.86</v>
      </c>
    </row>
    <row r="41" spans="1:4" x14ac:dyDescent="0.45">
      <c r="A41" t="s">
        <v>6</v>
      </c>
      <c r="B41">
        <v>2004</v>
      </c>
      <c r="C41" t="s">
        <v>59</v>
      </c>
      <c r="D41">
        <v>26.97</v>
      </c>
    </row>
    <row r="42" spans="1:4" x14ac:dyDescent="0.45">
      <c r="A42" t="s">
        <v>19</v>
      </c>
      <c r="B42">
        <v>2004</v>
      </c>
      <c r="C42" t="s">
        <v>59</v>
      </c>
      <c r="D42">
        <v>0</v>
      </c>
    </row>
    <row r="43" spans="1:4" x14ac:dyDescent="0.45">
      <c r="A43" t="s">
        <v>23</v>
      </c>
      <c r="B43">
        <v>2004</v>
      </c>
      <c r="C43" t="s">
        <v>59</v>
      </c>
      <c r="D43">
        <v>0.68</v>
      </c>
    </row>
    <row r="44" spans="1:4" x14ac:dyDescent="0.45">
      <c r="A44" t="s">
        <v>55</v>
      </c>
      <c r="B44">
        <v>2004</v>
      </c>
      <c r="C44" t="s">
        <v>59</v>
      </c>
      <c r="D44">
        <v>2.63</v>
      </c>
    </row>
    <row r="45" spans="1:4" x14ac:dyDescent="0.45">
      <c r="A45" t="s">
        <v>9</v>
      </c>
      <c r="B45">
        <v>2004</v>
      </c>
      <c r="C45" t="s">
        <v>59</v>
      </c>
      <c r="D45">
        <v>0</v>
      </c>
    </row>
    <row r="46" spans="1:4" x14ac:dyDescent="0.45">
      <c r="A46" t="s">
        <v>88</v>
      </c>
      <c r="B46">
        <v>2004</v>
      </c>
      <c r="C46" t="s">
        <v>59</v>
      </c>
      <c r="D46">
        <v>0.36</v>
      </c>
    </row>
    <row r="47" spans="1:4" x14ac:dyDescent="0.45">
      <c r="A47" t="s">
        <v>55</v>
      </c>
      <c r="B47">
        <v>2005</v>
      </c>
      <c r="C47" t="s">
        <v>59</v>
      </c>
      <c r="D47">
        <v>0.68</v>
      </c>
    </row>
    <row r="48" spans="1:4" x14ac:dyDescent="0.45">
      <c r="A48" t="s">
        <v>5</v>
      </c>
      <c r="B48">
        <v>2005</v>
      </c>
      <c r="C48" t="s">
        <v>59</v>
      </c>
      <c r="D48">
        <v>5.25</v>
      </c>
    </row>
    <row r="49" spans="1:4" x14ac:dyDescent="0.45">
      <c r="A49" t="s">
        <v>8</v>
      </c>
      <c r="B49">
        <v>2005</v>
      </c>
      <c r="C49" t="s">
        <v>59</v>
      </c>
      <c r="D49">
        <v>9.26</v>
      </c>
    </row>
    <row r="50" spans="1:4" x14ac:dyDescent="0.45">
      <c r="A50" t="s">
        <v>6</v>
      </c>
      <c r="B50">
        <v>2005</v>
      </c>
      <c r="C50" t="s">
        <v>59</v>
      </c>
      <c r="D50">
        <v>23.09</v>
      </c>
    </row>
    <row r="51" spans="1:4" x14ac:dyDescent="0.45">
      <c r="A51" t="s">
        <v>19</v>
      </c>
      <c r="B51">
        <v>2005</v>
      </c>
      <c r="C51" t="s">
        <v>59</v>
      </c>
      <c r="D51">
        <v>0</v>
      </c>
    </row>
    <row r="52" spans="1:4" x14ac:dyDescent="0.45">
      <c r="A52" t="s">
        <v>23</v>
      </c>
      <c r="B52">
        <v>2005</v>
      </c>
      <c r="C52" t="s">
        <v>59</v>
      </c>
      <c r="D52">
        <v>0.61</v>
      </c>
    </row>
    <row r="53" spans="1:4" x14ac:dyDescent="0.45">
      <c r="A53" t="s">
        <v>55</v>
      </c>
      <c r="B53">
        <v>2005</v>
      </c>
      <c r="C53" t="s">
        <v>59</v>
      </c>
      <c r="D53">
        <v>2.98</v>
      </c>
    </row>
    <row r="54" spans="1:4" x14ac:dyDescent="0.45">
      <c r="A54" t="s">
        <v>9</v>
      </c>
      <c r="B54">
        <v>2005</v>
      </c>
      <c r="C54" t="s">
        <v>59</v>
      </c>
      <c r="D54">
        <v>0</v>
      </c>
    </row>
    <row r="55" spans="1:4" x14ac:dyDescent="0.45">
      <c r="A55" t="s">
        <v>88</v>
      </c>
      <c r="B55">
        <v>2005</v>
      </c>
      <c r="C55" t="s">
        <v>59</v>
      </c>
      <c r="D55">
        <v>0.61</v>
      </c>
    </row>
    <row r="56" spans="1:4" x14ac:dyDescent="0.45">
      <c r="A56" t="s">
        <v>55</v>
      </c>
      <c r="B56">
        <v>2006</v>
      </c>
      <c r="C56" t="s">
        <v>59</v>
      </c>
      <c r="D56">
        <v>0.74</v>
      </c>
    </row>
    <row r="57" spans="1:4" x14ac:dyDescent="0.45">
      <c r="A57" t="s">
        <v>5</v>
      </c>
      <c r="B57">
        <v>2006</v>
      </c>
      <c r="C57" t="s">
        <v>59</v>
      </c>
      <c r="D57">
        <v>4.8899999999999997</v>
      </c>
    </row>
    <row r="58" spans="1:4" x14ac:dyDescent="0.45">
      <c r="A58" t="s">
        <v>8</v>
      </c>
      <c r="B58">
        <v>2006</v>
      </c>
      <c r="C58" t="s">
        <v>59</v>
      </c>
      <c r="D58">
        <v>9.61</v>
      </c>
    </row>
    <row r="59" spans="1:4" x14ac:dyDescent="0.45">
      <c r="A59" t="s">
        <v>6</v>
      </c>
      <c r="B59">
        <v>2006</v>
      </c>
      <c r="C59" t="s">
        <v>59</v>
      </c>
      <c r="D59">
        <v>23.34</v>
      </c>
    </row>
    <row r="60" spans="1:4" x14ac:dyDescent="0.45">
      <c r="A60" t="s">
        <v>19</v>
      </c>
      <c r="B60">
        <v>2006</v>
      </c>
      <c r="C60" t="s">
        <v>59</v>
      </c>
      <c r="D60">
        <v>0</v>
      </c>
    </row>
    <row r="61" spans="1:4" x14ac:dyDescent="0.45">
      <c r="A61" t="s">
        <v>23</v>
      </c>
      <c r="B61">
        <v>2006</v>
      </c>
      <c r="C61" t="s">
        <v>59</v>
      </c>
      <c r="D61">
        <v>0.66</v>
      </c>
    </row>
    <row r="62" spans="1:4" x14ac:dyDescent="0.45">
      <c r="A62" t="s">
        <v>55</v>
      </c>
      <c r="B62">
        <v>2006</v>
      </c>
      <c r="C62" t="s">
        <v>59</v>
      </c>
      <c r="D62">
        <v>3.18</v>
      </c>
    </row>
    <row r="63" spans="1:4" x14ac:dyDescent="0.45">
      <c r="A63" t="s">
        <v>9</v>
      </c>
      <c r="B63">
        <v>2006</v>
      </c>
      <c r="C63" t="s">
        <v>59</v>
      </c>
      <c r="D63">
        <v>0</v>
      </c>
    </row>
    <row r="64" spans="1:4" x14ac:dyDescent="0.45">
      <c r="A64" t="s">
        <v>88</v>
      </c>
      <c r="B64">
        <v>2006</v>
      </c>
      <c r="C64" t="s">
        <v>59</v>
      </c>
      <c r="D64">
        <v>0.62</v>
      </c>
    </row>
    <row r="65" spans="1:4" x14ac:dyDescent="0.45">
      <c r="A65" t="s">
        <v>55</v>
      </c>
      <c r="B65">
        <v>2007</v>
      </c>
      <c r="C65" t="s">
        <v>59</v>
      </c>
      <c r="D65">
        <v>0.74</v>
      </c>
    </row>
    <row r="66" spans="1:4" x14ac:dyDescent="0.45">
      <c r="A66" t="s">
        <v>5</v>
      </c>
      <c r="B66">
        <v>2007</v>
      </c>
      <c r="C66" t="s">
        <v>59</v>
      </c>
      <c r="D66">
        <v>2.5499999999999998</v>
      </c>
    </row>
    <row r="67" spans="1:4" x14ac:dyDescent="0.45">
      <c r="A67" t="s">
        <v>8</v>
      </c>
      <c r="B67">
        <v>2007</v>
      </c>
      <c r="C67" t="s">
        <v>59</v>
      </c>
      <c r="D67">
        <v>11.81</v>
      </c>
    </row>
    <row r="68" spans="1:4" x14ac:dyDescent="0.45">
      <c r="A68" t="s">
        <v>6</v>
      </c>
      <c r="B68">
        <v>2007</v>
      </c>
      <c r="C68" t="s">
        <v>59</v>
      </c>
      <c r="D68">
        <v>23.4</v>
      </c>
    </row>
    <row r="69" spans="1:4" x14ac:dyDescent="0.45">
      <c r="A69" t="s">
        <v>19</v>
      </c>
      <c r="B69">
        <v>2007</v>
      </c>
      <c r="C69" t="s">
        <v>59</v>
      </c>
      <c r="D69">
        <v>0</v>
      </c>
    </row>
    <row r="70" spans="1:4" x14ac:dyDescent="0.45">
      <c r="A70" t="s">
        <v>23</v>
      </c>
      <c r="B70">
        <v>2007</v>
      </c>
      <c r="C70" t="s">
        <v>59</v>
      </c>
      <c r="D70">
        <v>0.61</v>
      </c>
    </row>
    <row r="71" spans="1:4" x14ac:dyDescent="0.45">
      <c r="A71" t="s">
        <v>55</v>
      </c>
      <c r="B71">
        <v>2007</v>
      </c>
      <c r="C71" t="s">
        <v>59</v>
      </c>
      <c r="D71">
        <v>3.35</v>
      </c>
    </row>
    <row r="72" spans="1:4" x14ac:dyDescent="0.45">
      <c r="A72" t="s">
        <v>9</v>
      </c>
      <c r="B72">
        <v>2007</v>
      </c>
      <c r="C72" t="s">
        <v>59</v>
      </c>
      <c r="D72">
        <v>0</v>
      </c>
    </row>
    <row r="73" spans="1:4" x14ac:dyDescent="0.45">
      <c r="A73" t="s">
        <v>88</v>
      </c>
      <c r="B73">
        <v>2007</v>
      </c>
      <c r="C73" t="s">
        <v>59</v>
      </c>
      <c r="D73">
        <v>0.92</v>
      </c>
    </row>
    <row r="74" spans="1:4" x14ac:dyDescent="0.45">
      <c r="A74" t="s">
        <v>55</v>
      </c>
      <c r="B74">
        <v>2008</v>
      </c>
      <c r="C74" t="s">
        <v>59</v>
      </c>
      <c r="D74">
        <v>0.73</v>
      </c>
    </row>
    <row r="75" spans="1:4" x14ac:dyDescent="0.45">
      <c r="A75" t="s">
        <v>5</v>
      </c>
      <c r="B75">
        <v>2008</v>
      </c>
      <c r="C75" t="s">
        <v>59</v>
      </c>
      <c r="D75">
        <v>4.24</v>
      </c>
    </row>
    <row r="76" spans="1:4" x14ac:dyDescent="0.45">
      <c r="A76" t="s">
        <v>8</v>
      </c>
      <c r="B76">
        <v>2008</v>
      </c>
      <c r="C76" t="s">
        <v>59</v>
      </c>
      <c r="D76">
        <v>10.56</v>
      </c>
    </row>
    <row r="77" spans="1:4" x14ac:dyDescent="0.45">
      <c r="A77" t="s">
        <v>6</v>
      </c>
      <c r="B77">
        <v>2008</v>
      </c>
      <c r="C77" t="s">
        <v>59</v>
      </c>
      <c r="D77">
        <v>22.12</v>
      </c>
    </row>
    <row r="78" spans="1:4" x14ac:dyDescent="0.45">
      <c r="A78" t="s">
        <v>19</v>
      </c>
      <c r="B78">
        <v>2008</v>
      </c>
      <c r="C78" t="s">
        <v>59</v>
      </c>
      <c r="D78">
        <v>0</v>
      </c>
    </row>
    <row r="79" spans="1:4" x14ac:dyDescent="0.45">
      <c r="A79" t="s">
        <v>23</v>
      </c>
      <c r="B79">
        <v>2008</v>
      </c>
      <c r="C79" t="s">
        <v>59</v>
      </c>
      <c r="D79">
        <v>0.72</v>
      </c>
    </row>
    <row r="80" spans="1:4" x14ac:dyDescent="0.45">
      <c r="A80" t="s">
        <v>55</v>
      </c>
      <c r="B80">
        <v>2008</v>
      </c>
      <c r="C80" t="s">
        <v>59</v>
      </c>
      <c r="D80">
        <v>3.97</v>
      </c>
    </row>
    <row r="81" spans="1:4" x14ac:dyDescent="0.45">
      <c r="A81" t="s">
        <v>9</v>
      </c>
      <c r="B81">
        <v>2008</v>
      </c>
      <c r="C81" t="s">
        <v>59</v>
      </c>
      <c r="D81">
        <v>0</v>
      </c>
    </row>
    <row r="82" spans="1:4" x14ac:dyDescent="0.45">
      <c r="A82" t="s">
        <v>88</v>
      </c>
      <c r="B82">
        <v>2008</v>
      </c>
      <c r="C82" t="s">
        <v>59</v>
      </c>
      <c r="D82">
        <v>1.05</v>
      </c>
    </row>
    <row r="83" spans="1:4" x14ac:dyDescent="0.45">
      <c r="A83" t="s">
        <v>55</v>
      </c>
      <c r="B83">
        <v>2009</v>
      </c>
      <c r="C83" t="s">
        <v>59</v>
      </c>
      <c r="D83">
        <v>0.76</v>
      </c>
    </row>
    <row r="84" spans="1:4" x14ac:dyDescent="0.45">
      <c r="A84" t="s">
        <v>5</v>
      </c>
      <c r="B84">
        <v>2009</v>
      </c>
      <c r="C84" t="s">
        <v>59</v>
      </c>
      <c r="D84">
        <v>2.73</v>
      </c>
    </row>
    <row r="85" spans="1:4" x14ac:dyDescent="0.45">
      <c r="A85" t="s">
        <v>8</v>
      </c>
      <c r="B85">
        <v>2009</v>
      </c>
      <c r="C85" t="s">
        <v>59</v>
      </c>
      <c r="D85">
        <v>8.86</v>
      </c>
    </row>
    <row r="86" spans="1:4" x14ac:dyDescent="0.45">
      <c r="A86" t="s">
        <v>6</v>
      </c>
      <c r="B86">
        <v>2009</v>
      </c>
      <c r="C86" t="s">
        <v>59</v>
      </c>
      <c r="D86">
        <v>23.98</v>
      </c>
    </row>
    <row r="87" spans="1:4" x14ac:dyDescent="0.45">
      <c r="A87" t="s">
        <v>19</v>
      </c>
      <c r="B87">
        <v>2009</v>
      </c>
      <c r="C87" t="s">
        <v>59</v>
      </c>
      <c r="D87">
        <v>0</v>
      </c>
    </row>
    <row r="88" spans="1:4" x14ac:dyDescent="0.45">
      <c r="A88" t="s">
        <v>23</v>
      </c>
      <c r="B88">
        <v>2009</v>
      </c>
      <c r="C88" t="s">
        <v>59</v>
      </c>
      <c r="D88">
        <v>0.56999999999999995</v>
      </c>
    </row>
    <row r="89" spans="1:4" x14ac:dyDescent="0.45">
      <c r="A89" t="s">
        <v>55</v>
      </c>
      <c r="B89">
        <v>2009</v>
      </c>
      <c r="C89" t="s">
        <v>59</v>
      </c>
      <c r="D89">
        <v>4.59</v>
      </c>
    </row>
    <row r="90" spans="1:4" x14ac:dyDescent="0.45">
      <c r="A90" t="s">
        <v>9</v>
      </c>
      <c r="B90">
        <v>2009</v>
      </c>
      <c r="C90" t="s">
        <v>59</v>
      </c>
      <c r="D90">
        <v>0</v>
      </c>
    </row>
    <row r="91" spans="1:4" x14ac:dyDescent="0.45">
      <c r="A91" t="s">
        <v>88</v>
      </c>
      <c r="B91">
        <v>2009</v>
      </c>
      <c r="C91" t="s">
        <v>59</v>
      </c>
      <c r="D91">
        <v>1.46</v>
      </c>
    </row>
    <row r="92" spans="1:4" x14ac:dyDescent="0.45">
      <c r="A92" t="s">
        <v>55</v>
      </c>
      <c r="B92">
        <v>2010</v>
      </c>
      <c r="C92" t="s">
        <v>59</v>
      </c>
      <c r="D92">
        <v>0.77</v>
      </c>
    </row>
    <row r="93" spans="1:4" x14ac:dyDescent="0.45">
      <c r="A93" t="s">
        <v>5</v>
      </c>
      <c r="B93">
        <v>2010</v>
      </c>
      <c r="C93" t="s">
        <v>59</v>
      </c>
      <c r="D93">
        <v>1.42</v>
      </c>
    </row>
    <row r="94" spans="1:4" x14ac:dyDescent="0.45">
      <c r="A94" t="s">
        <v>8</v>
      </c>
      <c r="B94">
        <v>2010</v>
      </c>
      <c r="C94" t="s">
        <v>59</v>
      </c>
      <c r="D94">
        <v>9.84</v>
      </c>
    </row>
    <row r="95" spans="1:4" x14ac:dyDescent="0.45">
      <c r="A95" t="s">
        <v>6</v>
      </c>
      <c r="B95">
        <v>2010</v>
      </c>
      <c r="C95" t="s">
        <v>59</v>
      </c>
      <c r="D95">
        <v>24.48</v>
      </c>
    </row>
    <row r="96" spans="1:4" x14ac:dyDescent="0.45">
      <c r="A96" t="s">
        <v>19</v>
      </c>
      <c r="B96">
        <v>2010</v>
      </c>
      <c r="C96" t="s">
        <v>59</v>
      </c>
      <c r="D96">
        <v>0</v>
      </c>
    </row>
    <row r="97" spans="1:4" x14ac:dyDescent="0.45">
      <c r="A97" t="s">
        <v>23</v>
      </c>
      <c r="B97">
        <v>2010</v>
      </c>
      <c r="C97" t="s">
        <v>59</v>
      </c>
      <c r="D97">
        <v>0.65</v>
      </c>
    </row>
    <row r="98" spans="1:4" x14ac:dyDescent="0.45">
      <c r="A98" t="s">
        <v>55</v>
      </c>
      <c r="B98">
        <v>2010</v>
      </c>
      <c r="C98" t="s">
        <v>59</v>
      </c>
      <c r="D98">
        <v>5.53</v>
      </c>
    </row>
    <row r="99" spans="1:4" x14ac:dyDescent="0.45">
      <c r="A99" t="s">
        <v>9</v>
      </c>
      <c r="B99">
        <v>2010</v>
      </c>
      <c r="C99" t="s">
        <v>59</v>
      </c>
      <c r="D99">
        <v>0</v>
      </c>
    </row>
    <row r="100" spans="1:4" x14ac:dyDescent="0.45">
      <c r="A100" t="s">
        <v>88</v>
      </c>
      <c r="B100">
        <v>2010</v>
      </c>
      <c r="C100" t="s">
        <v>59</v>
      </c>
      <c r="D100">
        <v>1.62</v>
      </c>
    </row>
    <row r="101" spans="1:4" x14ac:dyDescent="0.45">
      <c r="A101" t="s">
        <v>55</v>
      </c>
      <c r="B101">
        <v>2011</v>
      </c>
      <c r="C101" t="s">
        <v>59</v>
      </c>
      <c r="D101">
        <v>0.76</v>
      </c>
    </row>
    <row r="102" spans="1:4" x14ac:dyDescent="0.45">
      <c r="A102" t="s">
        <v>5</v>
      </c>
      <c r="B102">
        <v>2011</v>
      </c>
      <c r="C102" t="s">
        <v>59</v>
      </c>
      <c r="D102">
        <v>1.61</v>
      </c>
    </row>
    <row r="103" spans="1:4" x14ac:dyDescent="0.45">
      <c r="A103" t="s">
        <v>8</v>
      </c>
      <c r="B103">
        <v>2011</v>
      </c>
      <c r="C103" t="s">
        <v>59</v>
      </c>
      <c r="D103">
        <v>8.35</v>
      </c>
    </row>
    <row r="104" spans="1:4" x14ac:dyDescent="0.45">
      <c r="A104" t="s">
        <v>6</v>
      </c>
      <c r="B104">
        <v>2011</v>
      </c>
      <c r="C104" t="s">
        <v>59</v>
      </c>
      <c r="D104">
        <v>24.86</v>
      </c>
    </row>
    <row r="105" spans="1:4" x14ac:dyDescent="0.45">
      <c r="A105" t="s">
        <v>19</v>
      </c>
      <c r="B105">
        <v>2011</v>
      </c>
      <c r="C105" t="s">
        <v>59</v>
      </c>
      <c r="D105">
        <v>0</v>
      </c>
    </row>
    <row r="106" spans="1:4" x14ac:dyDescent="0.45">
      <c r="A106" t="s">
        <v>23</v>
      </c>
      <c r="B106">
        <v>2011</v>
      </c>
      <c r="C106" t="s">
        <v>59</v>
      </c>
      <c r="D106">
        <v>0.56999999999999995</v>
      </c>
    </row>
    <row r="107" spans="1:4" x14ac:dyDescent="0.45">
      <c r="A107" t="s">
        <v>55</v>
      </c>
      <c r="B107">
        <v>2011</v>
      </c>
      <c r="C107" t="s">
        <v>59</v>
      </c>
      <c r="D107">
        <v>5.77</v>
      </c>
    </row>
    <row r="108" spans="1:4" x14ac:dyDescent="0.45">
      <c r="A108" t="s">
        <v>9</v>
      </c>
      <c r="B108">
        <v>2011</v>
      </c>
      <c r="C108" t="s">
        <v>59</v>
      </c>
      <c r="D108">
        <v>0</v>
      </c>
    </row>
    <row r="109" spans="1:4" x14ac:dyDescent="0.45">
      <c r="A109" t="s">
        <v>88</v>
      </c>
      <c r="B109">
        <v>2011</v>
      </c>
      <c r="C109" t="s">
        <v>59</v>
      </c>
      <c r="D109">
        <v>1.94</v>
      </c>
    </row>
    <row r="110" spans="1:4" x14ac:dyDescent="0.45">
      <c r="A110" t="s">
        <v>55</v>
      </c>
      <c r="B110">
        <v>2012</v>
      </c>
      <c r="C110" t="s">
        <v>59</v>
      </c>
      <c r="D110">
        <v>0.8</v>
      </c>
    </row>
    <row r="111" spans="1:4" x14ac:dyDescent="0.45">
      <c r="A111" t="s">
        <v>5</v>
      </c>
      <c r="B111">
        <v>2012</v>
      </c>
      <c r="C111" t="s">
        <v>59</v>
      </c>
      <c r="D111">
        <v>2.94</v>
      </c>
    </row>
    <row r="112" spans="1:4" x14ac:dyDescent="0.45">
      <c r="A112" t="s">
        <v>8</v>
      </c>
      <c r="B112">
        <v>2012</v>
      </c>
      <c r="C112" t="s">
        <v>59</v>
      </c>
      <c r="D112">
        <v>8.81</v>
      </c>
    </row>
    <row r="113" spans="1:4" x14ac:dyDescent="0.45">
      <c r="A113" t="s">
        <v>6</v>
      </c>
      <c r="B113">
        <v>2012</v>
      </c>
      <c r="C113" t="s">
        <v>59</v>
      </c>
      <c r="D113">
        <v>22.67</v>
      </c>
    </row>
    <row r="114" spans="1:4" x14ac:dyDescent="0.45">
      <c r="A114" t="s">
        <v>19</v>
      </c>
      <c r="B114">
        <v>2012</v>
      </c>
      <c r="C114" t="s">
        <v>59</v>
      </c>
      <c r="D114">
        <v>0</v>
      </c>
    </row>
    <row r="115" spans="1:4" x14ac:dyDescent="0.45">
      <c r="A115" t="s">
        <v>23</v>
      </c>
      <c r="B115">
        <v>2012</v>
      </c>
      <c r="C115" t="s">
        <v>59</v>
      </c>
      <c r="D115">
        <v>0.62</v>
      </c>
    </row>
    <row r="116" spans="1:4" x14ac:dyDescent="0.45">
      <c r="A116" t="s">
        <v>55</v>
      </c>
      <c r="B116">
        <v>2012</v>
      </c>
      <c r="C116" t="s">
        <v>59</v>
      </c>
      <c r="D116">
        <v>5.85</v>
      </c>
    </row>
    <row r="117" spans="1:4" x14ac:dyDescent="0.45">
      <c r="A117" t="s">
        <v>9</v>
      </c>
      <c r="B117">
        <v>2012</v>
      </c>
      <c r="C117" t="s">
        <v>59</v>
      </c>
      <c r="D117">
        <v>0</v>
      </c>
    </row>
    <row r="118" spans="1:4" x14ac:dyDescent="0.45">
      <c r="A118" t="s">
        <v>88</v>
      </c>
      <c r="B118">
        <v>2012</v>
      </c>
      <c r="C118" t="s">
        <v>59</v>
      </c>
      <c r="D118">
        <v>2.06</v>
      </c>
    </row>
    <row r="119" spans="1:4" x14ac:dyDescent="0.45">
      <c r="A119" t="s">
        <v>55</v>
      </c>
      <c r="B119">
        <v>2013</v>
      </c>
      <c r="C119" t="s">
        <v>59</v>
      </c>
      <c r="D119">
        <v>0.8</v>
      </c>
    </row>
    <row r="120" spans="1:4" x14ac:dyDescent="0.45">
      <c r="A120" t="s">
        <v>5</v>
      </c>
      <c r="B120">
        <v>2013</v>
      </c>
      <c r="C120" t="s">
        <v>59</v>
      </c>
      <c r="D120">
        <v>1.75</v>
      </c>
    </row>
    <row r="121" spans="1:4" x14ac:dyDescent="0.45">
      <c r="A121" t="s">
        <v>8</v>
      </c>
      <c r="B121">
        <v>2013</v>
      </c>
      <c r="C121" t="s">
        <v>59</v>
      </c>
      <c r="D121">
        <v>8.6300000000000008</v>
      </c>
    </row>
    <row r="122" spans="1:4" x14ac:dyDescent="0.45">
      <c r="A122" t="s">
        <v>6</v>
      </c>
      <c r="B122">
        <v>2013</v>
      </c>
      <c r="C122" t="s">
        <v>59</v>
      </c>
      <c r="D122">
        <v>22.8</v>
      </c>
    </row>
    <row r="123" spans="1:4" x14ac:dyDescent="0.45">
      <c r="A123" t="s">
        <v>19</v>
      </c>
      <c r="B123">
        <v>2013</v>
      </c>
      <c r="C123" t="s">
        <v>59</v>
      </c>
      <c r="D123">
        <v>0</v>
      </c>
    </row>
    <row r="124" spans="1:4" x14ac:dyDescent="0.45">
      <c r="A124" t="s">
        <v>23</v>
      </c>
      <c r="B124">
        <v>2013</v>
      </c>
      <c r="C124" t="s">
        <v>59</v>
      </c>
      <c r="D124">
        <v>0.64</v>
      </c>
    </row>
    <row r="125" spans="1:4" x14ac:dyDescent="0.45">
      <c r="A125" t="s">
        <v>55</v>
      </c>
      <c r="B125">
        <v>2013</v>
      </c>
      <c r="C125" t="s">
        <v>59</v>
      </c>
      <c r="D125">
        <v>6.07</v>
      </c>
    </row>
    <row r="126" spans="1:4" x14ac:dyDescent="0.45">
      <c r="A126" t="s">
        <v>9</v>
      </c>
      <c r="B126">
        <v>2013</v>
      </c>
      <c r="C126" t="s">
        <v>59</v>
      </c>
      <c r="D126">
        <v>0.01</v>
      </c>
    </row>
    <row r="127" spans="1:4" x14ac:dyDescent="0.45">
      <c r="A127" t="s">
        <v>88</v>
      </c>
      <c r="B127">
        <v>2013</v>
      </c>
      <c r="C127" t="s">
        <v>59</v>
      </c>
      <c r="D127">
        <v>2</v>
      </c>
    </row>
    <row r="128" spans="1:4" x14ac:dyDescent="0.45">
      <c r="A128" t="s">
        <v>55</v>
      </c>
      <c r="B128">
        <v>2014</v>
      </c>
      <c r="C128" t="s">
        <v>59</v>
      </c>
      <c r="D128">
        <v>0.8</v>
      </c>
    </row>
    <row r="129" spans="1:4" x14ac:dyDescent="0.45">
      <c r="A129" t="s">
        <v>5</v>
      </c>
      <c r="B129">
        <v>2014</v>
      </c>
      <c r="C129" t="s">
        <v>59</v>
      </c>
      <c r="D129">
        <v>1.34</v>
      </c>
    </row>
    <row r="130" spans="1:4" x14ac:dyDescent="0.45">
      <c r="A130" t="s">
        <v>8</v>
      </c>
      <c r="B130">
        <v>2014</v>
      </c>
      <c r="C130" t="s">
        <v>59</v>
      </c>
      <c r="D130">
        <v>7</v>
      </c>
    </row>
    <row r="131" spans="1:4" x14ac:dyDescent="0.45">
      <c r="A131" t="s">
        <v>6</v>
      </c>
      <c r="B131">
        <v>2014</v>
      </c>
      <c r="C131" t="s">
        <v>59</v>
      </c>
      <c r="D131">
        <v>24.07</v>
      </c>
    </row>
    <row r="132" spans="1:4" x14ac:dyDescent="0.45">
      <c r="A132" t="s">
        <v>19</v>
      </c>
      <c r="B132">
        <v>2014</v>
      </c>
      <c r="C132" t="s">
        <v>59</v>
      </c>
      <c r="D132">
        <v>0</v>
      </c>
    </row>
    <row r="133" spans="1:4" x14ac:dyDescent="0.45">
      <c r="A133" t="s">
        <v>23</v>
      </c>
      <c r="B133">
        <v>2014</v>
      </c>
      <c r="C133" t="s">
        <v>59</v>
      </c>
      <c r="D133">
        <v>0.63</v>
      </c>
    </row>
    <row r="134" spans="1:4" x14ac:dyDescent="0.45">
      <c r="A134" t="s">
        <v>55</v>
      </c>
      <c r="B134">
        <v>2014</v>
      </c>
      <c r="C134" t="s">
        <v>59</v>
      </c>
      <c r="D134">
        <v>6.87</v>
      </c>
    </row>
    <row r="135" spans="1:4" x14ac:dyDescent="0.45">
      <c r="A135" t="s">
        <v>9</v>
      </c>
      <c r="B135">
        <v>2014</v>
      </c>
      <c r="C135" t="s">
        <v>59</v>
      </c>
      <c r="D135">
        <v>0.02</v>
      </c>
    </row>
    <row r="136" spans="1:4" x14ac:dyDescent="0.45">
      <c r="A136" t="s">
        <v>88</v>
      </c>
      <c r="B136">
        <v>2014</v>
      </c>
      <c r="C136" t="s">
        <v>59</v>
      </c>
      <c r="D136">
        <v>2.19</v>
      </c>
    </row>
    <row r="137" spans="1:4" x14ac:dyDescent="0.45">
      <c r="A137" t="s">
        <v>55</v>
      </c>
      <c r="B137">
        <v>2015</v>
      </c>
      <c r="C137" t="s">
        <v>59</v>
      </c>
      <c r="D137">
        <v>0.82</v>
      </c>
    </row>
    <row r="138" spans="1:4" x14ac:dyDescent="0.45">
      <c r="A138" t="s">
        <v>5</v>
      </c>
      <c r="B138">
        <v>2015</v>
      </c>
      <c r="C138" t="s">
        <v>59</v>
      </c>
      <c r="D138">
        <v>1.23</v>
      </c>
    </row>
    <row r="139" spans="1:4" x14ac:dyDescent="0.45">
      <c r="A139" t="s">
        <v>8</v>
      </c>
      <c r="B139">
        <v>2015</v>
      </c>
      <c r="C139" t="s">
        <v>59</v>
      </c>
      <c r="D139">
        <v>6.8</v>
      </c>
    </row>
    <row r="140" spans="1:4" x14ac:dyDescent="0.45">
      <c r="A140" t="s">
        <v>6</v>
      </c>
      <c r="B140">
        <v>2015</v>
      </c>
      <c r="C140" t="s">
        <v>59</v>
      </c>
      <c r="D140">
        <v>24.28</v>
      </c>
    </row>
    <row r="141" spans="1:4" x14ac:dyDescent="0.45">
      <c r="A141" t="s">
        <v>19</v>
      </c>
      <c r="B141">
        <v>2015</v>
      </c>
      <c r="C141" t="s">
        <v>59</v>
      </c>
      <c r="D141">
        <v>0</v>
      </c>
    </row>
    <row r="142" spans="1:4" x14ac:dyDescent="0.45">
      <c r="A142" t="s">
        <v>23</v>
      </c>
      <c r="B142">
        <v>2015</v>
      </c>
      <c r="C142" t="s">
        <v>59</v>
      </c>
      <c r="D142">
        <v>0.65</v>
      </c>
    </row>
    <row r="143" spans="1:4" x14ac:dyDescent="0.45">
      <c r="A143" t="s">
        <v>55</v>
      </c>
      <c r="B143">
        <v>2015</v>
      </c>
      <c r="C143" t="s">
        <v>59</v>
      </c>
      <c r="D143">
        <v>7.41</v>
      </c>
    </row>
    <row r="144" spans="1:4" x14ac:dyDescent="0.45">
      <c r="A144" t="s">
        <v>9</v>
      </c>
      <c r="B144">
        <v>2015</v>
      </c>
      <c r="C144" t="s">
        <v>59</v>
      </c>
      <c r="D144">
        <v>0.04</v>
      </c>
    </row>
    <row r="145" spans="1:4" x14ac:dyDescent="0.45">
      <c r="A145" t="s">
        <v>88</v>
      </c>
      <c r="B145">
        <v>2015</v>
      </c>
      <c r="C145" t="s">
        <v>59</v>
      </c>
      <c r="D145">
        <v>2.34</v>
      </c>
    </row>
    <row r="146" spans="1:4" x14ac:dyDescent="0.45">
      <c r="A146" t="s">
        <v>55</v>
      </c>
      <c r="B146">
        <v>2016</v>
      </c>
      <c r="C146" t="s">
        <v>59</v>
      </c>
      <c r="D146">
        <v>0.81</v>
      </c>
    </row>
    <row r="147" spans="1:4" x14ac:dyDescent="0.45">
      <c r="A147" t="s">
        <v>5</v>
      </c>
      <c r="B147">
        <v>2016</v>
      </c>
      <c r="C147" t="s">
        <v>59</v>
      </c>
      <c r="D147">
        <v>0.44</v>
      </c>
    </row>
    <row r="148" spans="1:4" x14ac:dyDescent="0.45">
      <c r="A148" t="s">
        <v>8</v>
      </c>
      <c r="B148">
        <v>2016</v>
      </c>
      <c r="C148" t="s">
        <v>59</v>
      </c>
      <c r="D148">
        <v>5.71</v>
      </c>
    </row>
    <row r="149" spans="1:4" x14ac:dyDescent="0.45">
      <c r="A149" t="s">
        <v>6</v>
      </c>
      <c r="B149">
        <v>2016</v>
      </c>
      <c r="C149" t="s">
        <v>59</v>
      </c>
      <c r="D149">
        <v>25.66</v>
      </c>
    </row>
    <row r="150" spans="1:4" x14ac:dyDescent="0.45">
      <c r="A150" t="s">
        <v>19</v>
      </c>
      <c r="B150">
        <v>2016</v>
      </c>
      <c r="C150" t="s">
        <v>59</v>
      </c>
      <c r="D150">
        <v>0</v>
      </c>
    </row>
    <row r="151" spans="1:4" x14ac:dyDescent="0.45">
      <c r="A151" t="s">
        <v>23</v>
      </c>
      <c r="B151">
        <v>2016</v>
      </c>
      <c r="C151" t="s">
        <v>59</v>
      </c>
      <c r="D151">
        <v>0.61</v>
      </c>
    </row>
    <row r="152" spans="1:4" x14ac:dyDescent="0.45">
      <c r="A152" t="s">
        <v>55</v>
      </c>
      <c r="B152">
        <v>2016</v>
      </c>
      <c r="C152" t="s">
        <v>59</v>
      </c>
      <c r="D152">
        <v>7.54</v>
      </c>
    </row>
    <row r="153" spans="1:4" x14ac:dyDescent="0.45">
      <c r="A153" t="s">
        <v>9</v>
      </c>
      <c r="B153">
        <v>2016</v>
      </c>
      <c r="C153" t="s">
        <v>59</v>
      </c>
      <c r="D153">
        <v>0.06</v>
      </c>
    </row>
    <row r="154" spans="1:4" x14ac:dyDescent="0.45">
      <c r="A154" t="s">
        <v>88</v>
      </c>
      <c r="B154">
        <v>2016</v>
      </c>
      <c r="C154" t="s">
        <v>59</v>
      </c>
      <c r="D154">
        <v>2.3199999999999998</v>
      </c>
    </row>
    <row r="155" spans="1:4" x14ac:dyDescent="0.45">
      <c r="A155" t="s">
        <v>55</v>
      </c>
      <c r="B155">
        <v>2017</v>
      </c>
      <c r="C155" t="s">
        <v>59</v>
      </c>
      <c r="D155">
        <v>0.8</v>
      </c>
    </row>
    <row r="156" spans="1:4" x14ac:dyDescent="0.45">
      <c r="A156" t="s">
        <v>5</v>
      </c>
      <c r="B156">
        <v>2017</v>
      </c>
      <c r="C156" t="s">
        <v>59</v>
      </c>
      <c r="D156">
        <v>0.57999999999999996</v>
      </c>
    </row>
    <row r="157" spans="1:4" x14ac:dyDescent="0.45">
      <c r="A157" t="s">
        <v>8</v>
      </c>
      <c r="B157">
        <v>2017</v>
      </c>
      <c r="C157" t="s">
        <v>59</v>
      </c>
      <c r="D157">
        <v>6.98</v>
      </c>
    </row>
    <row r="158" spans="1:4" x14ac:dyDescent="0.45">
      <c r="A158" t="s">
        <v>6</v>
      </c>
      <c r="B158">
        <v>2017</v>
      </c>
      <c r="C158" t="s">
        <v>59</v>
      </c>
      <c r="D158">
        <v>24.93</v>
      </c>
    </row>
    <row r="159" spans="1:4" x14ac:dyDescent="0.45">
      <c r="A159" t="s">
        <v>19</v>
      </c>
      <c r="B159">
        <v>2017</v>
      </c>
      <c r="C159" t="s">
        <v>59</v>
      </c>
      <c r="D159">
        <v>0</v>
      </c>
    </row>
    <row r="160" spans="1:4" x14ac:dyDescent="0.45">
      <c r="A160" t="s">
        <v>23</v>
      </c>
      <c r="B160">
        <v>2017</v>
      </c>
      <c r="C160" t="s">
        <v>59</v>
      </c>
      <c r="D160">
        <v>0.64</v>
      </c>
    </row>
    <row r="161" spans="1:4" x14ac:dyDescent="0.45">
      <c r="A161" t="s">
        <v>55</v>
      </c>
      <c r="B161">
        <v>2017</v>
      </c>
      <c r="C161" t="s">
        <v>59</v>
      </c>
      <c r="D161">
        <v>7.58</v>
      </c>
    </row>
    <row r="162" spans="1:4" x14ac:dyDescent="0.45">
      <c r="A162" t="s">
        <v>9</v>
      </c>
      <c r="B162">
        <v>2017</v>
      </c>
      <c r="C162" t="s">
        <v>59</v>
      </c>
      <c r="D162">
        <v>0.08</v>
      </c>
    </row>
    <row r="163" spans="1:4" x14ac:dyDescent="0.45">
      <c r="A163" t="s">
        <v>88</v>
      </c>
      <c r="B163">
        <v>2017</v>
      </c>
      <c r="C163" t="s">
        <v>59</v>
      </c>
      <c r="D163">
        <v>2.0699999999999998</v>
      </c>
    </row>
    <row r="164" spans="1:4" x14ac:dyDescent="0.45">
      <c r="A164" t="s">
        <v>55</v>
      </c>
      <c r="B164">
        <v>2018</v>
      </c>
      <c r="C164" t="s">
        <v>59</v>
      </c>
      <c r="D164">
        <v>0.77</v>
      </c>
    </row>
    <row r="165" spans="1:4" x14ac:dyDescent="0.45">
      <c r="A165" t="s">
        <v>5</v>
      </c>
      <c r="B165">
        <v>2018</v>
      </c>
      <c r="C165" t="s">
        <v>59</v>
      </c>
      <c r="D165">
        <v>0.98</v>
      </c>
    </row>
    <row r="166" spans="1:4" x14ac:dyDescent="0.45">
      <c r="A166" t="s">
        <v>8</v>
      </c>
      <c r="B166">
        <v>2018</v>
      </c>
      <c r="C166" t="s">
        <v>59</v>
      </c>
      <c r="D166">
        <v>5.66</v>
      </c>
    </row>
    <row r="167" spans="1:4" x14ac:dyDescent="0.45">
      <c r="A167" t="s">
        <v>6</v>
      </c>
      <c r="B167">
        <v>2018</v>
      </c>
      <c r="C167" t="s">
        <v>59</v>
      </c>
      <c r="D167">
        <v>26.03</v>
      </c>
    </row>
    <row r="168" spans="1:4" x14ac:dyDescent="0.45">
      <c r="A168" t="s">
        <v>19</v>
      </c>
      <c r="B168">
        <v>2018</v>
      </c>
      <c r="C168" t="s">
        <v>59</v>
      </c>
      <c r="D168">
        <v>0</v>
      </c>
    </row>
    <row r="169" spans="1:4" x14ac:dyDescent="0.45">
      <c r="A169" t="s">
        <v>23</v>
      </c>
      <c r="B169">
        <v>2018</v>
      </c>
      <c r="C169" t="s">
        <v>59</v>
      </c>
      <c r="D169">
        <v>0.62</v>
      </c>
    </row>
    <row r="170" spans="1:4" x14ac:dyDescent="0.45">
      <c r="A170" t="s">
        <v>55</v>
      </c>
      <c r="B170">
        <v>2018</v>
      </c>
      <c r="C170" t="s">
        <v>59</v>
      </c>
      <c r="D170">
        <v>7.52</v>
      </c>
    </row>
    <row r="171" spans="1:4" x14ac:dyDescent="0.45">
      <c r="A171" t="s">
        <v>9</v>
      </c>
      <c r="B171">
        <v>2018</v>
      </c>
      <c r="C171" t="s">
        <v>59</v>
      </c>
      <c r="D171">
        <v>0.1</v>
      </c>
    </row>
    <row r="172" spans="1:4" x14ac:dyDescent="0.45">
      <c r="A172" t="s">
        <v>88</v>
      </c>
      <c r="B172">
        <v>2018</v>
      </c>
      <c r="C172" t="s">
        <v>59</v>
      </c>
      <c r="D172">
        <v>2.0499999999999998</v>
      </c>
    </row>
    <row r="173" spans="1:4" x14ac:dyDescent="0.45">
      <c r="A173" t="s">
        <v>55</v>
      </c>
      <c r="B173">
        <v>2019</v>
      </c>
      <c r="C173" t="s">
        <v>59</v>
      </c>
      <c r="D173">
        <v>0.79</v>
      </c>
    </row>
    <row r="174" spans="1:4" x14ac:dyDescent="0.45">
      <c r="A174" t="s">
        <v>5</v>
      </c>
      <c r="B174">
        <v>2019</v>
      </c>
      <c r="C174" t="s">
        <v>59</v>
      </c>
      <c r="D174">
        <v>1.59</v>
      </c>
    </row>
    <row r="175" spans="1:4" x14ac:dyDescent="0.45">
      <c r="A175" t="s">
        <v>8</v>
      </c>
      <c r="B175">
        <v>2019</v>
      </c>
      <c r="C175" t="s">
        <v>59</v>
      </c>
      <c r="D175">
        <v>5.42</v>
      </c>
    </row>
    <row r="176" spans="1:4" x14ac:dyDescent="0.45">
      <c r="A176" t="s">
        <v>6</v>
      </c>
      <c r="B176">
        <v>2019</v>
      </c>
      <c r="C176" t="s">
        <v>59</v>
      </c>
      <c r="D176">
        <v>25.32</v>
      </c>
    </row>
    <row r="177" spans="1:4" x14ac:dyDescent="0.45">
      <c r="A177" t="s">
        <v>19</v>
      </c>
      <c r="B177">
        <v>2019</v>
      </c>
      <c r="C177" t="s">
        <v>59</v>
      </c>
      <c r="D177">
        <v>0</v>
      </c>
    </row>
    <row r="178" spans="1:4" x14ac:dyDescent="0.45">
      <c r="A178" t="s">
        <v>23</v>
      </c>
      <c r="B178">
        <v>2019</v>
      </c>
      <c r="C178" t="s">
        <v>59</v>
      </c>
      <c r="D178">
        <v>0.68</v>
      </c>
    </row>
    <row r="179" spans="1:4" x14ac:dyDescent="0.45">
      <c r="A179" t="s">
        <v>55</v>
      </c>
      <c r="B179">
        <v>2019</v>
      </c>
      <c r="C179" t="s">
        <v>59</v>
      </c>
      <c r="D179">
        <v>7.59</v>
      </c>
    </row>
    <row r="180" spans="1:4" x14ac:dyDescent="0.45">
      <c r="A180" t="s">
        <v>9</v>
      </c>
      <c r="B180">
        <v>2019</v>
      </c>
      <c r="C180" t="s">
        <v>59</v>
      </c>
      <c r="D180">
        <v>0.13</v>
      </c>
    </row>
    <row r="181" spans="1:4" x14ac:dyDescent="0.45">
      <c r="A181" t="s">
        <v>88</v>
      </c>
      <c r="B181">
        <v>2019</v>
      </c>
      <c r="C181" t="s">
        <v>59</v>
      </c>
      <c r="D181">
        <v>2.23</v>
      </c>
    </row>
    <row r="182" spans="1:4" x14ac:dyDescent="0.45">
      <c r="A182" t="s">
        <v>55</v>
      </c>
      <c r="B182">
        <v>2020</v>
      </c>
      <c r="C182" t="s">
        <v>59</v>
      </c>
      <c r="D182">
        <v>0.78</v>
      </c>
    </row>
    <row r="183" spans="1:4" x14ac:dyDescent="0.45">
      <c r="A183" t="s">
        <v>5</v>
      </c>
      <c r="B183">
        <v>2020</v>
      </c>
      <c r="C183" t="s">
        <v>59</v>
      </c>
      <c r="D183">
        <v>1.7</v>
      </c>
    </row>
    <row r="184" spans="1:4" x14ac:dyDescent="0.45">
      <c r="A184" t="s">
        <v>8</v>
      </c>
      <c r="B184">
        <v>2020</v>
      </c>
      <c r="C184" t="s">
        <v>59</v>
      </c>
      <c r="D184">
        <v>5.94</v>
      </c>
    </row>
    <row r="185" spans="1:4" x14ac:dyDescent="0.45">
      <c r="A185" t="s">
        <v>6</v>
      </c>
      <c r="B185">
        <v>2020</v>
      </c>
      <c r="C185" t="s">
        <v>59</v>
      </c>
      <c r="D185">
        <v>24.03</v>
      </c>
    </row>
    <row r="186" spans="1:4" x14ac:dyDescent="0.45">
      <c r="A186" t="s">
        <v>19</v>
      </c>
      <c r="B186">
        <v>2020</v>
      </c>
      <c r="C186" t="s">
        <v>59</v>
      </c>
      <c r="D186">
        <v>0</v>
      </c>
    </row>
    <row r="187" spans="1:4" x14ac:dyDescent="0.45">
      <c r="A187" t="s">
        <v>23</v>
      </c>
      <c r="B187">
        <v>2020</v>
      </c>
      <c r="C187" t="s">
        <v>59</v>
      </c>
      <c r="D187">
        <v>0.63</v>
      </c>
    </row>
    <row r="188" spans="1:4" x14ac:dyDescent="0.45">
      <c r="A188" t="s">
        <v>55</v>
      </c>
      <c r="B188">
        <v>2020</v>
      </c>
      <c r="C188" t="s">
        <v>59</v>
      </c>
      <c r="D188">
        <v>7.83</v>
      </c>
    </row>
    <row r="189" spans="1:4" x14ac:dyDescent="0.45">
      <c r="A189" t="s">
        <v>9</v>
      </c>
      <c r="B189">
        <v>2020</v>
      </c>
      <c r="C189" t="s">
        <v>59</v>
      </c>
      <c r="D189">
        <v>0.16</v>
      </c>
    </row>
    <row r="190" spans="1:4" x14ac:dyDescent="0.45">
      <c r="A190" t="s">
        <v>88</v>
      </c>
      <c r="B190">
        <v>2020</v>
      </c>
      <c r="C190" t="s">
        <v>59</v>
      </c>
      <c r="D190">
        <v>2.2799999999999998</v>
      </c>
    </row>
    <row r="191" spans="1:4" x14ac:dyDescent="0.45">
      <c r="A191" t="s">
        <v>55</v>
      </c>
      <c r="B191">
        <v>2021</v>
      </c>
      <c r="C191" t="s">
        <v>59</v>
      </c>
      <c r="D191">
        <v>1.73</v>
      </c>
    </row>
    <row r="192" spans="1:4" x14ac:dyDescent="0.45">
      <c r="A192" t="s">
        <v>5</v>
      </c>
      <c r="B192">
        <v>2021</v>
      </c>
      <c r="C192" t="s">
        <v>59</v>
      </c>
      <c r="D192">
        <v>2.6</v>
      </c>
    </row>
    <row r="193" spans="1:4" x14ac:dyDescent="0.45">
      <c r="A193" t="s">
        <v>8</v>
      </c>
      <c r="B193">
        <v>2021</v>
      </c>
      <c r="C193" t="s">
        <v>59</v>
      </c>
      <c r="D193">
        <v>4.6500000000000004</v>
      </c>
    </row>
    <row r="194" spans="1:4" x14ac:dyDescent="0.45">
      <c r="A194" t="s">
        <v>6</v>
      </c>
      <c r="B194">
        <v>2021</v>
      </c>
      <c r="C194" t="s">
        <v>59</v>
      </c>
      <c r="D194">
        <v>23.99</v>
      </c>
    </row>
    <row r="195" spans="1:4" x14ac:dyDescent="0.45">
      <c r="A195" t="s">
        <v>19</v>
      </c>
      <c r="B195">
        <v>2021</v>
      </c>
      <c r="C195" t="s">
        <v>59</v>
      </c>
      <c r="D195">
        <v>0</v>
      </c>
    </row>
    <row r="196" spans="1:4" x14ac:dyDescent="0.45">
      <c r="A196" t="s">
        <v>23</v>
      </c>
      <c r="B196">
        <v>2021</v>
      </c>
      <c r="C196" t="s">
        <v>59</v>
      </c>
      <c r="D196">
        <v>0.71</v>
      </c>
    </row>
    <row r="197" spans="1:4" x14ac:dyDescent="0.45">
      <c r="A197" t="s">
        <v>55</v>
      </c>
      <c r="B197">
        <v>2021</v>
      </c>
      <c r="C197" t="s">
        <v>59</v>
      </c>
      <c r="D197">
        <v>7.97</v>
      </c>
    </row>
    <row r="198" spans="1:4" x14ac:dyDescent="0.45">
      <c r="A198" t="s">
        <v>9</v>
      </c>
      <c r="B198">
        <v>2021</v>
      </c>
      <c r="C198" t="s">
        <v>59</v>
      </c>
      <c r="D198">
        <v>0.21</v>
      </c>
    </row>
    <row r="199" spans="1:4" x14ac:dyDescent="0.45">
      <c r="A199" t="s">
        <v>88</v>
      </c>
      <c r="B199">
        <v>2021</v>
      </c>
      <c r="C199" t="s">
        <v>59</v>
      </c>
      <c r="D199">
        <v>2.62</v>
      </c>
    </row>
    <row r="200" spans="1:4" x14ac:dyDescent="0.45">
      <c r="A200" t="s">
        <v>55</v>
      </c>
      <c r="B200">
        <v>2022</v>
      </c>
      <c r="C200" t="s">
        <v>59</v>
      </c>
      <c r="D200">
        <v>1.57</v>
      </c>
    </row>
    <row r="201" spans="1:4" x14ac:dyDescent="0.45">
      <c r="A201" t="s">
        <v>5</v>
      </c>
      <c r="B201">
        <v>2022</v>
      </c>
      <c r="C201" t="s">
        <v>59</v>
      </c>
      <c r="D201">
        <v>1.1399999999999999</v>
      </c>
    </row>
    <row r="202" spans="1:4" x14ac:dyDescent="0.45">
      <c r="A202" t="s">
        <v>8</v>
      </c>
      <c r="B202">
        <v>2022</v>
      </c>
      <c r="C202" t="s">
        <v>59</v>
      </c>
      <c r="D202">
        <v>4.08</v>
      </c>
    </row>
    <row r="203" spans="1:4" x14ac:dyDescent="0.45">
      <c r="A203" t="s">
        <v>6</v>
      </c>
      <c r="B203">
        <v>2022</v>
      </c>
      <c r="C203" t="s">
        <v>59</v>
      </c>
      <c r="D203">
        <v>25.86</v>
      </c>
    </row>
    <row r="204" spans="1:4" x14ac:dyDescent="0.45">
      <c r="A204" t="s">
        <v>19</v>
      </c>
      <c r="B204">
        <v>2022</v>
      </c>
      <c r="C204" t="s">
        <v>59</v>
      </c>
      <c r="D204">
        <v>0</v>
      </c>
    </row>
    <row r="205" spans="1:4" x14ac:dyDescent="0.45">
      <c r="A205" t="s">
        <v>23</v>
      </c>
      <c r="B205">
        <v>2022</v>
      </c>
      <c r="C205" t="s">
        <v>59</v>
      </c>
      <c r="D205">
        <v>0.62</v>
      </c>
    </row>
    <row r="206" spans="1:4" x14ac:dyDescent="0.45">
      <c r="A206" t="s">
        <v>55</v>
      </c>
      <c r="B206">
        <v>2022</v>
      </c>
      <c r="C206" t="s">
        <v>59</v>
      </c>
      <c r="D206">
        <v>7.82</v>
      </c>
    </row>
    <row r="207" spans="1:4" x14ac:dyDescent="0.45">
      <c r="A207" t="s">
        <v>9</v>
      </c>
      <c r="B207">
        <v>2022</v>
      </c>
      <c r="C207" t="s">
        <v>59</v>
      </c>
      <c r="D207">
        <v>0.21</v>
      </c>
    </row>
    <row r="208" spans="1:4" x14ac:dyDescent="0.45">
      <c r="A208" t="s">
        <v>88</v>
      </c>
      <c r="B208">
        <v>2022</v>
      </c>
      <c r="C208" t="s">
        <v>59</v>
      </c>
      <c r="D208">
        <v>2.89</v>
      </c>
    </row>
    <row r="209" spans="1:4" x14ac:dyDescent="0.45">
      <c r="A209" t="s">
        <v>55</v>
      </c>
      <c r="B209">
        <v>2023</v>
      </c>
      <c r="C209" t="s">
        <v>59</v>
      </c>
      <c r="D209">
        <v>1.55</v>
      </c>
    </row>
    <row r="210" spans="1:4" x14ac:dyDescent="0.45">
      <c r="A210" t="s">
        <v>5</v>
      </c>
      <c r="B210">
        <v>2023</v>
      </c>
      <c r="C210" t="s">
        <v>59</v>
      </c>
      <c r="D210">
        <v>1.77</v>
      </c>
    </row>
    <row r="211" spans="1:4" x14ac:dyDescent="0.45">
      <c r="A211" t="s">
        <v>8</v>
      </c>
      <c r="B211">
        <v>2023</v>
      </c>
      <c r="C211" t="s">
        <v>59</v>
      </c>
      <c r="D211">
        <v>3.25</v>
      </c>
    </row>
    <row r="212" spans="1:4" x14ac:dyDescent="0.45">
      <c r="A212" t="s">
        <v>6</v>
      </c>
      <c r="B212">
        <v>2023</v>
      </c>
      <c r="C212" t="s">
        <v>59</v>
      </c>
      <c r="D212">
        <v>26.04</v>
      </c>
    </row>
    <row r="213" spans="1:4" x14ac:dyDescent="0.45">
      <c r="A213" t="s">
        <v>19</v>
      </c>
      <c r="B213">
        <v>2023</v>
      </c>
      <c r="C213" t="s">
        <v>59</v>
      </c>
      <c r="D213">
        <v>0</v>
      </c>
    </row>
    <row r="214" spans="1:4" x14ac:dyDescent="0.45">
      <c r="A214" t="s">
        <v>23</v>
      </c>
      <c r="B214">
        <v>2023</v>
      </c>
      <c r="C214" t="s">
        <v>59</v>
      </c>
      <c r="D214">
        <v>0.62</v>
      </c>
    </row>
    <row r="215" spans="1:4" x14ac:dyDescent="0.45">
      <c r="A215" t="s">
        <v>55</v>
      </c>
      <c r="B215">
        <v>2023</v>
      </c>
      <c r="C215" t="s">
        <v>59</v>
      </c>
      <c r="D215">
        <v>7.61</v>
      </c>
    </row>
    <row r="216" spans="1:4" x14ac:dyDescent="0.45">
      <c r="A216" t="s">
        <v>9</v>
      </c>
      <c r="B216">
        <v>2023</v>
      </c>
      <c r="C216" t="s">
        <v>59</v>
      </c>
      <c r="D216">
        <v>0.21</v>
      </c>
    </row>
    <row r="217" spans="1:4" x14ac:dyDescent="0.45">
      <c r="A217" t="s">
        <v>88</v>
      </c>
      <c r="B217">
        <v>2023</v>
      </c>
      <c r="C217" t="s">
        <v>59</v>
      </c>
      <c r="D217">
        <v>3.47</v>
      </c>
    </row>
    <row r="218" spans="1:4" x14ac:dyDescent="0.45">
      <c r="A218" t="s">
        <v>55</v>
      </c>
      <c r="B218">
        <v>2000</v>
      </c>
      <c r="C218" t="s">
        <v>60</v>
      </c>
      <c r="D218">
        <v>0.09</v>
      </c>
    </row>
    <row r="219" spans="1:4" x14ac:dyDescent="0.45">
      <c r="A219" t="s">
        <v>5</v>
      </c>
      <c r="B219">
        <v>2000</v>
      </c>
      <c r="C219" t="s">
        <v>60</v>
      </c>
      <c r="D219">
        <v>1</v>
      </c>
    </row>
    <row r="220" spans="1:4" x14ac:dyDescent="0.45">
      <c r="A220" t="s">
        <v>8</v>
      </c>
      <c r="B220">
        <v>2000</v>
      </c>
      <c r="C220" t="s">
        <v>60</v>
      </c>
      <c r="D220">
        <v>1.06</v>
      </c>
    </row>
    <row r="221" spans="1:4" x14ac:dyDescent="0.45">
      <c r="A221" t="s">
        <v>6</v>
      </c>
      <c r="B221">
        <v>2000</v>
      </c>
      <c r="C221" t="s">
        <v>60</v>
      </c>
      <c r="D221">
        <v>5.19</v>
      </c>
    </row>
    <row r="222" spans="1:4" x14ac:dyDescent="0.45">
      <c r="A222" t="s">
        <v>19</v>
      </c>
      <c r="B222">
        <v>2000</v>
      </c>
      <c r="C222" t="s">
        <v>60</v>
      </c>
    </row>
    <row r="223" spans="1:4" x14ac:dyDescent="0.45">
      <c r="A223" t="s">
        <v>23</v>
      </c>
      <c r="B223">
        <v>2000</v>
      </c>
      <c r="C223" t="s">
        <v>60</v>
      </c>
    </row>
    <row r="224" spans="1:4" x14ac:dyDescent="0.45">
      <c r="A224" t="s">
        <v>55</v>
      </c>
      <c r="B224">
        <v>2000</v>
      </c>
      <c r="C224" t="s">
        <v>60</v>
      </c>
      <c r="D224">
        <v>0.42</v>
      </c>
    </row>
    <row r="225" spans="1:4" x14ac:dyDescent="0.45">
      <c r="A225" t="s">
        <v>9</v>
      </c>
      <c r="B225">
        <v>2000</v>
      </c>
      <c r="C225" t="s">
        <v>60</v>
      </c>
      <c r="D225">
        <v>0</v>
      </c>
    </row>
    <row r="226" spans="1:4" x14ac:dyDescent="0.45">
      <c r="A226" t="s">
        <v>88</v>
      </c>
      <c r="B226">
        <v>2000</v>
      </c>
      <c r="C226" t="s">
        <v>60</v>
      </c>
      <c r="D226">
        <v>0.04</v>
      </c>
    </row>
    <row r="227" spans="1:4" x14ac:dyDescent="0.45">
      <c r="A227" t="s">
        <v>55</v>
      </c>
      <c r="B227">
        <v>2001</v>
      </c>
      <c r="C227" t="s">
        <v>60</v>
      </c>
      <c r="D227">
        <v>0.09</v>
      </c>
    </row>
    <row r="228" spans="1:4" x14ac:dyDescent="0.45">
      <c r="A228" t="s">
        <v>5</v>
      </c>
      <c r="B228">
        <v>2001</v>
      </c>
      <c r="C228" t="s">
        <v>60</v>
      </c>
      <c r="D228">
        <v>1</v>
      </c>
    </row>
    <row r="229" spans="1:4" x14ac:dyDescent="0.45">
      <c r="A229" t="s">
        <v>8</v>
      </c>
      <c r="B229">
        <v>2001</v>
      </c>
      <c r="C229" t="s">
        <v>60</v>
      </c>
      <c r="D229">
        <v>1.06</v>
      </c>
    </row>
    <row r="230" spans="1:4" x14ac:dyDescent="0.45">
      <c r="A230" t="s">
        <v>6</v>
      </c>
      <c r="B230">
        <v>2001</v>
      </c>
      <c r="C230" t="s">
        <v>60</v>
      </c>
      <c r="D230">
        <v>5.26</v>
      </c>
    </row>
    <row r="231" spans="1:4" x14ac:dyDescent="0.45">
      <c r="A231" t="s">
        <v>19</v>
      </c>
      <c r="B231">
        <v>2001</v>
      </c>
      <c r="C231" t="s">
        <v>60</v>
      </c>
    </row>
    <row r="232" spans="1:4" x14ac:dyDescent="0.45">
      <c r="A232" t="s">
        <v>23</v>
      </c>
      <c r="B232">
        <v>2001</v>
      </c>
      <c r="C232" t="s">
        <v>60</v>
      </c>
    </row>
    <row r="233" spans="1:4" x14ac:dyDescent="0.45">
      <c r="A233" t="s">
        <v>55</v>
      </c>
      <c r="B233">
        <v>2001</v>
      </c>
      <c r="C233" t="s">
        <v>60</v>
      </c>
      <c r="D233">
        <v>0.42</v>
      </c>
    </row>
    <row r="234" spans="1:4" x14ac:dyDescent="0.45">
      <c r="A234" t="s">
        <v>9</v>
      </c>
      <c r="B234">
        <v>2001</v>
      </c>
      <c r="C234" t="s">
        <v>60</v>
      </c>
      <c r="D234">
        <v>0</v>
      </c>
    </row>
    <row r="235" spans="1:4" x14ac:dyDescent="0.45">
      <c r="A235" t="s">
        <v>88</v>
      </c>
      <c r="B235">
        <v>2001</v>
      </c>
      <c r="C235" t="s">
        <v>60</v>
      </c>
      <c r="D235">
        <v>0.04</v>
      </c>
    </row>
    <row r="236" spans="1:4" x14ac:dyDescent="0.45">
      <c r="A236" t="s">
        <v>55</v>
      </c>
      <c r="B236">
        <v>2002</v>
      </c>
      <c r="C236" t="s">
        <v>60</v>
      </c>
      <c r="D236">
        <v>0.12</v>
      </c>
    </row>
    <row r="237" spans="1:4" x14ac:dyDescent="0.45">
      <c r="A237" t="s">
        <v>5</v>
      </c>
      <c r="B237">
        <v>2002</v>
      </c>
      <c r="C237" t="s">
        <v>60</v>
      </c>
      <c r="D237">
        <v>1</v>
      </c>
    </row>
    <row r="238" spans="1:4" x14ac:dyDescent="0.45">
      <c r="A238" t="s">
        <v>8</v>
      </c>
      <c r="B238">
        <v>2002</v>
      </c>
      <c r="C238" t="s">
        <v>60</v>
      </c>
      <c r="D238">
        <v>1.06</v>
      </c>
    </row>
    <row r="239" spans="1:4" x14ac:dyDescent="0.45">
      <c r="A239" t="s">
        <v>6</v>
      </c>
      <c r="B239">
        <v>2002</v>
      </c>
      <c r="C239" t="s">
        <v>60</v>
      </c>
      <c r="D239">
        <v>5.36</v>
      </c>
    </row>
    <row r="240" spans="1:4" x14ac:dyDescent="0.45">
      <c r="A240" t="s">
        <v>19</v>
      </c>
      <c r="B240">
        <v>2002</v>
      </c>
      <c r="C240" t="s">
        <v>60</v>
      </c>
    </row>
    <row r="241" spans="1:4" x14ac:dyDescent="0.45">
      <c r="A241" t="s">
        <v>23</v>
      </c>
      <c r="B241">
        <v>2002</v>
      </c>
      <c r="C241" t="s">
        <v>60</v>
      </c>
    </row>
    <row r="242" spans="1:4" x14ac:dyDescent="0.45">
      <c r="A242" t="s">
        <v>55</v>
      </c>
      <c r="B242">
        <v>2002</v>
      </c>
      <c r="C242" t="s">
        <v>60</v>
      </c>
      <c r="D242">
        <v>0.37</v>
      </c>
    </row>
    <row r="243" spans="1:4" x14ac:dyDescent="0.45">
      <c r="A243" t="s">
        <v>9</v>
      </c>
      <c r="B243">
        <v>2002</v>
      </c>
      <c r="C243" t="s">
        <v>60</v>
      </c>
      <c r="D243">
        <v>0</v>
      </c>
    </row>
    <row r="244" spans="1:4" x14ac:dyDescent="0.45">
      <c r="A244" t="s">
        <v>88</v>
      </c>
      <c r="B244">
        <v>2002</v>
      </c>
      <c r="C244" t="s">
        <v>60</v>
      </c>
      <c r="D244">
        <v>0.05</v>
      </c>
    </row>
    <row r="245" spans="1:4" x14ac:dyDescent="0.45">
      <c r="A245" t="s">
        <v>55</v>
      </c>
      <c r="B245">
        <v>2003</v>
      </c>
      <c r="C245" t="s">
        <v>60</v>
      </c>
      <c r="D245">
        <v>0.13</v>
      </c>
    </row>
    <row r="246" spans="1:4" x14ac:dyDescent="0.45">
      <c r="A246" t="s">
        <v>5</v>
      </c>
      <c r="B246">
        <v>2003</v>
      </c>
      <c r="C246" t="s">
        <v>60</v>
      </c>
      <c r="D246">
        <v>1</v>
      </c>
    </row>
    <row r="247" spans="1:4" x14ac:dyDescent="0.45">
      <c r="A247" t="s">
        <v>8</v>
      </c>
      <c r="B247">
        <v>2003</v>
      </c>
      <c r="C247" t="s">
        <v>60</v>
      </c>
      <c r="D247">
        <v>1.06</v>
      </c>
    </row>
    <row r="248" spans="1:4" x14ac:dyDescent="0.45">
      <c r="A248" t="s">
        <v>6</v>
      </c>
      <c r="B248">
        <v>2003</v>
      </c>
      <c r="C248" t="s">
        <v>60</v>
      </c>
      <c r="D248">
        <v>5.36</v>
      </c>
    </row>
    <row r="249" spans="1:4" x14ac:dyDescent="0.45">
      <c r="A249" t="s">
        <v>19</v>
      </c>
      <c r="B249">
        <v>2003</v>
      </c>
      <c r="C249" t="s">
        <v>60</v>
      </c>
    </row>
    <row r="250" spans="1:4" x14ac:dyDescent="0.45">
      <c r="A250" t="s">
        <v>23</v>
      </c>
      <c r="B250">
        <v>2003</v>
      </c>
      <c r="C250" t="s">
        <v>60</v>
      </c>
    </row>
    <row r="251" spans="1:4" x14ac:dyDescent="0.45">
      <c r="A251" t="s">
        <v>55</v>
      </c>
      <c r="B251">
        <v>2003</v>
      </c>
      <c r="C251" t="s">
        <v>60</v>
      </c>
      <c r="D251">
        <v>0.38</v>
      </c>
    </row>
    <row r="252" spans="1:4" x14ac:dyDescent="0.45">
      <c r="A252" t="s">
        <v>9</v>
      </c>
      <c r="B252">
        <v>2003</v>
      </c>
      <c r="C252" t="s">
        <v>60</v>
      </c>
      <c r="D252">
        <v>0</v>
      </c>
    </row>
    <row r="253" spans="1:4" x14ac:dyDescent="0.45">
      <c r="A253" t="s">
        <v>88</v>
      </c>
      <c r="B253">
        <v>2003</v>
      </c>
      <c r="C253" t="s">
        <v>60</v>
      </c>
      <c r="D253">
        <v>7.0000000000000007E-2</v>
      </c>
    </row>
    <row r="254" spans="1:4" x14ac:dyDescent="0.45">
      <c r="A254" t="s">
        <v>55</v>
      </c>
      <c r="B254">
        <v>2004</v>
      </c>
      <c r="C254" t="s">
        <v>60</v>
      </c>
      <c r="D254">
        <v>0.13</v>
      </c>
    </row>
    <row r="255" spans="1:4" x14ac:dyDescent="0.45">
      <c r="A255" t="s">
        <v>5</v>
      </c>
      <c r="B255">
        <v>2004</v>
      </c>
      <c r="C255" t="s">
        <v>60</v>
      </c>
      <c r="D255">
        <v>1</v>
      </c>
    </row>
    <row r="256" spans="1:4" x14ac:dyDescent="0.45">
      <c r="A256" t="s">
        <v>8</v>
      </c>
      <c r="B256">
        <v>2004</v>
      </c>
      <c r="C256" t="s">
        <v>60</v>
      </c>
      <c r="D256">
        <v>1.1100000000000001</v>
      </c>
    </row>
    <row r="257" spans="1:4" x14ac:dyDescent="0.45">
      <c r="A257" t="s">
        <v>6</v>
      </c>
      <c r="B257">
        <v>2004</v>
      </c>
      <c r="C257" t="s">
        <v>60</v>
      </c>
      <c r="D257">
        <v>5.37</v>
      </c>
    </row>
    <row r="258" spans="1:4" x14ac:dyDescent="0.45">
      <c r="A258" t="s">
        <v>19</v>
      </c>
      <c r="B258">
        <v>2004</v>
      </c>
      <c r="C258" t="s">
        <v>60</v>
      </c>
    </row>
    <row r="259" spans="1:4" x14ac:dyDescent="0.45">
      <c r="A259" t="s">
        <v>23</v>
      </c>
      <c r="B259">
        <v>2004</v>
      </c>
      <c r="C259" t="s">
        <v>60</v>
      </c>
    </row>
    <row r="260" spans="1:4" x14ac:dyDescent="0.45">
      <c r="A260" t="s">
        <v>55</v>
      </c>
      <c r="B260">
        <v>2004</v>
      </c>
      <c r="C260" t="s">
        <v>60</v>
      </c>
      <c r="D260">
        <v>0.38</v>
      </c>
    </row>
    <row r="261" spans="1:4" x14ac:dyDescent="0.45">
      <c r="A261" t="s">
        <v>9</v>
      </c>
      <c r="B261">
        <v>2004</v>
      </c>
      <c r="C261" t="s">
        <v>60</v>
      </c>
      <c r="D261">
        <v>0</v>
      </c>
    </row>
    <row r="262" spans="1:4" x14ac:dyDescent="0.45">
      <c r="A262" t="s">
        <v>88</v>
      </c>
      <c r="B262">
        <v>2004</v>
      </c>
      <c r="C262" t="s">
        <v>60</v>
      </c>
      <c r="D262">
        <v>0.17</v>
      </c>
    </row>
    <row r="263" spans="1:4" x14ac:dyDescent="0.45">
      <c r="A263" t="s">
        <v>55</v>
      </c>
      <c r="B263">
        <v>2005</v>
      </c>
      <c r="C263" t="s">
        <v>60</v>
      </c>
      <c r="D263">
        <v>0.14000000000000001</v>
      </c>
    </row>
    <row r="264" spans="1:4" x14ac:dyDescent="0.45">
      <c r="A264" t="s">
        <v>5</v>
      </c>
      <c r="B264">
        <v>2005</v>
      </c>
      <c r="C264" t="s">
        <v>60</v>
      </c>
      <c r="D264">
        <v>1</v>
      </c>
    </row>
    <row r="265" spans="1:4" x14ac:dyDescent="0.45">
      <c r="A265" t="s">
        <v>8</v>
      </c>
      <c r="B265">
        <v>2005</v>
      </c>
      <c r="C265" t="s">
        <v>60</v>
      </c>
      <c r="D265">
        <v>1.1100000000000001</v>
      </c>
    </row>
    <row r="266" spans="1:4" x14ac:dyDescent="0.45">
      <c r="A266" t="s">
        <v>6</v>
      </c>
      <c r="B266">
        <v>2005</v>
      </c>
      <c r="C266" t="s">
        <v>60</v>
      </c>
      <c r="D266">
        <v>5.37</v>
      </c>
    </row>
    <row r="267" spans="1:4" x14ac:dyDescent="0.45">
      <c r="A267" t="s">
        <v>19</v>
      </c>
      <c r="B267">
        <v>2005</v>
      </c>
      <c r="C267" t="s">
        <v>60</v>
      </c>
    </row>
    <row r="268" spans="1:4" x14ac:dyDescent="0.45">
      <c r="A268" t="s">
        <v>23</v>
      </c>
      <c r="B268">
        <v>2005</v>
      </c>
      <c r="C268" t="s">
        <v>60</v>
      </c>
    </row>
    <row r="269" spans="1:4" x14ac:dyDescent="0.45">
      <c r="A269" t="s">
        <v>55</v>
      </c>
      <c r="B269">
        <v>2005</v>
      </c>
      <c r="C269" t="s">
        <v>60</v>
      </c>
      <c r="D269">
        <v>0.44</v>
      </c>
    </row>
    <row r="270" spans="1:4" x14ac:dyDescent="0.45">
      <c r="A270" t="s">
        <v>9</v>
      </c>
      <c r="B270">
        <v>2005</v>
      </c>
      <c r="C270" t="s">
        <v>60</v>
      </c>
      <c r="D270">
        <v>0</v>
      </c>
    </row>
    <row r="271" spans="1:4" x14ac:dyDescent="0.45">
      <c r="A271" t="s">
        <v>88</v>
      </c>
      <c r="B271">
        <v>2005</v>
      </c>
      <c r="C271" t="s">
        <v>60</v>
      </c>
      <c r="D271">
        <v>0.17</v>
      </c>
    </row>
    <row r="272" spans="1:4" x14ac:dyDescent="0.45">
      <c r="A272" t="s">
        <v>55</v>
      </c>
      <c r="B272">
        <v>2006</v>
      </c>
      <c r="C272" t="s">
        <v>60</v>
      </c>
      <c r="D272">
        <v>0.14000000000000001</v>
      </c>
    </row>
    <row r="273" spans="1:4" x14ac:dyDescent="0.45">
      <c r="A273" t="s">
        <v>5</v>
      </c>
      <c r="B273">
        <v>2006</v>
      </c>
      <c r="C273" t="s">
        <v>60</v>
      </c>
      <c r="D273">
        <v>1</v>
      </c>
    </row>
    <row r="274" spans="1:4" x14ac:dyDescent="0.45">
      <c r="A274" t="s">
        <v>8</v>
      </c>
      <c r="B274">
        <v>2006</v>
      </c>
      <c r="C274" t="s">
        <v>60</v>
      </c>
      <c r="D274">
        <v>1.1100000000000001</v>
      </c>
    </row>
    <row r="275" spans="1:4" x14ac:dyDescent="0.45">
      <c r="A275" t="s">
        <v>6</v>
      </c>
      <c r="B275">
        <v>2006</v>
      </c>
      <c r="C275" t="s">
        <v>60</v>
      </c>
      <c r="D275">
        <v>5.37</v>
      </c>
    </row>
    <row r="276" spans="1:4" x14ac:dyDescent="0.45">
      <c r="A276" t="s">
        <v>19</v>
      </c>
      <c r="B276">
        <v>2006</v>
      </c>
      <c r="C276" t="s">
        <v>60</v>
      </c>
    </row>
    <row r="277" spans="1:4" x14ac:dyDescent="0.45">
      <c r="A277" t="s">
        <v>23</v>
      </c>
      <c r="B277">
        <v>2006</v>
      </c>
      <c r="C277" t="s">
        <v>60</v>
      </c>
    </row>
    <row r="278" spans="1:4" x14ac:dyDescent="0.45">
      <c r="A278" t="s">
        <v>55</v>
      </c>
      <c r="B278">
        <v>2006</v>
      </c>
      <c r="C278" t="s">
        <v>60</v>
      </c>
      <c r="D278">
        <v>0.44</v>
      </c>
    </row>
    <row r="279" spans="1:4" x14ac:dyDescent="0.45">
      <c r="A279" t="s">
        <v>9</v>
      </c>
      <c r="B279">
        <v>2006</v>
      </c>
      <c r="C279" t="s">
        <v>60</v>
      </c>
      <c r="D279">
        <v>0</v>
      </c>
    </row>
    <row r="280" spans="1:4" x14ac:dyDescent="0.45">
      <c r="A280" t="s">
        <v>88</v>
      </c>
      <c r="B280">
        <v>2006</v>
      </c>
      <c r="C280" t="s">
        <v>60</v>
      </c>
      <c r="D280">
        <v>0.17</v>
      </c>
    </row>
    <row r="281" spans="1:4" x14ac:dyDescent="0.45">
      <c r="A281" t="s">
        <v>55</v>
      </c>
      <c r="B281">
        <v>2007</v>
      </c>
      <c r="C281" t="s">
        <v>60</v>
      </c>
      <c r="D281">
        <v>0.14000000000000001</v>
      </c>
    </row>
    <row r="282" spans="1:4" x14ac:dyDescent="0.45">
      <c r="A282" t="s">
        <v>5</v>
      </c>
      <c r="B282">
        <v>2007</v>
      </c>
      <c r="C282" t="s">
        <v>60</v>
      </c>
      <c r="D282">
        <v>1</v>
      </c>
    </row>
    <row r="283" spans="1:4" x14ac:dyDescent="0.45">
      <c r="A283" t="s">
        <v>8</v>
      </c>
      <c r="B283">
        <v>2007</v>
      </c>
      <c r="C283" t="s">
        <v>60</v>
      </c>
      <c r="D283">
        <v>1.51</v>
      </c>
    </row>
    <row r="284" spans="1:4" x14ac:dyDescent="0.45">
      <c r="A284" t="s">
        <v>6</v>
      </c>
      <c r="B284">
        <v>2007</v>
      </c>
      <c r="C284" t="s">
        <v>60</v>
      </c>
      <c r="D284">
        <v>5.37</v>
      </c>
    </row>
    <row r="285" spans="1:4" x14ac:dyDescent="0.45">
      <c r="A285" t="s">
        <v>19</v>
      </c>
      <c r="B285">
        <v>2007</v>
      </c>
      <c r="C285" t="s">
        <v>60</v>
      </c>
    </row>
    <row r="286" spans="1:4" x14ac:dyDescent="0.45">
      <c r="A286" t="s">
        <v>23</v>
      </c>
      <c r="B286">
        <v>2007</v>
      </c>
      <c r="C286" t="s">
        <v>60</v>
      </c>
    </row>
    <row r="287" spans="1:4" x14ac:dyDescent="0.45">
      <c r="A287" t="s">
        <v>55</v>
      </c>
      <c r="B287">
        <v>2007</v>
      </c>
      <c r="C287" t="s">
        <v>60</v>
      </c>
      <c r="D287">
        <v>0.46</v>
      </c>
    </row>
    <row r="288" spans="1:4" x14ac:dyDescent="0.45">
      <c r="A288" t="s">
        <v>9</v>
      </c>
      <c r="B288">
        <v>2007</v>
      </c>
      <c r="C288" t="s">
        <v>60</v>
      </c>
      <c r="D288">
        <v>0</v>
      </c>
    </row>
    <row r="289" spans="1:4" x14ac:dyDescent="0.45">
      <c r="A289" t="s">
        <v>88</v>
      </c>
      <c r="B289">
        <v>2007</v>
      </c>
      <c r="C289" t="s">
        <v>60</v>
      </c>
      <c r="D289">
        <v>0.32</v>
      </c>
    </row>
    <row r="290" spans="1:4" x14ac:dyDescent="0.45">
      <c r="A290" t="s">
        <v>55</v>
      </c>
      <c r="B290">
        <v>2008</v>
      </c>
      <c r="C290" t="s">
        <v>60</v>
      </c>
      <c r="D290">
        <v>0.14000000000000001</v>
      </c>
    </row>
    <row r="291" spans="1:4" x14ac:dyDescent="0.45">
      <c r="A291" t="s">
        <v>5</v>
      </c>
      <c r="B291">
        <v>2008</v>
      </c>
      <c r="C291" t="s">
        <v>60</v>
      </c>
      <c r="D291">
        <v>1</v>
      </c>
    </row>
    <row r="292" spans="1:4" x14ac:dyDescent="0.45">
      <c r="A292" t="s">
        <v>8</v>
      </c>
      <c r="B292">
        <v>2008</v>
      </c>
      <c r="C292" t="s">
        <v>60</v>
      </c>
      <c r="D292">
        <v>1.51</v>
      </c>
    </row>
    <row r="293" spans="1:4" x14ac:dyDescent="0.45">
      <c r="A293" t="s">
        <v>6</v>
      </c>
      <c r="B293">
        <v>2008</v>
      </c>
      <c r="C293" t="s">
        <v>60</v>
      </c>
      <c r="D293">
        <v>5.39</v>
      </c>
    </row>
    <row r="294" spans="1:4" x14ac:dyDescent="0.45">
      <c r="A294" t="s">
        <v>19</v>
      </c>
      <c r="B294">
        <v>2008</v>
      </c>
      <c r="C294" t="s">
        <v>60</v>
      </c>
    </row>
    <row r="295" spans="1:4" x14ac:dyDescent="0.45">
      <c r="A295" t="s">
        <v>23</v>
      </c>
      <c r="B295">
        <v>2008</v>
      </c>
      <c r="C295" t="s">
        <v>60</v>
      </c>
    </row>
    <row r="296" spans="1:4" x14ac:dyDescent="0.45">
      <c r="A296" t="s">
        <v>55</v>
      </c>
      <c r="B296">
        <v>2008</v>
      </c>
      <c r="C296" t="s">
        <v>60</v>
      </c>
      <c r="D296">
        <v>0.57999999999999996</v>
      </c>
    </row>
    <row r="297" spans="1:4" x14ac:dyDescent="0.45">
      <c r="A297" t="s">
        <v>9</v>
      </c>
      <c r="B297">
        <v>2008</v>
      </c>
      <c r="C297" t="s">
        <v>60</v>
      </c>
      <c r="D297">
        <v>0</v>
      </c>
    </row>
    <row r="298" spans="1:4" x14ac:dyDescent="0.45">
      <c r="A298" t="s">
        <v>88</v>
      </c>
      <c r="B298">
        <v>2008</v>
      </c>
      <c r="C298" t="s">
        <v>60</v>
      </c>
      <c r="D298">
        <v>0.32</v>
      </c>
    </row>
    <row r="299" spans="1:4" x14ac:dyDescent="0.45">
      <c r="A299" t="s">
        <v>55</v>
      </c>
      <c r="B299">
        <v>2009</v>
      </c>
      <c r="C299" t="s">
        <v>60</v>
      </c>
      <c r="D299">
        <v>0.14000000000000001</v>
      </c>
    </row>
    <row r="300" spans="1:4" x14ac:dyDescent="0.45">
      <c r="A300" t="s">
        <v>5</v>
      </c>
      <c r="B300">
        <v>2009</v>
      </c>
      <c r="C300" t="s">
        <v>60</v>
      </c>
      <c r="D300">
        <v>1</v>
      </c>
    </row>
    <row r="301" spans="1:4" x14ac:dyDescent="0.45">
      <c r="A301" t="s">
        <v>8</v>
      </c>
      <c r="B301">
        <v>2009</v>
      </c>
      <c r="C301" t="s">
        <v>60</v>
      </c>
      <c r="D301">
        <v>1.51</v>
      </c>
    </row>
    <row r="302" spans="1:4" x14ac:dyDescent="0.45">
      <c r="A302" t="s">
        <v>6</v>
      </c>
      <c r="B302">
        <v>2009</v>
      </c>
      <c r="C302" t="s">
        <v>60</v>
      </c>
      <c r="D302">
        <v>5.34</v>
      </c>
    </row>
    <row r="303" spans="1:4" x14ac:dyDescent="0.45">
      <c r="A303" t="s">
        <v>19</v>
      </c>
      <c r="B303">
        <v>2009</v>
      </c>
      <c r="C303" t="s">
        <v>60</v>
      </c>
    </row>
    <row r="304" spans="1:4" x14ac:dyDescent="0.45">
      <c r="A304" t="s">
        <v>23</v>
      </c>
      <c r="B304">
        <v>2009</v>
      </c>
      <c r="C304" t="s">
        <v>60</v>
      </c>
    </row>
    <row r="305" spans="1:4" x14ac:dyDescent="0.45">
      <c r="A305" t="s">
        <v>55</v>
      </c>
      <c r="B305">
        <v>2009</v>
      </c>
      <c r="C305" t="s">
        <v>60</v>
      </c>
      <c r="D305">
        <v>0.62</v>
      </c>
    </row>
    <row r="306" spans="1:4" x14ac:dyDescent="0.45">
      <c r="A306" t="s">
        <v>9</v>
      </c>
      <c r="B306">
        <v>2009</v>
      </c>
      <c r="C306" t="s">
        <v>60</v>
      </c>
      <c r="D306">
        <v>0</v>
      </c>
    </row>
    <row r="307" spans="1:4" x14ac:dyDescent="0.45">
      <c r="A307" t="s">
        <v>88</v>
      </c>
      <c r="B307">
        <v>2009</v>
      </c>
      <c r="C307" t="s">
        <v>60</v>
      </c>
      <c r="D307">
        <v>0.51</v>
      </c>
    </row>
    <row r="308" spans="1:4" x14ac:dyDescent="0.45">
      <c r="A308" t="s">
        <v>55</v>
      </c>
      <c r="B308">
        <v>2010</v>
      </c>
      <c r="C308" t="s">
        <v>60</v>
      </c>
      <c r="D308">
        <v>0.14000000000000001</v>
      </c>
    </row>
    <row r="309" spans="1:4" x14ac:dyDescent="0.45">
      <c r="A309" t="s">
        <v>5</v>
      </c>
      <c r="B309">
        <v>2010</v>
      </c>
      <c r="C309" t="s">
        <v>60</v>
      </c>
      <c r="D309">
        <v>1</v>
      </c>
    </row>
    <row r="310" spans="1:4" x14ac:dyDescent="0.45">
      <c r="A310" t="s">
        <v>8</v>
      </c>
      <c r="B310">
        <v>2010</v>
      </c>
      <c r="C310" t="s">
        <v>60</v>
      </c>
      <c r="D310">
        <v>1.51</v>
      </c>
    </row>
    <row r="311" spans="1:4" x14ac:dyDescent="0.45">
      <c r="A311" t="s">
        <v>6</v>
      </c>
      <c r="B311">
        <v>2010</v>
      </c>
      <c r="C311" t="s">
        <v>60</v>
      </c>
      <c r="D311">
        <v>5.33</v>
      </c>
    </row>
    <row r="312" spans="1:4" x14ac:dyDescent="0.45">
      <c r="A312" t="s">
        <v>19</v>
      </c>
      <c r="B312">
        <v>2010</v>
      </c>
      <c r="C312" t="s">
        <v>60</v>
      </c>
    </row>
    <row r="313" spans="1:4" x14ac:dyDescent="0.45">
      <c r="A313" t="s">
        <v>23</v>
      </c>
      <c r="B313">
        <v>2010</v>
      </c>
      <c r="C313" t="s">
        <v>60</v>
      </c>
    </row>
    <row r="314" spans="1:4" x14ac:dyDescent="0.45">
      <c r="A314" t="s">
        <v>55</v>
      </c>
      <c r="B314">
        <v>2010</v>
      </c>
      <c r="C314" t="s">
        <v>60</v>
      </c>
      <c r="D314">
        <v>0.74</v>
      </c>
    </row>
    <row r="315" spans="1:4" x14ac:dyDescent="0.45">
      <c r="A315" t="s">
        <v>9</v>
      </c>
      <c r="B315">
        <v>2010</v>
      </c>
      <c r="C315" t="s">
        <v>60</v>
      </c>
      <c r="D315">
        <v>0</v>
      </c>
    </row>
    <row r="316" spans="1:4" x14ac:dyDescent="0.45">
      <c r="A316" t="s">
        <v>88</v>
      </c>
      <c r="B316">
        <v>2010</v>
      </c>
      <c r="C316" t="s">
        <v>60</v>
      </c>
      <c r="D316">
        <v>0.54</v>
      </c>
    </row>
    <row r="317" spans="1:4" x14ac:dyDescent="0.45">
      <c r="A317" t="s">
        <v>55</v>
      </c>
      <c r="B317">
        <v>2011</v>
      </c>
      <c r="C317" t="s">
        <v>60</v>
      </c>
      <c r="D317">
        <v>0.14000000000000001</v>
      </c>
    </row>
    <row r="318" spans="1:4" x14ac:dyDescent="0.45">
      <c r="A318" t="s">
        <v>5</v>
      </c>
      <c r="B318">
        <v>2011</v>
      </c>
      <c r="C318" t="s">
        <v>60</v>
      </c>
      <c r="D318">
        <v>1</v>
      </c>
    </row>
    <row r="319" spans="1:4" x14ac:dyDescent="0.45">
      <c r="A319" t="s">
        <v>8</v>
      </c>
      <c r="B319">
        <v>2011</v>
      </c>
      <c r="C319" t="s">
        <v>60</v>
      </c>
      <c r="D319">
        <v>1.72</v>
      </c>
    </row>
    <row r="320" spans="1:4" x14ac:dyDescent="0.45">
      <c r="A320" t="s">
        <v>6</v>
      </c>
      <c r="B320">
        <v>2011</v>
      </c>
      <c r="C320" t="s">
        <v>60</v>
      </c>
      <c r="D320">
        <v>5.41</v>
      </c>
    </row>
    <row r="321" spans="1:4" x14ac:dyDescent="0.45">
      <c r="A321" t="s">
        <v>19</v>
      </c>
      <c r="B321">
        <v>2011</v>
      </c>
      <c r="C321" t="s">
        <v>60</v>
      </c>
    </row>
    <row r="322" spans="1:4" x14ac:dyDescent="0.45">
      <c r="A322" t="s">
        <v>23</v>
      </c>
      <c r="B322">
        <v>2011</v>
      </c>
      <c r="C322" t="s">
        <v>60</v>
      </c>
    </row>
    <row r="323" spans="1:4" x14ac:dyDescent="0.45">
      <c r="A323" t="s">
        <v>55</v>
      </c>
      <c r="B323">
        <v>2011</v>
      </c>
      <c r="C323" t="s">
        <v>60</v>
      </c>
      <c r="D323">
        <v>0.74</v>
      </c>
    </row>
    <row r="324" spans="1:4" x14ac:dyDescent="0.45">
      <c r="A324" t="s">
        <v>9</v>
      </c>
      <c r="B324">
        <v>2011</v>
      </c>
      <c r="C324" t="s">
        <v>60</v>
      </c>
      <c r="D324">
        <v>0</v>
      </c>
    </row>
    <row r="325" spans="1:4" x14ac:dyDescent="0.45">
      <c r="A325" t="s">
        <v>88</v>
      </c>
      <c r="B325">
        <v>2011</v>
      </c>
      <c r="C325" t="s">
        <v>60</v>
      </c>
      <c r="D325">
        <v>0.62</v>
      </c>
    </row>
    <row r="326" spans="1:4" x14ac:dyDescent="0.45">
      <c r="A326" t="s">
        <v>55</v>
      </c>
      <c r="B326">
        <v>2012</v>
      </c>
      <c r="C326" t="s">
        <v>60</v>
      </c>
      <c r="D326">
        <v>0.14000000000000001</v>
      </c>
    </row>
    <row r="327" spans="1:4" x14ac:dyDescent="0.45">
      <c r="A327" t="s">
        <v>5</v>
      </c>
      <c r="B327">
        <v>2012</v>
      </c>
      <c r="C327" t="s">
        <v>60</v>
      </c>
      <c r="D327">
        <v>0.75</v>
      </c>
    </row>
    <row r="328" spans="1:4" x14ac:dyDescent="0.45">
      <c r="A328" t="s">
        <v>8</v>
      </c>
      <c r="B328">
        <v>2012</v>
      </c>
      <c r="C328" t="s">
        <v>60</v>
      </c>
      <c r="D328">
        <v>1.72</v>
      </c>
    </row>
    <row r="329" spans="1:4" x14ac:dyDescent="0.45">
      <c r="A329" t="s">
        <v>6</v>
      </c>
      <c r="B329">
        <v>2012</v>
      </c>
      <c r="C329" t="s">
        <v>60</v>
      </c>
      <c r="D329">
        <v>5.42</v>
      </c>
    </row>
    <row r="330" spans="1:4" x14ac:dyDescent="0.45">
      <c r="A330" t="s">
        <v>19</v>
      </c>
      <c r="B330">
        <v>2012</v>
      </c>
      <c r="C330" t="s">
        <v>60</v>
      </c>
    </row>
    <row r="331" spans="1:4" x14ac:dyDescent="0.45">
      <c r="A331" t="s">
        <v>23</v>
      </c>
      <c r="B331">
        <v>2012</v>
      </c>
      <c r="C331" t="s">
        <v>60</v>
      </c>
    </row>
    <row r="332" spans="1:4" x14ac:dyDescent="0.45">
      <c r="A332" t="s">
        <v>55</v>
      </c>
      <c r="B332">
        <v>2012</v>
      </c>
      <c r="C332" t="s">
        <v>60</v>
      </c>
      <c r="D332">
        <v>0.77</v>
      </c>
    </row>
    <row r="333" spans="1:4" x14ac:dyDescent="0.45">
      <c r="A333" t="s">
        <v>9</v>
      </c>
      <c r="B333">
        <v>2012</v>
      </c>
      <c r="C333" t="s">
        <v>60</v>
      </c>
      <c r="D333">
        <v>0</v>
      </c>
    </row>
    <row r="334" spans="1:4" x14ac:dyDescent="0.45">
      <c r="A334" t="s">
        <v>88</v>
      </c>
      <c r="B334">
        <v>2012</v>
      </c>
      <c r="C334" t="s">
        <v>60</v>
      </c>
      <c r="D334">
        <v>0.62</v>
      </c>
    </row>
    <row r="335" spans="1:4" x14ac:dyDescent="0.45">
      <c r="A335" t="s">
        <v>55</v>
      </c>
      <c r="B335">
        <v>2013</v>
      </c>
      <c r="C335" t="s">
        <v>60</v>
      </c>
      <c r="D335">
        <v>0.14000000000000001</v>
      </c>
    </row>
    <row r="336" spans="1:4" x14ac:dyDescent="0.45">
      <c r="A336" t="s">
        <v>5</v>
      </c>
      <c r="B336">
        <v>2013</v>
      </c>
      <c r="C336" t="s">
        <v>60</v>
      </c>
      <c r="D336">
        <v>0.5</v>
      </c>
    </row>
    <row r="337" spans="1:4" x14ac:dyDescent="0.45">
      <c r="A337" t="s">
        <v>8</v>
      </c>
      <c r="B337">
        <v>2013</v>
      </c>
      <c r="C337" t="s">
        <v>60</v>
      </c>
      <c r="D337">
        <v>1.82</v>
      </c>
    </row>
    <row r="338" spans="1:4" x14ac:dyDescent="0.45">
      <c r="A338" t="s">
        <v>6</v>
      </c>
      <c r="B338">
        <v>2013</v>
      </c>
      <c r="C338" t="s">
        <v>60</v>
      </c>
      <c r="D338">
        <v>5.44</v>
      </c>
    </row>
    <row r="339" spans="1:4" x14ac:dyDescent="0.45">
      <c r="A339" t="s">
        <v>19</v>
      </c>
      <c r="B339">
        <v>2013</v>
      </c>
      <c r="C339" t="s">
        <v>60</v>
      </c>
    </row>
    <row r="340" spans="1:4" x14ac:dyDescent="0.45">
      <c r="A340" t="s">
        <v>23</v>
      </c>
      <c r="B340">
        <v>2013</v>
      </c>
      <c r="C340" t="s">
        <v>60</v>
      </c>
    </row>
    <row r="341" spans="1:4" x14ac:dyDescent="0.45">
      <c r="A341" t="s">
        <v>55</v>
      </c>
      <c r="B341">
        <v>2013</v>
      </c>
      <c r="C341" t="s">
        <v>60</v>
      </c>
      <c r="D341">
        <v>0.84</v>
      </c>
    </row>
    <row r="342" spans="1:4" x14ac:dyDescent="0.45">
      <c r="A342" t="s">
        <v>9</v>
      </c>
      <c r="B342">
        <v>2013</v>
      </c>
      <c r="C342" t="s">
        <v>60</v>
      </c>
      <c r="D342">
        <v>0.01</v>
      </c>
    </row>
    <row r="343" spans="1:4" x14ac:dyDescent="0.45">
      <c r="A343" t="s">
        <v>88</v>
      </c>
      <c r="B343">
        <v>2013</v>
      </c>
      <c r="C343" t="s">
        <v>60</v>
      </c>
      <c r="D343">
        <v>0.62</v>
      </c>
    </row>
    <row r="344" spans="1:4" x14ac:dyDescent="0.45">
      <c r="A344" t="s">
        <v>55</v>
      </c>
      <c r="B344">
        <v>2014</v>
      </c>
      <c r="C344" t="s">
        <v>60</v>
      </c>
      <c r="D344">
        <v>0.15</v>
      </c>
    </row>
    <row r="345" spans="1:4" x14ac:dyDescent="0.45">
      <c r="A345" t="s">
        <v>5</v>
      </c>
      <c r="B345">
        <v>2014</v>
      </c>
      <c r="C345" t="s">
        <v>60</v>
      </c>
      <c r="D345">
        <v>0.5</v>
      </c>
    </row>
    <row r="346" spans="1:4" x14ac:dyDescent="0.45">
      <c r="A346" t="s">
        <v>8</v>
      </c>
      <c r="B346">
        <v>2014</v>
      </c>
      <c r="C346" t="s">
        <v>60</v>
      </c>
      <c r="D346">
        <v>1.82</v>
      </c>
    </row>
    <row r="347" spans="1:4" x14ac:dyDescent="0.45">
      <c r="A347" t="s">
        <v>6</v>
      </c>
      <c r="B347">
        <v>2014</v>
      </c>
      <c r="C347" t="s">
        <v>60</v>
      </c>
      <c r="D347">
        <v>5.43</v>
      </c>
    </row>
    <row r="348" spans="1:4" x14ac:dyDescent="0.45">
      <c r="A348" t="s">
        <v>19</v>
      </c>
      <c r="B348">
        <v>2014</v>
      </c>
      <c r="C348" t="s">
        <v>60</v>
      </c>
    </row>
    <row r="349" spans="1:4" x14ac:dyDescent="0.45">
      <c r="A349" t="s">
        <v>23</v>
      </c>
      <c r="B349">
        <v>2014</v>
      </c>
      <c r="C349" t="s">
        <v>60</v>
      </c>
    </row>
    <row r="350" spans="1:4" x14ac:dyDescent="0.45">
      <c r="A350" t="s">
        <v>55</v>
      </c>
      <c r="B350">
        <v>2014</v>
      </c>
      <c r="C350" t="s">
        <v>60</v>
      </c>
      <c r="D350">
        <v>0.97</v>
      </c>
    </row>
    <row r="351" spans="1:4" x14ac:dyDescent="0.45">
      <c r="A351" t="s">
        <v>9</v>
      </c>
      <c r="B351">
        <v>2014</v>
      </c>
      <c r="C351" t="s">
        <v>60</v>
      </c>
      <c r="D351">
        <v>0.02</v>
      </c>
    </row>
    <row r="352" spans="1:4" x14ac:dyDescent="0.45">
      <c r="A352" t="s">
        <v>88</v>
      </c>
      <c r="B352">
        <v>2014</v>
      </c>
      <c r="C352" t="s">
        <v>60</v>
      </c>
      <c r="D352">
        <v>0.68</v>
      </c>
    </row>
    <row r="353" spans="1:4" x14ac:dyDescent="0.45">
      <c r="A353" t="s">
        <v>55</v>
      </c>
      <c r="B353">
        <v>2015</v>
      </c>
      <c r="C353" t="s">
        <v>60</v>
      </c>
      <c r="D353">
        <v>0.15</v>
      </c>
    </row>
    <row r="354" spans="1:4" x14ac:dyDescent="0.45">
      <c r="A354" t="s">
        <v>5</v>
      </c>
      <c r="B354">
        <v>2015</v>
      </c>
      <c r="C354" t="s">
        <v>60</v>
      </c>
      <c r="D354">
        <v>0.5</v>
      </c>
    </row>
    <row r="355" spans="1:4" x14ac:dyDescent="0.45">
      <c r="A355" t="s">
        <v>8</v>
      </c>
      <c r="B355">
        <v>2015</v>
      </c>
      <c r="C355" t="s">
        <v>60</v>
      </c>
      <c r="D355">
        <v>1.82</v>
      </c>
    </row>
    <row r="356" spans="1:4" x14ac:dyDescent="0.45">
      <c r="A356" t="s">
        <v>6</v>
      </c>
      <c r="B356">
        <v>2015</v>
      </c>
      <c r="C356" t="s">
        <v>60</v>
      </c>
      <c r="D356">
        <v>5.43</v>
      </c>
    </row>
    <row r="357" spans="1:4" x14ac:dyDescent="0.45">
      <c r="A357" t="s">
        <v>19</v>
      </c>
      <c r="B357">
        <v>2015</v>
      </c>
      <c r="C357" t="s">
        <v>60</v>
      </c>
    </row>
    <row r="358" spans="1:4" x14ac:dyDescent="0.45">
      <c r="A358" t="s">
        <v>23</v>
      </c>
      <c r="B358">
        <v>2015</v>
      </c>
      <c r="C358" t="s">
        <v>60</v>
      </c>
    </row>
    <row r="359" spans="1:4" x14ac:dyDescent="0.45">
      <c r="A359" t="s">
        <v>55</v>
      </c>
      <c r="B359">
        <v>2015</v>
      </c>
      <c r="C359" t="s">
        <v>60</v>
      </c>
      <c r="D359">
        <v>0.99</v>
      </c>
    </row>
    <row r="360" spans="1:4" x14ac:dyDescent="0.45">
      <c r="A360" t="s">
        <v>9</v>
      </c>
      <c r="B360">
        <v>2015</v>
      </c>
      <c r="C360" t="s">
        <v>60</v>
      </c>
      <c r="D360">
        <v>0.04</v>
      </c>
    </row>
    <row r="361" spans="1:4" x14ac:dyDescent="0.45">
      <c r="A361" t="s">
        <v>88</v>
      </c>
      <c r="B361">
        <v>2015</v>
      </c>
      <c r="C361" t="s">
        <v>60</v>
      </c>
      <c r="D361">
        <v>0.69</v>
      </c>
    </row>
    <row r="362" spans="1:4" x14ac:dyDescent="0.45">
      <c r="A362" t="s">
        <v>55</v>
      </c>
      <c r="B362">
        <v>2016</v>
      </c>
      <c r="C362" t="s">
        <v>60</v>
      </c>
      <c r="D362">
        <v>0.15</v>
      </c>
    </row>
    <row r="363" spans="1:4" x14ac:dyDescent="0.45">
      <c r="A363" t="s">
        <v>5</v>
      </c>
      <c r="B363">
        <v>2016</v>
      </c>
      <c r="C363" t="s">
        <v>60</v>
      </c>
      <c r="D363">
        <v>0.5</v>
      </c>
    </row>
    <row r="364" spans="1:4" x14ac:dyDescent="0.45">
      <c r="A364" t="s">
        <v>8</v>
      </c>
      <c r="B364">
        <v>2016</v>
      </c>
      <c r="C364" t="s">
        <v>60</v>
      </c>
      <c r="D364">
        <v>1.82</v>
      </c>
    </row>
    <row r="365" spans="1:4" x14ac:dyDescent="0.45">
      <c r="A365" t="s">
        <v>6</v>
      </c>
      <c r="B365">
        <v>2016</v>
      </c>
      <c r="C365" t="s">
        <v>60</v>
      </c>
      <c r="D365">
        <v>5.43</v>
      </c>
    </row>
    <row r="366" spans="1:4" x14ac:dyDescent="0.45">
      <c r="A366" t="s">
        <v>19</v>
      </c>
      <c r="B366">
        <v>2016</v>
      </c>
      <c r="C366" t="s">
        <v>60</v>
      </c>
    </row>
    <row r="367" spans="1:4" x14ac:dyDescent="0.45">
      <c r="A367" t="s">
        <v>23</v>
      </c>
      <c r="B367">
        <v>2016</v>
      </c>
      <c r="C367" t="s">
        <v>60</v>
      </c>
    </row>
    <row r="368" spans="1:4" x14ac:dyDescent="0.45">
      <c r="A368" t="s">
        <v>55</v>
      </c>
      <c r="B368">
        <v>2016</v>
      </c>
      <c r="C368" t="s">
        <v>60</v>
      </c>
      <c r="D368">
        <v>0.99</v>
      </c>
    </row>
    <row r="369" spans="1:4" x14ac:dyDescent="0.45">
      <c r="A369" t="s">
        <v>9</v>
      </c>
      <c r="B369">
        <v>2016</v>
      </c>
      <c r="C369" t="s">
        <v>60</v>
      </c>
      <c r="D369">
        <v>0.05</v>
      </c>
    </row>
    <row r="370" spans="1:4" x14ac:dyDescent="0.45">
      <c r="A370" t="s">
        <v>88</v>
      </c>
      <c r="B370">
        <v>2016</v>
      </c>
      <c r="C370" t="s">
        <v>60</v>
      </c>
      <c r="D370">
        <v>0.69</v>
      </c>
    </row>
    <row r="371" spans="1:4" x14ac:dyDescent="0.45">
      <c r="A371" t="s">
        <v>55</v>
      </c>
      <c r="B371">
        <v>2017</v>
      </c>
      <c r="C371" t="s">
        <v>60</v>
      </c>
      <c r="D371">
        <v>0.15</v>
      </c>
    </row>
    <row r="372" spans="1:4" x14ac:dyDescent="0.45">
      <c r="A372" t="s">
        <v>5</v>
      </c>
      <c r="B372">
        <v>2017</v>
      </c>
      <c r="C372" t="s">
        <v>60</v>
      </c>
      <c r="D372">
        <v>0.5</v>
      </c>
    </row>
    <row r="373" spans="1:4" x14ac:dyDescent="0.45">
      <c r="A373" t="s">
        <v>8</v>
      </c>
      <c r="B373">
        <v>2017</v>
      </c>
      <c r="C373" t="s">
        <v>60</v>
      </c>
      <c r="D373">
        <v>1.82</v>
      </c>
    </row>
    <row r="374" spans="1:4" x14ac:dyDescent="0.45">
      <c r="A374" t="s">
        <v>6</v>
      </c>
      <c r="B374">
        <v>2017</v>
      </c>
      <c r="C374" t="s">
        <v>60</v>
      </c>
      <c r="D374">
        <v>5.43</v>
      </c>
    </row>
    <row r="375" spans="1:4" x14ac:dyDescent="0.45">
      <c r="A375" t="s">
        <v>19</v>
      </c>
      <c r="B375">
        <v>2017</v>
      </c>
      <c r="C375" t="s">
        <v>60</v>
      </c>
    </row>
    <row r="376" spans="1:4" x14ac:dyDescent="0.45">
      <c r="A376" t="s">
        <v>23</v>
      </c>
      <c r="B376">
        <v>2017</v>
      </c>
      <c r="C376" t="s">
        <v>60</v>
      </c>
    </row>
    <row r="377" spans="1:4" x14ac:dyDescent="0.45">
      <c r="A377" t="s">
        <v>55</v>
      </c>
      <c r="B377">
        <v>2017</v>
      </c>
      <c r="C377" t="s">
        <v>60</v>
      </c>
      <c r="D377">
        <v>0.99</v>
      </c>
    </row>
    <row r="378" spans="1:4" x14ac:dyDescent="0.45">
      <c r="A378" t="s">
        <v>9</v>
      </c>
      <c r="B378">
        <v>2017</v>
      </c>
      <c r="C378" t="s">
        <v>60</v>
      </c>
      <c r="D378">
        <v>7.0000000000000007E-2</v>
      </c>
    </row>
    <row r="379" spans="1:4" x14ac:dyDescent="0.45">
      <c r="A379" t="s">
        <v>88</v>
      </c>
      <c r="B379">
        <v>2017</v>
      </c>
      <c r="C379" t="s">
        <v>60</v>
      </c>
      <c r="D379">
        <v>0.69</v>
      </c>
    </row>
    <row r="380" spans="1:4" x14ac:dyDescent="0.45">
      <c r="A380" t="s">
        <v>55</v>
      </c>
      <c r="B380">
        <v>2018</v>
      </c>
      <c r="C380" t="s">
        <v>60</v>
      </c>
      <c r="D380">
        <v>0.15</v>
      </c>
    </row>
    <row r="381" spans="1:4" x14ac:dyDescent="0.45">
      <c r="A381" t="s">
        <v>5</v>
      </c>
      <c r="B381">
        <v>2018</v>
      </c>
      <c r="C381" t="s">
        <v>60</v>
      </c>
      <c r="D381">
        <v>0.5</v>
      </c>
    </row>
    <row r="382" spans="1:4" x14ac:dyDescent="0.45">
      <c r="A382" t="s">
        <v>8</v>
      </c>
      <c r="B382">
        <v>2018</v>
      </c>
      <c r="C382" t="s">
        <v>60</v>
      </c>
      <c r="D382">
        <v>1.82</v>
      </c>
    </row>
    <row r="383" spans="1:4" x14ac:dyDescent="0.45">
      <c r="A383" t="s">
        <v>6</v>
      </c>
      <c r="B383">
        <v>2018</v>
      </c>
      <c r="C383" t="s">
        <v>60</v>
      </c>
      <c r="D383">
        <v>5.43</v>
      </c>
    </row>
    <row r="384" spans="1:4" x14ac:dyDescent="0.45">
      <c r="A384" t="s">
        <v>19</v>
      </c>
      <c r="B384">
        <v>2018</v>
      </c>
      <c r="C384" t="s">
        <v>60</v>
      </c>
    </row>
    <row r="385" spans="1:4" x14ac:dyDescent="0.45">
      <c r="A385" t="s">
        <v>23</v>
      </c>
      <c r="B385">
        <v>2018</v>
      </c>
      <c r="C385" t="s">
        <v>60</v>
      </c>
    </row>
    <row r="386" spans="1:4" x14ac:dyDescent="0.45">
      <c r="A386" t="s">
        <v>55</v>
      </c>
      <c r="B386">
        <v>2018</v>
      </c>
      <c r="C386" t="s">
        <v>60</v>
      </c>
      <c r="D386">
        <v>1.01</v>
      </c>
    </row>
    <row r="387" spans="1:4" x14ac:dyDescent="0.45">
      <c r="A387" t="s">
        <v>9</v>
      </c>
      <c r="B387">
        <v>2018</v>
      </c>
      <c r="C387" t="s">
        <v>60</v>
      </c>
      <c r="D387">
        <v>0.09</v>
      </c>
    </row>
    <row r="388" spans="1:4" x14ac:dyDescent="0.45">
      <c r="A388" t="s">
        <v>88</v>
      </c>
      <c r="B388">
        <v>2018</v>
      </c>
      <c r="C388" t="s">
        <v>60</v>
      </c>
      <c r="D388">
        <v>0.69</v>
      </c>
    </row>
    <row r="389" spans="1:4" x14ac:dyDescent="0.45">
      <c r="A389" t="s">
        <v>55</v>
      </c>
      <c r="B389">
        <v>2019</v>
      </c>
      <c r="C389" t="s">
        <v>60</v>
      </c>
      <c r="D389">
        <v>0.15</v>
      </c>
    </row>
    <row r="390" spans="1:4" x14ac:dyDescent="0.45">
      <c r="A390" t="s">
        <v>5</v>
      </c>
      <c r="B390">
        <v>2019</v>
      </c>
      <c r="C390" t="s">
        <v>60</v>
      </c>
      <c r="D390">
        <v>0.5</v>
      </c>
    </row>
    <row r="391" spans="1:4" x14ac:dyDescent="0.45">
      <c r="A391" t="s">
        <v>8</v>
      </c>
      <c r="B391">
        <v>2019</v>
      </c>
      <c r="C391" t="s">
        <v>60</v>
      </c>
      <c r="D391">
        <v>1.82</v>
      </c>
    </row>
    <row r="392" spans="1:4" x14ac:dyDescent="0.45">
      <c r="A392" t="s">
        <v>6</v>
      </c>
      <c r="B392">
        <v>2019</v>
      </c>
      <c r="C392" t="s">
        <v>60</v>
      </c>
      <c r="D392">
        <v>5.44</v>
      </c>
    </row>
    <row r="393" spans="1:4" x14ac:dyDescent="0.45">
      <c r="A393" t="s">
        <v>19</v>
      </c>
      <c r="B393">
        <v>2019</v>
      </c>
      <c r="C393" t="s">
        <v>60</v>
      </c>
    </row>
    <row r="394" spans="1:4" x14ac:dyDescent="0.45">
      <c r="A394" t="s">
        <v>23</v>
      </c>
      <c r="B394">
        <v>2019</v>
      </c>
      <c r="C394" t="s">
        <v>60</v>
      </c>
    </row>
    <row r="395" spans="1:4" x14ac:dyDescent="0.45">
      <c r="A395" t="s">
        <v>55</v>
      </c>
      <c r="B395">
        <v>2019</v>
      </c>
      <c r="C395" t="s">
        <v>60</v>
      </c>
      <c r="D395">
        <v>1.01</v>
      </c>
    </row>
    <row r="396" spans="1:4" x14ac:dyDescent="0.45">
      <c r="A396" t="s">
        <v>9</v>
      </c>
      <c r="B396">
        <v>2019</v>
      </c>
      <c r="C396" t="s">
        <v>60</v>
      </c>
      <c r="D396">
        <v>0.12</v>
      </c>
    </row>
    <row r="397" spans="1:4" x14ac:dyDescent="0.45">
      <c r="A397" t="s">
        <v>88</v>
      </c>
      <c r="B397">
        <v>2019</v>
      </c>
      <c r="C397" t="s">
        <v>60</v>
      </c>
      <c r="D397">
        <v>0.69</v>
      </c>
    </row>
    <row r="398" spans="1:4" x14ac:dyDescent="0.45">
      <c r="A398" t="s">
        <v>55</v>
      </c>
      <c r="B398">
        <v>2020</v>
      </c>
      <c r="C398" t="s">
        <v>60</v>
      </c>
      <c r="D398">
        <v>0.14000000000000001</v>
      </c>
    </row>
    <row r="399" spans="1:4" x14ac:dyDescent="0.45">
      <c r="A399" t="s">
        <v>5</v>
      </c>
      <c r="B399">
        <v>2020</v>
      </c>
      <c r="C399" t="s">
        <v>60</v>
      </c>
      <c r="D399">
        <v>0.5</v>
      </c>
    </row>
    <row r="400" spans="1:4" x14ac:dyDescent="0.45">
      <c r="A400" t="s">
        <v>8</v>
      </c>
      <c r="B400">
        <v>2020</v>
      </c>
      <c r="C400" t="s">
        <v>60</v>
      </c>
      <c r="D400">
        <v>1.92</v>
      </c>
    </row>
    <row r="401" spans="1:4" x14ac:dyDescent="0.45">
      <c r="A401" t="s">
        <v>6</v>
      </c>
      <c r="B401">
        <v>2020</v>
      </c>
      <c r="C401" t="s">
        <v>60</v>
      </c>
      <c r="D401">
        <v>5.44</v>
      </c>
    </row>
    <row r="402" spans="1:4" x14ac:dyDescent="0.45">
      <c r="A402" t="s">
        <v>19</v>
      </c>
      <c r="B402">
        <v>2020</v>
      </c>
      <c r="C402" t="s">
        <v>60</v>
      </c>
    </row>
    <row r="403" spans="1:4" x14ac:dyDescent="0.45">
      <c r="A403" t="s">
        <v>23</v>
      </c>
      <c r="B403">
        <v>2020</v>
      </c>
      <c r="C403" t="s">
        <v>60</v>
      </c>
    </row>
    <row r="404" spans="1:4" x14ac:dyDescent="0.45">
      <c r="A404" t="s">
        <v>55</v>
      </c>
      <c r="B404">
        <v>2020</v>
      </c>
      <c r="C404" t="s">
        <v>60</v>
      </c>
      <c r="D404">
        <v>1.04</v>
      </c>
    </row>
    <row r="405" spans="1:4" x14ac:dyDescent="0.45">
      <c r="A405" t="s">
        <v>9</v>
      </c>
      <c r="B405">
        <v>2020</v>
      </c>
      <c r="C405" t="s">
        <v>60</v>
      </c>
      <c r="D405">
        <v>0.14000000000000001</v>
      </c>
    </row>
    <row r="406" spans="1:4" x14ac:dyDescent="0.45">
      <c r="A406" t="s">
        <v>88</v>
      </c>
      <c r="B406">
        <v>2020</v>
      </c>
      <c r="C406" t="s">
        <v>60</v>
      </c>
      <c r="D406">
        <v>0.69</v>
      </c>
    </row>
    <row r="407" spans="1:4" x14ac:dyDescent="0.45">
      <c r="A407" t="s">
        <v>55</v>
      </c>
      <c r="B407">
        <v>2021</v>
      </c>
      <c r="C407" t="s">
        <v>60</v>
      </c>
      <c r="D407">
        <v>0.14000000000000001</v>
      </c>
    </row>
    <row r="408" spans="1:4" x14ac:dyDescent="0.45">
      <c r="A408" t="s">
        <v>5</v>
      </c>
      <c r="B408">
        <v>2021</v>
      </c>
      <c r="C408" t="s">
        <v>60</v>
      </c>
      <c r="D408">
        <v>0.5</v>
      </c>
    </row>
    <row r="409" spans="1:4" x14ac:dyDescent="0.45">
      <c r="A409" t="s">
        <v>8</v>
      </c>
      <c r="B409">
        <v>2021</v>
      </c>
      <c r="C409" t="s">
        <v>60</v>
      </c>
      <c r="D409">
        <v>1.92</v>
      </c>
    </row>
    <row r="410" spans="1:4" x14ac:dyDescent="0.45">
      <c r="A410" t="s">
        <v>6</v>
      </c>
      <c r="B410">
        <v>2021</v>
      </c>
      <c r="C410" t="s">
        <v>60</v>
      </c>
      <c r="D410">
        <v>5.44</v>
      </c>
    </row>
    <row r="411" spans="1:4" x14ac:dyDescent="0.45">
      <c r="A411" t="s">
        <v>19</v>
      </c>
      <c r="B411">
        <v>2021</v>
      </c>
      <c r="C411" t="s">
        <v>60</v>
      </c>
    </row>
    <row r="412" spans="1:4" x14ac:dyDescent="0.45">
      <c r="A412" t="s">
        <v>23</v>
      </c>
      <c r="B412">
        <v>2021</v>
      </c>
      <c r="C412" t="s">
        <v>60</v>
      </c>
    </row>
    <row r="413" spans="1:4" x14ac:dyDescent="0.45">
      <c r="A413" t="s">
        <v>55</v>
      </c>
      <c r="B413">
        <v>2021</v>
      </c>
      <c r="C413" t="s">
        <v>60</v>
      </c>
      <c r="D413">
        <v>1.04</v>
      </c>
    </row>
    <row r="414" spans="1:4" x14ac:dyDescent="0.45">
      <c r="A414" t="s">
        <v>9</v>
      </c>
      <c r="B414">
        <v>2021</v>
      </c>
      <c r="C414" t="s">
        <v>60</v>
      </c>
      <c r="D414">
        <v>0.19</v>
      </c>
    </row>
    <row r="415" spans="1:4" x14ac:dyDescent="0.45">
      <c r="A415" t="s">
        <v>88</v>
      </c>
      <c r="B415">
        <v>2021</v>
      </c>
      <c r="C415" t="s">
        <v>60</v>
      </c>
      <c r="D415">
        <v>0.91</v>
      </c>
    </row>
    <row r="416" spans="1:4" x14ac:dyDescent="0.45">
      <c r="A416" t="s">
        <v>55</v>
      </c>
      <c r="B416">
        <v>2022</v>
      </c>
      <c r="C416" t="s">
        <v>60</v>
      </c>
      <c r="D416">
        <v>0.14000000000000001</v>
      </c>
    </row>
    <row r="417" spans="1:4" x14ac:dyDescent="0.45">
      <c r="A417" t="s">
        <v>5</v>
      </c>
      <c r="B417">
        <v>2022</v>
      </c>
      <c r="C417" t="s">
        <v>60</v>
      </c>
      <c r="D417">
        <v>0.5</v>
      </c>
    </row>
    <row r="418" spans="1:4" x14ac:dyDescent="0.45">
      <c r="A418" t="s">
        <v>8</v>
      </c>
      <c r="B418">
        <v>2022</v>
      </c>
      <c r="C418" t="s">
        <v>60</v>
      </c>
      <c r="D418">
        <v>1.92</v>
      </c>
    </row>
    <row r="419" spans="1:4" x14ac:dyDescent="0.45">
      <c r="A419" t="s">
        <v>6</v>
      </c>
      <c r="B419">
        <v>2022</v>
      </c>
      <c r="C419" t="s">
        <v>60</v>
      </c>
      <c r="D419">
        <v>5.68</v>
      </c>
    </row>
    <row r="420" spans="1:4" x14ac:dyDescent="0.45">
      <c r="A420" t="s">
        <v>19</v>
      </c>
      <c r="B420">
        <v>2022</v>
      </c>
      <c r="C420" t="s">
        <v>60</v>
      </c>
    </row>
    <row r="421" spans="1:4" x14ac:dyDescent="0.45">
      <c r="A421" t="s">
        <v>23</v>
      </c>
      <c r="B421">
        <v>2022</v>
      </c>
      <c r="C421" t="s">
        <v>60</v>
      </c>
    </row>
    <row r="422" spans="1:4" x14ac:dyDescent="0.45">
      <c r="A422" t="s">
        <v>55</v>
      </c>
      <c r="B422">
        <v>2022</v>
      </c>
      <c r="C422" t="s">
        <v>60</v>
      </c>
      <c r="D422">
        <v>1.05</v>
      </c>
    </row>
    <row r="423" spans="1:4" x14ac:dyDescent="0.45">
      <c r="A423" t="s">
        <v>9</v>
      </c>
      <c r="B423">
        <v>2022</v>
      </c>
      <c r="C423" t="s">
        <v>60</v>
      </c>
      <c r="D423">
        <v>0.27</v>
      </c>
    </row>
    <row r="424" spans="1:4" x14ac:dyDescent="0.45">
      <c r="A424" t="s">
        <v>88</v>
      </c>
      <c r="B424">
        <v>2022</v>
      </c>
      <c r="C424" t="s">
        <v>60</v>
      </c>
      <c r="D424">
        <v>0.99</v>
      </c>
    </row>
    <row r="425" spans="1:4" x14ac:dyDescent="0.45">
      <c r="A425" t="s">
        <v>55</v>
      </c>
      <c r="B425">
        <v>2023</v>
      </c>
      <c r="C425" t="s">
        <v>60</v>
      </c>
      <c r="D425">
        <v>0.14000000000000001</v>
      </c>
    </row>
    <row r="426" spans="1:4" x14ac:dyDescent="0.45">
      <c r="A426" t="s">
        <v>5</v>
      </c>
      <c r="B426">
        <v>2023</v>
      </c>
      <c r="C426" t="s">
        <v>60</v>
      </c>
      <c r="D426">
        <v>0.5</v>
      </c>
    </row>
    <row r="427" spans="1:4" x14ac:dyDescent="0.45">
      <c r="A427" t="s">
        <v>8</v>
      </c>
      <c r="B427">
        <v>2023</v>
      </c>
      <c r="C427" t="s">
        <v>60</v>
      </c>
      <c r="D427">
        <v>1.92</v>
      </c>
    </row>
    <row r="428" spans="1:4" x14ac:dyDescent="0.45">
      <c r="A428" t="s">
        <v>6</v>
      </c>
      <c r="B428">
        <v>2023</v>
      </c>
      <c r="C428" t="s">
        <v>60</v>
      </c>
      <c r="D428">
        <v>5.68</v>
      </c>
    </row>
    <row r="429" spans="1:4" x14ac:dyDescent="0.45">
      <c r="A429" t="s">
        <v>19</v>
      </c>
      <c r="B429">
        <v>2023</v>
      </c>
      <c r="C429" t="s">
        <v>60</v>
      </c>
    </row>
    <row r="430" spans="1:4" x14ac:dyDescent="0.45">
      <c r="A430" t="s">
        <v>23</v>
      </c>
      <c r="B430">
        <v>2023</v>
      </c>
      <c r="C430" t="s">
        <v>60</v>
      </c>
    </row>
    <row r="431" spans="1:4" x14ac:dyDescent="0.45">
      <c r="A431" t="s">
        <v>55</v>
      </c>
      <c r="B431">
        <v>2023</v>
      </c>
      <c r="C431" t="s">
        <v>60</v>
      </c>
      <c r="D431">
        <v>1.05</v>
      </c>
    </row>
    <row r="432" spans="1:4" x14ac:dyDescent="0.45">
      <c r="A432" t="s">
        <v>9</v>
      </c>
      <c r="B432">
        <v>2023</v>
      </c>
      <c r="C432" t="s">
        <v>60</v>
      </c>
      <c r="D432">
        <v>0.37</v>
      </c>
    </row>
    <row r="433" spans="1:4" x14ac:dyDescent="0.45">
      <c r="A433" t="s">
        <v>88</v>
      </c>
      <c r="B433">
        <v>2023</v>
      </c>
      <c r="C433" t="s">
        <v>60</v>
      </c>
      <c r="D433">
        <v>1.06</v>
      </c>
    </row>
    <row r="434" spans="1:4" x14ac:dyDescent="0.45">
      <c r="A434" t="s">
        <v>55</v>
      </c>
      <c r="B434">
        <v>2000</v>
      </c>
      <c r="C434" t="s">
        <v>61</v>
      </c>
      <c r="D434">
        <v>0.18</v>
      </c>
    </row>
    <row r="435" spans="1:4" x14ac:dyDescent="0.45">
      <c r="A435" t="s">
        <v>5</v>
      </c>
      <c r="B435">
        <v>2000</v>
      </c>
      <c r="C435" t="s">
        <v>61</v>
      </c>
      <c r="D435">
        <v>0.89</v>
      </c>
    </row>
    <row r="436" spans="1:4" x14ac:dyDescent="0.45">
      <c r="A436" t="s">
        <v>8</v>
      </c>
      <c r="B436">
        <v>2000</v>
      </c>
      <c r="C436" t="s">
        <v>61</v>
      </c>
      <c r="D436">
        <v>5.09</v>
      </c>
    </row>
    <row r="437" spans="1:4" x14ac:dyDescent="0.45">
      <c r="A437" t="s">
        <v>6</v>
      </c>
      <c r="B437">
        <v>2000</v>
      </c>
      <c r="C437" t="s">
        <v>61</v>
      </c>
      <c r="D437">
        <v>0.56999999999999995</v>
      </c>
    </row>
    <row r="438" spans="1:4" x14ac:dyDescent="0.45">
      <c r="A438" t="s">
        <v>19</v>
      </c>
      <c r="B438">
        <v>2000</v>
      </c>
      <c r="C438" t="s">
        <v>61</v>
      </c>
      <c r="D438">
        <v>0</v>
      </c>
    </row>
    <row r="439" spans="1:4" x14ac:dyDescent="0.45">
      <c r="A439" t="s">
        <v>23</v>
      </c>
      <c r="B439">
        <v>2000</v>
      </c>
      <c r="C439" t="s">
        <v>61</v>
      </c>
      <c r="D439">
        <v>0.36</v>
      </c>
    </row>
    <row r="440" spans="1:4" x14ac:dyDescent="0.45">
      <c r="A440" t="s">
        <v>55</v>
      </c>
      <c r="B440">
        <v>2000</v>
      </c>
      <c r="C440" t="s">
        <v>61</v>
      </c>
      <c r="D440">
        <v>0.1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88</v>
      </c>
      <c r="B442">
        <v>2000</v>
      </c>
      <c r="C442" t="s">
        <v>61</v>
      </c>
      <c r="D442">
        <v>0</v>
      </c>
    </row>
    <row r="443" spans="1:4" x14ac:dyDescent="0.45">
      <c r="A443" t="s">
        <v>55</v>
      </c>
      <c r="B443">
        <v>2001</v>
      </c>
      <c r="C443" t="s">
        <v>61</v>
      </c>
      <c r="D443">
        <v>0.16</v>
      </c>
    </row>
    <row r="444" spans="1:4" x14ac:dyDescent="0.45">
      <c r="A444" t="s">
        <v>5</v>
      </c>
      <c r="B444">
        <v>2001</v>
      </c>
      <c r="C444" t="s">
        <v>61</v>
      </c>
      <c r="D444">
        <v>1.36</v>
      </c>
    </row>
    <row r="445" spans="1:4" x14ac:dyDescent="0.45">
      <c r="A445" t="s">
        <v>8</v>
      </c>
      <c r="B445">
        <v>2001</v>
      </c>
      <c r="C445" t="s">
        <v>61</v>
      </c>
      <c r="D445">
        <v>6.55</v>
      </c>
    </row>
    <row r="446" spans="1:4" x14ac:dyDescent="0.45">
      <c r="A446" t="s">
        <v>6</v>
      </c>
      <c r="B446">
        <v>2001</v>
      </c>
      <c r="C446" t="s">
        <v>61</v>
      </c>
      <c r="D446">
        <v>0.51</v>
      </c>
    </row>
    <row r="447" spans="1:4" x14ac:dyDescent="0.45">
      <c r="A447" t="s">
        <v>19</v>
      </c>
      <c r="B447">
        <v>2001</v>
      </c>
      <c r="C447" t="s">
        <v>61</v>
      </c>
      <c r="D447">
        <v>0</v>
      </c>
    </row>
    <row r="448" spans="1:4" x14ac:dyDescent="0.45">
      <c r="A448" t="s">
        <v>23</v>
      </c>
      <c r="B448">
        <v>2001</v>
      </c>
      <c r="C448" t="s">
        <v>61</v>
      </c>
      <c r="D448">
        <v>0.39</v>
      </c>
    </row>
    <row r="449" spans="1:4" x14ac:dyDescent="0.45">
      <c r="A449" t="s">
        <v>55</v>
      </c>
      <c r="B449">
        <v>2001</v>
      </c>
      <c r="C449" t="s">
        <v>61</v>
      </c>
      <c r="D449">
        <v>0.1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88</v>
      </c>
      <c r="B451">
        <v>2001</v>
      </c>
      <c r="C451" t="s">
        <v>61</v>
      </c>
      <c r="D451">
        <v>0</v>
      </c>
    </row>
    <row r="452" spans="1:4" x14ac:dyDescent="0.45">
      <c r="A452" t="s">
        <v>55</v>
      </c>
      <c r="B452">
        <v>2002</v>
      </c>
      <c r="C452" t="s">
        <v>61</v>
      </c>
      <c r="D452">
        <v>0.13</v>
      </c>
    </row>
    <row r="453" spans="1:4" x14ac:dyDescent="0.45">
      <c r="A453" t="s">
        <v>5</v>
      </c>
      <c r="B453">
        <v>2002</v>
      </c>
      <c r="C453" t="s">
        <v>61</v>
      </c>
      <c r="D453">
        <v>1.33</v>
      </c>
    </row>
    <row r="454" spans="1:4" x14ac:dyDescent="0.45">
      <c r="A454" t="s">
        <v>8</v>
      </c>
      <c r="B454">
        <v>2002</v>
      </c>
      <c r="C454" t="s">
        <v>61</v>
      </c>
      <c r="D454">
        <v>5.46</v>
      </c>
    </row>
    <row r="455" spans="1:4" x14ac:dyDescent="0.45">
      <c r="A455" t="s">
        <v>6</v>
      </c>
      <c r="B455">
        <v>2002</v>
      </c>
      <c r="C455" t="s">
        <v>61</v>
      </c>
      <c r="D455">
        <v>0.57999999999999996</v>
      </c>
    </row>
    <row r="456" spans="1:4" x14ac:dyDescent="0.45">
      <c r="A456" t="s">
        <v>19</v>
      </c>
      <c r="B456">
        <v>2002</v>
      </c>
      <c r="C456" t="s">
        <v>61</v>
      </c>
      <c r="D456">
        <v>0</v>
      </c>
    </row>
    <row r="457" spans="1:4" x14ac:dyDescent="0.45">
      <c r="A457" t="s">
        <v>23</v>
      </c>
      <c r="B457">
        <v>2002</v>
      </c>
      <c r="C457" t="s">
        <v>61</v>
      </c>
      <c r="D457">
        <v>0.37</v>
      </c>
    </row>
    <row r="458" spans="1:4" x14ac:dyDescent="0.45">
      <c r="A458" t="s">
        <v>55</v>
      </c>
      <c r="B458">
        <v>2002</v>
      </c>
      <c r="C458" t="s">
        <v>61</v>
      </c>
      <c r="D458">
        <v>0.1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88</v>
      </c>
      <c r="B460">
        <v>2002</v>
      </c>
      <c r="C460" t="s">
        <v>61</v>
      </c>
      <c r="D460">
        <v>0</v>
      </c>
    </row>
    <row r="461" spans="1:4" x14ac:dyDescent="0.45">
      <c r="A461" t="s">
        <v>55</v>
      </c>
      <c r="B461">
        <v>2003</v>
      </c>
      <c r="C461" t="s">
        <v>61</v>
      </c>
      <c r="D461">
        <v>0.12</v>
      </c>
    </row>
    <row r="462" spans="1:4" x14ac:dyDescent="0.45">
      <c r="A462" t="s">
        <v>5</v>
      </c>
      <c r="B462">
        <v>2003</v>
      </c>
      <c r="C462" t="s">
        <v>61</v>
      </c>
      <c r="D462">
        <v>2.92</v>
      </c>
    </row>
    <row r="463" spans="1:4" x14ac:dyDescent="0.45">
      <c r="A463" t="s">
        <v>8</v>
      </c>
      <c r="B463">
        <v>2003</v>
      </c>
      <c r="C463" t="s">
        <v>61</v>
      </c>
      <c r="D463">
        <v>5.23</v>
      </c>
    </row>
    <row r="464" spans="1:4" x14ac:dyDescent="0.45">
      <c r="A464" t="s">
        <v>6</v>
      </c>
      <c r="B464">
        <v>2003</v>
      </c>
      <c r="C464" t="s">
        <v>61</v>
      </c>
      <c r="D464">
        <v>0.56000000000000005</v>
      </c>
    </row>
    <row r="465" spans="1:4" x14ac:dyDescent="0.45">
      <c r="A465" t="s">
        <v>19</v>
      </c>
      <c r="B465">
        <v>2003</v>
      </c>
      <c r="C465" t="s">
        <v>61</v>
      </c>
      <c r="D465">
        <v>0</v>
      </c>
    </row>
    <row r="466" spans="1:4" x14ac:dyDescent="0.45">
      <c r="A466" t="s">
        <v>23</v>
      </c>
      <c r="B466">
        <v>2003</v>
      </c>
      <c r="C466" t="s">
        <v>61</v>
      </c>
      <c r="D466">
        <v>0.45</v>
      </c>
    </row>
    <row r="467" spans="1:4" x14ac:dyDescent="0.45">
      <c r="A467" t="s">
        <v>55</v>
      </c>
      <c r="B467">
        <v>2003</v>
      </c>
      <c r="C467" t="s">
        <v>61</v>
      </c>
      <c r="D467">
        <v>0.1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88</v>
      </c>
      <c r="B469">
        <v>2003</v>
      </c>
      <c r="C469" t="s">
        <v>61</v>
      </c>
      <c r="D469">
        <v>0</v>
      </c>
    </row>
    <row r="470" spans="1:4" x14ac:dyDescent="0.45">
      <c r="A470" t="s">
        <v>55</v>
      </c>
      <c r="B470">
        <v>2004</v>
      </c>
      <c r="C470" t="s">
        <v>61</v>
      </c>
      <c r="D470">
        <v>0.14000000000000001</v>
      </c>
    </row>
    <row r="471" spans="1:4" x14ac:dyDescent="0.45">
      <c r="A471" t="s">
        <v>5</v>
      </c>
      <c r="B471">
        <v>2004</v>
      </c>
      <c r="C471" t="s">
        <v>61</v>
      </c>
      <c r="D471">
        <v>3.66</v>
      </c>
    </row>
    <row r="472" spans="1:4" x14ac:dyDescent="0.45">
      <c r="A472" t="s">
        <v>8</v>
      </c>
      <c r="B472">
        <v>2004</v>
      </c>
      <c r="C472" t="s">
        <v>61</v>
      </c>
      <c r="D472">
        <v>3.69</v>
      </c>
    </row>
    <row r="473" spans="1:4" x14ac:dyDescent="0.45">
      <c r="A473" t="s">
        <v>6</v>
      </c>
      <c r="B473">
        <v>2004</v>
      </c>
      <c r="C473" t="s">
        <v>61</v>
      </c>
      <c r="D473">
        <v>0.64</v>
      </c>
    </row>
    <row r="474" spans="1:4" x14ac:dyDescent="0.45">
      <c r="A474" t="s">
        <v>19</v>
      </c>
      <c r="B474">
        <v>2004</v>
      </c>
      <c r="C474" t="s">
        <v>61</v>
      </c>
      <c r="D474">
        <v>0</v>
      </c>
    </row>
    <row r="475" spans="1:4" x14ac:dyDescent="0.45">
      <c r="A475" t="s">
        <v>23</v>
      </c>
      <c r="B475">
        <v>2004</v>
      </c>
      <c r="C475" t="s">
        <v>61</v>
      </c>
      <c r="D475">
        <v>0.45</v>
      </c>
    </row>
    <row r="476" spans="1:4" x14ac:dyDescent="0.45">
      <c r="A476" t="s">
        <v>55</v>
      </c>
      <c r="B476">
        <v>2004</v>
      </c>
      <c r="C476" t="s">
        <v>61</v>
      </c>
      <c r="D476">
        <v>0.1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88</v>
      </c>
      <c r="B478">
        <v>2004</v>
      </c>
      <c r="C478" t="s">
        <v>61</v>
      </c>
      <c r="D478">
        <v>0</v>
      </c>
    </row>
    <row r="479" spans="1:4" x14ac:dyDescent="0.45">
      <c r="A479" t="s">
        <v>55</v>
      </c>
      <c r="B479">
        <v>2005</v>
      </c>
      <c r="C479" t="s">
        <v>61</v>
      </c>
      <c r="D479">
        <v>0.15</v>
      </c>
    </row>
    <row r="480" spans="1:4" x14ac:dyDescent="0.45">
      <c r="A480" t="s">
        <v>5</v>
      </c>
      <c r="B480">
        <v>2005</v>
      </c>
      <c r="C480" t="s">
        <v>61</v>
      </c>
      <c r="D480">
        <v>4.6500000000000004</v>
      </c>
    </row>
    <row r="481" spans="1:4" x14ac:dyDescent="0.45">
      <c r="A481" t="s">
        <v>8</v>
      </c>
      <c r="B481">
        <v>2005</v>
      </c>
      <c r="C481" t="s">
        <v>61</v>
      </c>
      <c r="D481">
        <v>4.99</v>
      </c>
    </row>
    <row r="482" spans="1:4" x14ac:dyDescent="0.45">
      <c r="A482" t="s">
        <v>6</v>
      </c>
      <c r="B482">
        <v>2005</v>
      </c>
      <c r="C482" t="s">
        <v>61</v>
      </c>
      <c r="D482">
        <v>0.55000000000000004</v>
      </c>
    </row>
    <row r="483" spans="1:4" x14ac:dyDescent="0.45">
      <c r="A483" t="s">
        <v>19</v>
      </c>
      <c r="B483">
        <v>2005</v>
      </c>
      <c r="C483" t="s">
        <v>61</v>
      </c>
      <c r="D483">
        <v>0</v>
      </c>
    </row>
    <row r="484" spans="1:4" x14ac:dyDescent="0.45">
      <c r="A484" t="s">
        <v>23</v>
      </c>
      <c r="B484">
        <v>2005</v>
      </c>
      <c r="C484" t="s">
        <v>61</v>
      </c>
      <c r="D484">
        <v>0.4</v>
      </c>
    </row>
    <row r="485" spans="1:4" x14ac:dyDescent="0.45">
      <c r="A485" t="s">
        <v>55</v>
      </c>
      <c r="B485">
        <v>2005</v>
      </c>
      <c r="C485" t="s">
        <v>61</v>
      </c>
      <c r="D485">
        <v>0.11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88</v>
      </c>
      <c r="B487">
        <v>2005</v>
      </c>
      <c r="C487" t="s">
        <v>61</v>
      </c>
      <c r="D487">
        <v>0.01</v>
      </c>
    </row>
    <row r="488" spans="1:4" x14ac:dyDescent="0.45">
      <c r="A488" t="s">
        <v>55</v>
      </c>
      <c r="B488">
        <v>2006</v>
      </c>
      <c r="C488" t="s">
        <v>61</v>
      </c>
      <c r="D488">
        <v>0.16</v>
      </c>
    </row>
    <row r="489" spans="1:4" x14ac:dyDescent="0.45">
      <c r="A489" t="s">
        <v>5</v>
      </c>
      <c r="B489">
        <v>2006</v>
      </c>
      <c r="C489" t="s">
        <v>61</v>
      </c>
      <c r="D489">
        <v>4.33</v>
      </c>
    </row>
    <row r="490" spans="1:4" x14ac:dyDescent="0.45">
      <c r="A490" t="s">
        <v>8</v>
      </c>
      <c r="B490">
        <v>2006</v>
      </c>
      <c r="C490" t="s">
        <v>61</v>
      </c>
      <c r="D490">
        <v>5.17</v>
      </c>
    </row>
    <row r="491" spans="1:4" x14ac:dyDescent="0.45">
      <c r="A491" t="s">
        <v>6</v>
      </c>
      <c r="B491">
        <v>2006</v>
      </c>
      <c r="C491" t="s">
        <v>61</v>
      </c>
      <c r="D491">
        <v>0.55000000000000004</v>
      </c>
    </row>
    <row r="492" spans="1:4" x14ac:dyDescent="0.45">
      <c r="A492" t="s">
        <v>19</v>
      </c>
      <c r="B492">
        <v>2006</v>
      </c>
      <c r="C492" t="s">
        <v>61</v>
      </c>
      <c r="D492">
        <v>0</v>
      </c>
    </row>
    <row r="493" spans="1:4" x14ac:dyDescent="0.45">
      <c r="A493" t="s">
        <v>23</v>
      </c>
      <c r="B493">
        <v>2006</v>
      </c>
      <c r="C493" t="s">
        <v>61</v>
      </c>
      <c r="D493">
        <v>0.43</v>
      </c>
    </row>
    <row r="494" spans="1:4" x14ac:dyDescent="0.45">
      <c r="A494" t="s">
        <v>55</v>
      </c>
      <c r="B494">
        <v>2006</v>
      </c>
      <c r="C494" t="s">
        <v>61</v>
      </c>
      <c r="D494">
        <v>0.12</v>
      </c>
    </row>
    <row r="495" spans="1:4" x14ac:dyDescent="0.45">
      <c r="A495" t="s">
        <v>9</v>
      </c>
      <c r="B495">
        <v>2006</v>
      </c>
      <c r="C495" t="s">
        <v>61</v>
      </c>
      <c r="D495">
        <v>0</v>
      </c>
    </row>
    <row r="496" spans="1:4" x14ac:dyDescent="0.45">
      <c r="A496" t="s">
        <v>88</v>
      </c>
      <c r="B496">
        <v>2006</v>
      </c>
      <c r="C496" t="s">
        <v>61</v>
      </c>
      <c r="D496">
        <v>0.01</v>
      </c>
    </row>
    <row r="497" spans="1:4" x14ac:dyDescent="0.45">
      <c r="A497" t="s">
        <v>55</v>
      </c>
      <c r="B497">
        <v>2007</v>
      </c>
      <c r="C497" t="s">
        <v>61</v>
      </c>
      <c r="D497">
        <v>0.16</v>
      </c>
    </row>
    <row r="498" spans="1:4" x14ac:dyDescent="0.45">
      <c r="A498" t="s">
        <v>5</v>
      </c>
      <c r="B498">
        <v>2007</v>
      </c>
      <c r="C498" t="s">
        <v>61</v>
      </c>
      <c r="D498">
        <v>2.2599999999999998</v>
      </c>
    </row>
    <row r="499" spans="1:4" x14ac:dyDescent="0.45">
      <c r="A499" t="s">
        <v>8</v>
      </c>
      <c r="B499">
        <v>2007</v>
      </c>
      <c r="C499" t="s">
        <v>61</v>
      </c>
      <c r="D499">
        <v>6.36</v>
      </c>
    </row>
    <row r="500" spans="1:4" x14ac:dyDescent="0.45">
      <c r="A500" t="s">
        <v>6</v>
      </c>
      <c r="B500">
        <v>2007</v>
      </c>
      <c r="C500" t="s">
        <v>61</v>
      </c>
      <c r="D500">
        <v>0.56000000000000005</v>
      </c>
    </row>
    <row r="501" spans="1:4" x14ac:dyDescent="0.45">
      <c r="A501" t="s">
        <v>19</v>
      </c>
      <c r="B501">
        <v>2007</v>
      </c>
      <c r="C501" t="s">
        <v>61</v>
      </c>
      <c r="D501">
        <v>0</v>
      </c>
    </row>
    <row r="502" spans="1:4" x14ac:dyDescent="0.45">
      <c r="A502" t="s">
        <v>23</v>
      </c>
      <c r="B502">
        <v>2007</v>
      </c>
      <c r="C502" t="s">
        <v>61</v>
      </c>
      <c r="D502">
        <v>0.4</v>
      </c>
    </row>
    <row r="503" spans="1:4" x14ac:dyDescent="0.45">
      <c r="A503" t="s">
        <v>55</v>
      </c>
      <c r="B503">
        <v>2007</v>
      </c>
      <c r="C503" t="s">
        <v>61</v>
      </c>
      <c r="D503">
        <v>0.13</v>
      </c>
    </row>
    <row r="504" spans="1:4" x14ac:dyDescent="0.45">
      <c r="A504" t="s">
        <v>9</v>
      </c>
      <c r="B504">
        <v>2007</v>
      </c>
      <c r="C504" t="s">
        <v>61</v>
      </c>
      <c r="D504">
        <v>0</v>
      </c>
    </row>
    <row r="505" spans="1:4" x14ac:dyDescent="0.45">
      <c r="A505" t="s">
        <v>88</v>
      </c>
      <c r="B505">
        <v>2007</v>
      </c>
      <c r="C505" t="s">
        <v>61</v>
      </c>
      <c r="D505">
        <v>0.01</v>
      </c>
    </row>
    <row r="506" spans="1:4" x14ac:dyDescent="0.45">
      <c r="A506" t="s">
        <v>55</v>
      </c>
      <c r="B506">
        <v>2008</v>
      </c>
      <c r="C506" t="s">
        <v>61</v>
      </c>
      <c r="D506">
        <v>0.16</v>
      </c>
    </row>
    <row r="507" spans="1:4" x14ac:dyDescent="0.45">
      <c r="A507" t="s">
        <v>5</v>
      </c>
      <c r="B507">
        <v>2008</v>
      </c>
      <c r="C507" t="s">
        <v>61</v>
      </c>
      <c r="D507">
        <v>3.76</v>
      </c>
    </row>
    <row r="508" spans="1:4" x14ac:dyDescent="0.45">
      <c r="A508" t="s">
        <v>8</v>
      </c>
      <c r="B508">
        <v>2008</v>
      </c>
      <c r="C508" t="s">
        <v>61</v>
      </c>
      <c r="D508">
        <v>5.69</v>
      </c>
    </row>
    <row r="509" spans="1:4" x14ac:dyDescent="0.45">
      <c r="A509" t="s">
        <v>6</v>
      </c>
      <c r="B509">
        <v>2008</v>
      </c>
      <c r="C509" t="s">
        <v>61</v>
      </c>
      <c r="D509">
        <v>0.53</v>
      </c>
    </row>
    <row r="510" spans="1:4" x14ac:dyDescent="0.45">
      <c r="A510" t="s">
        <v>19</v>
      </c>
      <c r="B510">
        <v>2008</v>
      </c>
      <c r="C510" t="s">
        <v>61</v>
      </c>
      <c r="D510">
        <v>0</v>
      </c>
    </row>
    <row r="511" spans="1:4" x14ac:dyDescent="0.45">
      <c r="A511" t="s">
        <v>23</v>
      </c>
      <c r="B511">
        <v>2008</v>
      </c>
      <c r="C511" t="s">
        <v>61</v>
      </c>
      <c r="D511">
        <v>0.47</v>
      </c>
    </row>
    <row r="512" spans="1:4" x14ac:dyDescent="0.45">
      <c r="A512" t="s">
        <v>55</v>
      </c>
      <c r="B512">
        <v>2008</v>
      </c>
      <c r="C512" t="s">
        <v>61</v>
      </c>
      <c r="D512">
        <v>0.15</v>
      </c>
    </row>
    <row r="513" spans="1:4" x14ac:dyDescent="0.45">
      <c r="A513" t="s">
        <v>9</v>
      </c>
      <c r="B513">
        <v>2008</v>
      </c>
      <c r="C513" t="s">
        <v>61</v>
      </c>
      <c r="D513">
        <v>0</v>
      </c>
    </row>
    <row r="514" spans="1:4" x14ac:dyDescent="0.45">
      <c r="A514" t="s">
        <v>88</v>
      </c>
      <c r="B514">
        <v>2008</v>
      </c>
      <c r="C514" t="s">
        <v>61</v>
      </c>
      <c r="D514">
        <v>0.01</v>
      </c>
    </row>
    <row r="515" spans="1:4" x14ac:dyDescent="0.45">
      <c r="A515" t="s">
        <v>55</v>
      </c>
      <c r="B515">
        <v>2009</v>
      </c>
      <c r="C515" t="s">
        <v>61</v>
      </c>
      <c r="D515">
        <v>0.16</v>
      </c>
    </row>
    <row r="516" spans="1:4" x14ac:dyDescent="0.45">
      <c r="A516" t="s">
        <v>5</v>
      </c>
      <c r="B516">
        <v>2009</v>
      </c>
      <c r="C516" t="s">
        <v>61</v>
      </c>
      <c r="D516">
        <v>2.42</v>
      </c>
    </row>
    <row r="517" spans="1:4" x14ac:dyDescent="0.45">
      <c r="A517" t="s">
        <v>8</v>
      </c>
      <c r="B517">
        <v>2009</v>
      </c>
      <c r="C517" t="s">
        <v>61</v>
      </c>
      <c r="D517">
        <v>4.7699999999999996</v>
      </c>
    </row>
    <row r="518" spans="1:4" x14ac:dyDescent="0.45">
      <c r="A518" t="s">
        <v>6</v>
      </c>
      <c r="B518">
        <v>2009</v>
      </c>
      <c r="C518" t="s">
        <v>61</v>
      </c>
      <c r="D518">
        <v>0.56999999999999995</v>
      </c>
    </row>
    <row r="519" spans="1:4" x14ac:dyDescent="0.45">
      <c r="A519" t="s">
        <v>19</v>
      </c>
      <c r="B519">
        <v>2009</v>
      </c>
      <c r="C519" t="s">
        <v>61</v>
      </c>
      <c r="D519">
        <v>0</v>
      </c>
    </row>
    <row r="520" spans="1:4" x14ac:dyDescent="0.45">
      <c r="A520" t="s">
        <v>23</v>
      </c>
      <c r="B520">
        <v>2009</v>
      </c>
      <c r="C520" t="s">
        <v>61</v>
      </c>
      <c r="D520">
        <v>0.38</v>
      </c>
    </row>
    <row r="521" spans="1:4" x14ac:dyDescent="0.45">
      <c r="A521" t="s">
        <v>55</v>
      </c>
      <c r="B521">
        <v>2009</v>
      </c>
      <c r="C521" t="s">
        <v>61</v>
      </c>
      <c r="D521">
        <v>0.17</v>
      </c>
    </row>
    <row r="522" spans="1:4" x14ac:dyDescent="0.45">
      <c r="A522" t="s">
        <v>9</v>
      </c>
      <c r="B522">
        <v>2009</v>
      </c>
      <c r="C522" t="s">
        <v>61</v>
      </c>
      <c r="D522">
        <v>0</v>
      </c>
    </row>
    <row r="523" spans="1:4" x14ac:dyDescent="0.45">
      <c r="A523" t="s">
        <v>88</v>
      </c>
      <c r="B523">
        <v>2009</v>
      </c>
      <c r="C523" t="s">
        <v>61</v>
      </c>
      <c r="D523">
        <v>0.01</v>
      </c>
    </row>
    <row r="524" spans="1:4" x14ac:dyDescent="0.45">
      <c r="A524" t="s">
        <v>55</v>
      </c>
      <c r="B524">
        <v>2010</v>
      </c>
      <c r="C524" t="s">
        <v>61</v>
      </c>
      <c r="D524">
        <v>0.17</v>
      </c>
    </row>
    <row r="525" spans="1:4" x14ac:dyDescent="0.45">
      <c r="A525" t="s">
        <v>5</v>
      </c>
      <c r="B525">
        <v>2010</v>
      </c>
      <c r="C525" t="s">
        <v>61</v>
      </c>
      <c r="D525">
        <v>1.26</v>
      </c>
    </row>
    <row r="526" spans="1:4" x14ac:dyDescent="0.45">
      <c r="A526" t="s">
        <v>8</v>
      </c>
      <c r="B526">
        <v>2010</v>
      </c>
      <c r="C526" t="s">
        <v>61</v>
      </c>
      <c r="D526">
        <v>5.3</v>
      </c>
    </row>
    <row r="527" spans="1:4" x14ac:dyDescent="0.45">
      <c r="A527" t="s">
        <v>6</v>
      </c>
      <c r="B527">
        <v>2010</v>
      </c>
      <c r="C527" t="s">
        <v>61</v>
      </c>
      <c r="D527">
        <v>0.57999999999999996</v>
      </c>
    </row>
    <row r="528" spans="1:4" x14ac:dyDescent="0.45">
      <c r="A528" t="s">
        <v>19</v>
      </c>
      <c r="B528">
        <v>2010</v>
      </c>
      <c r="C528" t="s">
        <v>61</v>
      </c>
      <c r="D528">
        <v>0</v>
      </c>
    </row>
    <row r="529" spans="1:4" x14ac:dyDescent="0.45">
      <c r="A529" t="s">
        <v>23</v>
      </c>
      <c r="B529">
        <v>2010</v>
      </c>
      <c r="C529" t="s">
        <v>61</v>
      </c>
      <c r="D529">
        <v>0.43</v>
      </c>
    </row>
    <row r="530" spans="1:4" x14ac:dyDescent="0.45">
      <c r="A530" t="s">
        <v>55</v>
      </c>
      <c r="B530">
        <v>2010</v>
      </c>
      <c r="C530" t="s">
        <v>61</v>
      </c>
      <c r="D530">
        <v>0.21</v>
      </c>
    </row>
    <row r="531" spans="1:4" x14ac:dyDescent="0.45">
      <c r="A531" t="s">
        <v>9</v>
      </c>
      <c r="B531">
        <v>2010</v>
      </c>
      <c r="C531" t="s">
        <v>61</v>
      </c>
      <c r="D531">
        <v>0</v>
      </c>
    </row>
    <row r="532" spans="1:4" x14ac:dyDescent="0.45">
      <c r="A532" t="s">
        <v>88</v>
      </c>
      <c r="B532">
        <v>2010</v>
      </c>
      <c r="C532" t="s">
        <v>61</v>
      </c>
      <c r="D532">
        <v>0.02</v>
      </c>
    </row>
    <row r="533" spans="1:4" x14ac:dyDescent="0.45">
      <c r="A533" t="s">
        <v>55</v>
      </c>
      <c r="B533">
        <v>2011</v>
      </c>
      <c r="C533" t="s">
        <v>61</v>
      </c>
      <c r="D533">
        <v>0.16</v>
      </c>
    </row>
    <row r="534" spans="1:4" x14ac:dyDescent="0.45">
      <c r="A534" t="s">
        <v>5</v>
      </c>
      <c r="B534">
        <v>2011</v>
      </c>
      <c r="C534" t="s">
        <v>61</v>
      </c>
      <c r="D534">
        <v>1.43</v>
      </c>
    </row>
    <row r="535" spans="1:4" x14ac:dyDescent="0.45">
      <c r="A535" t="s">
        <v>8</v>
      </c>
      <c r="B535">
        <v>2011</v>
      </c>
      <c r="C535" t="s">
        <v>61</v>
      </c>
      <c r="D535">
        <v>4.5</v>
      </c>
    </row>
    <row r="536" spans="1:4" x14ac:dyDescent="0.45">
      <c r="A536" t="s">
        <v>6</v>
      </c>
      <c r="B536">
        <v>2011</v>
      </c>
      <c r="C536" t="s">
        <v>61</v>
      </c>
      <c r="D536">
        <v>0.59</v>
      </c>
    </row>
    <row r="537" spans="1:4" x14ac:dyDescent="0.45">
      <c r="A537" t="s">
        <v>19</v>
      </c>
      <c r="B537">
        <v>2011</v>
      </c>
      <c r="C537" t="s">
        <v>61</v>
      </c>
      <c r="D537">
        <v>0</v>
      </c>
    </row>
    <row r="538" spans="1:4" x14ac:dyDescent="0.45">
      <c r="A538" t="s">
        <v>23</v>
      </c>
      <c r="B538">
        <v>2011</v>
      </c>
      <c r="C538" t="s">
        <v>61</v>
      </c>
      <c r="D538">
        <v>0.38</v>
      </c>
    </row>
    <row r="539" spans="1:4" x14ac:dyDescent="0.45">
      <c r="A539" t="s">
        <v>55</v>
      </c>
      <c r="B539">
        <v>2011</v>
      </c>
      <c r="C539" t="s">
        <v>61</v>
      </c>
      <c r="D539">
        <v>0.22</v>
      </c>
    </row>
    <row r="540" spans="1:4" x14ac:dyDescent="0.45">
      <c r="A540" t="s">
        <v>9</v>
      </c>
      <c r="B540">
        <v>2011</v>
      </c>
      <c r="C540" t="s">
        <v>61</v>
      </c>
      <c r="D540">
        <v>0</v>
      </c>
    </row>
    <row r="541" spans="1:4" x14ac:dyDescent="0.45">
      <c r="A541" t="s">
        <v>88</v>
      </c>
      <c r="B541">
        <v>2011</v>
      </c>
      <c r="C541" t="s">
        <v>61</v>
      </c>
      <c r="D541">
        <v>0.02</v>
      </c>
    </row>
    <row r="542" spans="1:4" x14ac:dyDescent="0.45">
      <c r="A542" t="s">
        <v>55</v>
      </c>
      <c r="B542">
        <v>2012</v>
      </c>
      <c r="C542" t="s">
        <v>61</v>
      </c>
      <c r="D542">
        <v>0.17</v>
      </c>
    </row>
    <row r="543" spans="1:4" x14ac:dyDescent="0.45">
      <c r="A543" t="s">
        <v>5</v>
      </c>
      <c r="B543">
        <v>2012</v>
      </c>
      <c r="C543" t="s">
        <v>61</v>
      </c>
      <c r="D543">
        <v>2.61</v>
      </c>
    </row>
    <row r="544" spans="1:4" x14ac:dyDescent="0.45">
      <c r="A544" t="s">
        <v>8</v>
      </c>
      <c r="B544">
        <v>2012</v>
      </c>
      <c r="C544" t="s">
        <v>61</v>
      </c>
      <c r="D544">
        <v>4.74</v>
      </c>
    </row>
    <row r="545" spans="1:4" x14ac:dyDescent="0.45">
      <c r="A545" t="s">
        <v>6</v>
      </c>
      <c r="B545">
        <v>2012</v>
      </c>
      <c r="C545" t="s">
        <v>61</v>
      </c>
      <c r="D545">
        <v>0.54</v>
      </c>
    </row>
    <row r="546" spans="1:4" x14ac:dyDescent="0.45">
      <c r="A546" t="s">
        <v>19</v>
      </c>
      <c r="B546">
        <v>2012</v>
      </c>
      <c r="C546" t="s">
        <v>61</v>
      </c>
      <c r="D546">
        <v>0</v>
      </c>
    </row>
    <row r="547" spans="1:4" x14ac:dyDescent="0.45">
      <c r="A547" t="s">
        <v>23</v>
      </c>
      <c r="B547">
        <v>2012</v>
      </c>
      <c r="C547" t="s">
        <v>61</v>
      </c>
      <c r="D547">
        <v>0.41</v>
      </c>
    </row>
    <row r="548" spans="1:4" x14ac:dyDescent="0.45">
      <c r="A548" t="s">
        <v>55</v>
      </c>
      <c r="B548">
        <v>2012</v>
      </c>
      <c r="C548" t="s">
        <v>61</v>
      </c>
      <c r="D548">
        <v>0.22</v>
      </c>
    </row>
    <row r="549" spans="1:4" x14ac:dyDescent="0.45">
      <c r="A549" t="s">
        <v>9</v>
      </c>
      <c r="B549">
        <v>2012</v>
      </c>
      <c r="C549" t="s">
        <v>61</v>
      </c>
      <c r="D549">
        <v>0</v>
      </c>
    </row>
    <row r="550" spans="1:4" x14ac:dyDescent="0.45">
      <c r="A550" t="s">
        <v>88</v>
      </c>
      <c r="B550">
        <v>2012</v>
      </c>
      <c r="C550" t="s">
        <v>61</v>
      </c>
      <c r="D550">
        <v>0.02</v>
      </c>
    </row>
    <row r="551" spans="1:4" x14ac:dyDescent="0.45">
      <c r="A551" t="s">
        <v>55</v>
      </c>
      <c r="B551">
        <v>2013</v>
      </c>
      <c r="C551" t="s">
        <v>61</v>
      </c>
      <c r="D551">
        <v>0.17</v>
      </c>
    </row>
    <row r="552" spans="1:4" x14ac:dyDescent="0.45">
      <c r="A552" t="s">
        <v>5</v>
      </c>
      <c r="B552">
        <v>2013</v>
      </c>
      <c r="C552" t="s">
        <v>61</v>
      </c>
      <c r="D552">
        <v>1.55</v>
      </c>
    </row>
    <row r="553" spans="1:4" x14ac:dyDescent="0.45">
      <c r="A553" t="s">
        <v>8</v>
      </c>
      <c r="B553">
        <v>2013</v>
      </c>
      <c r="C553" t="s">
        <v>61</v>
      </c>
      <c r="D553">
        <v>4.6500000000000004</v>
      </c>
    </row>
    <row r="554" spans="1:4" x14ac:dyDescent="0.45">
      <c r="A554" t="s">
        <v>6</v>
      </c>
      <c r="B554">
        <v>2013</v>
      </c>
      <c r="C554" t="s">
        <v>61</v>
      </c>
      <c r="D554">
        <v>0.54</v>
      </c>
    </row>
    <row r="555" spans="1:4" x14ac:dyDescent="0.45">
      <c r="A555" t="s">
        <v>19</v>
      </c>
      <c r="B555">
        <v>2013</v>
      </c>
      <c r="C555" t="s">
        <v>61</v>
      </c>
      <c r="D555">
        <v>0</v>
      </c>
    </row>
    <row r="556" spans="1:4" x14ac:dyDescent="0.45">
      <c r="A556" t="s">
        <v>23</v>
      </c>
      <c r="B556">
        <v>2013</v>
      </c>
      <c r="C556" t="s">
        <v>61</v>
      </c>
      <c r="D556">
        <v>0.42</v>
      </c>
    </row>
    <row r="557" spans="1:4" x14ac:dyDescent="0.45">
      <c r="A557" t="s">
        <v>55</v>
      </c>
      <c r="B557">
        <v>2013</v>
      </c>
      <c r="C557" t="s">
        <v>61</v>
      </c>
      <c r="D557">
        <v>0.23</v>
      </c>
    </row>
    <row r="558" spans="1:4" x14ac:dyDescent="0.45">
      <c r="A558" t="s">
        <v>9</v>
      </c>
      <c r="B558">
        <v>2013</v>
      </c>
      <c r="C558" t="s">
        <v>61</v>
      </c>
      <c r="D558">
        <v>0</v>
      </c>
    </row>
    <row r="559" spans="1:4" x14ac:dyDescent="0.45">
      <c r="A559" t="s">
        <v>88</v>
      </c>
      <c r="B559">
        <v>2013</v>
      </c>
      <c r="C559" t="s">
        <v>61</v>
      </c>
      <c r="D559">
        <v>0.02</v>
      </c>
    </row>
    <row r="560" spans="1:4" x14ac:dyDescent="0.45">
      <c r="A560" t="s">
        <v>55</v>
      </c>
      <c r="B560">
        <v>2014</v>
      </c>
      <c r="C560" t="s">
        <v>61</v>
      </c>
      <c r="D560">
        <v>0.17</v>
      </c>
    </row>
    <row r="561" spans="1:4" x14ac:dyDescent="0.45">
      <c r="A561" t="s">
        <v>5</v>
      </c>
      <c r="B561">
        <v>2014</v>
      </c>
      <c r="C561" t="s">
        <v>61</v>
      </c>
      <c r="D561">
        <v>1.19</v>
      </c>
    </row>
    <row r="562" spans="1:4" x14ac:dyDescent="0.45">
      <c r="A562" t="s">
        <v>8</v>
      </c>
      <c r="B562">
        <v>2014</v>
      </c>
      <c r="C562" t="s">
        <v>61</v>
      </c>
      <c r="D562">
        <v>3.77</v>
      </c>
    </row>
    <row r="563" spans="1:4" x14ac:dyDescent="0.45">
      <c r="A563" t="s">
        <v>6</v>
      </c>
      <c r="B563">
        <v>2014</v>
      </c>
      <c r="C563" t="s">
        <v>61</v>
      </c>
      <c r="D563">
        <v>0.56999999999999995</v>
      </c>
    </row>
    <row r="564" spans="1:4" x14ac:dyDescent="0.45">
      <c r="A564" t="s">
        <v>19</v>
      </c>
      <c r="B564">
        <v>2014</v>
      </c>
      <c r="C564" t="s">
        <v>61</v>
      </c>
      <c r="D564">
        <v>0</v>
      </c>
    </row>
    <row r="565" spans="1:4" x14ac:dyDescent="0.45">
      <c r="A565" t="s">
        <v>23</v>
      </c>
      <c r="B565">
        <v>2014</v>
      </c>
      <c r="C565" t="s">
        <v>61</v>
      </c>
      <c r="D565">
        <v>0.41</v>
      </c>
    </row>
    <row r="566" spans="1:4" x14ac:dyDescent="0.45">
      <c r="A566" t="s">
        <v>55</v>
      </c>
      <c r="B566">
        <v>2014</v>
      </c>
      <c r="C566" t="s">
        <v>61</v>
      </c>
      <c r="D566">
        <v>0.26</v>
      </c>
    </row>
    <row r="567" spans="1:4" x14ac:dyDescent="0.45">
      <c r="A567" t="s">
        <v>9</v>
      </c>
      <c r="B567">
        <v>2014</v>
      </c>
      <c r="C567" t="s">
        <v>61</v>
      </c>
      <c r="D567">
        <v>0</v>
      </c>
    </row>
    <row r="568" spans="1:4" x14ac:dyDescent="0.45">
      <c r="A568" t="s">
        <v>88</v>
      </c>
      <c r="B568">
        <v>2014</v>
      </c>
      <c r="C568" t="s">
        <v>61</v>
      </c>
      <c r="D568">
        <v>0.02</v>
      </c>
    </row>
    <row r="569" spans="1:4" x14ac:dyDescent="0.45">
      <c r="A569" t="s">
        <v>55</v>
      </c>
      <c r="B569">
        <v>2015</v>
      </c>
      <c r="C569" t="s">
        <v>61</v>
      </c>
      <c r="D569">
        <v>0.18</v>
      </c>
    </row>
    <row r="570" spans="1:4" x14ac:dyDescent="0.45">
      <c r="A570" t="s">
        <v>5</v>
      </c>
      <c r="B570">
        <v>2015</v>
      </c>
      <c r="C570" t="s">
        <v>61</v>
      </c>
      <c r="D570">
        <v>1.0900000000000001</v>
      </c>
    </row>
    <row r="571" spans="1:4" x14ac:dyDescent="0.45">
      <c r="A571" t="s">
        <v>8</v>
      </c>
      <c r="B571">
        <v>2015</v>
      </c>
      <c r="C571" t="s">
        <v>61</v>
      </c>
      <c r="D571">
        <v>3.66</v>
      </c>
    </row>
    <row r="572" spans="1:4" x14ac:dyDescent="0.45">
      <c r="A572" t="s">
        <v>6</v>
      </c>
      <c r="B572">
        <v>2015</v>
      </c>
      <c r="C572" t="s">
        <v>61</v>
      </c>
      <c r="D572">
        <v>0.57999999999999996</v>
      </c>
    </row>
    <row r="573" spans="1:4" x14ac:dyDescent="0.45">
      <c r="A573" t="s">
        <v>19</v>
      </c>
      <c r="B573">
        <v>2015</v>
      </c>
      <c r="C573" t="s">
        <v>61</v>
      </c>
      <c r="D573">
        <v>0</v>
      </c>
    </row>
    <row r="574" spans="1:4" x14ac:dyDescent="0.45">
      <c r="A574" t="s">
        <v>23</v>
      </c>
      <c r="B574">
        <v>2015</v>
      </c>
      <c r="C574" t="s">
        <v>61</v>
      </c>
      <c r="D574">
        <v>0.43</v>
      </c>
    </row>
    <row r="575" spans="1:4" x14ac:dyDescent="0.45">
      <c r="A575" t="s">
        <v>55</v>
      </c>
      <c r="B575">
        <v>2015</v>
      </c>
      <c r="C575" t="s">
        <v>61</v>
      </c>
      <c r="D575">
        <v>0.28000000000000003</v>
      </c>
    </row>
    <row r="576" spans="1:4" x14ac:dyDescent="0.45">
      <c r="A576" t="s">
        <v>9</v>
      </c>
      <c r="B576">
        <v>2015</v>
      </c>
      <c r="C576" t="s">
        <v>61</v>
      </c>
      <c r="D576">
        <v>0</v>
      </c>
    </row>
    <row r="577" spans="1:4" x14ac:dyDescent="0.45">
      <c r="A577" t="s">
        <v>88</v>
      </c>
      <c r="B577">
        <v>2015</v>
      </c>
      <c r="C577" t="s">
        <v>61</v>
      </c>
      <c r="D577">
        <v>0.02</v>
      </c>
    </row>
    <row r="578" spans="1:4" x14ac:dyDescent="0.45">
      <c r="A578" t="s">
        <v>55</v>
      </c>
      <c r="B578">
        <v>2016</v>
      </c>
      <c r="C578" t="s">
        <v>61</v>
      </c>
      <c r="D578">
        <v>0.18</v>
      </c>
    </row>
    <row r="579" spans="1:4" x14ac:dyDescent="0.45">
      <c r="A579" t="s">
        <v>5</v>
      </c>
      <c r="B579">
        <v>2016</v>
      </c>
      <c r="C579" t="s">
        <v>61</v>
      </c>
      <c r="D579">
        <v>0.39</v>
      </c>
    </row>
    <row r="580" spans="1:4" x14ac:dyDescent="0.45">
      <c r="A580" t="s">
        <v>8</v>
      </c>
      <c r="B580">
        <v>2016</v>
      </c>
      <c r="C580" t="s">
        <v>61</v>
      </c>
      <c r="D580">
        <v>3.07</v>
      </c>
    </row>
    <row r="581" spans="1:4" x14ac:dyDescent="0.45">
      <c r="A581" t="s">
        <v>6</v>
      </c>
      <c r="B581">
        <v>2016</v>
      </c>
      <c r="C581" t="s">
        <v>61</v>
      </c>
      <c r="D581">
        <v>0.61</v>
      </c>
    </row>
    <row r="582" spans="1:4" x14ac:dyDescent="0.45">
      <c r="A582" t="s">
        <v>19</v>
      </c>
      <c r="B582">
        <v>2016</v>
      </c>
      <c r="C582" t="s">
        <v>61</v>
      </c>
      <c r="D582">
        <v>0</v>
      </c>
    </row>
    <row r="583" spans="1:4" x14ac:dyDescent="0.45">
      <c r="A583" t="s">
        <v>23</v>
      </c>
      <c r="B583">
        <v>2016</v>
      </c>
      <c r="C583" t="s">
        <v>61</v>
      </c>
      <c r="D583">
        <v>0.4</v>
      </c>
    </row>
    <row r="584" spans="1:4" x14ac:dyDescent="0.45">
      <c r="A584" t="s">
        <v>55</v>
      </c>
      <c r="B584">
        <v>2016</v>
      </c>
      <c r="C584" t="s">
        <v>61</v>
      </c>
      <c r="D584">
        <v>0.28000000000000003</v>
      </c>
    </row>
    <row r="585" spans="1:4" x14ac:dyDescent="0.45">
      <c r="A585" t="s">
        <v>9</v>
      </c>
      <c r="B585">
        <v>2016</v>
      </c>
      <c r="C585" t="s">
        <v>61</v>
      </c>
      <c r="D585">
        <v>0</v>
      </c>
    </row>
    <row r="586" spans="1:4" x14ac:dyDescent="0.45">
      <c r="A586" t="s">
        <v>88</v>
      </c>
      <c r="B586">
        <v>2016</v>
      </c>
      <c r="C586" t="s">
        <v>61</v>
      </c>
      <c r="D586">
        <v>0.02</v>
      </c>
    </row>
    <row r="587" spans="1:4" x14ac:dyDescent="0.45">
      <c r="A587" t="s">
        <v>55</v>
      </c>
      <c r="B587">
        <v>2017</v>
      </c>
      <c r="C587" t="s">
        <v>61</v>
      </c>
      <c r="D587">
        <v>0.17</v>
      </c>
    </row>
    <row r="588" spans="1:4" x14ac:dyDescent="0.45">
      <c r="A588" t="s">
        <v>5</v>
      </c>
      <c r="B588">
        <v>2017</v>
      </c>
      <c r="C588" t="s">
        <v>61</v>
      </c>
      <c r="D588">
        <v>0.51</v>
      </c>
    </row>
    <row r="589" spans="1:4" x14ac:dyDescent="0.45">
      <c r="A589" t="s">
        <v>8</v>
      </c>
      <c r="B589">
        <v>2017</v>
      </c>
      <c r="C589" t="s">
        <v>61</v>
      </c>
      <c r="D589">
        <v>3.76</v>
      </c>
    </row>
    <row r="590" spans="1:4" x14ac:dyDescent="0.45">
      <c r="A590" t="s">
        <v>6</v>
      </c>
      <c r="B590">
        <v>2017</v>
      </c>
      <c r="C590" t="s">
        <v>61</v>
      </c>
      <c r="D590">
        <v>0.59</v>
      </c>
    </row>
    <row r="591" spans="1:4" x14ac:dyDescent="0.45">
      <c r="A591" t="s">
        <v>19</v>
      </c>
      <c r="B591">
        <v>2017</v>
      </c>
      <c r="C591" t="s">
        <v>61</v>
      </c>
      <c r="D591">
        <v>0</v>
      </c>
    </row>
    <row r="592" spans="1:4" x14ac:dyDescent="0.45">
      <c r="A592" t="s">
        <v>23</v>
      </c>
      <c r="B592">
        <v>2017</v>
      </c>
      <c r="C592" t="s">
        <v>61</v>
      </c>
      <c r="D592">
        <v>0.42</v>
      </c>
    </row>
    <row r="593" spans="1:4" x14ac:dyDescent="0.45">
      <c r="A593" t="s">
        <v>55</v>
      </c>
      <c r="B593">
        <v>2017</v>
      </c>
      <c r="C593" t="s">
        <v>61</v>
      </c>
      <c r="D593">
        <v>0.28999999999999998</v>
      </c>
    </row>
    <row r="594" spans="1:4" x14ac:dyDescent="0.45">
      <c r="A594" t="s">
        <v>9</v>
      </c>
      <c r="B594">
        <v>2017</v>
      </c>
      <c r="C594" t="s">
        <v>61</v>
      </c>
      <c r="D594">
        <v>0</v>
      </c>
    </row>
    <row r="595" spans="1:4" x14ac:dyDescent="0.45">
      <c r="A595" t="s">
        <v>88</v>
      </c>
      <c r="B595">
        <v>2017</v>
      </c>
      <c r="C595" t="s">
        <v>61</v>
      </c>
      <c r="D595">
        <v>0.02</v>
      </c>
    </row>
    <row r="596" spans="1:4" x14ac:dyDescent="0.45">
      <c r="A596" t="s">
        <v>55</v>
      </c>
      <c r="B596">
        <v>2018</v>
      </c>
      <c r="C596" t="s">
        <v>61</v>
      </c>
      <c r="D596">
        <v>0.17</v>
      </c>
    </row>
    <row r="597" spans="1:4" x14ac:dyDescent="0.45">
      <c r="A597" t="s">
        <v>5</v>
      </c>
      <c r="B597">
        <v>2018</v>
      </c>
      <c r="C597" t="s">
        <v>61</v>
      </c>
      <c r="D597">
        <v>0.87</v>
      </c>
    </row>
    <row r="598" spans="1:4" x14ac:dyDescent="0.45">
      <c r="A598" t="s">
        <v>8</v>
      </c>
      <c r="B598">
        <v>2018</v>
      </c>
      <c r="C598" t="s">
        <v>61</v>
      </c>
      <c r="D598">
        <v>3.05</v>
      </c>
    </row>
    <row r="599" spans="1:4" x14ac:dyDescent="0.45">
      <c r="A599" t="s">
        <v>6</v>
      </c>
      <c r="B599">
        <v>2018</v>
      </c>
      <c r="C599" t="s">
        <v>61</v>
      </c>
      <c r="D599">
        <v>0.62</v>
      </c>
    </row>
    <row r="600" spans="1:4" x14ac:dyDescent="0.45">
      <c r="A600" t="s">
        <v>19</v>
      </c>
      <c r="B600">
        <v>2018</v>
      </c>
      <c r="C600" t="s">
        <v>61</v>
      </c>
      <c r="D600">
        <v>0</v>
      </c>
    </row>
    <row r="601" spans="1:4" x14ac:dyDescent="0.45">
      <c r="A601" t="s">
        <v>23</v>
      </c>
      <c r="B601">
        <v>2018</v>
      </c>
      <c r="C601" t="s">
        <v>61</v>
      </c>
      <c r="D601">
        <v>0.41</v>
      </c>
    </row>
    <row r="602" spans="1:4" x14ac:dyDescent="0.45">
      <c r="A602" t="s">
        <v>55</v>
      </c>
      <c r="B602">
        <v>2018</v>
      </c>
      <c r="C602" t="s">
        <v>61</v>
      </c>
      <c r="D602">
        <v>0.28000000000000003</v>
      </c>
    </row>
    <row r="603" spans="1:4" x14ac:dyDescent="0.45">
      <c r="A603" t="s">
        <v>9</v>
      </c>
      <c r="B603">
        <v>2018</v>
      </c>
      <c r="C603" t="s">
        <v>61</v>
      </c>
      <c r="D603">
        <v>0</v>
      </c>
    </row>
    <row r="604" spans="1:4" x14ac:dyDescent="0.45">
      <c r="A604" t="s">
        <v>88</v>
      </c>
      <c r="B604">
        <v>2018</v>
      </c>
      <c r="C604" t="s">
        <v>61</v>
      </c>
      <c r="D604">
        <v>0.02</v>
      </c>
    </row>
    <row r="605" spans="1:4" x14ac:dyDescent="0.45">
      <c r="A605" t="s">
        <v>55</v>
      </c>
      <c r="B605">
        <v>2019</v>
      </c>
      <c r="C605" t="s">
        <v>61</v>
      </c>
      <c r="D605">
        <v>0.17</v>
      </c>
    </row>
    <row r="606" spans="1:4" x14ac:dyDescent="0.45">
      <c r="A606" t="s">
        <v>5</v>
      </c>
      <c r="B606">
        <v>2019</v>
      </c>
      <c r="C606" t="s">
        <v>61</v>
      </c>
      <c r="D606">
        <v>1.41</v>
      </c>
    </row>
    <row r="607" spans="1:4" x14ac:dyDescent="0.45">
      <c r="A607" t="s">
        <v>8</v>
      </c>
      <c r="B607">
        <v>2019</v>
      </c>
      <c r="C607" t="s">
        <v>61</v>
      </c>
      <c r="D607">
        <v>2.92</v>
      </c>
    </row>
    <row r="608" spans="1:4" x14ac:dyDescent="0.45">
      <c r="A608" t="s">
        <v>6</v>
      </c>
      <c r="B608">
        <v>2019</v>
      </c>
      <c r="C608" t="s">
        <v>61</v>
      </c>
      <c r="D608">
        <v>0.6</v>
      </c>
    </row>
    <row r="609" spans="1:4" x14ac:dyDescent="0.45">
      <c r="A609" t="s">
        <v>19</v>
      </c>
      <c r="B609">
        <v>2019</v>
      </c>
      <c r="C609" t="s">
        <v>61</v>
      </c>
      <c r="D609">
        <v>0</v>
      </c>
    </row>
    <row r="610" spans="1:4" x14ac:dyDescent="0.45">
      <c r="A610" t="s">
        <v>23</v>
      </c>
      <c r="B610">
        <v>2019</v>
      </c>
      <c r="C610" t="s">
        <v>61</v>
      </c>
      <c r="D610">
        <v>0.45</v>
      </c>
    </row>
    <row r="611" spans="1:4" x14ac:dyDescent="0.45">
      <c r="A611" t="s">
        <v>55</v>
      </c>
      <c r="B611">
        <v>2019</v>
      </c>
      <c r="C611" t="s">
        <v>61</v>
      </c>
      <c r="D611">
        <v>0.28999999999999998</v>
      </c>
    </row>
    <row r="612" spans="1:4" x14ac:dyDescent="0.45">
      <c r="A612" t="s">
        <v>9</v>
      </c>
      <c r="B612">
        <v>2019</v>
      </c>
      <c r="C612" t="s">
        <v>61</v>
      </c>
      <c r="D612">
        <v>0.01</v>
      </c>
    </row>
    <row r="613" spans="1:4" x14ac:dyDescent="0.45">
      <c r="A613" t="s">
        <v>88</v>
      </c>
      <c r="B613">
        <v>2019</v>
      </c>
      <c r="C613" t="s">
        <v>61</v>
      </c>
      <c r="D613">
        <v>0.02</v>
      </c>
    </row>
    <row r="614" spans="1:4" x14ac:dyDescent="0.45">
      <c r="A614" t="s">
        <v>55</v>
      </c>
      <c r="B614">
        <v>2020</v>
      </c>
      <c r="C614" t="s">
        <v>61</v>
      </c>
      <c r="D614">
        <v>0.17</v>
      </c>
    </row>
    <row r="615" spans="1:4" x14ac:dyDescent="0.45">
      <c r="A615" t="s">
        <v>5</v>
      </c>
      <c r="B615">
        <v>2020</v>
      </c>
      <c r="C615" t="s">
        <v>61</v>
      </c>
      <c r="D615">
        <v>1.51</v>
      </c>
    </row>
    <row r="616" spans="1:4" x14ac:dyDescent="0.45">
      <c r="A616" t="s">
        <v>8</v>
      </c>
      <c r="B616">
        <v>2020</v>
      </c>
      <c r="C616" t="s">
        <v>61</v>
      </c>
      <c r="D616">
        <v>3.2</v>
      </c>
    </row>
    <row r="617" spans="1:4" x14ac:dyDescent="0.45">
      <c r="A617" t="s">
        <v>6</v>
      </c>
      <c r="B617">
        <v>2020</v>
      </c>
      <c r="C617" t="s">
        <v>61</v>
      </c>
      <c r="D617">
        <v>0.56999999999999995</v>
      </c>
    </row>
    <row r="618" spans="1:4" x14ac:dyDescent="0.45">
      <c r="A618" t="s">
        <v>19</v>
      </c>
      <c r="B618">
        <v>2020</v>
      </c>
      <c r="C618" t="s">
        <v>61</v>
      </c>
      <c r="D618">
        <v>0</v>
      </c>
    </row>
    <row r="619" spans="1:4" x14ac:dyDescent="0.45">
      <c r="A619" t="s">
        <v>23</v>
      </c>
      <c r="B619">
        <v>2020</v>
      </c>
      <c r="C619" t="s">
        <v>61</v>
      </c>
      <c r="D619">
        <v>0.41</v>
      </c>
    </row>
    <row r="620" spans="1:4" x14ac:dyDescent="0.45">
      <c r="A620" t="s">
        <v>55</v>
      </c>
      <c r="B620">
        <v>2020</v>
      </c>
      <c r="C620" t="s">
        <v>61</v>
      </c>
      <c r="D620">
        <v>0.28999999999999998</v>
      </c>
    </row>
    <row r="621" spans="1:4" x14ac:dyDescent="0.45">
      <c r="A621" t="s">
        <v>9</v>
      </c>
      <c r="B621">
        <v>2020</v>
      </c>
      <c r="C621" t="s">
        <v>61</v>
      </c>
      <c r="D621">
        <v>0.01</v>
      </c>
    </row>
    <row r="622" spans="1:4" x14ac:dyDescent="0.45">
      <c r="A622" t="s">
        <v>88</v>
      </c>
      <c r="B622">
        <v>2020</v>
      </c>
      <c r="C622" t="s">
        <v>61</v>
      </c>
      <c r="D622">
        <v>0.02</v>
      </c>
    </row>
    <row r="623" spans="1:4" x14ac:dyDescent="0.45">
      <c r="A623" t="s">
        <v>55</v>
      </c>
      <c r="B623">
        <v>2021</v>
      </c>
      <c r="C623" t="s">
        <v>61</v>
      </c>
      <c r="D623">
        <v>0.37</v>
      </c>
    </row>
    <row r="624" spans="1:4" x14ac:dyDescent="0.45">
      <c r="A624" t="s">
        <v>5</v>
      </c>
      <c r="B624">
        <v>2021</v>
      </c>
      <c r="C624" t="s">
        <v>61</v>
      </c>
      <c r="D624">
        <v>2.2999999999999998</v>
      </c>
    </row>
    <row r="625" spans="1:4" x14ac:dyDescent="0.45">
      <c r="A625" t="s">
        <v>8</v>
      </c>
      <c r="B625">
        <v>2021</v>
      </c>
      <c r="C625" t="s">
        <v>61</v>
      </c>
      <c r="D625">
        <v>2.5</v>
      </c>
    </row>
    <row r="626" spans="1:4" x14ac:dyDescent="0.45">
      <c r="A626" t="s">
        <v>6</v>
      </c>
      <c r="B626">
        <v>2021</v>
      </c>
      <c r="C626" t="s">
        <v>61</v>
      </c>
      <c r="D626">
        <v>0.56999999999999995</v>
      </c>
    </row>
    <row r="627" spans="1:4" x14ac:dyDescent="0.45">
      <c r="A627" t="s">
        <v>19</v>
      </c>
      <c r="B627">
        <v>2021</v>
      </c>
      <c r="C627" t="s">
        <v>61</v>
      </c>
      <c r="D627">
        <v>0</v>
      </c>
    </row>
    <row r="628" spans="1:4" x14ac:dyDescent="0.45">
      <c r="A628" t="s">
        <v>23</v>
      </c>
      <c r="B628">
        <v>2021</v>
      </c>
      <c r="C628" t="s">
        <v>61</v>
      </c>
      <c r="D628">
        <v>0.47</v>
      </c>
    </row>
    <row r="629" spans="1:4" x14ac:dyDescent="0.45">
      <c r="A629" t="s">
        <v>55</v>
      </c>
      <c r="B629">
        <v>2021</v>
      </c>
      <c r="C629" t="s">
        <v>61</v>
      </c>
      <c r="D629">
        <v>0.3</v>
      </c>
    </row>
    <row r="630" spans="1:4" x14ac:dyDescent="0.45">
      <c r="A630" t="s">
        <v>9</v>
      </c>
      <c r="B630">
        <v>2021</v>
      </c>
      <c r="C630" t="s">
        <v>61</v>
      </c>
      <c r="D630">
        <v>0.01</v>
      </c>
    </row>
    <row r="631" spans="1:4" x14ac:dyDescent="0.45">
      <c r="A631" t="s">
        <v>88</v>
      </c>
      <c r="B631">
        <v>2021</v>
      </c>
      <c r="C631" t="s">
        <v>61</v>
      </c>
      <c r="D631">
        <v>0.02</v>
      </c>
    </row>
    <row r="632" spans="1:4" x14ac:dyDescent="0.45">
      <c r="A632" t="s">
        <v>55</v>
      </c>
      <c r="B632">
        <v>2022</v>
      </c>
      <c r="C632" t="s">
        <v>61</v>
      </c>
      <c r="D632">
        <v>0.34</v>
      </c>
    </row>
    <row r="633" spans="1:4" x14ac:dyDescent="0.45">
      <c r="A633" t="s">
        <v>5</v>
      </c>
      <c r="B633">
        <v>2022</v>
      </c>
      <c r="C633" t="s">
        <v>61</v>
      </c>
      <c r="D633">
        <v>1.01</v>
      </c>
    </row>
    <row r="634" spans="1:4" x14ac:dyDescent="0.45">
      <c r="A634" t="s">
        <v>8</v>
      </c>
      <c r="B634">
        <v>2022</v>
      </c>
      <c r="C634" t="s">
        <v>61</v>
      </c>
      <c r="D634">
        <v>2.2000000000000002</v>
      </c>
    </row>
    <row r="635" spans="1:4" x14ac:dyDescent="0.45">
      <c r="A635" t="s">
        <v>6</v>
      </c>
      <c r="B635">
        <v>2022</v>
      </c>
      <c r="C635" t="s">
        <v>61</v>
      </c>
      <c r="D635">
        <v>0.61</v>
      </c>
    </row>
    <row r="636" spans="1:4" x14ac:dyDescent="0.45">
      <c r="A636" t="s">
        <v>19</v>
      </c>
      <c r="B636">
        <v>2022</v>
      </c>
      <c r="C636" t="s">
        <v>61</v>
      </c>
      <c r="D636">
        <v>0</v>
      </c>
    </row>
    <row r="637" spans="1:4" x14ac:dyDescent="0.45">
      <c r="A637" t="s">
        <v>23</v>
      </c>
      <c r="B637">
        <v>2022</v>
      </c>
      <c r="C637" t="s">
        <v>61</v>
      </c>
      <c r="D637">
        <v>0.41</v>
      </c>
    </row>
    <row r="638" spans="1:4" x14ac:dyDescent="0.45">
      <c r="A638" t="s">
        <v>55</v>
      </c>
      <c r="B638">
        <v>2022</v>
      </c>
      <c r="C638" t="s">
        <v>61</v>
      </c>
      <c r="D638">
        <v>0.28999999999999998</v>
      </c>
    </row>
    <row r="639" spans="1:4" x14ac:dyDescent="0.45">
      <c r="A639" t="s">
        <v>9</v>
      </c>
      <c r="B639">
        <v>2022</v>
      </c>
      <c r="C639" t="s">
        <v>61</v>
      </c>
      <c r="D639">
        <v>0.01</v>
      </c>
    </row>
    <row r="640" spans="1:4" x14ac:dyDescent="0.45">
      <c r="A640" t="s">
        <v>88</v>
      </c>
      <c r="B640">
        <v>2022</v>
      </c>
      <c r="C640" t="s">
        <v>61</v>
      </c>
      <c r="D640">
        <v>0.03</v>
      </c>
    </row>
    <row r="641" spans="1:4" x14ac:dyDescent="0.45">
      <c r="A641" t="s">
        <v>55</v>
      </c>
      <c r="B641">
        <v>2023</v>
      </c>
      <c r="C641" t="s">
        <v>61</v>
      </c>
      <c r="D641">
        <v>0.34</v>
      </c>
    </row>
    <row r="642" spans="1:4" x14ac:dyDescent="0.45">
      <c r="A642" t="s">
        <v>5</v>
      </c>
      <c r="B642">
        <v>2023</v>
      </c>
      <c r="C642" t="s">
        <v>61</v>
      </c>
      <c r="D642">
        <v>1.57</v>
      </c>
    </row>
    <row r="643" spans="1:4" x14ac:dyDescent="0.45">
      <c r="A643" t="s">
        <v>8</v>
      </c>
      <c r="B643">
        <v>2023</v>
      </c>
      <c r="C643" t="s">
        <v>61</v>
      </c>
      <c r="D643">
        <v>1.75</v>
      </c>
    </row>
    <row r="644" spans="1:4" x14ac:dyDescent="0.45">
      <c r="A644" t="s">
        <v>6</v>
      </c>
      <c r="B644">
        <v>2023</v>
      </c>
      <c r="C644" t="s">
        <v>61</v>
      </c>
      <c r="D644">
        <v>0.62</v>
      </c>
    </row>
    <row r="645" spans="1:4" x14ac:dyDescent="0.45">
      <c r="A645" t="s">
        <v>19</v>
      </c>
      <c r="B645">
        <v>2023</v>
      </c>
      <c r="C645" t="s">
        <v>61</v>
      </c>
      <c r="D645">
        <v>0</v>
      </c>
    </row>
    <row r="646" spans="1:4" x14ac:dyDescent="0.45">
      <c r="A646" t="s">
        <v>23</v>
      </c>
      <c r="B646">
        <v>2023</v>
      </c>
      <c r="C646" t="s">
        <v>61</v>
      </c>
      <c r="D646">
        <v>0.41</v>
      </c>
    </row>
    <row r="647" spans="1:4" x14ac:dyDescent="0.45">
      <c r="A647" t="s">
        <v>55</v>
      </c>
      <c r="B647">
        <v>2023</v>
      </c>
      <c r="C647" t="s">
        <v>61</v>
      </c>
      <c r="D647">
        <v>0.28999999999999998</v>
      </c>
    </row>
    <row r="648" spans="1:4" x14ac:dyDescent="0.45">
      <c r="A648" t="s">
        <v>9</v>
      </c>
      <c r="B648">
        <v>2023</v>
      </c>
      <c r="C648" t="s">
        <v>61</v>
      </c>
      <c r="D648">
        <v>0.01</v>
      </c>
    </row>
    <row r="649" spans="1:4" x14ac:dyDescent="0.45">
      <c r="A649" t="s">
        <v>88</v>
      </c>
      <c r="B649">
        <v>2023</v>
      </c>
      <c r="C649" t="s">
        <v>61</v>
      </c>
      <c r="D649">
        <v>0.03</v>
      </c>
    </row>
    <row r="650" spans="1:4" x14ac:dyDescent="0.45">
      <c r="A650" t="s">
        <v>63</v>
      </c>
      <c r="B650">
        <v>2000</v>
      </c>
      <c r="C650" t="s">
        <v>59</v>
      </c>
      <c r="D650">
        <v>0</v>
      </c>
    </row>
    <row r="651" spans="1:4" x14ac:dyDescent="0.45">
      <c r="A651" t="s">
        <v>62</v>
      </c>
      <c r="B651">
        <v>2000</v>
      </c>
      <c r="C651" t="s">
        <v>59</v>
      </c>
      <c r="D651">
        <v>0</v>
      </c>
    </row>
    <row r="652" spans="1:4" x14ac:dyDescent="0.45">
      <c r="A652" t="s">
        <v>63</v>
      </c>
      <c r="B652">
        <v>2001</v>
      </c>
      <c r="C652" t="s">
        <v>59</v>
      </c>
      <c r="D652">
        <v>0</v>
      </c>
    </row>
    <row r="653" spans="1:4" x14ac:dyDescent="0.45">
      <c r="A653" t="s">
        <v>62</v>
      </c>
      <c r="B653">
        <v>2001</v>
      </c>
      <c r="C653" t="s">
        <v>59</v>
      </c>
      <c r="D653">
        <v>0</v>
      </c>
    </row>
    <row r="654" spans="1:4" x14ac:dyDescent="0.45">
      <c r="A654" t="s">
        <v>63</v>
      </c>
      <c r="B654">
        <v>2002</v>
      </c>
      <c r="C654" t="s">
        <v>59</v>
      </c>
      <c r="D654">
        <v>0</v>
      </c>
    </row>
    <row r="655" spans="1:4" x14ac:dyDescent="0.45">
      <c r="A655" t="s">
        <v>62</v>
      </c>
      <c r="B655">
        <v>2002</v>
      </c>
      <c r="C655" t="s">
        <v>59</v>
      </c>
      <c r="D655">
        <v>0</v>
      </c>
    </row>
    <row r="656" spans="1:4" x14ac:dyDescent="0.45">
      <c r="A656" t="s">
        <v>63</v>
      </c>
      <c r="B656">
        <v>2003</v>
      </c>
      <c r="C656" t="s">
        <v>59</v>
      </c>
      <c r="D656">
        <v>0</v>
      </c>
    </row>
    <row r="657" spans="1:4" x14ac:dyDescent="0.45">
      <c r="A657" t="s">
        <v>62</v>
      </c>
      <c r="B657">
        <v>2003</v>
      </c>
      <c r="C657" t="s">
        <v>59</v>
      </c>
      <c r="D657">
        <v>0</v>
      </c>
    </row>
    <row r="658" spans="1:4" x14ac:dyDescent="0.45">
      <c r="A658" t="s">
        <v>63</v>
      </c>
      <c r="B658">
        <v>2004</v>
      </c>
      <c r="C658" t="s">
        <v>59</v>
      </c>
      <c r="D658">
        <v>0</v>
      </c>
    </row>
    <row r="659" spans="1:4" x14ac:dyDescent="0.45">
      <c r="A659" t="s">
        <v>62</v>
      </c>
      <c r="B659">
        <v>2004</v>
      </c>
      <c r="C659" t="s">
        <v>59</v>
      </c>
      <c r="D659">
        <v>0</v>
      </c>
    </row>
    <row r="660" spans="1:4" x14ac:dyDescent="0.45">
      <c r="A660" t="s">
        <v>63</v>
      </c>
      <c r="B660">
        <v>2005</v>
      </c>
      <c r="C660" t="s">
        <v>59</v>
      </c>
      <c r="D660">
        <v>0</v>
      </c>
    </row>
    <row r="661" spans="1:4" x14ac:dyDescent="0.45">
      <c r="A661" t="s">
        <v>62</v>
      </c>
      <c r="B661">
        <v>2005</v>
      </c>
      <c r="C661" t="s">
        <v>59</v>
      </c>
      <c r="D661">
        <v>0</v>
      </c>
    </row>
    <row r="662" spans="1:4" x14ac:dyDescent="0.45">
      <c r="A662" t="s">
        <v>63</v>
      </c>
      <c r="B662">
        <v>2006</v>
      </c>
      <c r="C662" t="s">
        <v>59</v>
      </c>
      <c r="D662">
        <v>0</v>
      </c>
    </row>
    <row r="663" spans="1:4" x14ac:dyDescent="0.45">
      <c r="A663" t="s">
        <v>62</v>
      </c>
      <c r="B663">
        <v>2006</v>
      </c>
      <c r="C663" t="s">
        <v>59</v>
      </c>
      <c r="D663">
        <v>0</v>
      </c>
    </row>
    <row r="664" spans="1:4" x14ac:dyDescent="0.45">
      <c r="A664" t="s">
        <v>63</v>
      </c>
      <c r="B664">
        <v>2007</v>
      </c>
      <c r="C664" t="s">
        <v>59</v>
      </c>
      <c r="D664">
        <v>0</v>
      </c>
    </row>
    <row r="665" spans="1:4" x14ac:dyDescent="0.45">
      <c r="A665" t="s">
        <v>62</v>
      </c>
      <c r="B665">
        <v>2007</v>
      </c>
      <c r="C665" t="s">
        <v>59</v>
      </c>
      <c r="D665">
        <v>0</v>
      </c>
    </row>
    <row r="666" spans="1:4" x14ac:dyDescent="0.45">
      <c r="A666" t="s">
        <v>63</v>
      </c>
      <c r="B666">
        <v>2008</v>
      </c>
      <c r="C666" t="s">
        <v>59</v>
      </c>
      <c r="D666">
        <v>0</v>
      </c>
    </row>
    <row r="667" spans="1:4" x14ac:dyDescent="0.45">
      <c r="A667" t="s">
        <v>62</v>
      </c>
      <c r="B667">
        <v>2008</v>
      </c>
      <c r="C667" t="s">
        <v>59</v>
      </c>
      <c r="D667">
        <v>0</v>
      </c>
    </row>
    <row r="668" spans="1:4" x14ac:dyDescent="0.45">
      <c r="A668" t="s">
        <v>63</v>
      </c>
      <c r="B668">
        <v>2009</v>
      </c>
      <c r="C668" t="s">
        <v>59</v>
      </c>
      <c r="D668">
        <v>0</v>
      </c>
    </row>
    <row r="669" spans="1:4" x14ac:dyDescent="0.45">
      <c r="A669" t="s">
        <v>62</v>
      </c>
      <c r="B669">
        <v>2009</v>
      </c>
      <c r="C669" t="s">
        <v>59</v>
      </c>
      <c r="D669">
        <v>0</v>
      </c>
    </row>
    <row r="670" spans="1:4" x14ac:dyDescent="0.45">
      <c r="A670" t="s">
        <v>63</v>
      </c>
      <c r="B670">
        <v>2010</v>
      </c>
      <c r="C670" t="s">
        <v>59</v>
      </c>
      <c r="D670">
        <v>0</v>
      </c>
    </row>
    <row r="671" spans="1:4" x14ac:dyDescent="0.45">
      <c r="A671" t="s">
        <v>62</v>
      </c>
      <c r="B671">
        <v>2010</v>
      </c>
      <c r="C671" t="s">
        <v>59</v>
      </c>
      <c r="D671">
        <v>0</v>
      </c>
    </row>
    <row r="672" spans="1:4" x14ac:dyDescent="0.45">
      <c r="A672" t="s">
        <v>63</v>
      </c>
      <c r="B672">
        <v>2011</v>
      </c>
      <c r="C672" t="s">
        <v>59</v>
      </c>
      <c r="D672">
        <v>0</v>
      </c>
    </row>
    <row r="673" spans="1:4" x14ac:dyDescent="0.45">
      <c r="A673" t="s">
        <v>62</v>
      </c>
      <c r="B673">
        <v>2011</v>
      </c>
      <c r="C673" t="s">
        <v>59</v>
      </c>
      <c r="D673">
        <v>0</v>
      </c>
    </row>
    <row r="674" spans="1:4" x14ac:dyDescent="0.45">
      <c r="A674" t="s">
        <v>63</v>
      </c>
      <c r="B674">
        <v>2012</v>
      </c>
      <c r="C674" t="s">
        <v>59</v>
      </c>
      <c r="D674">
        <v>0</v>
      </c>
    </row>
    <row r="675" spans="1:4" x14ac:dyDescent="0.45">
      <c r="A675" t="s">
        <v>62</v>
      </c>
      <c r="B675">
        <v>2012</v>
      </c>
      <c r="C675" t="s">
        <v>59</v>
      </c>
      <c r="D675">
        <v>0</v>
      </c>
    </row>
    <row r="676" spans="1:4" x14ac:dyDescent="0.45">
      <c r="A676" t="s">
        <v>63</v>
      </c>
      <c r="B676">
        <v>2013</v>
      </c>
      <c r="C676" t="s">
        <v>59</v>
      </c>
      <c r="D676">
        <v>0</v>
      </c>
    </row>
    <row r="677" spans="1:4" x14ac:dyDescent="0.45">
      <c r="A677" t="s">
        <v>62</v>
      </c>
      <c r="B677">
        <v>2013</v>
      </c>
      <c r="C677" t="s">
        <v>59</v>
      </c>
      <c r="D677">
        <v>0</v>
      </c>
    </row>
    <row r="678" spans="1:4" x14ac:dyDescent="0.45">
      <c r="A678" t="s">
        <v>63</v>
      </c>
      <c r="B678">
        <v>2014</v>
      </c>
      <c r="C678" t="s">
        <v>59</v>
      </c>
      <c r="D678">
        <v>0</v>
      </c>
    </row>
    <row r="679" spans="1:4" x14ac:dyDescent="0.45">
      <c r="A679" t="s">
        <v>62</v>
      </c>
      <c r="B679">
        <v>2014</v>
      </c>
      <c r="C679" t="s">
        <v>59</v>
      </c>
      <c r="D679">
        <v>0</v>
      </c>
    </row>
    <row r="680" spans="1:4" x14ac:dyDescent="0.45">
      <c r="A680" t="s">
        <v>63</v>
      </c>
      <c r="B680">
        <v>2015</v>
      </c>
      <c r="C680" t="s">
        <v>59</v>
      </c>
      <c r="D680">
        <v>0</v>
      </c>
    </row>
    <row r="681" spans="1:4" x14ac:dyDescent="0.45">
      <c r="A681" t="s">
        <v>62</v>
      </c>
      <c r="B681">
        <v>2015</v>
      </c>
      <c r="C681" t="s">
        <v>59</v>
      </c>
      <c r="D681">
        <v>0</v>
      </c>
    </row>
    <row r="682" spans="1:4" x14ac:dyDescent="0.45">
      <c r="A682" t="s">
        <v>63</v>
      </c>
      <c r="B682">
        <v>2016</v>
      </c>
      <c r="C682" t="s">
        <v>59</v>
      </c>
      <c r="D682">
        <v>0</v>
      </c>
    </row>
    <row r="683" spans="1:4" x14ac:dyDescent="0.45">
      <c r="A683" t="s">
        <v>62</v>
      </c>
      <c r="B683">
        <v>2016</v>
      </c>
      <c r="C683" t="s">
        <v>59</v>
      </c>
      <c r="D683">
        <v>0</v>
      </c>
    </row>
    <row r="684" spans="1:4" x14ac:dyDescent="0.45">
      <c r="A684" t="s">
        <v>63</v>
      </c>
      <c r="B684">
        <v>2017</v>
      </c>
      <c r="C684" t="s">
        <v>59</v>
      </c>
      <c r="D684">
        <v>0</v>
      </c>
    </row>
    <row r="685" spans="1:4" x14ac:dyDescent="0.45">
      <c r="A685" t="s">
        <v>62</v>
      </c>
      <c r="B685">
        <v>2017</v>
      </c>
      <c r="C685" t="s">
        <v>59</v>
      </c>
      <c r="D685">
        <v>0</v>
      </c>
    </row>
    <row r="686" spans="1:4" x14ac:dyDescent="0.45">
      <c r="A686" t="s">
        <v>63</v>
      </c>
      <c r="B686">
        <v>2018</v>
      </c>
      <c r="C686" t="s">
        <v>59</v>
      </c>
      <c r="D686">
        <v>0</v>
      </c>
    </row>
    <row r="687" spans="1:4" x14ac:dyDescent="0.45">
      <c r="A687" t="s">
        <v>62</v>
      </c>
      <c r="B687">
        <v>2018</v>
      </c>
      <c r="C687" t="s">
        <v>59</v>
      </c>
      <c r="D687">
        <v>0</v>
      </c>
    </row>
    <row r="688" spans="1:4" x14ac:dyDescent="0.45">
      <c r="A688" t="s">
        <v>63</v>
      </c>
      <c r="B688">
        <v>2019</v>
      </c>
      <c r="C688" t="s">
        <v>59</v>
      </c>
      <c r="D688">
        <v>0</v>
      </c>
    </row>
    <row r="689" spans="1:4" x14ac:dyDescent="0.45">
      <c r="A689" t="s">
        <v>62</v>
      </c>
      <c r="B689">
        <v>2019</v>
      </c>
      <c r="C689" t="s">
        <v>59</v>
      </c>
      <c r="D689">
        <v>0</v>
      </c>
    </row>
    <row r="690" spans="1:4" x14ac:dyDescent="0.45">
      <c r="A690" t="s">
        <v>63</v>
      </c>
      <c r="B690">
        <v>2020</v>
      </c>
      <c r="C690" t="s">
        <v>59</v>
      </c>
      <c r="D690">
        <v>0</v>
      </c>
    </row>
    <row r="691" spans="1:4" x14ac:dyDescent="0.45">
      <c r="A691" t="s">
        <v>62</v>
      </c>
      <c r="B691">
        <v>2020</v>
      </c>
      <c r="C691" t="s">
        <v>59</v>
      </c>
      <c r="D691">
        <v>0</v>
      </c>
    </row>
    <row r="692" spans="1:4" x14ac:dyDescent="0.45">
      <c r="A692" t="s">
        <v>63</v>
      </c>
      <c r="B692">
        <v>2021</v>
      </c>
      <c r="C692" t="s">
        <v>59</v>
      </c>
      <c r="D692">
        <v>0</v>
      </c>
    </row>
    <row r="693" spans="1:4" x14ac:dyDescent="0.45">
      <c r="A693" t="s">
        <v>62</v>
      </c>
      <c r="B693">
        <v>2021</v>
      </c>
      <c r="C693" t="s">
        <v>59</v>
      </c>
      <c r="D693">
        <v>0</v>
      </c>
    </row>
    <row r="694" spans="1:4" x14ac:dyDescent="0.45">
      <c r="A694" t="s">
        <v>63</v>
      </c>
      <c r="B694">
        <v>2022</v>
      </c>
      <c r="C694" t="s">
        <v>59</v>
      </c>
      <c r="D694">
        <v>0</v>
      </c>
    </row>
    <row r="695" spans="1:4" x14ac:dyDescent="0.45">
      <c r="A695" t="s">
        <v>62</v>
      </c>
      <c r="B695">
        <v>2022</v>
      </c>
      <c r="C695" t="s">
        <v>59</v>
      </c>
      <c r="D695">
        <v>0</v>
      </c>
    </row>
    <row r="696" spans="1:4" x14ac:dyDescent="0.45">
      <c r="A696" t="s">
        <v>63</v>
      </c>
      <c r="B696">
        <v>2023</v>
      </c>
      <c r="C696" t="s">
        <v>59</v>
      </c>
      <c r="D696">
        <v>0</v>
      </c>
    </row>
    <row r="697" spans="1:4" x14ac:dyDescent="0.45">
      <c r="A697" t="s">
        <v>62</v>
      </c>
      <c r="B697">
        <v>2023</v>
      </c>
      <c r="C697" t="s">
        <v>59</v>
      </c>
      <c r="D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grids</vt:lpstr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2025-09-07T11:05:44Z</dcterms:modified>
</cp:coreProperties>
</file>