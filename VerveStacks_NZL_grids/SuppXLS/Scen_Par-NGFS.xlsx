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C8B522C9-96B9-41E7-BDF7-4C9A291D81B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<sst xmlns="http://schemas.openxmlformats.org/spreadsheetml/2006/main" count="58771" uniqueCount="92">
  <si>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</si>
  <si>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</si>
  <si>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</si>
  <si>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</si>
  <si>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</si>
  <si>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</si>
  <si>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</si>
  <si>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</si>
  <si>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</si>
  <si>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</si>
  <si>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</si>
  <si>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</si>
  <si>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</si>
  <si>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</si>
  <si>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</si>
  <si>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</si>
  <si>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</si>
  <si>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</si>
  <si>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</si>
  <si>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</si>
  <si>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</si>
  <si>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</si>
  <si>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</si>
  <si>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</si>
  <si>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</si>
  <si>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</si>
  <si>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</si>
  <si>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</si>
  <si>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</si>
  <si>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</si>
  <si>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</si>
  <si>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</si>
  <si>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</si>
  <si>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</si>
  <si>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</si>
  <si>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</si>
  <si>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</si>
  <si>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</si>
  <si>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</si>
  <si>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</si>
  <si>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</si>
  <si>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</si>
  <si>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</si>
  <si>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</si>
  <si>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</si>
  <si>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</si>
  <si>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</si>
  <si>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</si>
  <si>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</si>
  <si>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</si>
  <si>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</si>
  <si>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</si>
  <si>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</si>
  <si>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</si>
  <si>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</si>
  <si>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</si>
  <si>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</si>
  <si>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</si>
  <si>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</si>
  <si>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</si>
  <si>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</si>
  <si>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</si>
  <si>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</si>
  <si>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</si>
  <si>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</si>
  <si>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</si>
  <si>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</si>
  <si>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</si>
  <si>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</si>
  <si>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</si>
  <si>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</si>
  <si>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</si>
  <si>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</si>
  <si>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</si>
  <si>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</si>
  <si>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</si>
  <si>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</si>
  <si>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</si>
  <si>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</si>
  <si>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</si>
  <si>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</si>
  <si>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</si>
  <si>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</si>
  <si>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</si>
  <si>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NZL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</si>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</sst>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44.19</c:v>
                </c:pt>
                <c:pt idx="1">
                  <c:v>46.487197049525804</c:v>
                </c:pt>
                <c:pt idx="2">
                  <c:v>50.258946259220231</c:v>
                </c:pt>
                <c:pt idx="3">
                  <c:v>54.201433087460479</c:v>
                </c:pt>
                <c:pt idx="4">
                  <c:v>60.673940990516328</c:v>
                </c:pt>
                <c:pt idx="5">
                  <c:v>66.758408851422544</c:v>
                </c:pt>
                <c:pt idx="6">
                  <c:v>68.54339304531085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6.18</c:v>
                </c:pt>
                <c:pt idx="1">
                  <c:v>4.2820033112582774</c:v>
                </c:pt>
                <c:pt idx="2">
                  <c:v>3.9553169347209067</c:v>
                </c:pt>
                <c:pt idx="3">
                  <c:v>4.2081882686849568</c:v>
                </c:pt>
                <c:pt idx="4">
                  <c:v>5.5799787133396404</c:v>
                </c:pt>
                <c:pt idx="5">
                  <c:v>7.4173155156102153</c:v>
                </c:pt>
                <c:pt idx="6">
                  <c:v>10.098774834437085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44.19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44.19</v>
      </c>
      <c r="S12" s="8">
        <f t="shared" ref="S12:X12" si="0">SUM(S17:S20)</f>
        <v>46.487197049525804</v>
      </c>
      <c r="T12" s="8">
        <f t="shared" si="0"/>
        <v>50.258946259220231</v>
      </c>
      <c r="U12" s="8">
        <f t="shared" si="0"/>
        <v>54.201433087460479</v>
      </c>
      <c r="V12" s="8">
        <f t="shared" si="0"/>
        <v>60.673940990516328</v>
      </c>
      <c r="W12" s="8">
        <f t="shared" si="0"/>
        <v>66.758408851422544</v>
      </c>
      <c r="X12" s="8">
        <f t="shared" si="0"/>
        <v>68.54339304531085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8.9999999999999998E-4</v>
      </c>
      <c r="H16" s="10">
        <f>SUMIFS(ngfs_median!$J$2:$J$17119,ngfs_median!$B$2:$B$17119,Veda!$C$5,ngfs_median!$H$2:$H$17119,Veda!$Q16,ngfs_median!$I$2:$I$17119,Veda!H$15)</f>
        <v>4.8500000000000001E-3</v>
      </c>
      <c r="I16" s="10">
        <f>SUMIFS(ngfs_median!$J$2:$J$17119,ngfs_median!$B$2:$B$17119,Veda!$C$5,ngfs_median!$H$2:$H$17119,Veda!$Q16,ngfs_median!$I$2:$I$17119,Veda!I$15)</f>
        <v>8.0999999999999996E-3</v>
      </c>
      <c r="J16" s="10">
        <f>SUMIFS(ngfs_median!$J$2:$J$17119,ngfs_median!$B$2:$B$17119,Veda!$C$5,ngfs_median!$H$2:$H$17119,Veda!$Q16,ngfs_median!$I$2:$I$17119,Veda!J$15)</f>
        <v>1.0700000000000001E-2</v>
      </c>
      <c r="K16" s="10">
        <f>SUMIFS(ngfs_median!$J$2:$J$17119,ngfs_median!$B$2:$B$17119,Veda!$C$5,ngfs_median!$H$2:$H$17119,Veda!$Q16,ngfs_median!$I$2:$I$17119,Veda!K$15)</f>
        <v>1.2400000000000001E-2</v>
      </c>
      <c r="L16" s="10">
        <f>SUMIFS(ngfs_median!$J$2:$J$17119,ngfs_median!$B$2:$B$17119,Veda!$C$5,ngfs_median!$H$2:$H$17119,Veda!$Q16,ngfs_median!$I$2:$I$17119,Veda!L$15)</f>
        <v>1.37E-2</v>
      </c>
      <c r="M16" s="10">
        <f>SUMIFS(ngfs_median!$J$2:$J$17119,ngfs_median!$B$2:$B$17119,Veda!$C$5,ngfs_median!$H$2:$H$17119,Veda!$Q16,ngfs_median!$I$2:$I$17119,Veda!M$15)</f>
        <v>1.435E-2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0.90277777777777757</v>
      </c>
      <c r="U16" s="6">
        <f t="shared" si="2"/>
        <v>1.6250000000000002</v>
      </c>
      <c r="V16" s="6">
        <f t="shared" si="2"/>
        <v>2.0972222222222223</v>
      </c>
      <c r="W16" s="6">
        <f t="shared" si="2"/>
        <v>2.4583333333333335</v>
      </c>
      <c r="X16" s="6">
        <f t="shared" si="2"/>
        <v>2.6388888888888888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5.9999999999999995E-4</v>
      </c>
      <c r="H17" s="10">
        <f>SUMIFS(ngfs_median!$J$2:$J$17119,ngfs_median!$B$2:$B$17119,Veda!$C$5,ngfs_median!$H$2:$H$17119,Veda!$Q17,ngfs_median!$I$2:$I$17119,Veda!H$15)</f>
        <v>2.8500000000000001E-3</v>
      </c>
      <c r="I17" s="10">
        <f>SUMIFS(ngfs_median!$J$2:$J$17119,ngfs_median!$B$2:$B$17119,Veda!$C$5,ngfs_median!$H$2:$H$17119,Veda!$Q17,ngfs_median!$I$2:$I$17119,Veda!I$15)</f>
        <v>7.6500000000000005E-3</v>
      </c>
      <c r="J17" s="10">
        <f>SUMIFS(ngfs_median!$J$2:$J$17119,ngfs_median!$B$2:$B$17119,Veda!$C$5,ngfs_median!$H$2:$H$17119,Veda!$Q17,ngfs_median!$I$2:$I$17119,Veda!J$15)</f>
        <v>1.2400000000000001E-2</v>
      </c>
      <c r="K17" s="10">
        <f>SUMIFS(ngfs_median!$J$2:$J$17119,ngfs_median!$B$2:$B$17119,Veda!$C$5,ngfs_median!$H$2:$H$17119,Veda!$Q17,ngfs_median!$I$2:$I$17119,Veda!K$15)</f>
        <v>1.7399999999999999E-2</v>
      </c>
      <c r="L17" s="10">
        <f>SUMIFS(ngfs_median!$J$2:$J$17119,ngfs_median!$B$2:$B$17119,Veda!$C$5,ngfs_median!$H$2:$H$17119,Veda!$Q17,ngfs_median!$I$2:$I$17119,Veda!L$15)</f>
        <v>2.145E-2</v>
      </c>
      <c r="M17" s="10">
        <f>SUMIFS(ngfs_median!$J$2:$J$17119,ngfs_median!$B$2:$B$17119,Veda!$C$5,ngfs_median!$H$2:$H$17119,Veda!$Q17,ngfs_median!$I$2:$I$17119,Veda!M$15)</f>
        <v>2.5750000000000002E-2</v>
      </c>
      <c r="Q17" s="12" t="s">
        <v>10</v>
      </c>
      <c r="R17" s="6">
        <f>$Q$10*G17/SUM($G$17:$G$19)</f>
        <v>0.18625922023182293</v>
      </c>
      <c r="S17" s="6">
        <f>R17</f>
        <v>0.18625922023182293</v>
      </c>
      <c r="T17" s="6">
        <f t="shared" ref="T17:X17" si="3">S17</f>
        <v>0.18625922023182293</v>
      </c>
      <c r="U17" s="6">
        <f t="shared" si="3"/>
        <v>0.18625922023182293</v>
      </c>
      <c r="V17" s="6">
        <f t="shared" si="3"/>
        <v>0.18625922023182293</v>
      </c>
      <c r="W17" s="6">
        <f t="shared" si="3"/>
        <v>0.18625922023182293</v>
      </c>
      <c r="X17" s="6">
        <f t="shared" si="3"/>
        <v>0.18625922023182293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8.6300000000000002E-2</v>
      </c>
      <c r="H18" s="10">
        <f>SUMIFS(ngfs_median!$J$2:$J$17119,ngfs_median!$B$2:$B$17119,Veda!$C$5,ngfs_median!$H$2:$H$17119,Veda!$Q18,ngfs_median!$I$2:$I$17119,Veda!H$15)</f>
        <v>8.9749999999999996E-2</v>
      </c>
      <c r="I18" s="10">
        <f>SUMIFS(ngfs_median!$J$2:$J$17119,ngfs_median!$B$2:$B$17119,Veda!$C$5,ngfs_median!$H$2:$H$17119,Veda!$Q18,ngfs_median!$I$2:$I$17119,Veda!I$15)</f>
        <v>9.5350000000000004E-2</v>
      </c>
      <c r="J18" s="10">
        <f>SUMIFS(ngfs_median!$J$2:$J$17119,ngfs_median!$B$2:$B$17119,Veda!$C$5,ngfs_median!$H$2:$H$17119,Veda!$Q18,ngfs_median!$I$2:$I$17119,Veda!J$15)</f>
        <v>9.9449999999999997E-2</v>
      </c>
      <c r="K18" s="10">
        <f>SUMIFS(ngfs_median!$J$2:$J$17119,ngfs_median!$B$2:$B$17119,Veda!$C$5,ngfs_median!$H$2:$H$17119,Veda!$Q18,ngfs_median!$I$2:$I$17119,Veda!K$15)</f>
        <v>0.10630000000000001</v>
      </c>
      <c r="L18" s="10">
        <f>SUMIFS(ngfs_median!$J$2:$J$17119,ngfs_median!$B$2:$B$17119,Veda!$C$5,ngfs_median!$H$2:$H$17119,Veda!$Q18,ngfs_median!$I$2:$I$17119,Veda!L$15)</f>
        <v>0.11460000000000001</v>
      </c>
      <c r="M18" s="10">
        <f>SUMIFS(ngfs_median!$J$2:$J$17119,ngfs_median!$B$2:$B$17119,Veda!$C$5,ngfs_median!$H$2:$H$17119,Veda!$Q18,ngfs_median!$I$2:$I$17119,Veda!M$15)</f>
        <v>0.11260000000000001</v>
      </c>
      <c r="Q18" s="12" t="s">
        <v>12</v>
      </c>
      <c r="R18" s="6">
        <f>$Q$10*G18/SUM($G$17:$G$19)</f>
        <v>26.790284510010533</v>
      </c>
      <c r="S18" s="6">
        <f t="shared" ref="S18:X19" si="4">R18*H18/G18</f>
        <v>27.861275026343513</v>
      </c>
      <c r="T18" s="6">
        <f t="shared" si="4"/>
        <v>29.599694415173865</v>
      </c>
      <c r="U18" s="6">
        <f t="shared" si="4"/>
        <v>30.872465753424652</v>
      </c>
      <c r="V18" s="6">
        <f t="shared" si="4"/>
        <v>32.998925184404634</v>
      </c>
      <c r="W18" s="6">
        <f t="shared" si="4"/>
        <v>35.575511064278182</v>
      </c>
      <c r="X18" s="6">
        <f t="shared" si="4"/>
        <v>34.954646996838775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5.5449999999999999E-2</v>
      </c>
      <c r="H19" s="10">
        <f>SUMIFS(ngfs_median!$J$2:$J$17119,ngfs_median!$B$2:$B$17119,Veda!$C$5,ngfs_median!$H$2:$H$17119,Veda!$Q19,ngfs_median!$I$2:$I$17119,Veda!H$15)</f>
        <v>5.7149999999999999E-2</v>
      </c>
      <c r="I19" s="10">
        <f>SUMIFS(ngfs_median!$J$2:$J$17119,ngfs_median!$B$2:$B$17119,Veda!$C$5,ngfs_median!$H$2:$H$17119,Veda!$Q19,ngfs_median!$I$2:$I$17119,Veda!I$15)</f>
        <v>5.8900000000000001E-2</v>
      </c>
      <c r="J19" s="10">
        <f>SUMIFS(ngfs_median!$J$2:$J$17119,ngfs_median!$B$2:$B$17119,Veda!$C$5,ngfs_median!$H$2:$H$17119,Veda!$Q19,ngfs_median!$I$2:$I$17119,Veda!J$15)</f>
        <v>6.275E-2</v>
      </c>
      <c r="K19" s="10">
        <f>SUMIFS(ngfs_median!$J$2:$J$17119,ngfs_median!$B$2:$B$17119,Veda!$C$5,ngfs_median!$H$2:$H$17119,Veda!$Q19,ngfs_median!$I$2:$I$17119,Veda!K$15)</f>
        <v>7.1750000000000008E-2</v>
      </c>
      <c r="L19" s="10">
        <f>SUMIFS(ngfs_median!$J$2:$J$17119,ngfs_median!$B$2:$B$17119,Veda!$C$5,ngfs_median!$H$2:$H$17119,Veda!$Q19,ngfs_median!$I$2:$I$17119,Veda!L$15)</f>
        <v>7.9000000000000001E-2</v>
      </c>
      <c r="M19" s="10">
        <f>SUMIFS(ngfs_median!$J$2:$J$17119,ngfs_median!$B$2:$B$17119,Veda!$C$5,ngfs_median!$H$2:$H$17119,Veda!$Q19,ngfs_median!$I$2:$I$17119,Veda!M$15)</f>
        <v>8.2449999999999996E-2</v>
      </c>
      <c r="Q19" s="12" t="s">
        <v>13</v>
      </c>
      <c r="R19" s="6">
        <f>$Q$10*G19/SUM($G$17:$G$19)</f>
        <v>17.213456269757639</v>
      </c>
      <c r="S19" s="6">
        <f t="shared" si="4"/>
        <v>17.741190727081136</v>
      </c>
      <c r="T19" s="6">
        <f t="shared" si="4"/>
        <v>18.284446786090623</v>
      </c>
      <c r="U19" s="6">
        <f t="shared" si="4"/>
        <v>19.479610115911484</v>
      </c>
      <c r="V19" s="6">
        <f t="shared" si="4"/>
        <v>22.273498419388833</v>
      </c>
      <c r="W19" s="6">
        <f t="shared" si="4"/>
        <v>24.524130663856692</v>
      </c>
      <c r="X19" s="6">
        <f t="shared" si="4"/>
        <v>25.595121180189675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0.69847207586933624</v>
      </c>
      <c r="T20" s="6">
        <f t="shared" si="5"/>
        <v>2.18854583772392</v>
      </c>
      <c r="U20" s="6">
        <f t="shared" si="5"/>
        <v>3.6630979978925184</v>
      </c>
      <c r="V20" s="6">
        <f t="shared" si="5"/>
        <v>5.2152581664910427</v>
      </c>
      <c r="W20" s="6">
        <f t="shared" si="5"/>
        <v>6.4725079030558481</v>
      </c>
      <c r="X20" s="6">
        <f t="shared" si="5"/>
        <v>7.8073656480505793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6.18</v>
      </c>
      <c r="D22" s="12" t="s">
        <v>79</v>
      </c>
      <c r="G22" s="8">
        <f>G35/$G$35*$B22</f>
        <v>6.18</v>
      </c>
      <c r="H22" s="8">
        <f t="shared" ref="H22:M22" si="6">H35/$G$35*$B22</f>
        <v>4.2820033112582774</v>
      </c>
      <c r="I22" s="8">
        <f t="shared" si="6"/>
        <v>3.9553169347209067</v>
      </c>
      <c r="J22" s="8">
        <f t="shared" si="6"/>
        <v>4.2081882686849568</v>
      </c>
      <c r="K22" s="8">
        <f t="shared" si="6"/>
        <v>5.5799787133396404</v>
      </c>
      <c r="L22" s="8">
        <f t="shared" si="6"/>
        <v>7.4173155156102153</v>
      </c>
      <c r="M22" s="8">
        <f t="shared" si="6"/>
        <v>10.098774834437085</v>
      </c>
      <c r="Q22" t="s">
        <v>64</v>
      </c>
      <c r="T22" s="8">
        <f>I35*1000</f>
        <v>541.19999999999993</v>
      </c>
      <c r="U22" s="8">
        <f>J35*1000</f>
        <v>575.80000000000007</v>
      </c>
      <c r="V22" s="8">
        <f>K35*1000</f>
        <v>763.50000000000011</v>
      </c>
      <c r="W22" s="8">
        <f>L35*1000</f>
        <v>1014.8999999999999</v>
      </c>
      <c r="X22" s="8">
        <f>M35*1000</f>
        <v>1381.8000000000002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0.84560000000000013</v>
      </c>
      <c r="H35" s="11">
        <f>SUMIFS(ngfs_median!$J$2:$J$17119,ngfs_median!$B$2:$B$17119,Veda!$C$5,ngfs_median!$D$2:$D$17119,Veda!$D22,ngfs_median!$I$2:$I$17119,Veda!H$15)</f>
        <v>0.58589999999999998</v>
      </c>
      <c r="I35" s="11">
        <f>SUMIFS(ngfs_median!$J$2:$J$17119,ngfs_median!$B$2:$B$17119,Veda!$C$5,ngfs_median!$D$2:$D$17119,Veda!$D22,ngfs_median!$I$2:$I$17119,Veda!I$15)</f>
        <v>0.5411999999999999</v>
      </c>
      <c r="J35" s="11">
        <f>SUMIFS(ngfs_median!$J$2:$J$17119,ngfs_median!$B$2:$B$17119,Veda!$C$5,ngfs_median!$D$2:$D$17119,Veda!$D22,ngfs_median!$I$2:$I$17119,Veda!J$15)</f>
        <v>0.57580000000000009</v>
      </c>
      <c r="K35" s="11">
        <f>SUMIFS(ngfs_median!$J$2:$J$17119,ngfs_median!$B$2:$B$17119,Veda!$C$5,ngfs_median!$D$2:$D$17119,Veda!$D22,ngfs_median!$I$2:$I$17119,Veda!K$15)</f>
        <v>0.76350000000000007</v>
      </c>
      <c r="L35" s="11">
        <f>SUMIFS(ngfs_median!$J$2:$J$17119,ngfs_median!$B$2:$B$17119,Veda!$C$5,ngfs_median!$D$2:$D$17119,Veda!$D22,ngfs_median!$I$2:$I$17119,Veda!L$15)</f>
        <v>1.0148999999999999</v>
      </c>
      <c r="M35" s="11">
        <f>SUMIFS(ngfs_median!$J$2:$J$17119,ngfs_median!$B$2:$B$17119,Veda!$C$5,ngfs_median!$D$2:$D$17119,Veda!$D22,ngfs_median!$I$2:$I$17119,Veda!M$15)</f>
        <v>1.3818000000000001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0.85</v>
      </c>
    </row>
    <row r="3" spans="1:4" x14ac:dyDescent="0.45">
      <c r="A3" t="s">
        <v>34</v>
      </c>
      <c r="B3">
        <v>2000</v>
      </c>
      <c r="C3" t="s">
        <v>74</v>
      </c>
      <c r="D3">
        <v>1</v>
      </c>
    </row>
    <row r="4" spans="1:4" x14ac:dyDescent="0.45">
      <c r="A4" t="s">
        <v>36</v>
      </c>
      <c r="B4">
        <v>2000</v>
      </c>
      <c r="C4" t="s">
        <v>74</v>
      </c>
      <c r="D4">
        <v>9.4499999999999993</v>
      </c>
    </row>
    <row r="5" spans="1:4" x14ac:dyDescent="0.45">
      <c r="A5" t="s">
        <v>56</v>
      </c>
      <c r="B5">
        <v>2000</v>
      </c>
      <c r="C5" t="s">
        <v>74</v>
      </c>
      <c r="D5">
        <v>24.19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0.54</v>
      </c>
    </row>
    <row r="8" spans="1:4" x14ac:dyDescent="0.45">
      <c r="A8" t="s">
        <v>32</v>
      </c>
      <c r="B8">
        <v>2000</v>
      </c>
      <c r="C8" t="s">
        <v>74</v>
      </c>
      <c r="D8">
        <v>2.76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0.12</v>
      </c>
    </row>
    <row r="11" spans="1:4" x14ac:dyDescent="0.45">
      <c r="A11" t="s">
        <v>32</v>
      </c>
      <c r="B11">
        <v>2001</v>
      </c>
      <c r="C11" t="s">
        <v>74</v>
      </c>
      <c r="D11">
        <v>0.72</v>
      </c>
    </row>
    <row r="12" spans="1:4" x14ac:dyDescent="0.45">
      <c r="A12" t="s">
        <v>34</v>
      </c>
      <c r="B12">
        <v>2001</v>
      </c>
      <c r="C12" t="s">
        <v>74</v>
      </c>
      <c r="D12">
        <v>1.53</v>
      </c>
    </row>
    <row r="13" spans="1:4" x14ac:dyDescent="0.45">
      <c r="A13" t="s">
        <v>36</v>
      </c>
      <c r="B13">
        <v>2001</v>
      </c>
      <c r="C13" t="s">
        <v>74</v>
      </c>
      <c r="D13">
        <v>12.16</v>
      </c>
    </row>
    <row r="14" spans="1:4" x14ac:dyDescent="0.45">
      <c r="A14" t="s">
        <v>56</v>
      </c>
      <c r="B14">
        <v>2001</v>
      </c>
      <c r="C14" t="s">
        <v>74</v>
      </c>
      <c r="D14">
        <v>21.46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0.59</v>
      </c>
    </row>
    <row r="17" spans="1:4" x14ac:dyDescent="0.45">
      <c r="A17" t="s">
        <v>32</v>
      </c>
      <c r="B17">
        <v>2001</v>
      </c>
      <c r="C17" t="s">
        <v>74</v>
      </c>
      <c r="D17">
        <v>2.68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0.14000000000000001</v>
      </c>
    </row>
    <row r="20" spans="1:4" x14ac:dyDescent="0.45">
      <c r="A20" t="s">
        <v>32</v>
      </c>
      <c r="B20">
        <v>2002</v>
      </c>
      <c r="C20" t="s">
        <v>74</v>
      </c>
      <c r="D20">
        <v>0.57999999999999996</v>
      </c>
    </row>
    <row r="21" spans="1:4" x14ac:dyDescent="0.45">
      <c r="A21" t="s">
        <v>34</v>
      </c>
      <c r="B21">
        <v>2002</v>
      </c>
      <c r="C21" t="s">
        <v>74</v>
      </c>
      <c r="D21">
        <v>1.5</v>
      </c>
    </row>
    <row r="22" spans="1:4" x14ac:dyDescent="0.45">
      <c r="A22" t="s">
        <v>36</v>
      </c>
      <c r="B22">
        <v>2002</v>
      </c>
      <c r="C22" t="s">
        <v>74</v>
      </c>
      <c r="D22">
        <v>10.15</v>
      </c>
    </row>
    <row r="23" spans="1:4" x14ac:dyDescent="0.45">
      <c r="A23" t="s">
        <v>56</v>
      </c>
      <c r="B23">
        <v>2002</v>
      </c>
      <c r="C23" t="s">
        <v>74</v>
      </c>
      <c r="D23">
        <v>24.62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0.56000000000000005</v>
      </c>
    </row>
    <row r="26" spans="1:4" x14ac:dyDescent="0.45">
      <c r="A26" t="s">
        <v>32</v>
      </c>
      <c r="B26">
        <v>2002</v>
      </c>
      <c r="C26" t="s">
        <v>74</v>
      </c>
      <c r="D26">
        <v>2.65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0.15</v>
      </c>
    </row>
    <row r="29" spans="1:4" x14ac:dyDescent="0.45">
      <c r="A29" t="s">
        <v>32</v>
      </c>
      <c r="B29">
        <v>2003</v>
      </c>
      <c r="C29" t="s">
        <v>74</v>
      </c>
      <c r="D29">
        <v>0.55000000000000004</v>
      </c>
    </row>
    <row r="30" spans="1:4" x14ac:dyDescent="0.45">
      <c r="A30" t="s">
        <v>34</v>
      </c>
      <c r="B30">
        <v>2003</v>
      </c>
      <c r="C30" t="s">
        <v>74</v>
      </c>
      <c r="D30">
        <v>3.29</v>
      </c>
    </row>
    <row r="31" spans="1:4" x14ac:dyDescent="0.45">
      <c r="A31" t="s">
        <v>36</v>
      </c>
      <c r="B31">
        <v>2003</v>
      </c>
      <c r="C31" t="s">
        <v>74</v>
      </c>
      <c r="D31">
        <v>9.7100000000000009</v>
      </c>
    </row>
    <row r="32" spans="1:4" x14ac:dyDescent="0.45">
      <c r="A32" t="s">
        <v>56</v>
      </c>
      <c r="B32">
        <v>2003</v>
      </c>
      <c r="C32" t="s">
        <v>74</v>
      </c>
      <c r="D32">
        <v>23.39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2.59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0.15</v>
      </c>
    </row>
    <row r="38" spans="1:4" x14ac:dyDescent="0.45">
      <c r="A38" t="s">
        <v>32</v>
      </c>
      <c r="B38">
        <v>2004</v>
      </c>
      <c r="C38" t="s">
        <v>74</v>
      </c>
      <c r="D38">
        <v>0.64</v>
      </c>
    </row>
    <row r="39" spans="1:4" x14ac:dyDescent="0.45">
      <c r="A39" t="s">
        <v>34</v>
      </c>
      <c r="B39">
        <v>2004</v>
      </c>
      <c r="C39" t="s">
        <v>74</v>
      </c>
      <c r="D39">
        <v>4.13</v>
      </c>
    </row>
    <row r="40" spans="1:4" x14ac:dyDescent="0.45">
      <c r="A40" t="s">
        <v>36</v>
      </c>
      <c r="B40">
        <v>2004</v>
      </c>
      <c r="C40" t="s">
        <v>74</v>
      </c>
      <c r="D40">
        <v>6.86</v>
      </c>
    </row>
    <row r="41" spans="1:4" x14ac:dyDescent="0.45">
      <c r="A41" t="s">
        <v>56</v>
      </c>
      <c r="B41">
        <v>2004</v>
      </c>
      <c r="C41" t="s">
        <v>74</v>
      </c>
      <c r="D41">
        <v>26.97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0.68</v>
      </c>
    </row>
    <row r="44" spans="1:4" x14ac:dyDescent="0.45">
      <c r="A44" t="s">
        <v>32</v>
      </c>
      <c r="B44">
        <v>2004</v>
      </c>
      <c r="C44" t="s">
        <v>74</v>
      </c>
      <c r="D44">
        <v>2.63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0.36</v>
      </c>
    </row>
    <row r="47" spans="1:4" x14ac:dyDescent="0.45">
      <c r="A47" t="s">
        <v>32</v>
      </c>
      <c r="B47">
        <v>2005</v>
      </c>
      <c r="C47" t="s">
        <v>74</v>
      </c>
      <c r="D47">
        <v>0.68</v>
      </c>
    </row>
    <row r="48" spans="1:4" x14ac:dyDescent="0.45">
      <c r="A48" t="s">
        <v>34</v>
      </c>
      <c r="B48">
        <v>2005</v>
      </c>
      <c r="C48" t="s">
        <v>74</v>
      </c>
      <c r="D48">
        <v>5.25</v>
      </c>
    </row>
    <row r="49" spans="1:4" x14ac:dyDescent="0.45">
      <c r="A49" t="s">
        <v>36</v>
      </c>
      <c r="B49">
        <v>2005</v>
      </c>
      <c r="C49" t="s">
        <v>74</v>
      </c>
      <c r="D49">
        <v>9.26</v>
      </c>
    </row>
    <row r="50" spans="1:4" x14ac:dyDescent="0.45">
      <c r="A50" t="s">
        <v>56</v>
      </c>
      <c r="B50">
        <v>2005</v>
      </c>
      <c r="C50" t="s">
        <v>74</v>
      </c>
      <c r="D50">
        <v>23.09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0.61</v>
      </c>
    </row>
    <row r="53" spans="1:4" x14ac:dyDescent="0.45">
      <c r="A53" t="s">
        <v>32</v>
      </c>
      <c r="B53">
        <v>2005</v>
      </c>
      <c r="C53" t="s">
        <v>74</v>
      </c>
      <c r="D53">
        <v>2.98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0.61</v>
      </c>
    </row>
    <row r="56" spans="1:4" x14ac:dyDescent="0.45">
      <c r="A56" t="s">
        <v>32</v>
      </c>
      <c r="B56">
        <v>2006</v>
      </c>
      <c r="C56" t="s">
        <v>74</v>
      </c>
      <c r="D56">
        <v>0.74</v>
      </c>
    </row>
    <row r="57" spans="1:4" x14ac:dyDescent="0.45">
      <c r="A57" t="s">
        <v>34</v>
      </c>
      <c r="B57">
        <v>2006</v>
      </c>
      <c r="C57" t="s">
        <v>74</v>
      </c>
      <c r="D57">
        <v>4.8899999999999997</v>
      </c>
    </row>
    <row r="58" spans="1:4" x14ac:dyDescent="0.45">
      <c r="A58" t="s">
        <v>36</v>
      </c>
      <c r="B58">
        <v>2006</v>
      </c>
      <c r="C58" t="s">
        <v>74</v>
      </c>
      <c r="D58">
        <v>9.61</v>
      </c>
    </row>
    <row r="59" spans="1:4" x14ac:dyDescent="0.45">
      <c r="A59" t="s">
        <v>56</v>
      </c>
      <c r="B59">
        <v>2006</v>
      </c>
      <c r="C59" t="s">
        <v>74</v>
      </c>
      <c r="D59">
        <v>23.34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0.66</v>
      </c>
    </row>
    <row r="62" spans="1:4" x14ac:dyDescent="0.45">
      <c r="A62" t="s">
        <v>32</v>
      </c>
      <c r="B62">
        <v>2006</v>
      </c>
      <c r="C62" t="s">
        <v>74</v>
      </c>
      <c r="D62">
        <v>3.18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0.62</v>
      </c>
    </row>
    <row r="65" spans="1:4" x14ac:dyDescent="0.45">
      <c r="A65" t="s">
        <v>32</v>
      </c>
      <c r="B65">
        <v>2007</v>
      </c>
      <c r="C65" t="s">
        <v>74</v>
      </c>
      <c r="D65">
        <v>0.74</v>
      </c>
    </row>
    <row r="66" spans="1:4" x14ac:dyDescent="0.45">
      <c r="A66" t="s">
        <v>34</v>
      </c>
      <c r="B66">
        <v>2007</v>
      </c>
      <c r="C66" t="s">
        <v>74</v>
      </c>
      <c r="D66">
        <v>2.5499999999999998</v>
      </c>
    </row>
    <row r="67" spans="1:4" x14ac:dyDescent="0.45">
      <c r="A67" t="s">
        <v>36</v>
      </c>
      <c r="B67">
        <v>2007</v>
      </c>
      <c r="C67" t="s">
        <v>74</v>
      </c>
      <c r="D67">
        <v>11.81</v>
      </c>
    </row>
    <row r="68" spans="1:4" x14ac:dyDescent="0.45">
      <c r="A68" t="s">
        <v>56</v>
      </c>
      <c r="B68">
        <v>2007</v>
      </c>
      <c r="C68" t="s">
        <v>74</v>
      </c>
      <c r="D68">
        <v>23.4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0.61</v>
      </c>
    </row>
    <row r="71" spans="1:4" x14ac:dyDescent="0.45">
      <c r="A71" t="s">
        <v>32</v>
      </c>
      <c r="B71">
        <v>2007</v>
      </c>
      <c r="C71" t="s">
        <v>74</v>
      </c>
      <c r="D71">
        <v>3.35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0.92</v>
      </c>
    </row>
    <row r="74" spans="1:4" x14ac:dyDescent="0.45">
      <c r="A74" t="s">
        <v>32</v>
      </c>
      <c r="B74">
        <v>2008</v>
      </c>
      <c r="C74" t="s">
        <v>74</v>
      </c>
      <c r="D74">
        <v>0.73</v>
      </c>
    </row>
    <row r="75" spans="1:4" x14ac:dyDescent="0.45">
      <c r="A75" t="s">
        <v>34</v>
      </c>
      <c r="B75">
        <v>2008</v>
      </c>
      <c r="C75" t="s">
        <v>74</v>
      </c>
      <c r="D75">
        <v>4.24</v>
      </c>
    </row>
    <row r="76" spans="1:4" x14ac:dyDescent="0.45">
      <c r="A76" t="s">
        <v>36</v>
      </c>
      <c r="B76">
        <v>2008</v>
      </c>
      <c r="C76" t="s">
        <v>74</v>
      </c>
      <c r="D76">
        <v>10.56</v>
      </c>
    </row>
    <row r="77" spans="1:4" x14ac:dyDescent="0.45">
      <c r="A77" t="s">
        <v>56</v>
      </c>
      <c r="B77">
        <v>2008</v>
      </c>
      <c r="C77" t="s">
        <v>74</v>
      </c>
      <c r="D77">
        <v>22.12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0.72</v>
      </c>
    </row>
    <row r="80" spans="1:4" x14ac:dyDescent="0.45">
      <c r="A80" t="s">
        <v>32</v>
      </c>
      <c r="B80">
        <v>2008</v>
      </c>
      <c r="C80" t="s">
        <v>74</v>
      </c>
      <c r="D80">
        <v>3.97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1.05</v>
      </c>
    </row>
    <row r="83" spans="1:4" x14ac:dyDescent="0.45">
      <c r="A83" t="s">
        <v>32</v>
      </c>
      <c r="B83">
        <v>2009</v>
      </c>
      <c r="C83" t="s">
        <v>74</v>
      </c>
      <c r="D83">
        <v>0.76</v>
      </c>
    </row>
    <row r="84" spans="1:4" x14ac:dyDescent="0.45">
      <c r="A84" t="s">
        <v>34</v>
      </c>
      <c r="B84">
        <v>2009</v>
      </c>
      <c r="C84" t="s">
        <v>74</v>
      </c>
      <c r="D84">
        <v>2.73</v>
      </c>
    </row>
    <row r="85" spans="1:4" x14ac:dyDescent="0.45">
      <c r="A85" t="s">
        <v>36</v>
      </c>
      <c r="B85">
        <v>2009</v>
      </c>
      <c r="C85" t="s">
        <v>74</v>
      </c>
      <c r="D85">
        <v>8.86</v>
      </c>
    </row>
    <row r="86" spans="1:4" x14ac:dyDescent="0.45">
      <c r="A86" t="s">
        <v>56</v>
      </c>
      <c r="B86">
        <v>2009</v>
      </c>
      <c r="C86" t="s">
        <v>74</v>
      </c>
      <c r="D86">
        <v>23.98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0.56999999999999995</v>
      </c>
    </row>
    <row r="89" spans="1:4" x14ac:dyDescent="0.45">
      <c r="A89" t="s">
        <v>32</v>
      </c>
      <c r="B89">
        <v>2009</v>
      </c>
      <c r="C89" t="s">
        <v>74</v>
      </c>
      <c r="D89">
        <v>4.59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1.46</v>
      </c>
    </row>
    <row r="92" spans="1:4" x14ac:dyDescent="0.45">
      <c r="A92" t="s">
        <v>32</v>
      </c>
      <c r="B92">
        <v>2010</v>
      </c>
      <c r="C92" t="s">
        <v>74</v>
      </c>
      <c r="D92">
        <v>0.77</v>
      </c>
    </row>
    <row r="93" spans="1:4" x14ac:dyDescent="0.45">
      <c r="A93" t="s">
        <v>34</v>
      </c>
      <c r="B93">
        <v>2010</v>
      </c>
      <c r="C93" t="s">
        <v>74</v>
      </c>
      <c r="D93">
        <v>1.42</v>
      </c>
    </row>
    <row r="94" spans="1:4" x14ac:dyDescent="0.45">
      <c r="A94" t="s">
        <v>36</v>
      </c>
      <c r="B94">
        <v>2010</v>
      </c>
      <c r="C94" t="s">
        <v>74</v>
      </c>
      <c r="D94">
        <v>9.84</v>
      </c>
    </row>
    <row r="95" spans="1:4" x14ac:dyDescent="0.45">
      <c r="A95" t="s">
        <v>56</v>
      </c>
      <c r="B95">
        <v>2010</v>
      </c>
      <c r="C95" t="s">
        <v>74</v>
      </c>
      <c r="D95">
        <v>24.48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0.65</v>
      </c>
    </row>
    <row r="98" spans="1:4" x14ac:dyDescent="0.45">
      <c r="A98" t="s">
        <v>32</v>
      </c>
      <c r="B98">
        <v>2010</v>
      </c>
      <c r="C98" t="s">
        <v>74</v>
      </c>
      <c r="D98">
        <v>5.53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1.62</v>
      </c>
    </row>
    <row r="101" spans="1:4" x14ac:dyDescent="0.45">
      <c r="A101" t="s">
        <v>32</v>
      </c>
      <c r="B101">
        <v>2011</v>
      </c>
      <c r="C101" t="s">
        <v>74</v>
      </c>
      <c r="D101">
        <v>0.76</v>
      </c>
    </row>
    <row r="102" spans="1:4" x14ac:dyDescent="0.45">
      <c r="A102" t="s">
        <v>34</v>
      </c>
      <c r="B102">
        <v>2011</v>
      </c>
      <c r="C102" t="s">
        <v>74</v>
      </c>
      <c r="D102">
        <v>1.61</v>
      </c>
    </row>
    <row r="103" spans="1:4" x14ac:dyDescent="0.45">
      <c r="A103" t="s">
        <v>36</v>
      </c>
      <c r="B103">
        <v>2011</v>
      </c>
      <c r="C103" t="s">
        <v>74</v>
      </c>
      <c r="D103">
        <v>8.35</v>
      </c>
    </row>
    <row r="104" spans="1:4" x14ac:dyDescent="0.45">
      <c r="A104" t="s">
        <v>56</v>
      </c>
      <c r="B104">
        <v>2011</v>
      </c>
      <c r="C104" t="s">
        <v>74</v>
      </c>
      <c r="D104">
        <v>24.86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0.56999999999999995</v>
      </c>
    </row>
    <row r="107" spans="1:4" x14ac:dyDescent="0.45">
      <c r="A107" t="s">
        <v>32</v>
      </c>
      <c r="B107">
        <v>2011</v>
      </c>
      <c r="C107" t="s">
        <v>74</v>
      </c>
      <c r="D107">
        <v>5.77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1.94</v>
      </c>
    </row>
    <row r="110" spans="1:4" x14ac:dyDescent="0.45">
      <c r="A110" t="s">
        <v>32</v>
      </c>
      <c r="B110">
        <v>2012</v>
      </c>
      <c r="C110" t="s">
        <v>74</v>
      </c>
      <c r="D110">
        <v>0.8</v>
      </c>
    </row>
    <row r="111" spans="1:4" x14ac:dyDescent="0.45">
      <c r="A111" t="s">
        <v>34</v>
      </c>
      <c r="B111">
        <v>2012</v>
      </c>
      <c r="C111" t="s">
        <v>74</v>
      </c>
      <c r="D111">
        <v>2.94</v>
      </c>
    </row>
    <row r="112" spans="1:4" x14ac:dyDescent="0.45">
      <c r="A112" t="s">
        <v>36</v>
      </c>
      <c r="B112">
        <v>2012</v>
      </c>
      <c r="C112" t="s">
        <v>74</v>
      </c>
      <c r="D112">
        <v>8.81</v>
      </c>
    </row>
    <row r="113" spans="1:4" x14ac:dyDescent="0.45">
      <c r="A113" t="s">
        <v>56</v>
      </c>
      <c r="B113">
        <v>2012</v>
      </c>
      <c r="C113" t="s">
        <v>74</v>
      </c>
      <c r="D113">
        <v>22.67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0.62</v>
      </c>
    </row>
    <row r="116" spans="1:4" x14ac:dyDescent="0.45">
      <c r="A116" t="s">
        <v>32</v>
      </c>
      <c r="B116">
        <v>2012</v>
      </c>
      <c r="C116" t="s">
        <v>74</v>
      </c>
      <c r="D116">
        <v>5.85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2.06</v>
      </c>
    </row>
    <row r="119" spans="1:4" x14ac:dyDescent="0.45">
      <c r="A119" t="s">
        <v>32</v>
      </c>
      <c r="B119">
        <v>2013</v>
      </c>
      <c r="C119" t="s">
        <v>74</v>
      </c>
      <c r="D119">
        <v>0.8</v>
      </c>
    </row>
    <row r="120" spans="1:4" x14ac:dyDescent="0.45">
      <c r="A120" t="s">
        <v>34</v>
      </c>
      <c r="B120">
        <v>2013</v>
      </c>
      <c r="C120" t="s">
        <v>74</v>
      </c>
      <c r="D120">
        <v>1.75</v>
      </c>
    </row>
    <row r="121" spans="1:4" x14ac:dyDescent="0.45">
      <c r="A121" t="s">
        <v>36</v>
      </c>
      <c r="B121">
        <v>2013</v>
      </c>
      <c r="C121" t="s">
        <v>74</v>
      </c>
      <c r="D121">
        <v>8.6300000000000008</v>
      </c>
    </row>
    <row r="122" spans="1:4" x14ac:dyDescent="0.45">
      <c r="A122" t="s">
        <v>56</v>
      </c>
      <c r="B122">
        <v>2013</v>
      </c>
      <c r="C122" t="s">
        <v>74</v>
      </c>
      <c r="D122">
        <v>22.8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0.64</v>
      </c>
    </row>
    <row r="125" spans="1:4" x14ac:dyDescent="0.45">
      <c r="A125" t="s">
        <v>32</v>
      </c>
      <c r="B125">
        <v>2013</v>
      </c>
      <c r="C125" t="s">
        <v>74</v>
      </c>
      <c r="D125">
        <v>6.07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2</v>
      </c>
    </row>
    <row r="128" spans="1:4" x14ac:dyDescent="0.45">
      <c r="A128" t="s">
        <v>32</v>
      </c>
      <c r="B128">
        <v>2014</v>
      </c>
      <c r="C128" t="s">
        <v>74</v>
      </c>
      <c r="D128">
        <v>0.8</v>
      </c>
    </row>
    <row r="129" spans="1:4" x14ac:dyDescent="0.45">
      <c r="A129" t="s">
        <v>34</v>
      </c>
      <c r="B129">
        <v>2014</v>
      </c>
      <c r="C129" t="s">
        <v>74</v>
      </c>
      <c r="D129">
        <v>1.34</v>
      </c>
    </row>
    <row r="130" spans="1:4" x14ac:dyDescent="0.45">
      <c r="A130" t="s">
        <v>36</v>
      </c>
      <c r="B130">
        <v>2014</v>
      </c>
      <c r="C130" t="s">
        <v>74</v>
      </c>
      <c r="D130">
        <v>7</v>
      </c>
    </row>
    <row r="131" spans="1:4" x14ac:dyDescent="0.45">
      <c r="A131" t="s">
        <v>56</v>
      </c>
      <c r="B131">
        <v>2014</v>
      </c>
      <c r="C131" t="s">
        <v>74</v>
      </c>
      <c r="D131">
        <v>24.07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0.63</v>
      </c>
    </row>
    <row r="134" spans="1:4" x14ac:dyDescent="0.45">
      <c r="A134" t="s">
        <v>32</v>
      </c>
      <c r="B134">
        <v>2014</v>
      </c>
      <c r="C134" t="s">
        <v>74</v>
      </c>
      <c r="D134">
        <v>6.87</v>
      </c>
    </row>
    <row r="135" spans="1:4" x14ac:dyDescent="0.45">
      <c r="A135" t="s">
        <v>58</v>
      </c>
      <c r="B135">
        <v>2014</v>
      </c>
      <c r="C135" t="s">
        <v>74</v>
      </c>
      <c r="D135">
        <v>0.02</v>
      </c>
    </row>
    <row r="136" spans="1:4" x14ac:dyDescent="0.45">
      <c r="A136" t="s">
        <v>91</v>
      </c>
      <c r="B136">
        <v>2014</v>
      </c>
      <c r="C136" t="s">
        <v>74</v>
      </c>
      <c r="D136">
        <v>2.19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1.23</v>
      </c>
    </row>
    <row r="139" spans="1:4" x14ac:dyDescent="0.45">
      <c r="A139" t="s">
        <v>36</v>
      </c>
      <c r="B139">
        <v>2015</v>
      </c>
      <c r="C139" t="s">
        <v>74</v>
      </c>
      <c r="D139">
        <v>6.8</v>
      </c>
    </row>
    <row r="140" spans="1:4" x14ac:dyDescent="0.45">
      <c r="A140" t="s">
        <v>56</v>
      </c>
      <c r="B140">
        <v>2015</v>
      </c>
      <c r="C140" t="s">
        <v>74</v>
      </c>
      <c r="D140">
        <v>24.28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0.65</v>
      </c>
    </row>
    <row r="143" spans="1:4" x14ac:dyDescent="0.45">
      <c r="A143" t="s">
        <v>32</v>
      </c>
      <c r="B143">
        <v>2015</v>
      </c>
      <c r="C143" t="s">
        <v>74</v>
      </c>
      <c r="D143">
        <v>7.41</v>
      </c>
    </row>
    <row r="144" spans="1:4" x14ac:dyDescent="0.45">
      <c r="A144" t="s">
        <v>58</v>
      </c>
      <c r="B144">
        <v>2015</v>
      </c>
      <c r="C144" t="s">
        <v>74</v>
      </c>
      <c r="D144">
        <v>0.04</v>
      </c>
    </row>
    <row r="145" spans="1:4" x14ac:dyDescent="0.45">
      <c r="A145" t="s">
        <v>91</v>
      </c>
      <c r="B145">
        <v>2015</v>
      </c>
      <c r="C145" t="s">
        <v>74</v>
      </c>
      <c r="D145">
        <v>2.34</v>
      </c>
    </row>
    <row r="146" spans="1:4" x14ac:dyDescent="0.45">
      <c r="A146" t="s">
        <v>32</v>
      </c>
      <c r="B146">
        <v>2016</v>
      </c>
      <c r="C146" t="s">
        <v>74</v>
      </c>
      <c r="D146">
        <v>0.81</v>
      </c>
    </row>
    <row r="147" spans="1:4" x14ac:dyDescent="0.45">
      <c r="A147" t="s">
        <v>34</v>
      </c>
      <c r="B147">
        <v>2016</v>
      </c>
      <c r="C147" t="s">
        <v>74</v>
      </c>
      <c r="D147">
        <v>0.44</v>
      </c>
    </row>
    <row r="148" spans="1:4" x14ac:dyDescent="0.45">
      <c r="A148" t="s">
        <v>36</v>
      </c>
      <c r="B148">
        <v>2016</v>
      </c>
      <c r="C148" t="s">
        <v>74</v>
      </c>
      <c r="D148">
        <v>5.71</v>
      </c>
    </row>
    <row r="149" spans="1:4" x14ac:dyDescent="0.45">
      <c r="A149" t="s">
        <v>56</v>
      </c>
      <c r="B149">
        <v>2016</v>
      </c>
      <c r="C149" t="s">
        <v>74</v>
      </c>
      <c r="D149">
        <v>25.66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0.61</v>
      </c>
    </row>
    <row r="152" spans="1:4" x14ac:dyDescent="0.45">
      <c r="A152" t="s">
        <v>32</v>
      </c>
      <c r="B152">
        <v>2016</v>
      </c>
      <c r="C152" t="s">
        <v>74</v>
      </c>
      <c r="D152">
        <v>7.54</v>
      </c>
    </row>
    <row r="153" spans="1:4" x14ac:dyDescent="0.45">
      <c r="A153" t="s">
        <v>58</v>
      </c>
      <c r="B153">
        <v>2016</v>
      </c>
      <c r="C153" t="s">
        <v>74</v>
      </c>
      <c r="D153">
        <v>0.06</v>
      </c>
    </row>
    <row r="154" spans="1:4" x14ac:dyDescent="0.45">
      <c r="A154" t="s">
        <v>91</v>
      </c>
      <c r="B154">
        <v>2016</v>
      </c>
      <c r="C154" t="s">
        <v>74</v>
      </c>
      <c r="D154">
        <v>2.3199999999999998</v>
      </c>
    </row>
    <row r="155" spans="1:4" x14ac:dyDescent="0.45">
      <c r="A155" t="s">
        <v>32</v>
      </c>
      <c r="B155">
        <v>2017</v>
      </c>
      <c r="C155" t="s">
        <v>74</v>
      </c>
      <c r="D155">
        <v>0.8</v>
      </c>
    </row>
    <row r="156" spans="1:4" x14ac:dyDescent="0.45">
      <c r="A156" t="s">
        <v>34</v>
      </c>
      <c r="B156">
        <v>2017</v>
      </c>
      <c r="C156" t="s">
        <v>74</v>
      </c>
      <c r="D156">
        <v>0.57999999999999996</v>
      </c>
    </row>
    <row r="157" spans="1:4" x14ac:dyDescent="0.45">
      <c r="A157" t="s">
        <v>36</v>
      </c>
      <c r="B157">
        <v>2017</v>
      </c>
      <c r="C157" t="s">
        <v>74</v>
      </c>
      <c r="D157">
        <v>6.98</v>
      </c>
    </row>
    <row r="158" spans="1:4" x14ac:dyDescent="0.45">
      <c r="A158" t="s">
        <v>56</v>
      </c>
      <c r="B158">
        <v>2017</v>
      </c>
      <c r="C158" t="s">
        <v>74</v>
      </c>
      <c r="D158">
        <v>24.93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0.64</v>
      </c>
    </row>
    <row r="161" spans="1:4" x14ac:dyDescent="0.45">
      <c r="A161" t="s">
        <v>32</v>
      </c>
      <c r="B161">
        <v>2017</v>
      </c>
      <c r="C161" t="s">
        <v>74</v>
      </c>
      <c r="D161">
        <v>7.58</v>
      </c>
    </row>
    <row r="162" spans="1:4" x14ac:dyDescent="0.45">
      <c r="A162" t="s">
        <v>58</v>
      </c>
      <c r="B162">
        <v>2017</v>
      </c>
      <c r="C162" t="s">
        <v>74</v>
      </c>
      <c r="D162">
        <v>0.08</v>
      </c>
    </row>
    <row r="163" spans="1:4" x14ac:dyDescent="0.45">
      <c r="A163" t="s">
        <v>91</v>
      </c>
      <c r="B163">
        <v>2017</v>
      </c>
      <c r="C163" t="s">
        <v>74</v>
      </c>
      <c r="D163">
        <v>2.0699999999999998</v>
      </c>
    </row>
    <row r="164" spans="1:4" x14ac:dyDescent="0.45">
      <c r="A164" t="s">
        <v>32</v>
      </c>
      <c r="B164">
        <v>2018</v>
      </c>
      <c r="C164" t="s">
        <v>74</v>
      </c>
      <c r="D164">
        <v>0.77</v>
      </c>
    </row>
    <row r="165" spans="1:4" x14ac:dyDescent="0.45">
      <c r="A165" t="s">
        <v>34</v>
      </c>
      <c r="B165">
        <v>2018</v>
      </c>
      <c r="C165" t="s">
        <v>74</v>
      </c>
      <c r="D165">
        <v>0.98</v>
      </c>
    </row>
    <row r="166" spans="1:4" x14ac:dyDescent="0.45">
      <c r="A166" t="s">
        <v>36</v>
      </c>
      <c r="B166">
        <v>2018</v>
      </c>
      <c r="C166" t="s">
        <v>74</v>
      </c>
      <c r="D166">
        <v>5.66</v>
      </c>
    </row>
    <row r="167" spans="1:4" x14ac:dyDescent="0.45">
      <c r="A167" t="s">
        <v>56</v>
      </c>
      <c r="B167">
        <v>2018</v>
      </c>
      <c r="C167" t="s">
        <v>74</v>
      </c>
      <c r="D167">
        <v>26.03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0.62</v>
      </c>
    </row>
    <row r="170" spans="1:4" x14ac:dyDescent="0.45">
      <c r="A170" t="s">
        <v>32</v>
      </c>
      <c r="B170">
        <v>2018</v>
      </c>
      <c r="C170" t="s">
        <v>74</v>
      </c>
      <c r="D170">
        <v>7.52</v>
      </c>
    </row>
    <row r="171" spans="1:4" x14ac:dyDescent="0.45">
      <c r="A171" t="s">
        <v>58</v>
      </c>
      <c r="B171">
        <v>2018</v>
      </c>
      <c r="C171" t="s">
        <v>74</v>
      </c>
      <c r="D171">
        <v>0.1</v>
      </c>
    </row>
    <row r="172" spans="1:4" x14ac:dyDescent="0.45">
      <c r="A172" t="s">
        <v>91</v>
      </c>
      <c r="B172">
        <v>2018</v>
      </c>
      <c r="C172" t="s">
        <v>74</v>
      </c>
      <c r="D172">
        <v>2.0499999999999998</v>
      </c>
    </row>
    <row r="173" spans="1:4" x14ac:dyDescent="0.45">
      <c r="A173" t="s">
        <v>32</v>
      </c>
      <c r="B173">
        <v>2019</v>
      </c>
      <c r="C173" t="s">
        <v>74</v>
      </c>
      <c r="D173">
        <v>0.79</v>
      </c>
    </row>
    <row r="174" spans="1:4" x14ac:dyDescent="0.45">
      <c r="A174" t="s">
        <v>34</v>
      </c>
      <c r="B174">
        <v>2019</v>
      </c>
      <c r="C174" t="s">
        <v>74</v>
      </c>
      <c r="D174">
        <v>1.59</v>
      </c>
    </row>
    <row r="175" spans="1:4" x14ac:dyDescent="0.45">
      <c r="A175" t="s">
        <v>36</v>
      </c>
      <c r="B175">
        <v>2019</v>
      </c>
      <c r="C175" t="s">
        <v>74</v>
      </c>
      <c r="D175">
        <v>5.42</v>
      </c>
    </row>
    <row r="176" spans="1:4" x14ac:dyDescent="0.45">
      <c r="A176" t="s">
        <v>56</v>
      </c>
      <c r="B176">
        <v>2019</v>
      </c>
      <c r="C176" t="s">
        <v>74</v>
      </c>
      <c r="D176">
        <v>25.32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0.68</v>
      </c>
    </row>
    <row r="179" spans="1:4" x14ac:dyDescent="0.45">
      <c r="A179" t="s">
        <v>32</v>
      </c>
      <c r="B179">
        <v>2019</v>
      </c>
      <c r="C179" t="s">
        <v>74</v>
      </c>
      <c r="D179">
        <v>7.59</v>
      </c>
    </row>
    <row r="180" spans="1:4" x14ac:dyDescent="0.45">
      <c r="A180" t="s">
        <v>58</v>
      </c>
      <c r="B180">
        <v>2019</v>
      </c>
      <c r="C180" t="s">
        <v>74</v>
      </c>
      <c r="D180">
        <v>0.13</v>
      </c>
    </row>
    <row r="181" spans="1:4" x14ac:dyDescent="0.45">
      <c r="A181" t="s">
        <v>91</v>
      </c>
      <c r="B181">
        <v>2019</v>
      </c>
      <c r="C181" t="s">
        <v>74</v>
      </c>
      <c r="D181">
        <v>2.23</v>
      </c>
    </row>
    <row r="182" spans="1:4" x14ac:dyDescent="0.45">
      <c r="A182" t="s">
        <v>32</v>
      </c>
      <c r="B182">
        <v>2020</v>
      </c>
      <c r="C182" t="s">
        <v>74</v>
      </c>
      <c r="D182">
        <v>0.78</v>
      </c>
    </row>
    <row r="183" spans="1:4" x14ac:dyDescent="0.45">
      <c r="A183" t="s">
        <v>34</v>
      </c>
      <c r="B183">
        <v>2020</v>
      </c>
      <c r="C183" t="s">
        <v>74</v>
      </c>
      <c r="D183">
        <v>1.7</v>
      </c>
    </row>
    <row r="184" spans="1:4" x14ac:dyDescent="0.45">
      <c r="A184" t="s">
        <v>36</v>
      </c>
      <c r="B184">
        <v>2020</v>
      </c>
      <c r="C184" t="s">
        <v>74</v>
      </c>
      <c r="D184">
        <v>5.94</v>
      </c>
    </row>
    <row r="185" spans="1:4" x14ac:dyDescent="0.45">
      <c r="A185" t="s">
        <v>56</v>
      </c>
      <c r="B185">
        <v>2020</v>
      </c>
      <c r="C185" t="s">
        <v>74</v>
      </c>
      <c r="D185">
        <v>24.03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0.63</v>
      </c>
    </row>
    <row r="188" spans="1:4" x14ac:dyDescent="0.45">
      <c r="A188" t="s">
        <v>32</v>
      </c>
      <c r="B188">
        <v>2020</v>
      </c>
      <c r="C188" t="s">
        <v>74</v>
      </c>
      <c r="D188">
        <v>7.83</v>
      </c>
    </row>
    <row r="189" spans="1:4" x14ac:dyDescent="0.45">
      <c r="A189" t="s">
        <v>58</v>
      </c>
      <c r="B189">
        <v>2020</v>
      </c>
      <c r="C189" t="s">
        <v>74</v>
      </c>
      <c r="D189">
        <v>0.16</v>
      </c>
    </row>
    <row r="190" spans="1:4" x14ac:dyDescent="0.45">
      <c r="A190" t="s">
        <v>91</v>
      </c>
      <c r="B190">
        <v>2020</v>
      </c>
      <c r="C190" t="s">
        <v>74</v>
      </c>
      <c r="D190">
        <v>2.2799999999999998</v>
      </c>
    </row>
    <row r="191" spans="1:4" x14ac:dyDescent="0.45">
      <c r="A191" t="s">
        <v>32</v>
      </c>
      <c r="B191">
        <v>2021</v>
      </c>
      <c r="C191" t="s">
        <v>74</v>
      </c>
      <c r="D191">
        <v>1.73</v>
      </c>
    </row>
    <row r="192" spans="1:4" x14ac:dyDescent="0.45">
      <c r="A192" t="s">
        <v>34</v>
      </c>
      <c r="B192">
        <v>2021</v>
      </c>
      <c r="C192" t="s">
        <v>74</v>
      </c>
      <c r="D192">
        <v>2.6</v>
      </c>
    </row>
    <row r="193" spans="1:4" x14ac:dyDescent="0.45">
      <c r="A193" t="s">
        <v>36</v>
      </c>
      <c r="B193">
        <v>2021</v>
      </c>
      <c r="C193" t="s">
        <v>74</v>
      </c>
      <c r="D193">
        <v>4.6500000000000004</v>
      </c>
    </row>
    <row r="194" spans="1:4" x14ac:dyDescent="0.45">
      <c r="A194" t="s">
        <v>56</v>
      </c>
      <c r="B194">
        <v>2021</v>
      </c>
      <c r="C194" t="s">
        <v>74</v>
      </c>
      <c r="D194">
        <v>23.99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0.71</v>
      </c>
    </row>
    <row r="197" spans="1:4" x14ac:dyDescent="0.45">
      <c r="A197" t="s">
        <v>32</v>
      </c>
      <c r="B197">
        <v>2021</v>
      </c>
      <c r="C197" t="s">
        <v>74</v>
      </c>
      <c r="D197">
        <v>7.97</v>
      </c>
    </row>
    <row r="198" spans="1:4" x14ac:dyDescent="0.45">
      <c r="A198" t="s">
        <v>58</v>
      </c>
      <c r="B198">
        <v>2021</v>
      </c>
      <c r="C198" t="s">
        <v>74</v>
      </c>
      <c r="D198">
        <v>0.21</v>
      </c>
    </row>
    <row r="199" spans="1:4" x14ac:dyDescent="0.45">
      <c r="A199" t="s">
        <v>91</v>
      </c>
      <c r="B199">
        <v>2021</v>
      </c>
      <c r="C199" t="s">
        <v>74</v>
      </c>
      <c r="D199">
        <v>2.62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1.1399999999999999</v>
      </c>
    </row>
    <row r="202" spans="1:4" x14ac:dyDescent="0.45">
      <c r="A202" t="s">
        <v>36</v>
      </c>
      <c r="B202">
        <v>2022</v>
      </c>
      <c r="C202" t="s">
        <v>74</v>
      </c>
      <c r="D202">
        <v>4.08</v>
      </c>
    </row>
    <row r="203" spans="1:4" x14ac:dyDescent="0.45">
      <c r="A203" t="s">
        <v>56</v>
      </c>
      <c r="B203">
        <v>2022</v>
      </c>
      <c r="C203" t="s">
        <v>74</v>
      </c>
      <c r="D203">
        <v>25.86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0.62</v>
      </c>
    </row>
    <row r="206" spans="1:4" x14ac:dyDescent="0.45">
      <c r="A206" t="s">
        <v>32</v>
      </c>
      <c r="B206">
        <v>2022</v>
      </c>
      <c r="C206" t="s">
        <v>74</v>
      </c>
      <c r="D206">
        <v>7.82</v>
      </c>
    </row>
    <row r="207" spans="1:4" x14ac:dyDescent="0.45">
      <c r="A207" t="s">
        <v>58</v>
      </c>
      <c r="B207">
        <v>2022</v>
      </c>
      <c r="C207" t="s">
        <v>74</v>
      </c>
      <c r="D207">
        <v>0.21</v>
      </c>
    </row>
    <row r="208" spans="1:4" x14ac:dyDescent="0.45">
      <c r="A208" t="s">
        <v>91</v>
      </c>
      <c r="B208">
        <v>2022</v>
      </c>
      <c r="C208" t="s">
        <v>74</v>
      </c>
      <c r="D208">
        <v>2.89</v>
      </c>
    </row>
    <row r="209" spans="1:4" x14ac:dyDescent="0.45">
      <c r="A209" t="s">
        <v>32</v>
      </c>
      <c r="B209">
        <v>2023</v>
      </c>
      <c r="C209" t="s">
        <v>74</v>
      </c>
      <c r="D209">
        <v>1.55</v>
      </c>
    </row>
    <row r="210" spans="1:4" x14ac:dyDescent="0.45">
      <c r="A210" t="s">
        <v>34</v>
      </c>
      <c r="B210">
        <v>2023</v>
      </c>
      <c r="C210" t="s">
        <v>74</v>
      </c>
      <c r="D210">
        <v>1.77</v>
      </c>
    </row>
    <row r="211" spans="1:4" x14ac:dyDescent="0.45">
      <c r="A211" t="s">
        <v>36</v>
      </c>
      <c r="B211">
        <v>2023</v>
      </c>
      <c r="C211" t="s">
        <v>74</v>
      </c>
      <c r="D211">
        <v>3.25</v>
      </c>
    </row>
    <row r="212" spans="1:4" x14ac:dyDescent="0.45">
      <c r="A212" t="s">
        <v>56</v>
      </c>
      <c r="B212">
        <v>2023</v>
      </c>
      <c r="C212" t="s">
        <v>74</v>
      </c>
      <c r="D212">
        <v>26.04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0.62</v>
      </c>
    </row>
    <row r="215" spans="1:4" x14ac:dyDescent="0.45">
      <c r="A215" t="s">
        <v>32</v>
      </c>
      <c r="B215">
        <v>2023</v>
      </c>
      <c r="C215" t="s">
        <v>74</v>
      </c>
      <c r="D215">
        <v>7.61</v>
      </c>
    </row>
    <row r="216" spans="1:4" x14ac:dyDescent="0.45">
      <c r="A216" t="s">
        <v>58</v>
      </c>
      <c r="B216">
        <v>2023</v>
      </c>
      <c r="C216" t="s">
        <v>74</v>
      </c>
      <c r="D216">
        <v>0.21</v>
      </c>
    </row>
    <row r="217" spans="1:4" x14ac:dyDescent="0.45">
      <c r="A217" t="s">
        <v>91</v>
      </c>
      <c r="B217">
        <v>2023</v>
      </c>
      <c r="C217" t="s">
        <v>74</v>
      </c>
      <c r="D217">
        <v>3.47</v>
      </c>
    </row>
    <row r="218" spans="1:4" x14ac:dyDescent="0.45">
      <c r="A218" t="s">
        <v>32</v>
      </c>
      <c r="B218">
        <v>2000</v>
      </c>
      <c r="C218" t="s">
        <v>75</v>
      </c>
      <c r="D218">
        <v>0.09</v>
      </c>
    </row>
    <row r="219" spans="1:4" x14ac:dyDescent="0.45">
      <c r="A219" t="s">
        <v>34</v>
      </c>
      <c r="B219">
        <v>2000</v>
      </c>
      <c r="C219" t="s">
        <v>75</v>
      </c>
      <c r="D219">
        <v>1</v>
      </c>
    </row>
    <row r="220" spans="1:4" x14ac:dyDescent="0.45">
      <c r="A220" t="s">
        <v>36</v>
      </c>
      <c r="B220">
        <v>2000</v>
      </c>
      <c r="C220" t="s">
        <v>75</v>
      </c>
      <c r="D220">
        <v>1.06</v>
      </c>
    </row>
    <row r="221" spans="1:4" x14ac:dyDescent="0.45">
      <c r="A221" t="s">
        <v>56</v>
      </c>
      <c r="B221">
        <v>2000</v>
      </c>
      <c r="C221" t="s">
        <v>75</v>
      </c>
      <c r="D221">
        <v>5.19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</row>
    <row r="224" spans="1:4" x14ac:dyDescent="0.45">
      <c r="A224" t="s">
        <v>32</v>
      </c>
      <c r="B224">
        <v>2000</v>
      </c>
      <c r="C224" t="s">
        <v>75</v>
      </c>
      <c r="D224">
        <v>0.42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0.09</v>
      </c>
    </row>
    <row r="228" spans="1:4" x14ac:dyDescent="0.45">
      <c r="A228" t="s">
        <v>34</v>
      </c>
      <c r="B228">
        <v>2001</v>
      </c>
      <c r="C228" t="s">
        <v>75</v>
      </c>
      <c r="D228">
        <v>1</v>
      </c>
    </row>
    <row r="229" spans="1:4" x14ac:dyDescent="0.45">
      <c r="A229" t="s">
        <v>36</v>
      </c>
      <c r="B229">
        <v>2001</v>
      </c>
      <c r="C229" t="s">
        <v>75</v>
      </c>
      <c r="D229">
        <v>1.06</v>
      </c>
    </row>
    <row r="230" spans="1:4" x14ac:dyDescent="0.45">
      <c r="A230" t="s">
        <v>56</v>
      </c>
      <c r="B230">
        <v>2001</v>
      </c>
      <c r="C230" t="s">
        <v>75</v>
      </c>
      <c r="D230">
        <v>5.26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</row>
    <row r="233" spans="1:4" x14ac:dyDescent="0.45">
      <c r="A233" t="s">
        <v>32</v>
      </c>
      <c r="B233">
        <v>2001</v>
      </c>
      <c r="C233" t="s">
        <v>75</v>
      </c>
      <c r="D233">
        <v>0.42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0.12</v>
      </c>
    </row>
    <row r="237" spans="1:4" x14ac:dyDescent="0.45">
      <c r="A237" t="s">
        <v>34</v>
      </c>
      <c r="B237">
        <v>2002</v>
      </c>
      <c r="C237" t="s">
        <v>75</v>
      </c>
      <c r="D237">
        <v>1</v>
      </c>
    </row>
    <row r="238" spans="1:4" x14ac:dyDescent="0.45">
      <c r="A238" t="s">
        <v>36</v>
      </c>
      <c r="B238">
        <v>2002</v>
      </c>
      <c r="C238" t="s">
        <v>75</v>
      </c>
      <c r="D238">
        <v>1.06</v>
      </c>
    </row>
    <row r="239" spans="1:4" x14ac:dyDescent="0.45">
      <c r="A239" t="s">
        <v>56</v>
      </c>
      <c r="B239">
        <v>2002</v>
      </c>
      <c r="C239" t="s">
        <v>75</v>
      </c>
      <c r="D239">
        <v>5.36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</row>
    <row r="242" spans="1:4" x14ac:dyDescent="0.45">
      <c r="A242" t="s">
        <v>32</v>
      </c>
      <c r="B242">
        <v>2002</v>
      </c>
      <c r="C242" t="s">
        <v>75</v>
      </c>
      <c r="D242">
        <v>0.37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0.05</v>
      </c>
    </row>
    <row r="245" spans="1:4" x14ac:dyDescent="0.45">
      <c r="A245" t="s">
        <v>32</v>
      </c>
      <c r="B245">
        <v>2003</v>
      </c>
      <c r="C245" t="s">
        <v>75</v>
      </c>
      <c r="D245">
        <v>0.13</v>
      </c>
    </row>
    <row r="246" spans="1:4" x14ac:dyDescent="0.45">
      <c r="A246" t="s">
        <v>34</v>
      </c>
      <c r="B246">
        <v>2003</v>
      </c>
      <c r="C246" t="s">
        <v>75</v>
      </c>
      <c r="D246">
        <v>1</v>
      </c>
    </row>
    <row r="247" spans="1:4" x14ac:dyDescent="0.45">
      <c r="A247" t="s">
        <v>36</v>
      </c>
      <c r="B247">
        <v>2003</v>
      </c>
      <c r="C247" t="s">
        <v>75</v>
      </c>
      <c r="D247">
        <v>1.06</v>
      </c>
    </row>
    <row r="248" spans="1:4" x14ac:dyDescent="0.45">
      <c r="A248" t="s">
        <v>56</v>
      </c>
      <c r="B248">
        <v>2003</v>
      </c>
      <c r="C248" t="s">
        <v>75</v>
      </c>
      <c r="D248">
        <v>5.36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</row>
    <row r="251" spans="1:4" x14ac:dyDescent="0.45">
      <c r="A251" t="s">
        <v>32</v>
      </c>
      <c r="B251">
        <v>2003</v>
      </c>
      <c r="C251" t="s">
        <v>75</v>
      </c>
      <c r="D251">
        <v>0.38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7.0000000000000007E-2</v>
      </c>
    </row>
    <row r="254" spans="1:4" x14ac:dyDescent="0.45">
      <c r="A254" t="s">
        <v>32</v>
      </c>
      <c r="B254">
        <v>2004</v>
      </c>
      <c r="C254" t="s">
        <v>75</v>
      </c>
      <c r="D254">
        <v>0.13</v>
      </c>
    </row>
    <row r="255" spans="1:4" x14ac:dyDescent="0.45">
      <c r="A255" t="s">
        <v>34</v>
      </c>
      <c r="B255">
        <v>2004</v>
      </c>
      <c r="C255" t="s">
        <v>75</v>
      </c>
      <c r="D255">
        <v>1</v>
      </c>
    </row>
    <row r="256" spans="1:4" x14ac:dyDescent="0.45">
      <c r="A256" t="s">
        <v>36</v>
      </c>
      <c r="B256">
        <v>2004</v>
      </c>
      <c r="C256" t="s">
        <v>75</v>
      </c>
      <c r="D256">
        <v>1.1100000000000001</v>
      </c>
    </row>
    <row r="257" spans="1:4" x14ac:dyDescent="0.45">
      <c r="A257" t="s">
        <v>56</v>
      </c>
      <c r="B257">
        <v>2004</v>
      </c>
      <c r="C257" t="s">
        <v>75</v>
      </c>
      <c r="D257">
        <v>5.37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</row>
    <row r="260" spans="1:4" x14ac:dyDescent="0.45">
      <c r="A260" t="s">
        <v>32</v>
      </c>
      <c r="B260">
        <v>2004</v>
      </c>
      <c r="C260" t="s">
        <v>75</v>
      </c>
      <c r="D260">
        <v>0.38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0.17</v>
      </c>
    </row>
    <row r="263" spans="1:4" x14ac:dyDescent="0.45">
      <c r="A263" t="s">
        <v>32</v>
      </c>
      <c r="B263">
        <v>2005</v>
      </c>
      <c r="C263" t="s">
        <v>75</v>
      </c>
      <c r="D263">
        <v>0.14000000000000001</v>
      </c>
    </row>
    <row r="264" spans="1:4" x14ac:dyDescent="0.45">
      <c r="A264" t="s">
        <v>34</v>
      </c>
      <c r="B264">
        <v>2005</v>
      </c>
      <c r="C264" t="s">
        <v>75</v>
      </c>
      <c r="D264">
        <v>1</v>
      </c>
    </row>
    <row r="265" spans="1:4" x14ac:dyDescent="0.45">
      <c r="A265" t="s">
        <v>36</v>
      </c>
      <c r="B265">
        <v>2005</v>
      </c>
      <c r="C265" t="s">
        <v>75</v>
      </c>
      <c r="D265">
        <v>1.1100000000000001</v>
      </c>
    </row>
    <row r="266" spans="1:4" x14ac:dyDescent="0.45">
      <c r="A266" t="s">
        <v>56</v>
      </c>
      <c r="B266">
        <v>2005</v>
      </c>
      <c r="C266" t="s">
        <v>75</v>
      </c>
      <c r="D266">
        <v>5.37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</row>
    <row r="269" spans="1:4" x14ac:dyDescent="0.45">
      <c r="A269" t="s">
        <v>32</v>
      </c>
      <c r="B269">
        <v>2005</v>
      </c>
      <c r="C269" t="s">
        <v>75</v>
      </c>
      <c r="D269">
        <v>0.44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0.17</v>
      </c>
    </row>
    <row r="272" spans="1:4" x14ac:dyDescent="0.45">
      <c r="A272" t="s">
        <v>32</v>
      </c>
      <c r="B272">
        <v>2006</v>
      </c>
      <c r="C272" t="s">
        <v>75</v>
      </c>
      <c r="D272">
        <v>0.14000000000000001</v>
      </c>
    </row>
    <row r="273" spans="1:4" x14ac:dyDescent="0.45">
      <c r="A273" t="s">
        <v>34</v>
      </c>
      <c r="B273">
        <v>2006</v>
      </c>
      <c r="C273" t="s">
        <v>75</v>
      </c>
      <c r="D273">
        <v>1</v>
      </c>
    </row>
    <row r="274" spans="1:4" x14ac:dyDescent="0.45">
      <c r="A274" t="s">
        <v>36</v>
      </c>
      <c r="B274">
        <v>2006</v>
      </c>
      <c r="C274" t="s">
        <v>75</v>
      </c>
      <c r="D274">
        <v>1.1100000000000001</v>
      </c>
    </row>
    <row r="275" spans="1:4" x14ac:dyDescent="0.45">
      <c r="A275" t="s">
        <v>56</v>
      </c>
      <c r="B275">
        <v>2006</v>
      </c>
      <c r="C275" t="s">
        <v>75</v>
      </c>
      <c r="D275">
        <v>5.37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</row>
    <row r="278" spans="1:4" x14ac:dyDescent="0.45">
      <c r="A278" t="s">
        <v>32</v>
      </c>
      <c r="B278">
        <v>2006</v>
      </c>
      <c r="C278" t="s">
        <v>75</v>
      </c>
      <c r="D278">
        <v>0.44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0.17</v>
      </c>
    </row>
    <row r="281" spans="1:4" x14ac:dyDescent="0.45">
      <c r="A281" t="s">
        <v>32</v>
      </c>
      <c r="B281">
        <v>2007</v>
      </c>
      <c r="C281" t="s">
        <v>75</v>
      </c>
      <c r="D281">
        <v>0.14000000000000001</v>
      </c>
    </row>
    <row r="282" spans="1:4" x14ac:dyDescent="0.45">
      <c r="A282" t="s">
        <v>34</v>
      </c>
      <c r="B282">
        <v>2007</v>
      </c>
      <c r="C282" t="s">
        <v>75</v>
      </c>
      <c r="D282">
        <v>1</v>
      </c>
    </row>
    <row r="283" spans="1:4" x14ac:dyDescent="0.45">
      <c r="A283" t="s">
        <v>36</v>
      </c>
      <c r="B283">
        <v>2007</v>
      </c>
      <c r="C283" t="s">
        <v>75</v>
      </c>
      <c r="D283">
        <v>1.51</v>
      </c>
    </row>
    <row r="284" spans="1:4" x14ac:dyDescent="0.45">
      <c r="A284" t="s">
        <v>56</v>
      </c>
      <c r="B284">
        <v>2007</v>
      </c>
      <c r="C284" t="s">
        <v>75</v>
      </c>
      <c r="D284">
        <v>5.37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</row>
    <row r="287" spans="1:4" x14ac:dyDescent="0.45">
      <c r="A287" t="s">
        <v>32</v>
      </c>
      <c r="B287">
        <v>2007</v>
      </c>
      <c r="C287" t="s">
        <v>75</v>
      </c>
      <c r="D287">
        <v>0.46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0.32</v>
      </c>
    </row>
    <row r="290" spans="1:4" x14ac:dyDescent="0.45">
      <c r="A290" t="s">
        <v>32</v>
      </c>
      <c r="B290">
        <v>2008</v>
      </c>
      <c r="C290" t="s">
        <v>75</v>
      </c>
      <c r="D290">
        <v>0.14000000000000001</v>
      </c>
    </row>
    <row r="291" spans="1:4" x14ac:dyDescent="0.45">
      <c r="A291" t="s">
        <v>34</v>
      </c>
      <c r="B291">
        <v>2008</v>
      </c>
      <c r="C291" t="s">
        <v>75</v>
      </c>
      <c r="D291">
        <v>1</v>
      </c>
    </row>
    <row r="292" spans="1:4" x14ac:dyDescent="0.45">
      <c r="A292" t="s">
        <v>36</v>
      </c>
      <c r="B292">
        <v>2008</v>
      </c>
      <c r="C292" t="s">
        <v>75</v>
      </c>
      <c r="D292">
        <v>1.51</v>
      </c>
    </row>
    <row r="293" spans="1:4" x14ac:dyDescent="0.45">
      <c r="A293" t="s">
        <v>56</v>
      </c>
      <c r="B293">
        <v>2008</v>
      </c>
      <c r="C293" t="s">
        <v>75</v>
      </c>
      <c r="D293">
        <v>5.39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</row>
    <row r="296" spans="1:4" x14ac:dyDescent="0.45">
      <c r="A296" t="s">
        <v>32</v>
      </c>
      <c r="B296">
        <v>2008</v>
      </c>
      <c r="C296" t="s">
        <v>75</v>
      </c>
      <c r="D296">
        <v>0.57999999999999996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0.32</v>
      </c>
    </row>
    <row r="299" spans="1:4" x14ac:dyDescent="0.45">
      <c r="A299" t="s">
        <v>32</v>
      </c>
      <c r="B299">
        <v>2009</v>
      </c>
      <c r="C299" t="s">
        <v>75</v>
      </c>
      <c r="D299">
        <v>0.14000000000000001</v>
      </c>
    </row>
    <row r="300" spans="1:4" x14ac:dyDescent="0.45">
      <c r="A300" t="s">
        <v>34</v>
      </c>
      <c r="B300">
        <v>2009</v>
      </c>
      <c r="C300" t="s">
        <v>75</v>
      </c>
      <c r="D300">
        <v>1</v>
      </c>
    </row>
    <row r="301" spans="1:4" x14ac:dyDescent="0.45">
      <c r="A301" t="s">
        <v>36</v>
      </c>
      <c r="B301">
        <v>2009</v>
      </c>
      <c r="C301" t="s">
        <v>75</v>
      </c>
      <c r="D301">
        <v>1.51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</row>
    <row r="305" spans="1:4" x14ac:dyDescent="0.45">
      <c r="A305" t="s">
        <v>32</v>
      </c>
      <c r="B305">
        <v>2009</v>
      </c>
      <c r="C305" t="s">
        <v>75</v>
      </c>
      <c r="D305">
        <v>0.62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0.51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  <c r="D309">
        <v>1</v>
      </c>
    </row>
    <row r="310" spans="1:4" x14ac:dyDescent="0.45">
      <c r="A310" t="s">
        <v>36</v>
      </c>
      <c r="B310">
        <v>2010</v>
      </c>
      <c r="C310" t="s">
        <v>75</v>
      </c>
      <c r="D310">
        <v>1.51</v>
      </c>
    </row>
    <row r="311" spans="1:4" x14ac:dyDescent="0.45">
      <c r="A311" t="s">
        <v>56</v>
      </c>
      <c r="B311">
        <v>2010</v>
      </c>
      <c r="C311" t="s">
        <v>75</v>
      </c>
      <c r="D311">
        <v>5.33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</row>
    <row r="314" spans="1:4" x14ac:dyDescent="0.45">
      <c r="A314" t="s">
        <v>32</v>
      </c>
      <c r="B314">
        <v>2010</v>
      </c>
      <c r="C314" t="s">
        <v>75</v>
      </c>
      <c r="D314">
        <v>0.74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0.54</v>
      </c>
    </row>
    <row r="317" spans="1:4" x14ac:dyDescent="0.45">
      <c r="A317" t="s">
        <v>32</v>
      </c>
      <c r="B317">
        <v>2011</v>
      </c>
      <c r="C317" t="s">
        <v>75</v>
      </c>
      <c r="D317">
        <v>0.14000000000000001</v>
      </c>
    </row>
    <row r="318" spans="1:4" x14ac:dyDescent="0.45">
      <c r="A318" t="s">
        <v>34</v>
      </c>
      <c r="B318">
        <v>2011</v>
      </c>
      <c r="C318" t="s">
        <v>75</v>
      </c>
      <c r="D318">
        <v>1</v>
      </c>
    </row>
    <row r="319" spans="1:4" x14ac:dyDescent="0.45">
      <c r="A319" t="s">
        <v>36</v>
      </c>
      <c r="B319">
        <v>2011</v>
      </c>
      <c r="C319" t="s">
        <v>75</v>
      </c>
      <c r="D319">
        <v>1.72</v>
      </c>
    </row>
    <row r="320" spans="1:4" x14ac:dyDescent="0.45">
      <c r="A320" t="s">
        <v>56</v>
      </c>
      <c r="B320">
        <v>2011</v>
      </c>
      <c r="C320" t="s">
        <v>75</v>
      </c>
      <c r="D320">
        <v>5.41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</row>
    <row r="323" spans="1:4" x14ac:dyDescent="0.45">
      <c r="A323" t="s">
        <v>32</v>
      </c>
      <c r="B323">
        <v>2011</v>
      </c>
      <c r="C323" t="s">
        <v>75</v>
      </c>
      <c r="D323">
        <v>0.74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0.62</v>
      </c>
    </row>
    <row r="326" spans="1:4" x14ac:dyDescent="0.45">
      <c r="A326" t="s">
        <v>32</v>
      </c>
      <c r="B326">
        <v>2012</v>
      </c>
      <c r="C326" t="s">
        <v>75</v>
      </c>
      <c r="D326">
        <v>0.14000000000000001</v>
      </c>
    </row>
    <row r="327" spans="1:4" x14ac:dyDescent="0.45">
      <c r="A327" t="s">
        <v>34</v>
      </c>
      <c r="B327">
        <v>2012</v>
      </c>
      <c r="C327" t="s">
        <v>75</v>
      </c>
      <c r="D327">
        <v>0.75</v>
      </c>
    </row>
    <row r="328" spans="1:4" x14ac:dyDescent="0.45">
      <c r="A328" t="s">
        <v>36</v>
      </c>
      <c r="B328">
        <v>2012</v>
      </c>
      <c r="C328" t="s">
        <v>75</v>
      </c>
      <c r="D328">
        <v>1.72</v>
      </c>
    </row>
    <row r="329" spans="1:4" x14ac:dyDescent="0.45">
      <c r="A329" t="s">
        <v>56</v>
      </c>
      <c r="B329">
        <v>2012</v>
      </c>
      <c r="C329" t="s">
        <v>75</v>
      </c>
      <c r="D329">
        <v>5.42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</row>
    <row r="332" spans="1:4" x14ac:dyDescent="0.45">
      <c r="A332" t="s">
        <v>32</v>
      </c>
      <c r="B332">
        <v>2012</v>
      </c>
      <c r="C332" t="s">
        <v>75</v>
      </c>
      <c r="D332">
        <v>0.77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0.62</v>
      </c>
    </row>
    <row r="335" spans="1:4" x14ac:dyDescent="0.45">
      <c r="A335" t="s">
        <v>32</v>
      </c>
      <c r="B335">
        <v>2013</v>
      </c>
      <c r="C335" t="s">
        <v>75</v>
      </c>
      <c r="D335">
        <v>0.14000000000000001</v>
      </c>
    </row>
    <row r="336" spans="1:4" x14ac:dyDescent="0.45">
      <c r="A336" t="s">
        <v>34</v>
      </c>
      <c r="B336">
        <v>2013</v>
      </c>
      <c r="C336" t="s">
        <v>75</v>
      </c>
      <c r="D336">
        <v>0.5</v>
      </c>
    </row>
    <row r="337" spans="1:4" x14ac:dyDescent="0.45">
      <c r="A337" t="s">
        <v>36</v>
      </c>
      <c r="B337">
        <v>2013</v>
      </c>
      <c r="C337" t="s">
        <v>75</v>
      </c>
      <c r="D337">
        <v>1.82</v>
      </c>
    </row>
    <row r="338" spans="1:4" x14ac:dyDescent="0.45">
      <c r="A338" t="s">
        <v>56</v>
      </c>
      <c r="B338">
        <v>2013</v>
      </c>
      <c r="C338" t="s">
        <v>75</v>
      </c>
      <c r="D338">
        <v>5.44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</row>
    <row r="341" spans="1:4" x14ac:dyDescent="0.45">
      <c r="A341" t="s">
        <v>32</v>
      </c>
      <c r="B341">
        <v>2013</v>
      </c>
      <c r="C341" t="s">
        <v>75</v>
      </c>
      <c r="D341">
        <v>0.84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0.62</v>
      </c>
    </row>
    <row r="344" spans="1:4" x14ac:dyDescent="0.45">
      <c r="A344" t="s">
        <v>32</v>
      </c>
      <c r="B344">
        <v>2014</v>
      </c>
      <c r="C344" t="s">
        <v>75</v>
      </c>
      <c r="D344">
        <v>0.15</v>
      </c>
    </row>
    <row r="345" spans="1:4" x14ac:dyDescent="0.45">
      <c r="A345" t="s">
        <v>34</v>
      </c>
      <c r="B345">
        <v>2014</v>
      </c>
      <c r="C345" t="s">
        <v>75</v>
      </c>
      <c r="D345">
        <v>0.5</v>
      </c>
    </row>
    <row r="346" spans="1:4" x14ac:dyDescent="0.45">
      <c r="A346" t="s">
        <v>36</v>
      </c>
      <c r="B346">
        <v>2014</v>
      </c>
      <c r="C346" t="s">
        <v>75</v>
      </c>
      <c r="D346">
        <v>1.82</v>
      </c>
    </row>
    <row r="347" spans="1:4" x14ac:dyDescent="0.45">
      <c r="A347" t="s">
        <v>56</v>
      </c>
      <c r="B347">
        <v>2014</v>
      </c>
      <c r="C347" t="s">
        <v>75</v>
      </c>
      <c r="D347">
        <v>5.43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0.02</v>
      </c>
    </row>
    <row r="352" spans="1:4" x14ac:dyDescent="0.45">
      <c r="A352" t="s">
        <v>91</v>
      </c>
      <c r="B352">
        <v>2014</v>
      </c>
      <c r="C352" t="s">
        <v>75</v>
      </c>
      <c r="D352">
        <v>0.68</v>
      </c>
    </row>
    <row r="353" spans="1:4" x14ac:dyDescent="0.45">
      <c r="A353" t="s">
        <v>32</v>
      </c>
      <c r="B353">
        <v>2015</v>
      </c>
      <c r="C353" t="s">
        <v>75</v>
      </c>
      <c r="D353">
        <v>0.15</v>
      </c>
    </row>
    <row r="354" spans="1:4" x14ac:dyDescent="0.45">
      <c r="A354" t="s">
        <v>34</v>
      </c>
      <c r="B354">
        <v>2015</v>
      </c>
      <c r="C354" t="s">
        <v>75</v>
      </c>
      <c r="D354">
        <v>0.5</v>
      </c>
    </row>
    <row r="355" spans="1:4" x14ac:dyDescent="0.45">
      <c r="A355" t="s">
        <v>36</v>
      </c>
      <c r="B355">
        <v>2015</v>
      </c>
      <c r="C355" t="s">
        <v>75</v>
      </c>
      <c r="D355">
        <v>1.82</v>
      </c>
    </row>
    <row r="356" spans="1:4" x14ac:dyDescent="0.45">
      <c r="A356" t="s">
        <v>56</v>
      </c>
      <c r="B356">
        <v>2015</v>
      </c>
      <c r="C356" t="s">
        <v>75</v>
      </c>
      <c r="D356">
        <v>5.43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0.04</v>
      </c>
    </row>
    <row r="361" spans="1:4" x14ac:dyDescent="0.45">
      <c r="A361" t="s">
        <v>91</v>
      </c>
      <c r="B361">
        <v>2015</v>
      </c>
      <c r="C361" t="s">
        <v>75</v>
      </c>
      <c r="D361">
        <v>0.69</v>
      </c>
    </row>
    <row r="362" spans="1:4" x14ac:dyDescent="0.45">
      <c r="A362" t="s">
        <v>32</v>
      </c>
      <c r="B362">
        <v>2016</v>
      </c>
      <c r="C362" t="s">
        <v>75</v>
      </c>
      <c r="D362">
        <v>0.15</v>
      </c>
    </row>
    <row r="363" spans="1:4" x14ac:dyDescent="0.45">
      <c r="A363" t="s">
        <v>34</v>
      </c>
      <c r="B363">
        <v>2016</v>
      </c>
      <c r="C363" t="s">
        <v>75</v>
      </c>
      <c r="D363">
        <v>0.5</v>
      </c>
    </row>
    <row r="364" spans="1:4" x14ac:dyDescent="0.45">
      <c r="A364" t="s">
        <v>36</v>
      </c>
      <c r="B364">
        <v>2016</v>
      </c>
      <c r="C364" t="s">
        <v>75</v>
      </c>
      <c r="D364">
        <v>1.82</v>
      </c>
    </row>
    <row r="365" spans="1:4" x14ac:dyDescent="0.45">
      <c r="A365" t="s">
        <v>56</v>
      </c>
      <c r="B365">
        <v>2016</v>
      </c>
      <c r="C365" t="s">
        <v>75</v>
      </c>
      <c r="D365">
        <v>5.43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</row>
    <row r="368" spans="1:4" x14ac:dyDescent="0.45">
      <c r="A368" t="s">
        <v>32</v>
      </c>
      <c r="B368">
        <v>2016</v>
      </c>
      <c r="C368" t="s">
        <v>75</v>
      </c>
      <c r="D368">
        <v>0.99</v>
      </c>
    </row>
    <row r="369" spans="1:4" x14ac:dyDescent="0.45">
      <c r="A369" t="s">
        <v>58</v>
      </c>
      <c r="B369">
        <v>2016</v>
      </c>
      <c r="C369" t="s">
        <v>75</v>
      </c>
      <c r="D369">
        <v>0.05</v>
      </c>
    </row>
    <row r="370" spans="1:4" x14ac:dyDescent="0.45">
      <c r="A370" t="s">
        <v>91</v>
      </c>
      <c r="B370">
        <v>2016</v>
      </c>
      <c r="C370" t="s">
        <v>75</v>
      </c>
      <c r="D370">
        <v>0.69</v>
      </c>
    </row>
    <row r="371" spans="1:4" x14ac:dyDescent="0.45">
      <c r="A371" t="s">
        <v>32</v>
      </c>
      <c r="B371">
        <v>2017</v>
      </c>
      <c r="C371" t="s">
        <v>75</v>
      </c>
      <c r="D371">
        <v>0.15</v>
      </c>
    </row>
    <row r="372" spans="1:4" x14ac:dyDescent="0.45">
      <c r="A372" t="s">
        <v>34</v>
      </c>
      <c r="B372">
        <v>2017</v>
      </c>
      <c r="C372" t="s">
        <v>75</v>
      </c>
      <c r="D372">
        <v>0.5</v>
      </c>
    </row>
    <row r="373" spans="1:4" x14ac:dyDescent="0.45">
      <c r="A373" t="s">
        <v>36</v>
      </c>
      <c r="B373">
        <v>2017</v>
      </c>
      <c r="C373" t="s">
        <v>75</v>
      </c>
      <c r="D373">
        <v>1.82</v>
      </c>
    </row>
    <row r="374" spans="1:4" x14ac:dyDescent="0.45">
      <c r="A374" t="s">
        <v>56</v>
      </c>
      <c r="B374">
        <v>2017</v>
      </c>
      <c r="C374" t="s">
        <v>75</v>
      </c>
      <c r="D374">
        <v>5.43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</row>
    <row r="377" spans="1:4" x14ac:dyDescent="0.45">
      <c r="A377" t="s">
        <v>32</v>
      </c>
      <c r="B377">
        <v>2017</v>
      </c>
      <c r="C377" t="s">
        <v>75</v>
      </c>
      <c r="D377">
        <v>0.99</v>
      </c>
    </row>
    <row r="378" spans="1:4" x14ac:dyDescent="0.45">
      <c r="A378" t="s">
        <v>58</v>
      </c>
      <c r="B378">
        <v>2017</v>
      </c>
      <c r="C378" t="s">
        <v>75</v>
      </c>
      <c r="D378">
        <v>7.0000000000000007E-2</v>
      </c>
    </row>
    <row r="379" spans="1:4" x14ac:dyDescent="0.45">
      <c r="A379" t="s">
        <v>91</v>
      </c>
      <c r="B379">
        <v>2017</v>
      </c>
      <c r="C379" t="s">
        <v>75</v>
      </c>
      <c r="D379">
        <v>0.69</v>
      </c>
    </row>
    <row r="380" spans="1:4" x14ac:dyDescent="0.45">
      <c r="A380" t="s">
        <v>32</v>
      </c>
      <c r="B380">
        <v>2018</v>
      </c>
      <c r="C380" t="s">
        <v>75</v>
      </c>
      <c r="D380">
        <v>0.15</v>
      </c>
    </row>
    <row r="381" spans="1:4" x14ac:dyDescent="0.45">
      <c r="A381" t="s">
        <v>34</v>
      </c>
      <c r="B381">
        <v>2018</v>
      </c>
      <c r="C381" t="s">
        <v>75</v>
      </c>
      <c r="D381">
        <v>0.5</v>
      </c>
    </row>
    <row r="382" spans="1:4" x14ac:dyDescent="0.45">
      <c r="A382" t="s">
        <v>36</v>
      </c>
      <c r="B382">
        <v>2018</v>
      </c>
      <c r="C382" t="s">
        <v>75</v>
      </c>
      <c r="D382">
        <v>1.82</v>
      </c>
    </row>
    <row r="383" spans="1:4" x14ac:dyDescent="0.45">
      <c r="A383" t="s">
        <v>56</v>
      </c>
      <c r="B383">
        <v>2018</v>
      </c>
      <c r="C383" t="s">
        <v>75</v>
      </c>
      <c r="D383">
        <v>5.43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</row>
    <row r="386" spans="1:4" x14ac:dyDescent="0.45">
      <c r="A386" t="s">
        <v>32</v>
      </c>
      <c r="B386">
        <v>2018</v>
      </c>
      <c r="C386" t="s">
        <v>75</v>
      </c>
      <c r="D386">
        <v>1.01</v>
      </c>
    </row>
    <row r="387" spans="1:4" x14ac:dyDescent="0.45">
      <c r="A387" t="s">
        <v>58</v>
      </c>
      <c r="B387">
        <v>2018</v>
      </c>
      <c r="C387" t="s">
        <v>75</v>
      </c>
      <c r="D387">
        <v>0.09</v>
      </c>
    </row>
    <row r="388" spans="1:4" x14ac:dyDescent="0.45">
      <c r="A388" t="s">
        <v>91</v>
      </c>
      <c r="B388">
        <v>2018</v>
      </c>
      <c r="C388" t="s">
        <v>75</v>
      </c>
      <c r="D388">
        <v>0.69</v>
      </c>
    </row>
    <row r="389" spans="1:4" x14ac:dyDescent="0.45">
      <c r="A389" t="s">
        <v>32</v>
      </c>
      <c r="B389">
        <v>2019</v>
      </c>
      <c r="C389" t="s">
        <v>75</v>
      </c>
      <c r="D389">
        <v>0.15</v>
      </c>
    </row>
    <row r="390" spans="1:4" x14ac:dyDescent="0.45">
      <c r="A390" t="s">
        <v>34</v>
      </c>
      <c r="B390">
        <v>2019</v>
      </c>
      <c r="C390" t="s">
        <v>75</v>
      </c>
      <c r="D390">
        <v>0.5</v>
      </c>
    </row>
    <row r="391" spans="1:4" x14ac:dyDescent="0.45">
      <c r="A391" t="s">
        <v>36</v>
      </c>
      <c r="B391">
        <v>2019</v>
      </c>
      <c r="C391" t="s">
        <v>75</v>
      </c>
      <c r="D391">
        <v>1.82</v>
      </c>
    </row>
    <row r="392" spans="1:4" x14ac:dyDescent="0.45">
      <c r="A392" t="s">
        <v>56</v>
      </c>
      <c r="B392">
        <v>2019</v>
      </c>
      <c r="C392" t="s">
        <v>75</v>
      </c>
      <c r="D392">
        <v>5.44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</row>
    <row r="395" spans="1:4" x14ac:dyDescent="0.45">
      <c r="A395" t="s">
        <v>32</v>
      </c>
      <c r="B395">
        <v>2019</v>
      </c>
      <c r="C395" t="s">
        <v>75</v>
      </c>
      <c r="D395">
        <v>1.01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0.69</v>
      </c>
    </row>
    <row r="398" spans="1:4" x14ac:dyDescent="0.45">
      <c r="A398" t="s">
        <v>32</v>
      </c>
      <c r="B398">
        <v>2020</v>
      </c>
      <c r="C398" t="s">
        <v>75</v>
      </c>
      <c r="D398">
        <v>0.14000000000000001</v>
      </c>
    </row>
    <row r="399" spans="1:4" x14ac:dyDescent="0.45">
      <c r="A399" t="s">
        <v>34</v>
      </c>
      <c r="B399">
        <v>2020</v>
      </c>
      <c r="C399" t="s">
        <v>75</v>
      </c>
      <c r="D399">
        <v>0.5</v>
      </c>
    </row>
    <row r="400" spans="1:4" x14ac:dyDescent="0.45">
      <c r="A400" t="s">
        <v>36</v>
      </c>
      <c r="B400">
        <v>2020</v>
      </c>
      <c r="C400" t="s">
        <v>75</v>
      </c>
      <c r="D400">
        <v>1.92</v>
      </c>
    </row>
    <row r="401" spans="1:4" x14ac:dyDescent="0.45">
      <c r="A401" t="s">
        <v>56</v>
      </c>
      <c r="B401">
        <v>2020</v>
      </c>
      <c r="C401" t="s">
        <v>75</v>
      </c>
      <c r="D401">
        <v>5.44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</row>
    <row r="404" spans="1:4" x14ac:dyDescent="0.45">
      <c r="A404" t="s">
        <v>32</v>
      </c>
      <c r="B404">
        <v>2020</v>
      </c>
      <c r="C404" t="s">
        <v>75</v>
      </c>
      <c r="D404">
        <v>1.04</v>
      </c>
    </row>
    <row r="405" spans="1:4" x14ac:dyDescent="0.45">
      <c r="A405" t="s">
        <v>58</v>
      </c>
      <c r="B405">
        <v>2020</v>
      </c>
      <c r="C405" t="s">
        <v>75</v>
      </c>
      <c r="D405">
        <v>0.14000000000000001</v>
      </c>
    </row>
    <row r="406" spans="1:4" x14ac:dyDescent="0.45">
      <c r="A406" t="s">
        <v>91</v>
      </c>
      <c r="B406">
        <v>2020</v>
      </c>
      <c r="C406" t="s">
        <v>75</v>
      </c>
      <c r="D406">
        <v>0.69</v>
      </c>
    </row>
    <row r="407" spans="1:4" x14ac:dyDescent="0.45">
      <c r="A407" t="s">
        <v>32</v>
      </c>
      <c r="B407">
        <v>2021</v>
      </c>
      <c r="C407" t="s">
        <v>75</v>
      </c>
      <c r="D407">
        <v>0.14000000000000001</v>
      </c>
    </row>
    <row r="408" spans="1:4" x14ac:dyDescent="0.45">
      <c r="A408" t="s">
        <v>34</v>
      </c>
      <c r="B408">
        <v>2021</v>
      </c>
      <c r="C408" t="s">
        <v>75</v>
      </c>
      <c r="D408">
        <v>0.5</v>
      </c>
    </row>
    <row r="409" spans="1:4" x14ac:dyDescent="0.45">
      <c r="A409" t="s">
        <v>36</v>
      </c>
      <c r="B409">
        <v>2021</v>
      </c>
      <c r="C409" t="s">
        <v>75</v>
      </c>
      <c r="D409">
        <v>1.92</v>
      </c>
    </row>
    <row r="410" spans="1:4" x14ac:dyDescent="0.45">
      <c r="A410" t="s">
        <v>56</v>
      </c>
      <c r="B410">
        <v>2021</v>
      </c>
      <c r="C410" t="s">
        <v>75</v>
      </c>
      <c r="D410">
        <v>5.44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</row>
    <row r="413" spans="1:4" x14ac:dyDescent="0.45">
      <c r="A413" t="s">
        <v>32</v>
      </c>
      <c r="B413">
        <v>2021</v>
      </c>
      <c r="C413" t="s">
        <v>75</v>
      </c>
      <c r="D413">
        <v>1.04</v>
      </c>
    </row>
    <row r="414" spans="1:4" x14ac:dyDescent="0.45">
      <c r="A414" t="s">
        <v>58</v>
      </c>
      <c r="B414">
        <v>2021</v>
      </c>
      <c r="C414" t="s">
        <v>75</v>
      </c>
      <c r="D414">
        <v>0.19</v>
      </c>
    </row>
    <row r="415" spans="1:4" x14ac:dyDescent="0.45">
      <c r="A415" t="s">
        <v>91</v>
      </c>
      <c r="B415">
        <v>2021</v>
      </c>
      <c r="C415" t="s">
        <v>75</v>
      </c>
      <c r="D415">
        <v>0.91</v>
      </c>
    </row>
    <row r="416" spans="1:4" x14ac:dyDescent="0.45">
      <c r="A416" t="s">
        <v>32</v>
      </c>
      <c r="B416">
        <v>2022</v>
      </c>
      <c r="C416" t="s">
        <v>75</v>
      </c>
      <c r="D416">
        <v>0.14000000000000001</v>
      </c>
    </row>
    <row r="417" spans="1:4" x14ac:dyDescent="0.45">
      <c r="A417" t="s">
        <v>34</v>
      </c>
      <c r="B417">
        <v>2022</v>
      </c>
      <c r="C417" t="s">
        <v>75</v>
      </c>
      <c r="D417">
        <v>0.5</v>
      </c>
    </row>
    <row r="418" spans="1:4" x14ac:dyDescent="0.45">
      <c r="A418" t="s">
        <v>36</v>
      </c>
      <c r="B418">
        <v>2022</v>
      </c>
      <c r="C418" t="s">
        <v>75</v>
      </c>
      <c r="D418">
        <v>1.92</v>
      </c>
    </row>
    <row r="419" spans="1:4" x14ac:dyDescent="0.45">
      <c r="A419" t="s">
        <v>56</v>
      </c>
      <c r="B419">
        <v>2022</v>
      </c>
      <c r="C419" t="s">
        <v>75</v>
      </c>
      <c r="D419">
        <v>5.68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</row>
    <row r="422" spans="1:4" x14ac:dyDescent="0.45">
      <c r="A422" t="s">
        <v>32</v>
      </c>
      <c r="B422">
        <v>2022</v>
      </c>
      <c r="C422" t="s">
        <v>75</v>
      </c>
      <c r="D422">
        <v>1.05</v>
      </c>
    </row>
    <row r="423" spans="1:4" x14ac:dyDescent="0.45">
      <c r="A423" t="s">
        <v>58</v>
      </c>
      <c r="B423">
        <v>2022</v>
      </c>
      <c r="C423" t="s">
        <v>75</v>
      </c>
      <c r="D423">
        <v>0.27</v>
      </c>
    </row>
    <row r="424" spans="1:4" x14ac:dyDescent="0.45">
      <c r="A424" t="s">
        <v>91</v>
      </c>
      <c r="B424">
        <v>2022</v>
      </c>
      <c r="C424" t="s">
        <v>75</v>
      </c>
      <c r="D424">
        <v>0.99</v>
      </c>
    </row>
    <row r="425" spans="1:4" x14ac:dyDescent="0.45">
      <c r="A425" t="s">
        <v>32</v>
      </c>
      <c r="B425">
        <v>2023</v>
      </c>
      <c r="C425" t="s">
        <v>75</v>
      </c>
      <c r="D425">
        <v>0.14000000000000001</v>
      </c>
    </row>
    <row r="426" spans="1:4" x14ac:dyDescent="0.45">
      <c r="A426" t="s">
        <v>34</v>
      </c>
      <c r="B426">
        <v>2023</v>
      </c>
      <c r="C426" t="s">
        <v>75</v>
      </c>
      <c r="D426">
        <v>0.5</v>
      </c>
    </row>
    <row r="427" spans="1:4" x14ac:dyDescent="0.45">
      <c r="A427" t="s">
        <v>36</v>
      </c>
      <c r="B427">
        <v>2023</v>
      </c>
      <c r="C427" t="s">
        <v>75</v>
      </c>
      <c r="D427">
        <v>1.92</v>
      </c>
    </row>
    <row r="428" spans="1:4" x14ac:dyDescent="0.45">
      <c r="A428" t="s">
        <v>56</v>
      </c>
      <c r="B428">
        <v>2023</v>
      </c>
      <c r="C428" t="s">
        <v>75</v>
      </c>
      <c r="D428">
        <v>5.68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</row>
    <row r="431" spans="1:4" x14ac:dyDescent="0.45">
      <c r="A431" t="s">
        <v>32</v>
      </c>
      <c r="B431">
        <v>2023</v>
      </c>
      <c r="C431" t="s">
        <v>75</v>
      </c>
      <c r="D431">
        <v>1.05</v>
      </c>
    </row>
    <row r="432" spans="1:4" x14ac:dyDescent="0.45">
      <c r="A432" t="s">
        <v>58</v>
      </c>
      <c r="B432">
        <v>2023</v>
      </c>
      <c r="C432" t="s">
        <v>75</v>
      </c>
      <c r="D432">
        <v>0.37</v>
      </c>
    </row>
    <row r="433" spans="1:4" x14ac:dyDescent="0.45">
      <c r="A433" t="s">
        <v>91</v>
      </c>
      <c r="B433">
        <v>2023</v>
      </c>
      <c r="C433" t="s">
        <v>75</v>
      </c>
      <c r="D433">
        <v>1.06</v>
      </c>
    </row>
    <row r="434" spans="1:4" x14ac:dyDescent="0.45">
      <c r="A434" t="s">
        <v>32</v>
      </c>
      <c r="B434">
        <v>2000</v>
      </c>
      <c r="C434" t="s">
        <v>76</v>
      </c>
      <c r="D434">
        <v>0.18</v>
      </c>
    </row>
    <row r="435" spans="1:4" x14ac:dyDescent="0.45">
      <c r="A435" t="s">
        <v>34</v>
      </c>
      <c r="B435">
        <v>2000</v>
      </c>
      <c r="C435" t="s">
        <v>76</v>
      </c>
      <c r="D435">
        <v>0.89</v>
      </c>
    </row>
    <row r="436" spans="1:4" x14ac:dyDescent="0.45">
      <c r="A436" t="s">
        <v>36</v>
      </c>
      <c r="B436">
        <v>2000</v>
      </c>
      <c r="C436" t="s">
        <v>76</v>
      </c>
      <c r="D436">
        <v>5.09</v>
      </c>
    </row>
    <row r="437" spans="1:4" x14ac:dyDescent="0.45">
      <c r="A437" t="s">
        <v>56</v>
      </c>
      <c r="B437">
        <v>2000</v>
      </c>
      <c r="C437" t="s">
        <v>76</v>
      </c>
      <c r="D437">
        <v>0.56999999999999995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0.36</v>
      </c>
    </row>
    <row r="440" spans="1:4" x14ac:dyDescent="0.45">
      <c r="A440" t="s">
        <v>32</v>
      </c>
      <c r="B440">
        <v>2000</v>
      </c>
      <c r="C440" t="s">
        <v>76</v>
      </c>
      <c r="D440">
        <v>0.1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0.16</v>
      </c>
    </row>
    <row r="444" spans="1:4" x14ac:dyDescent="0.45">
      <c r="A444" t="s">
        <v>34</v>
      </c>
      <c r="B444">
        <v>2001</v>
      </c>
      <c r="C444" t="s">
        <v>76</v>
      </c>
      <c r="D444">
        <v>1.36</v>
      </c>
    </row>
    <row r="445" spans="1:4" x14ac:dyDescent="0.45">
      <c r="A445" t="s">
        <v>36</v>
      </c>
      <c r="B445">
        <v>2001</v>
      </c>
      <c r="C445" t="s">
        <v>76</v>
      </c>
      <c r="D445">
        <v>6.55</v>
      </c>
    </row>
    <row r="446" spans="1:4" x14ac:dyDescent="0.45">
      <c r="A446" t="s">
        <v>56</v>
      </c>
      <c r="B446">
        <v>2001</v>
      </c>
      <c r="C446" t="s">
        <v>76</v>
      </c>
      <c r="D446">
        <v>0.51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0.39</v>
      </c>
    </row>
    <row r="449" spans="1:4" x14ac:dyDescent="0.45">
      <c r="A449" t="s">
        <v>32</v>
      </c>
      <c r="B449">
        <v>2001</v>
      </c>
      <c r="C449" t="s">
        <v>76</v>
      </c>
      <c r="D449">
        <v>0.1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0.13</v>
      </c>
    </row>
    <row r="453" spans="1:4" x14ac:dyDescent="0.45">
      <c r="A453" t="s">
        <v>34</v>
      </c>
      <c r="B453">
        <v>2002</v>
      </c>
      <c r="C453" t="s">
        <v>76</v>
      </c>
      <c r="D453">
        <v>1.33</v>
      </c>
    </row>
    <row r="454" spans="1:4" x14ac:dyDescent="0.45">
      <c r="A454" t="s">
        <v>36</v>
      </c>
      <c r="B454">
        <v>2002</v>
      </c>
      <c r="C454" t="s">
        <v>76</v>
      </c>
      <c r="D454">
        <v>5.46</v>
      </c>
    </row>
    <row r="455" spans="1:4" x14ac:dyDescent="0.45">
      <c r="A455" t="s">
        <v>56</v>
      </c>
      <c r="B455">
        <v>2002</v>
      </c>
      <c r="C455" t="s">
        <v>76</v>
      </c>
      <c r="D455">
        <v>0.57999999999999996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0.37</v>
      </c>
    </row>
    <row r="458" spans="1:4" x14ac:dyDescent="0.45">
      <c r="A458" t="s">
        <v>32</v>
      </c>
      <c r="B458">
        <v>2002</v>
      </c>
      <c r="C458" t="s">
        <v>76</v>
      </c>
      <c r="D458">
        <v>0.1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0.12</v>
      </c>
    </row>
    <row r="462" spans="1:4" x14ac:dyDescent="0.45">
      <c r="A462" t="s">
        <v>34</v>
      </c>
      <c r="B462">
        <v>2003</v>
      </c>
      <c r="C462" t="s">
        <v>76</v>
      </c>
      <c r="D462">
        <v>2.92</v>
      </c>
    </row>
    <row r="463" spans="1:4" x14ac:dyDescent="0.45">
      <c r="A463" t="s">
        <v>36</v>
      </c>
      <c r="B463">
        <v>2003</v>
      </c>
      <c r="C463" t="s">
        <v>76</v>
      </c>
      <c r="D463">
        <v>5.23</v>
      </c>
    </row>
    <row r="464" spans="1:4" x14ac:dyDescent="0.45">
      <c r="A464" t="s">
        <v>56</v>
      </c>
      <c r="B464">
        <v>2003</v>
      </c>
      <c r="C464" t="s">
        <v>76</v>
      </c>
      <c r="D464">
        <v>0.56000000000000005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0.45</v>
      </c>
    </row>
    <row r="467" spans="1:4" x14ac:dyDescent="0.45">
      <c r="A467" t="s">
        <v>32</v>
      </c>
      <c r="B467">
        <v>2003</v>
      </c>
      <c r="C467" t="s">
        <v>76</v>
      </c>
      <c r="D467">
        <v>0.1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0.14000000000000001</v>
      </c>
    </row>
    <row r="471" spans="1:4" x14ac:dyDescent="0.45">
      <c r="A471" t="s">
        <v>34</v>
      </c>
      <c r="B471">
        <v>2004</v>
      </c>
      <c r="C471" t="s">
        <v>76</v>
      </c>
      <c r="D471">
        <v>3.66</v>
      </c>
    </row>
    <row r="472" spans="1:4" x14ac:dyDescent="0.45">
      <c r="A472" t="s">
        <v>36</v>
      </c>
      <c r="B472">
        <v>2004</v>
      </c>
      <c r="C472" t="s">
        <v>76</v>
      </c>
      <c r="D472">
        <v>3.69</v>
      </c>
    </row>
    <row r="473" spans="1:4" x14ac:dyDescent="0.45">
      <c r="A473" t="s">
        <v>56</v>
      </c>
      <c r="B473">
        <v>2004</v>
      </c>
      <c r="C473" t="s">
        <v>76</v>
      </c>
      <c r="D473">
        <v>0.64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0.45</v>
      </c>
    </row>
    <row r="476" spans="1:4" x14ac:dyDescent="0.45">
      <c r="A476" t="s">
        <v>32</v>
      </c>
      <c r="B476">
        <v>2004</v>
      </c>
      <c r="C476" t="s">
        <v>76</v>
      </c>
      <c r="D476">
        <v>0.1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0.15</v>
      </c>
    </row>
    <row r="480" spans="1:4" x14ac:dyDescent="0.45">
      <c r="A480" t="s">
        <v>34</v>
      </c>
      <c r="B480">
        <v>2005</v>
      </c>
      <c r="C480" t="s">
        <v>76</v>
      </c>
      <c r="D480">
        <v>4.6500000000000004</v>
      </c>
    </row>
    <row r="481" spans="1:4" x14ac:dyDescent="0.45">
      <c r="A481" t="s">
        <v>36</v>
      </c>
      <c r="B481">
        <v>2005</v>
      </c>
      <c r="C481" t="s">
        <v>76</v>
      </c>
      <c r="D481">
        <v>4.99</v>
      </c>
    </row>
    <row r="482" spans="1:4" x14ac:dyDescent="0.45">
      <c r="A482" t="s">
        <v>56</v>
      </c>
      <c r="B482">
        <v>2005</v>
      </c>
      <c r="C482" t="s">
        <v>76</v>
      </c>
      <c r="D482">
        <v>0.55000000000000004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0.4</v>
      </c>
    </row>
    <row r="485" spans="1:4" x14ac:dyDescent="0.45">
      <c r="A485" t="s">
        <v>32</v>
      </c>
      <c r="B485">
        <v>2005</v>
      </c>
      <c r="C485" t="s">
        <v>76</v>
      </c>
      <c r="D485">
        <v>0.11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0.16</v>
      </c>
    </row>
    <row r="489" spans="1:4" x14ac:dyDescent="0.45">
      <c r="A489" t="s">
        <v>34</v>
      </c>
      <c r="B489">
        <v>2006</v>
      </c>
      <c r="C489" t="s">
        <v>76</v>
      </c>
      <c r="D489">
        <v>4.33</v>
      </c>
    </row>
    <row r="490" spans="1:4" x14ac:dyDescent="0.45">
      <c r="A490" t="s">
        <v>36</v>
      </c>
      <c r="B490">
        <v>2006</v>
      </c>
      <c r="C490" t="s">
        <v>76</v>
      </c>
      <c r="D490">
        <v>5.17</v>
      </c>
    </row>
    <row r="491" spans="1:4" x14ac:dyDescent="0.45">
      <c r="A491" t="s">
        <v>56</v>
      </c>
      <c r="B491">
        <v>2006</v>
      </c>
      <c r="C491" t="s">
        <v>76</v>
      </c>
      <c r="D491">
        <v>0.55000000000000004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0.43</v>
      </c>
    </row>
    <row r="494" spans="1:4" x14ac:dyDescent="0.45">
      <c r="A494" t="s">
        <v>32</v>
      </c>
      <c r="B494">
        <v>2006</v>
      </c>
      <c r="C494" t="s">
        <v>76</v>
      </c>
      <c r="D494">
        <v>0.12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0.01</v>
      </c>
    </row>
    <row r="497" spans="1:4" x14ac:dyDescent="0.45">
      <c r="A497" t="s">
        <v>32</v>
      </c>
      <c r="B497">
        <v>2007</v>
      </c>
      <c r="C497" t="s">
        <v>76</v>
      </c>
      <c r="D497">
        <v>0.16</v>
      </c>
    </row>
    <row r="498" spans="1:4" x14ac:dyDescent="0.45">
      <c r="A498" t="s">
        <v>34</v>
      </c>
      <c r="B498">
        <v>2007</v>
      </c>
      <c r="C498" t="s">
        <v>76</v>
      </c>
      <c r="D498">
        <v>2.2599999999999998</v>
      </c>
    </row>
    <row r="499" spans="1:4" x14ac:dyDescent="0.45">
      <c r="A499" t="s">
        <v>36</v>
      </c>
      <c r="B499">
        <v>2007</v>
      </c>
      <c r="C499" t="s">
        <v>76</v>
      </c>
      <c r="D499">
        <v>6.36</v>
      </c>
    </row>
    <row r="500" spans="1:4" x14ac:dyDescent="0.45">
      <c r="A500" t="s">
        <v>56</v>
      </c>
      <c r="B500">
        <v>2007</v>
      </c>
      <c r="C500" t="s">
        <v>76</v>
      </c>
      <c r="D500">
        <v>0.56000000000000005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0.4</v>
      </c>
    </row>
    <row r="503" spans="1:4" x14ac:dyDescent="0.45">
      <c r="A503" t="s">
        <v>32</v>
      </c>
      <c r="B503">
        <v>2007</v>
      </c>
      <c r="C503" t="s">
        <v>76</v>
      </c>
      <c r="D503">
        <v>0.13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0.01</v>
      </c>
    </row>
    <row r="506" spans="1:4" x14ac:dyDescent="0.45">
      <c r="A506" t="s">
        <v>32</v>
      </c>
      <c r="B506">
        <v>2008</v>
      </c>
      <c r="C506" t="s">
        <v>76</v>
      </c>
      <c r="D506">
        <v>0.16</v>
      </c>
    </row>
    <row r="507" spans="1:4" x14ac:dyDescent="0.45">
      <c r="A507" t="s">
        <v>34</v>
      </c>
      <c r="B507">
        <v>2008</v>
      </c>
      <c r="C507" t="s">
        <v>76</v>
      </c>
      <c r="D507">
        <v>3.76</v>
      </c>
    </row>
    <row r="508" spans="1:4" x14ac:dyDescent="0.45">
      <c r="A508" t="s">
        <v>36</v>
      </c>
      <c r="B508">
        <v>2008</v>
      </c>
      <c r="C508" t="s">
        <v>76</v>
      </c>
      <c r="D508">
        <v>5.69</v>
      </c>
    </row>
    <row r="509" spans="1:4" x14ac:dyDescent="0.45">
      <c r="A509" t="s">
        <v>56</v>
      </c>
      <c r="B509">
        <v>2008</v>
      </c>
      <c r="C509" t="s">
        <v>76</v>
      </c>
      <c r="D509">
        <v>0.53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0.47</v>
      </c>
    </row>
    <row r="512" spans="1:4" x14ac:dyDescent="0.45">
      <c r="A512" t="s">
        <v>32</v>
      </c>
      <c r="B512">
        <v>2008</v>
      </c>
      <c r="C512" t="s">
        <v>76</v>
      </c>
      <c r="D512">
        <v>0.15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0.01</v>
      </c>
    </row>
    <row r="515" spans="1:4" x14ac:dyDescent="0.45">
      <c r="A515" t="s">
        <v>32</v>
      </c>
      <c r="B515">
        <v>2009</v>
      </c>
      <c r="C515" t="s">
        <v>76</v>
      </c>
      <c r="D515">
        <v>0.16</v>
      </c>
    </row>
    <row r="516" spans="1:4" x14ac:dyDescent="0.45">
      <c r="A516" t="s">
        <v>34</v>
      </c>
      <c r="B516">
        <v>2009</v>
      </c>
      <c r="C516" t="s">
        <v>76</v>
      </c>
      <c r="D516">
        <v>2.42</v>
      </c>
    </row>
    <row r="517" spans="1:4" x14ac:dyDescent="0.45">
      <c r="A517" t="s">
        <v>36</v>
      </c>
      <c r="B517">
        <v>2009</v>
      </c>
      <c r="C517" t="s">
        <v>76</v>
      </c>
      <c r="D517">
        <v>4.7699999999999996</v>
      </c>
    </row>
    <row r="518" spans="1:4" x14ac:dyDescent="0.45">
      <c r="A518" t="s">
        <v>56</v>
      </c>
      <c r="B518">
        <v>2009</v>
      </c>
      <c r="C518" t="s">
        <v>76</v>
      </c>
      <c r="D518">
        <v>0.56999999999999995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0.38</v>
      </c>
    </row>
    <row r="521" spans="1:4" x14ac:dyDescent="0.45">
      <c r="A521" t="s">
        <v>32</v>
      </c>
      <c r="B521">
        <v>2009</v>
      </c>
      <c r="C521" t="s">
        <v>76</v>
      </c>
      <c r="D521">
        <v>0.17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0.01</v>
      </c>
    </row>
    <row r="524" spans="1:4" x14ac:dyDescent="0.45">
      <c r="A524" t="s">
        <v>32</v>
      </c>
      <c r="B524">
        <v>2010</v>
      </c>
      <c r="C524" t="s">
        <v>76</v>
      </c>
      <c r="D524">
        <v>0.17</v>
      </c>
    </row>
    <row r="525" spans="1:4" x14ac:dyDescent="0.45">
      <c r="A525" t="s">
        <v>34</v>
      </c>
      <c r="B525">
        <v>2010</v>
      </c>
      <c r="C525" t="s">
        <v>76</v>
      </c>
      <c r="D525">
        <v>1.26</v>
      </c>
    </row>
    <row r="526" spans="1:4" x14ac:dyDescent="0.45">
      <c r="A526" t="s">
        <v>36</v>
      </c>
      <c r="B526">
        <v>2010</v>
      </c>
      <c r="C526" t="s">
        <v>76</v>
      </c>
      <c r="D526">
        <v>5.3</v>
      </c>
    </row>
    <row r="527" spans="1:4" x14ac:dyDescent="0.45">
      <c r="A527" t="s">
        <v>56</v>
      </c>
      <c r="B527">
        <v>2010</v>
      </c>
      <c r="C527" t="s">
        <v>76</v>
      </c>
      <c r="D527">
        <v>0.57999999999999996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0.43</v>
      </c>
    </row>
    <row r="530" spans="1:4" x14ac:dyDescent="0.45">
      <c r="A530" t="s">
        <v>32</v>
      </c>
      <c r="B530">
        <v>2010</v>
      </c>
      <c r="C530" t="s">
        <v>76</v>
      </c>
      <c r="D530">
        <v>0.21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0.02</v>
      </c>
    </row>
    <row r="533" spans="1:4" x14ac:dyDescent="0.45">
      <c r="A533" t="s">
        <v>32</v>
      </c>
      <c r="B533">
        <v>2011</v>
      </c>
      <c r="C533" t="s">
        <v>76</v>
      </c>
      <c r="D533">
        <v>0.16</v>
      </c>
    </row>
    <row r="534" spans="1:4" x14ac:dyDescent="0.45">
      <c r="A534" t="s">
        <v>34</v>
      </c>
      <c r="B534">
        <v>2011</v>
      </c>
      <c r="C534" t="s">
        <v>76</v>
      </c>
      <c r="D534">
        <v>1.43</v>
      </c>
    </row>
    <row r="535" spans="1:4" x14ac:dyDescent="0.45">
      <c r="A535" t="s">
        <v>36</v>
      </c>
      <c r="B535">
        <v>2011</v>
      </c>
      <c r="C535" t="s">
        <v>76</v>
      </c>
      <c r="D535">
        <v>4.5</v>
      </c>
    </row>
    <row r="536" spans="1:4" x14ac:dyDescent="0.45">
      <c r="A536" t="s">
        <v>56</v>
      </c>
      <c r="B536">
        <v>2011</v>
      </c>
      <c r="C536" t="s">
        <v>76</v>
      </c>
      <c r="D536">
        <v>0.59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0.38</v>
      </c>
    </row>
    <row r="539" spans="1:4" x14ac:dyDescent="0.45">
      <c r="A539" t="s">
        <v>32</v>
      </c>
      <c r="B539">
        <v>2011</v>
      </c>
      <c r="C539" t="s">
        <v>76</v>
      </c>
      <c r="D539">
        <v>0.22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0.02</v>
      </c>
    </row>
    <row r="542" spans="1:4" x14ac:dyDescent="0.45">
      <c r="A542" t="s">
        <v>32</v>
      </c>
      <c r="B542">
        <v>2012</v>
      </c>
      <c r="C542" t="s">
        <v>76</v>
      </c>
      <c r="D542">
        <v>0.17</v>
      </c>
    </row>
    <row r="543" spans="1:4" x14ac:dyDescent="0.45">
      <c r="A543" t="s">
        <v>34</v>
      </c>
      <c r="B543">
        <v>2012</v>
      </c>
      <c r="C543" t="s">
        <v>76</v>
      </c>
      <c r="D543">
        <v>2.61</v>
      </c>
    </row>
    <row r="544" spans="1:4" x14ac:dyDescent="0.45">
      <c r="A544" t="s">
        <v>36</v>
      </c>
      <c r="B544">
        <v>2012</v>
      </c>
      <c r="C544" t="s">
        <v>76</v>
      </c>
      <c r="D544">
        <v>4.74</v>
      </c>
    </row>
    <row r="545" spans="1:4" x14ac:dyDescent="0.45">
      <c r="A545" t="s">
        <v>56</v>
      </c>
      <c r="B545">
        <v>2012</v>
      </c>
      <c r="C545" t="s">
        <v>76</v>
      </c>
      <c r="D545">
        <v>0.54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0.41</v>
      </c>
    </row>
    <row r="548" spans="1:4" x14ac:dyDescent="0.45">
      <c r="A548" t="s">
        <v>32</v>
      </c>
      <c r="B548">
        <v>2012</v>
      </c>
      <c r="C548" t="s">
        <v>76</v>
      </c>
      <c r="D548">
        <v>0.22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0.02</v>
      </c>
    </row>
    <row r="551" spans="1:4" x14ac:dyDescent="0.45">
      <c r="A551" t="s">
        <v>32</v>
      </c>
      <c r="B551">
        <v>2013</v>
      </c>
      <c r="C551" t="s">
        <v>76</v>
      </c>
      <c r="D551">
        <v>0.17</v>
      </c>
    </row>
    <row r="552" spans="1:4" x14ac:dyDescent="0.45">
      <c r="A552" t="s">
        <v>34</v>
      </c>
      <c r="B552">
        <v>2013</v>
      </c>
      <c r="C552" t="s">
        <v>76</v>
      </c>
      <c r="D552">
        <v>1.55</v>
      </c>
    </row>
    <row r="553" spans="1:4" x14ac:dyDescent="0.45">
      <c r="A553" t="s">
        <v>36</v>
      </c>
      <c r="B553">
        <v>2013</v>
      </c>
      <c r="C553" t="s">
        <v>76</v>
      </c>
      <c r="D553">
        <v>4.6500000000000004</v>
      </c>
    </row>
    <row r="554" spans="1:4" x14ac:dyDescent="0.45">
      <c r="A554" t="s">
        <v>56</v>
      </c>
      <c r="B554">
        <v>2013</v>
      </c>
      <c r="C554" t="s">
        <v>76</v>
      </c>
      <c r="D554">
        <v>0.54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0.42</v>
      </c>
    </row>
    <row r="557" spans="1:4" x14ac:dyDescent="0.45">
      <c r="A557" t="s">
        <v>32</v>
      </c>
      <c r="B557">
        <v>2013</v>
      </c>
      <c r="C557" t="s">
        <v>76</v>
      </c>
      <c r="D557">
        <v>0.23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0.02</v>
      </c>
    </row>
    <row r="560" spans="1:4" x14ac:dyDescent="0.45">
      <c r="A560" t="s">
        <v>32</v>
      </c>
      <c r="B560">
        <v>2014</v>
      </c>
      <c r="C560" t="s">
        <v>76</v>
      </c>
      <c r="D560">
        <v>0.17</v>
      </c>
    </row>
    <row r="561" spans="1:4" x14ac:dyDescent="0.45">
      <c r="A561" t="s">
        <v>34</v>
      </c>
      <c r="B561">
        <v>2014</v>
      </c>
      <c r="C561" t="s">
        <v>76</v>
      </c>
      <c r="D561">
        <v>1.19</v>
      </c>
    </row>
    <row r="562" spans="1:4" x14ac:dyDescent="0.45">
      <c r="A562" t="s">
        <v>36</v>
      </c>
      <c r="B562">
        <v>2014</v>
      </c>
      <c r="C562" t="s">
        <v>76</v>
      </c>
      <c r="D562">
        <v>3.77</v>
      </c>
    </row>
    <row r="563" spans="1:4" x14ac:dyDescent="0.45">
      <c r="A563" t="s">
        <v>56</v>
      </c>
      <c r="B563">
        <v>2014</v>
      </c>
      <c r="C563" t="s">
        <v>76</v>
      </c>
      <c r="D563">
        <v>0.56999999999999995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0.41</v>
      </c>
    </row>
    <row r="566" spans="1:4" x14ac:dyDescent="0.45">
      <c r="A566" t="s">
        <v>32</v>
      </c>
      <c r="B566">
        <v>2014</v>
      </c>
      <c r="C566" t="s">
        <v>76</v>
      </c>
      <c r="D566">
        <v>0.26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0.02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1.0900000000000001</v>
      </c>
    </row>
    <row r="571" spans="1:4" x14ac:dyDescent="0.45">
      <c r="A571" t="s">
        <v>36</v>
      </c>
      <c r="B571">
        <v>2015</v>
      </c>
      <c r="C571" t="s">
        <v>76</v>
      </c>
      <c r="D571">
        <v>3.66</v>
      </c>
    </row>
    <row r="572" spans="1:4" x14ac:dyDescent="0.45">
      <c r="A572" t="s">
        <v>56</v>
      </c>
      <c r="B572">
        <v>2015</v>
      </c>
      <c r="C572" t="s">
        <v>76</v>
      </c>
      <c r="D572">
        <v>0.57999999999999996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0.43</v>
      </c>
    </row>
    <row r="575" spans="1:4" x14ac:dyDescent="0.45">
      <c r="A575" t="s">
        <v>32</v>
      </c>
      <c r="B575">
        <v>2015</v>
      </c>
      <c r="C575" t="s">
        <v>76</v>
      </c>
      <c r="D575">
        <v>0.28000000000000003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0.02</v>
      </c>
    </row>
    <row r="578" spans="1:4" x14ac:dyDescent="0.45">
      <c r="A578" t="s">
        <v>32</v>
      </c>
      <c r="B578">
        <v>2016</v>
      </c>
      <c r="C578" t="s">
        <v>76</v>
      </c>
      <c r="D578">
        <v>0.18</v>
      </c>
    </row>
    <row r="579" spans="1:4" x14ac:dyDescent="0.45">
      <c r="A579" t="s">
        <v>34</v>
      </c>
      <c r="B579">
        <v>2016</v>
      </c>
      <c r="C579" t="s">
        <v>76</v>
      </c>
      <c r="D579">
        <v>0.39</v>
      </c>
    </row>
    <row r="580" spans="1:4" x14ac:dyDescent="0.45">
      <c r="A580" t="s">
        <v>36</v>
      </c>
      <c r="B580">
        <v>2016</v>
      </c>
      <c r="C580" t="s">
        <v>76</v>
      </c>
      <c r="D580">
        <v>3.07</v>
      </c>
    </row>
    <row r="581" spans="1:4" x14ac:dyDescent="0.45">
      <c r="A581" t="s">
        <v>56</v>
      </c>
      <c r="B581">
        <v>2016</v>
      </c>
      <c r="C581" t="s">
        <v>76</v>
      </c>
      <c r="D581">
        <v>0.61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0.4</v>
      </c>
    </row>
    <row r="584" spans="1:4" x14ac:dyDescent="0.45">
      <c r="A584" t="s">
        <v>32</v>
      </c>
      <c r="B584">
        <v>2016</v>
      </c>
      <c r="C584" t="s">
        <v>76</v>
      </c>
      <c r="D584">
        <v>0.28000000000000003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0.02</v>
      </c>
    </row>
    <row r="587" spans="1:4" x14ac:dyDescent="0.45">
      <c r="A587" t="s">
        <v>32</v>
      </c>
      <c r="B587">
        <v>2017</v>
      </c>
      <c r="C587" t="s">
        <v>76</v>
      </c>
      <c r="D587">
        <v>0.17</v>
      </c>
    </row>
    <row r="588" spans="1:4" x14ac:dyDescent="0.45">
      <c r="A588" t="s">
        <v>34</v>
      </c>
      <c r="B588">
        <v>2017</v>
      </c>
      <c r="C588" t="s">
        <v>76</v>
      </c>
      <c r="D588">
        <v>0.51</v>
      </c>
    </row>
    <row r="589" spans="1:4" x14ac:dyDescent="0.45">
      <c r="A589" t="s">
        <v>36</v>
      </c>
      <c r="B589">
        <v>2017</v>
      </c>
      <c r="C589" t="s">
        <v>76</v>
      </c>
      <c r="D589">
        <v>3.76</v>
      </c>
    </row>
    <row r="590" spans="1:4" x14ac:dyDescent="0.45">
      <c r="A590" t="s">
        <v>56</v>
      </c>
      <c r="B590">
        <v>2017</v>
      </c>
      <c r="C590" t="s">
        <v>76</v>
      </c>
      <c r="D590">
        <v>0.59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0.42</v>
      </c>
    </row>
    <row r="593" spans="1:4" x14ac:dyDescent="0.45">
      <c r="A593" t="s">
        <v>32</v>
      </c>
      <c r="B593">
        <v>2017</v>
      </c>
      <c r="C593" t="s">
        <v>76</v>
      </c>
      <c r="D593">
        <v>0.28999999999999998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0.02</v>
      </c>
    </row>
    <row r="596" spans="1:4" x14ac:dyDescent="0.45">
      <c r="A596" t="s">
        <v>32</v>
      </c>
      <c r="B596">
        <v>2018</v>
      </c>
      <c r="C596" t="s">
        <v>76</v>
      </c>
      <c r="D596">
        <v>0.17</v>
      </c>
    </row>
    <row r="597" spans="1:4" x14ac:dyDescent="0.45">
      <c r="A597" t="s">
        <v>34</v>
      </c>
      <c r="B597">
        <v>2018</v>
      </c>
      <c r="C597" t="s">
        <v>76</v>
      </c>
      <c r="D597">
        <v>0.87</v>
      </c>
    </row>
    <row r="598" spans="1:4" x14ac:dyDescent="0.45">
      <c r="A598" t="s">
        <v>36</v>
      </c>
      <c r="B598">
        <v>2018</v>
      </c>
      <c r="C598" t="s">
        <v>76</v>
      </c>
      <c r="D598">
        <v>3.05</v>
      </c>
    </row>
    <row r="599" spans="1:4" x14ac:dyDescent="0.45">
      <c r="A599" t="s">
        <v>56</v>
      </c>
      <c r="B599">
        <v>2018</v>
      </c>
      <c r="C599" t="s">
        <v>76</v>
      </c>
      <c r="D599">
        <v>0.62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0.41</v>
      </c>
    </row>
    <row r="602" spans="1:4" x14ac:dyDescent="0.45">
      <c r="A602" t="s">
        <v>32</v>
      </c>
      <c r="B602">
        <v>2018</v>
      </c>
      <c r="C602" t="s">
        <v>76</v>
      </c>
      <c r="D602">
        <v>0.28000000000000003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0.02</v>
      </c>
    </row>
    <row r="605" spans="1:4" x14ac:dyDescent="0.45">
      <c r="A605" t="s">
        <v>32</v>
      </c>
      <c r="B605">
        <v>2019</v>
      </c>
      <c r="C605" t="s">
        <v>76</v>
      </c>
      <c r="D605">
        <v>0.17</v>
      </c>
    </row>
    <row r="606" spans="1:4" x14ac:dyDescent="0.45">
      <c r="A606" t="s">
        <v>34</v>
      </c>
      <c r="B606">
        <v>2019</v>
      </c>
      <c r="C606" t="s">
        <v>76</v>
      </c>
      <c r="D606">
        <v>1.41</v>
      </c>
    </row>
    <row r="607" spans="1:4" x14ac:dyDescent="0.45">
      <c r="A607" t="s">
        <v>36</v>
      </c>
      <c r="B607">
        <v>2019</v>
      </c>
      <c r="C607" t="s">
        <v>76</v>
      </c>
      <c r="D607">
        <v>2.92</v>
      </c>
    </row>
    <row r="608" spans="1:4" x14ac:dyDescent="0.45">
      <c r="A608" t="s">
        <v>56</v>
      </c>
      <c r="B608">
        <v>2019</v>
      </c>
      <c r="C608" t="s">
        <v>76</v>
      </c>
      <c r="D608">
        <v>0.6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0.45</v>
      </c>
    </row>
    <row r="611" spans="1:4" x14ac:dyDescent="0.45">
      <c r="A611" t="s">
        <v>32</v>
      </c>
      <c r="B611">
        <v>2019</v>
      </c>
      <c r="C611" t="s">
        <v>76</v>
      </c>
      <c r="D611">
        <v>0.28999999999999998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0.02</v>
      </c>
    </row>
    <row r="614" spans="1:4" x14ac:dyDescent="0.45">
      <c r="A614" t="s">
        <v>32</v>
      </c>
      <c r="B614">
        <v>2020</v>
      </c>
      <c r="C614" t="s">
        <v>76</v>
      </c>
      <c r="D614">
        <v>0.17</v>
      </c>
    </row>
    <row r="615" spans="1:4" x14ac:dyDescent="0.45">
      <c r="A615" t="s">
        <v>34</v>
      </c>
      <c r="B615">
        <v>2020</v>
      </c>
      <c r="C615" t="s">
        <v>76</v>
      </c>
      <c r="D615">
        <v>1.51</v>
      </c>
    </row>
    <row r="616" spans="1:4" x14ac:dyDescent="0.45">
      <c r="A616" t="s">
        <v>36</v>
      </c>
      <c r="B616">
        <v>2020</v>
      </c>
      <c r="C616" t="s">
        <v>76</v>
      </c>
      <c r="D616">
        <v>3.2</v>
      </c>
    </row>
    <row r="617" spans="1:4" x14ac:dyDescent="0.45">
      <c r="A617" t="s">
        <v>56</v>
      </c>
      <c r="B617">
        <v>2020</v>
      </c>
      <c r="C617" t="s">
        <v>76</v>
      </c>
      <c r="D617">
        <v>0.56999999999999995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0.41</v>
      </c>
    </row>
    <row r="620" spans="1:4" x14ac:dyDescent="0.45">
      <c r="A620" t="s">
        <v>32</v>
      </c>
      <c r="B620">
        <v>2020</v>
      </c>
      <c r="C620" t="s">
        <v>76</v>
      </c>
      <c r="D620">
        <v>0.28999999999999998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0.02</v>
      </c>
    </row>
    <row r="623" spans="1:4" x14ac:dyDescent="0.45">
      <c r="A623" t="s">
        <v>32</v>
      </c>
      <c r="B623">
        <v>2021</v>
      </c>
      <c r="C623" t="s">
        <v>76</v>
      </c>
      <c r="D623">
        <v>0.37</v>
      </c>
    </row>
    <row r="624" spans="1:4" x14ac:dyDescent="0.45">
      <c r="A624" t="s">
        <v>34</v>
      </c>
      <c r="B624">
        <v>2021</v>
      </c>
      <c r="C624" t="s">
        <v>76</v>
      </c>
      <c r="D624">
        <v>2.2999999999999998</v>
      </c>
    </row>
    <row r="625" spans="1:4" x14ac:dyDescent="0.45">
      <c r="A625" t="s">
        <v>36</v>
      </c>
      <c r="B625">
        <v>2021</v>
      </c>
      <c r="C625" t="s">
        <v>76</v>
      </c>
      <c r="D625">
        <v>2.5</v>
      </c>
    </row>
    <row r="626" spans="1:4" x14ac:dyDescent="0.45">
      <c r="A626" t="s">
        <v>56</v>
      </c>
      <c r="B626">
        <v>2021</v>
      </c>
      <c r="C626" t="s">
        <v>76</v>
      </c>
      <c r="D626">
        <v>0.56999999999999995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0.47</v>
      </c>
    </row>
    <row r="629" spans="1:4" x14ac:dyDescent="0.45">
      <c r="A629" t="s">
        <v>32</v>
      </c>
      <c r="B629">
        <v>2021</v>
      </c>
      <c r="C629" t="s">
        <v>76</v>
      </c>
      <c r="D629">
        <v>0.3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0.02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1.01</v>
      </c>
    </row>
    <row r="634" spans="1:4" x14ac:dyDescent="0.45">
      <c r="A634" t="s">
        <v>36</v>
      </c>
      <c r="B634">
        <v>2022</v>
      </c>
      <c r="C634" t="s">
        <v>76</v>
      </c>
      <c r="D634">
        <v>2.2000000000000002</v>
      </c>
    </row>
    <row r="635" spans="1:4" x14ac:dyDescent="0.45">
      <c r="A635" t="s">
        <v>56</v>
      </c>
      <c r="B635">
        <v>2022</v>
      </c>
      <c r="C635" t="s">
        <v>76</v>
      </c>
      <c r="D635">
        <v>0.61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0.41</v>
      </c>
    </row>
    <row r="638" spans="1:4" x14ac:dyDescent="0.45">
      <c r="A638" t="s">
        <v>32</v>
      </c>
      <c r="B638">
        <v>2022</v>
      </c>
      <c r="C638" t="s">
        <v>76</v>
      </c>
      <c r="D638">
        <v>0.28999999999999998</v>
      </c>
    </row>
    <row r="639" spans="1:4" x14ac:dyDescent="0.45">
      <c r="A639" t="s">
        <v>58</v>
      </c>
      <c r="B639">
        <v>2022</v>
      </c>
      <c r="C639" t="s">
        <v>76</v>
      </c>
      <c r="D639">
        <v>0.01</v>
      </c>
    </row>
    <row r="640" spans="1:4" x14ac:dyDescent="0.45">
      <c r="A640" t="s">
        <v>91</v>
      </c>
      <c r="B640">
        <v>2022</v>
      </c>
      <c r="C640" t="s">
        <v>76</v>
      </c>
      <c r="D640">
        <v>0.03</v>
      </c>
    </row>
    <row r="641" spans="1:4" x14ac:dyDescent="0.45">
      <c r="A641" t="s">
        <v>32</v>
      </c>
      <c r="B641">
        <v>2023</v>
      </c>
      <c r="C641" t="s">
        <v>76</v>
      </c>
      <c r="D641">
        <v>0.34</v>
      </c>
    </row>
    <row r="642" spans="1:4" x14ac:dyDescent="0.45">
      <c r="A642" t="s">
        <v>34</v>
      </c>
      <c r="B642">
        <v>2023</v>
      </c>
      <c r="C642" t="s">
        <v>76</v>
      </c>
      <c r="D642">
        <v>1.57</v>
      </c>
    </row>
    <row r="643" spans="1:4" x14ac:dyDescent="0.45">
      <c r="A643" t="s">
        <v>36</v>
      </c>
      <c r="B643">
        <v>2023</v>
      </c>
      <c r="C643" t="s">
        <v>76</v>
      </c>
      <c r="D643">
        <v>1.75</v>
      </c>
    </row>
    <row r="644" spans="1:4" x14ac:dyDescent="0.45">
      <c r="A644" t="s">
        <v>56</v>
      </c>
      <c r="B644">
        <v>2023</v>
      </c>
      <c r="C644" t="s">
        <v>76</v>
      </c>
      <c r="D644">
        <v>0.62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0.41</v>
      </c>
    </row>
    <row r="647" spans="1:4" x14ac:dyDescent="0.45">
      <c r="A647" t="s">
        <v>32</v>
      </c>
      <c r="B647">
        <v>2023</v>
      </c>
      <c r="C647" t="s">
        <v>76</v>
      </c>
      <c r="D647">
        <v>0.28999999999999998</v>
      </c>
    </row>
    <row r="648" spans="1:4" x14ac:dyDescent="0.45">
      <c r="A648" t="s">
        <v>58</v>
      </c>
      <c r="B648">
        <v>2023</v>
      </c>
      <c r="C648" t="s">
        <v>76</v>
      </c>
      <c r="D648">
        <v>0.01</v>
      </c>
    </row>
    <row r="649" spans="1:4" x14ac:dyDescent="0.45">
      <c r="A649" t="s">
        <v>91</v>
      </c>
      <c r="B649">
        <v>2023</v>
      </c>
      <c r="C649" t="s">
        <v>76</v>
      </c>
      <c r="D649">
        <v>0.03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0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0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0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0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0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0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0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0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0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0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0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0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0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0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0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0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0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0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0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0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0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0</v>
      </c>
    </row>
    <row r="694" spans="1:4" x14ac:dyDescent="0.45">
      <c r="A694" t="s">
        <v>60</v>
      </c>
      <c r="B694">
        <v>2022</v>
      </c>
      <c r="C694" t="s">
        <v>74</v>
      </c>
      <c r="D694">
        <v>0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0.28200000000000003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0.30080000000000001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0.13159999999999999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9.4E-2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0.3196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0.33839999999999998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0.31019999999999998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0.30080000000000001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0.32900000000000001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0.33839999999999998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0.3478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0.30080000000000001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0.30080000000000001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0.27259999999999995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7.5200000000000003E-2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1.8800000000000001E-2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1.8800000000000001E-2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0.30080000000000001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0.29139999999999999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0.25380000000000003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0.23500000000000001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0.13159999999999999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0.35720000000000002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0.44180000000000003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0.11279999999999998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8.4599999999999995E-2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9.4000000000000004E-3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0.3196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0.376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0.27259999999999995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0.24439999999999998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0.188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0.32900000000000001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0.376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5.6399999999999992E-2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3.7600000000000001E-2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0.48949999999999999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0.33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0.1925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0.23649999999999999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0.34099999999999997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0.51149999999999995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0.60499999999999998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0.48400000000000004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0.24749999999999997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0.23099999999999998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0.27500000000000002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0.43450000000000005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0.67649999999999999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1.034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0.47849999999999998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0.24200000000000002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0.20350000000000001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0.39050000000000001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0.47299999999999998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0.49499999999999994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0.60499999999999998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0.50050000000000006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0.24200000000000002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0.19799999999999998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0.40700000000000003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0.61599999999999999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0.95150000000000001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1.1000000000000001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0.50600000000000001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0.35200000000000004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0.13750000000000001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0.14299999999999999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0.33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0.34099999999999997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0.49499999999999994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0.35200000000000004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0.23649999999999999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0.29700000000000004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0.41249999999999998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0.64900000000000002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1.012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0.49499999999999994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0.34650000000000003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0.17600000000000002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9.8999999999999991E-2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0.154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1.1000000000000001E-2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4.1999999999999996E-2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4.1999999999999996E-2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4.1999999999999996E-2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4.1999999999999996E-2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4.1999999999999996E-2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2.8000000000000001E-2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4.1999999999999996E-2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4.1999999999999996E-2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0.20895000000000002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1.1167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2.5803500000000001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5.4227999999999996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7.8970500000000001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9.2476500000000001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8.8496500000000005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7.9641000000000002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6.3194999999999997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4.633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3.7746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2.86605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2.0321499999999997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1.6215000000000002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1.3472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1.2025999999999999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1.0725500000000001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0.19869999999999999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1.02085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1.18675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1.244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1.1221000000000001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1.0388999999999999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0.92524999999999991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0.83455000000000001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0.66215000000000002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0.41234999999999999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0.21479999999999999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0.1125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1.5199999999999998E-2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7.7000000000000002E-3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0.20544999999999999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1.0403500000000001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1.2282999999999999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1.62005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6.1335499999999996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9.835799999999999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11.352600000000001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12.048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12.474049999999998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12.61875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13.4748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13.17295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14.40375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12.274850000000001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10.874700000000001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8.2222000000000008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5.7698499999999999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0.20555000000000001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1.0448500000000001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1.2513999999999998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1.3785500000000002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2.8944000000000001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3.19625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4.0709499999999998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4.8670499999999999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3.9782500000000001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3.2508999999999997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2.8638500000000002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1.4653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1.1129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0.69094999999999995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0.2661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0.17194999999999999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7.5850000000000001E-2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0.21405000000000002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1.1953499999999999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2.79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4.0733499999999996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5.2749500000000005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6.3895499999999998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6.2490000000000006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8.7344000000000008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9.0838999999999999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8.7404499999999992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8.8622499999999995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8.1256500000000003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7.5183999999999997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6.9884000000000004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6.5750000000000002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5.8432499999999994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5.2373000000000003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0.2069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1.1461000000000001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3.3548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6.1961500000000003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8.20655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8.6885499999999993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8.0791500000000003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7.3857499999999998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6.4704999999999995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5.62995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5.3163999999999998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4.0597000000000003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2.8574000000000002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1.5888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0.42010000000000003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0.2414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7.0849999999999996E-2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0.21615000000000001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1.2197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3.7315500000000004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6.6483499999999998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8.9504999999999999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9.4164500000000011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9.2463000000000015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8.6695999999999991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6.9811499999999995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5.6123500000000002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4.3325500000000003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3.919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3.5769500000000001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3.5325500000000001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3.5260499999999997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3.33955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3.1755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5.3699999999999998E-2</v>
      </c>
      <c r="K268" t="s">
        <v>24</v>
      </c>
    </row>
    <row r="269" spans="1:11" x14ac:dyDescent="0.45">
      <c r="A269" t="s">
        <v>90</v>
      </c>
      <c r="B269" t="s">
        <v>3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5.645E-2</v>
      </c>
      <c r="K269" t="s">
        <v>24</v>
      </c>
    </row>
    <row r="270" spans="1:11" x14ac:dyDescent="0.45">
      <c r="A270" t="s">
        <v>90</v>
      </c>
      <c r="B270" t="s">
        <v>3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5.7099999999999998E-2</v>
      </c>
      <c r="K270" t="s">
        <v>24</v>
      </c>
    </row>
    <row r="271" spans="1:11" x14ac:dyDescent="0.45">
      <c r="A271" t="s">
        <v>90</v>
      </c>
      <c r="B271" t="s">
        <v>3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6.4349999999999991E-2</v>
      </c>
      <c r="K271" t="s">
        <v>24</v>
      </c>
    </row>
    <row r="272" spans="1:11" x14ac:dyDescent="0.45">
      <c r="A272" t="s">
        <v>90</v>
      </c>
      <c r="B272" t="s">
        <v>3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8.4100000000000008E-2</v>
      </c>
      <c r="K272" t="s">
        <v>24</v>
      </c>
    </row>
    <row r="273" spans="1:11" x14ac:dyDescent="0.45">
      <c r="A273" t="s">
        <v>90</v>
      </c>
      <c r="B273" t="s">
        <v>3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9.7700000000000009E-2</v>
      </c>
      <c r="K273" t="s">
        <v>24</v>
      </c>
    </row>
    <row r="274" spans="1:11" x14ac:dyDescent="0.45">
      <c r="A274" t="s">
        <v>90</v>
      </c>
      <c r="B274" t="s">
        <v>3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0.10345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0.10065</v>
      </c>
      <c r="K275" t="s">
        <v>24</v>
      </c>
    </row>
    <row r="276" spans="1:11" x14ac:dyDescent="0.45">
      <c r="A276" t="s">
        <v>90</v>
      </c>
      <c r="B276" t="s">
        <v>3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8.635000000000001E-2</v>
      </c>
      <c r="K276" t="s">
        <v>24</v>
      </c>
    </row>
    <row r="277" spans="1:11" x14ac:dyDescent="0.45">
      <c r="A277" t="s">
        <v>90</v>
      </c>
      <c r="B277" t="s">
        <v>3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8.3449999999999996E-2</v>
      </c>
      <c r="K277" t="s">
        <v>24</v>
      </c>
    </row>
    <row r="278" spans="1:11" x14ac:dyDescent="0.45">
      <c r="A278" t="s">
        <v>90</v>
      </c>
      <c r="B278" t="s">
        <v>3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8.0399999999999999E-2</v>
      </c>
      <c r="K278" t="s">
        <v>24</v>
      </c>
    </row>
    <row r="279" spans="1:11" x14ac:dyDescent="0.45">
      <c r="A279" t="s">
        <v>90</v>
      </c>
      <c r="B279" t="s">
        <v>3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7.7050000000000007E-2</v>
      </c>
      <c r="K279" t="s">
        <v>24</v>
      </c>
    </row>
    <row r="280" spans="1:11" x14ac:dyDescent="0.45">
      <c r="A280" t="s">
        <v>90</v>
      </c>
      <c r="B280" t="s">
        <v>3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7.4149999999999994E-2</v>
      </c>
      <c r="K280" t="s">
        <v>24</v>
      </c>
    </row>
    <row r="281" spans="1:11" x14ac:dyDescent="0.45">
      <c r="A281" t="s">
        <v>90</v>
      </c>
      <c r="B281" t="s">
        <v>3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7.0849999999999996E-2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6.7599999999999993E-2</v>
      </c>
      <c r="K282" t="s">
        <v>24</v>
      </c>
    </row>
    <row r="283" spans="1:11" x14ac:dyDescent="0.45">
      <c r="A283" t="s">
        <v>90</v>
      </c>
      <c r="B283" t="s">
        <v>3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6.3649999999999998E-2</v>
      </c>
      <c r="K283" t="s">
        <v>24</v>
      </c>
    </row>
    <row r="284" spans="1:11" x14ac:dyDescent="0.45">
      <c r="A284" t="s">
        <v>90</v>
      </c>
      <c r="B284" t="s">
        <v>3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5.9950000000000003E-2</v>
      </c>
      <c r="K284" t="s">
        <v>24</v>
      </c>
    </row>
    <row r="285" spans="1:11" x14ac:dyDescent="0.45">
      <c r="A285" t="s">
        <v>90</v>
      </c>
      <c r="B285" t="s">
        <v>4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2020</v>
      </c>
      <c r="J285">
        <v>5.5449999999999999E-2</v>
      </c>
      <c r="K285" t="s">
        <v>24</v>
      </c>
    </row>
    <row r="286" spans="1:11" x14ac:dyDescent="0.45">
      <c r="A286" t="s">
        <v>90</v>
      </c>
      <c r="B286" t="s">
        <v>4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2025</v>
      </c>
      <c r="J286">
        <v>5.7149999999999999E-2</v>
      </c>
      <c r="K286" t="s">
        <v>24</v>
      </c>
    </row>
    <row r="287" spans="1:11" x14ac:dyDescent="0.45">
      <c r="A287" t="s">
        <v>90</v>
      </c>
      <c r="B287" t="s">
        <v>4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5.8900000000000001E-2</v>
      </c>
      <c r="K287" t="s">
        <v>24</v>
      </c>
    </row>
    <row r="288" spans="1:11" x14ac:dyDescent="0.45">
      <c r="A288" t="s">
        <v>90</v>
      </c>
      <c r="B288" t="s">
        <v>4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2035</v>
      </c>
      <c r="J288">
        <v>6.275E-2</v>
      </c>
      <c r="K288" t="s">
        <v>24</v>
      </c>
    </row>
    <row r="289" spans="1:11" x14ac:dyDescent="0.45">
      <c r="A289" t="s">
        <v>90</v>
      </c>
      <c r="B289" t="s">
        <v>4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2040</v>
      </c>
      <c r="J289">
        <v>7.1750000000000008E-2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2045</v>
      </c>
      <c r="J290">
        <v>7.9000000000000001E-2</v>
      </c>
      <c r="K290" t="s">
        <v>24</v>
      </c>
    </row>
    <row r="291" spans="1:11" x14ac:dyDescent="0.45">
      <c r="A291" t="s">
        <v>90</v>
      </c>
      <c r="B291" t="s">
        <v>4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2050</v>
      </c>
      <c r="J291">
        <v>8.2449999999999996E-2</v>
      </c>
      <c r="K291" t="s">
        <v>24</v>
      </c>
    </row>
    <row r="292" spans="1:11" x14ac:dyDescent="0.45">
      <c r="A292" t="s">
        <v>90</v>
      </c>
      <c r="B292" t="s">
        <v>4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2055</v>
      </c>
      <c r="J292">
        <v>8.4749999999999992E-2</v>
      </c>
      <c r="K292" t="s">
        <v>24</v>
      </c>
    </row>
    <row r="293" spans="1:11" x14ac:dyDescent="0.45">
      <c r="A293" t="s">
        <v>90</v>
      </c>
      <c r="B293" t="s">
        <v>4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2060</v>
      </c>
      <c r="J293">
        <v>8.2350000000000007E-2</v>
      </c>
      <c r="K293" t="s">
        <v>24</v>
      </c>
    </row>
    <row r="294" spans="1:11" x14ac:dyDescent="0.45">
      <c r="A294" t="s">
        <v>90</v>
      </c>
      <c r="B294" t="s">
        <v>4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2065</v>
      </c>
      <c r="J294">
        <v>7.9050000000000009E-2</v>
      </c>
      <c r="K294" t="s">
        <v>24</v>
      </c>
    </row>
    <row r="295" spans="1:11" x14ac:dyDescent="0.45">
      <c r="A295" t="s">
        <v>90</v>
      </c>
      <c r="B295" t="s">
        <v>4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2070</v>
      </c>
      <c r="J295">
        <v>7.5600000000000001E-2</v>
      </c>
      <c r="K295" t="s">
        <v>24</v>
      </c>
    </row>
    <row r="296" spans="1:11" x14ac:dyDescent="0.45">
      <c r="A296" t="s">
        <v>90</v>
      </c>
      <c r="B296" t="s">
        <v>4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2075</v>
      </c>
      <c r="J296">
        <v>7.2649999999999992E-2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2080</v>
      </c>
      <c r="J297">
        <v>6.9699999999999998E-2</v>
      </c>
      <c r="K297" t="s">
        <v>24</v>
      </c>
    </row>
    <row r="298" spans="1:11" x14ac:dyDescent="0.45">
      <c r="A298" t="s">
        <v>90</v>
      </c>
      <c r="B298" t="s">
        <v>4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2085</v>
      </c>
      <c r="J298">
        <v>6.6750000000000004E-2</v>
      </c>
      <c r="K298" t="s">
        <v>24</v>
      </c>
    </row>
    <row r="299" spans="1:11" x14ac:dyDescent="0.45">
      <c r="A299" t="s">
        <v>90</v>
      </c>
      <c r="B299" t="s">
        <v>4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2090</v>
      </c>
      <c r="J299">
        <v>6.3750000000000001E-2</v>
      </c>
      <c r="K299" t="s">
        <v>24</v>
      </c>
    </row>
    <row r="300" spans="1:11" x14ac:dyDescent="0.45">
      <c r="A300" t="s">
        <v>90</v>
      </c>
      <c r="B300" t="s">
        <v>4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2095</v>
      </c>
      <c r="J300">
        <v>6.0749999999999998E-2</v>
      </c>
      <c r="K300" t="s">
        <v>24</v>
      </c>
    </row>
    <row r="301" spans="1:11" x14ac:dyDescent="0.45">
      <c r="A301" t="s">
        <v>90</v>
      </c>
      <c r="B301" t="s">
        <v>4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2100</v>
      </c>
      <c r="J301">
        <v>5.7999999999999996E-2</v>
      </c>
      <c r="K301" t="s">
        <v>24</v>
      </c>
    </row>
    <row r="302" spans="1:11" x14ac:dyDescent="0.45">
      <c r="A302" t="s">
        <v>90</v>
      </c>
      <c r="B302" t="s">
        <v>0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2020</v>
      </c>
      <c r="J302">
        <v>5.4099999999999995E-2</v>
      </c>
      <c r="K302" t="s">
        <v>24</v>
      </c>
    </row>
    <row r="303" spans="1:11" x14ac:dyDescent="0.45">
      <c r="A303" t="s">
        <v>90</v>
      </c>
      <c r="B303" t="s">
        <v>0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2025</v>
      </c>
      <c r="J303">
        <v>5.6349999999999997E-2</v>
      </c>
      <c r="K303" t="s">
        <v>24</v>
      </c>
    </row>
    <row r="304" spans="1:11" x14ac:dyDescent="0.45">
      <c r="A304" t="s">
        <v>90</v>
      </c>
      <c r="B304" t="s">
        <v>0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2030</v>
      </c>
      <c r="J304">
        <v>5.7499999999999996E-2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2035</v>
      </c>
      <c r="J305">
        <v>6.0950000000000004E-2</v>
      </c>
      <c r="K305" t="s">
        <v>24</v>
      </c>
    </row>
    <row r="306" spans="1:11" x14ac:dyDescent="0.45">
      <c r="A306" t="s">
        <v>90</v>
      </c>
      <c r="B306" t="s">
        <v>0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2040</v>
      </c>
      <c r="J306">
        <v>8.660000000000001E-2</v>
      </c>
      <c r="K306" t="s">
        <v>24</v>
      </c>
    </row>
    <row r="307" spans="1:11" x14ac:dyDescent="0.45">
      <c r="A307" t="s">
        <v>90</v>
      </c>
      <c r="B307" t="s">
        <v>0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9.9650000000000002E-2</v>
      </c>
      <c r="K307" t="s">
        <v>24</v>
      </c>
    </row>
    <row r="308" spans="1:11" x14ac:dyDescent="0.45">
      <c r="A308" t="s">
        <v>90</v>
      </c>
      <c r="B308" t="s">
        <v>0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2050</v>
      </c>
      <c r="J308">
        <v>0.10155</v>
      </c>
      <c r="K308" t="s">
        <v>24</v>
      </c>
    </row>
    <row r="309" spans="1:11" x14ac:dyDescent="0.45">
      <c r="A309" t="s">
        <v>90</v>
      </c>
      <c r="B309" t="s">
        <v>0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2055</v>
      </c>
      <c r="J309">
        <v>0.10339999999999999</v>
      </c>
      <c r="K309" t="s">
        <v>24</v>
      </c>
    </row>
    <row r="310" spans="1:11" x14ac:dyDescent="0.45">
      <c r="A310" t="s">
        <v>90</v>
      </c>
      <c r="B310" t="s">
        <v>0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2060</v>
      </c>
      <c r="J310">
        <v>9.2349999999999988E-2</v>
      </c>
      <c r="K310" t="s">
        <v>24</v>
      </c>
    </row>
    <row r="311" spans="1:11" x14ac:dyDescent="0.45">
      <c r="A311" t="s">
        <v>90</v>
      </c>
      <c r="B311" t="s">
        <v>0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2065</v>
      </c>
      <c r="J311">
        <v>8.7150000000000005E-2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2070</v>
      </c>
      <c r="J312">
        <v>8.2350000000000007E-2</v>
      </c>
      <c r="K312" t="s">
        <v>24</v>
      </c>
    </row>
    <row r="313" spans="1:11" x14ac:dyDescent="0.45">
      <c r="A313" t="s">
        <v>90</v>
      </c>
      <c r="B313" t="s">
        <v>0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2075</v>
      </c>
      <c r="J313">
        <v>7.9250000000000001E-2</v>
      </c>
      <c r="K313" t="s">
        <v>24</v>
      </c>
    </row>
    <row r="314" spans="1:11" x14ac:dyDescent="0.45">
      <c r="A314" t="s">
        <v>90</v>
      </c>
      <c r="B314" t="s">
        <v>0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2080</v>
      </c>
      <c r="J314">
        <v>7.6200000000000004E-2</v>
      </c>
      <c r="K314" t="s">
        <v>24</v>
      </c>
    </row>
    <row r="315" spans="1:11" x14ac:dyDescent="0.45">
      <c r="A315" t="s">
        <v>90</v>
      </c>
      <c r="B315" t="s">
        <v>0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2085</v>
      </c>
      <c r="J315">
        <v>7.2050000000000003E-2</v>
      </c>
      <c r="K315" t="s">
        <v>24</v>
      </c>
    </row>
    <row r="316" spans="1:11" x14ac:dyDescent="0.45">
      <c r="A316" t="s">
        <v>90</v>
      </c>
      <c r="B316" t="s">
        <v>0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2090</v>
      </c>
      <c r="J316">
        <v>6.8099999999999994E-2</v>
      </c>
      <c r="K316" t="s">
        <v>24</v>
      </c>
    </row>
    <row r="317" spans="1:11" x14ac:dyDescent="0.45">
      <c r="A317" t="s">
        <v>90</v>
      </c>
      <c r="B317" t="s">
        <v>0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2095</v>
      </c>
      <c r="J317">
        <v>6.4399999999999999E-2</v>
      </c>
      <c r="K317" t="s">
        <v>24</v>
      </c>
    </row>
    <row r="318" spans="1:11" x14ac:dyDescent="0.45">
      <c r="A318" t="s">
        <v>90</v>
      </c>
      <c r="B318" t="s">
        <v>0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2100</v>
      </c>
      <c r="J318">
        <v>6.0950000000000004E-2</v>
      </c>
      <c r="K318" t="s">
        <v>24</v>
      </c>
    </row>
    <row r="319" spans="1:11" x14ac:dyDescent="0.45">
      <c r="A319" t="s">
        <v>90</v>
      </c>
      <c r="B319" t="s">
        <v>6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2020</v>
      </c>
      <c r="J319">
        <v>5.4349999999999996E-2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2025</v>
      </c>
      <c r="J320">
        <v>5.6300000000000003E-2</v>
      </c>
      <c r="K320" t="s">
        <v>24</v>
      </c>
    </row>
    <row r="321" spans="1:11" x14ac:dyDescent="0.45">
      <c r="A321" t="s">
        <v>90</v>
      </c>
      <c r="B321" t="s">
        <v>6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2030</v>
      </c>
      <c r="J321">
        <v>5.8499999999999996E-2</v>
      </c>
      <c r="K321" t="s">
        <v>24</v>
      </c>
    </row>
    <row r="322" spans="1:11" x14ac:dyDescent="0.45">
      <c r="A322" t="s">
        <v>90</v>
      </c>
      <c r="B322" t="s">
        <v>6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2035</v>
      </c>
      <c r="J322">
        <v>6.1700000000000005E-2</v>
      </c>
      <c r="K322" t="s">
        <v>24</v>
      </c>
    </row>
    <row r="323" spans="1:11" x14ac:dyDescent="0.45">
      <c r="A323" t="s">
        <v>90</v>
      </c>
      <c r="B323" t="s">
        <v>6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2040</v>
      </c>
      <c r="J323">
        <v>7.1500000000000008E-2</v>
      </c>
      <c r="K323" t="s">
        <v>24</v>
      </c>
    </row>
    <row r="324" spans="1:11" x14ac:dyDescent="0.45">
      <c r="A324" t="s">
        <v>90</v>
      </c>
      <c r="B324" t="s">
        <v>6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2045</v>
      </c>
      <c r="J324">
        <v>8.6050000000000001E-2</v>
      </c>
      <c r="K324" t="s">
        <v>24</v>
      </c>
    </row>
    <row r="325" spans="1:11" x14ac:dyDescent="0.45">
      <c r="A325" t="s">
        <v>90</v>
      </c>
      <c r="B325" t="s">
        <v>6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2050</v>
      </c>
      <c r="J325">
        <v>8.7749999999999995E-2</v>
      </c>
      <c r="K325" t="s">
        <v>24</v>
      </c>
    </row>
    <row r="326" spans="1:11" x14ac:dyDescent="0.45">
      <c r="A326" t="s">
        <v>90</v>
      </c>
      <c r="B326" t="s">
        <v>6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2055</v>
      </c>
      <c r="J326">
        <v>9.0899999999999995E-2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8.3449999999999996E-2</v>
      </c>
      <c r="K327" t="s">
        <v>24</v>
      </c>
    </row>
    <row r="328" spans="1:11" x14ac:dyDescent="0.45">
      <c r="A328" t="s">
        <v>90</v>
      </c>
      <c r="B328" t="s">
        <v>6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2065</v>
      </c>
      <c r="J328">
        <v>8.0999999999999989E-2</v>
      </c>
      <c r="K328" t="s">
        <v>24</v>
      </c>
    </row>
    <row r="329" spans="1:11" x14ac:dyDescent="0.45">
      <c r="A329" t="s">
        <v>90</v>
      </c>
      <c r="B329" t="s">
        <v>6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2070</v>
      </c>
      <c r="J329">
        <v>7.8199999999999992E-2</v>
      </c>
      <c r="K329" t="s">
        <v>24</v>
      </c>
    </row>
    <row r="330" spans="1:11" x14ac:dyDescent="0.45">
      <c r="A330" t="s">
        <v>90</v>
      </c>
      <c r="B330" t="s">
        <v>6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2075</v>
      </c>
      <c r="J330">
        <v>7.569999999999999E-2</v>
      </c>
      <c r="K330" t="s">
        <v>24</v>
      </c>
    </row>
    <row r="331" spans="1:11" x14ac:dyDescent="0.45">
      <c r="A331" t="s">
        <v>90</v>
      </c>
      <c r="B331" t="s">
        <v>6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2080</v>
      </c>
      <c r="J331">
        <v>7.3149999999999993E-2</v>
      </c>
      <c r="K331" t="s">
        <v>24</v>
      </c>
    </row>
    <row r="332" spans="1:11" x14ac:dyDescent="0.45">
      <c r="A332" t="s">
        <v>90</v>
      </c>
      <c r="B332" t="s">
        <v>6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2085</v>
      </c>
      <c r="J332">
        <v>6.9349999999999995E-2</v>
      </c>
      <c r="K332" t="s">
        <v>24</v>
      </c>
    </row>
    <row r="333" spans="1:11" x14ac:dyDescent="0.45">
      <c r="A333" t="s">
        <v>90</v>
      </c>
      <c r="B333" t="s">
        <v>6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2090</v>
      </c>
      <c r="J333">
        <v>6.5700000000000008E-2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2095</v>
      </c>
      <c r="J334">
        <v>6.2549999999999994E-2</v>
      </c>
      <c r="K334" t="s">
        <v>24</v>
      </c>
    </row>
    <row r="335" spans="1:11" x14ac:dyDescent="0.45">
      <c r="A335" t="s">
        <v>90</v>
      </c>
      <c r="B335" t="s">
        <v>6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2100</v>
      </c>
      <c r="J335">
        <v>5.96E-2</v>
      </c>
      <c r="K335" t="s">
        <v>24</v>
      </c>
    </row>
    <row r="336" spans="1:11" x14ac:dyDescent="0.45">
      <c r="A336" t="s">
        <v>90</v>
      </c>
      <c r="B336" t="s">
        <v>5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2020</v>
      </c>
      <c r="J336">
        <v>5.885E-2</v>
      </c>
      <c r="K336" t="s">
        <v>24</v>
      </c>
    </row>
    <row r="337" spans="1:11" x14ac:dyDescent="0.45">
      <c r="A337" t="s">
        <v>90</v>
      </c>
      <c r="B337" t="s">
        <v>5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2025</v>
      </c>
      <c r="J337">
        <v>5.7450000000000001E-2</v>
      </c>
      <c r="K337" t="s">
        <v>24</v>
      </c>
    </row>
    <row r="338" spans="1:11" x14ac:dyDescent="0.45">
      <c r="A338" t="s">
        <v>90</v>
      </c>
      <c r="B338" t="s">
        <v>5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2030</v>
      </c>
      <c r="J338">
        <v>5.5349999999999996E-2</v>
      </c>
      <c r="K338" t="s">
        <v>24</v>
      </c>
    </row>
    <row r="339" spans="1:11" x14ac:dyDescent="0.45">
      <c r="A339" t="s">
        <v>90</v>
      </c>
      <c r="B339" t="s">
        <v>5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2035</v>
      </c>
      <c r="J339">
        <v>5.4800000000000001E-2</v>
      </c>
      <c r="K339" t="s">
        <v>24</v>
      </c>
    </row>
    <row r="340" spans="1:11" x14ac:dyDescent="0.45">
      <c r="A340" t="s">
        <v>90</v>
      </c>
      <c r="B340" t="s">
        <v>5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2040</v>
      </c>
      <c r="J340">
        <v>6.1800000000000001E-2</v>
      </c>
      <c r="K340" t="s">
        <v>24</v>
      </c>
    </row>
    <row r="341" spans="1:11" x14ac:dyDescent="0.45">
      <c r="A341" t="s">
        <v>90</v>
      </c>
      <c r="B341" t="s">
        <v>5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2045</v>
      </c>
      <c r="J341">
        <v>6.770000000000001E-2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2050</v>
      </c>
      <c r="J342">
        <v>7.0250000000000007E-2</v>
      </c>
      <c r="K342" t="s">
        <v>24</v>
      </c>
    </row>
    <row r="343" spans="1:11" x14ac:dyDescent="0.45">
      <c r="A343" t="s">
        <v>90</v>
      </c>
      <c r="B343" t="s">
        <v>5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2055</v>
      </c>
      <c r="J343">
        <v>6.5350000000000005E-2</v>
      </c>
      <c r="K343" t="s">
        <v>24</v>
      </c>
    </row>
    <row r="344" spans="1:11" x14ac:dyDescent="0.45">
      <c r="A344" t="s">
        <v>90</v>
      </c>
      <c r="B344" t="s">
        <v>5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2060</v>
      </c>
      <c r="J344">
        <v>6.0299999999999999E-2</v>
      </c>
      <c r="K344" t="s">
        <v>24</v>
      </c>
    </row>
    <row r="345" spans="1:11" x14ac:dyDescent="0.45">
      <c r="A345" t="s">
        <v>90</v>
      </c>
      <c r="B345" t="s">
        <v>5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2065</v>
      </c>
      <c r="J345">
        <v>5.6249999999999994E-2</v>
      </c>
      <c r="K345" t="s">
        <v>24</v>
      </c>
    </row>
    <row r="346" spans="1:11" x14ac:dyDescent="0.45">
      <c r="A346" t="s">
        <v>90</v>
      </c>
      <c r="B346" t="s">
        <v>5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2070</v>
      </c>
      <c r="J346">
        <v>5.2049999999999999E-2</v>
      </c>
      <c r="K346" t="s">
        <v>24</v>
      </c>
    </row>
    <row r="347" spans="1:11" x14ac:dyDescent="0.45">
      <c r="A347" t="s">
        <v>90</v>
      </c>
      <c r="B347" t="s">
        <v>5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4.8899999999999999E-2</v>
      </c>
      <c r="K347" t="s">
        <v>24</v>
      </c>
    </row>
    <row r="348" spans="1:11" x14ac:dyDescent="0.45">
      <c r="A348" t="s">
        <v>90</v>
      </c>
      <c r="B348" t="s">
        <v>5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2080</v>
      </c>
      <c r="J348">
        <v>4.5950000000000005E-2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2085</v>
      </c>
      <c r="J349">
        <v>4.3649999999999994E-2</v>
      </c>
      <c r="K349" t="s">
        <v>24</v>
      </c>
    </row>
    <row r="350" spans="1:11" x14ac:dyDescent="0.45">
      <c r="A350" t="s">
        <v>90</v>
      </c>
      <c r="B350" t="s">
        <v>5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2090</v>
      </c>
      <c r="J350">
        <v>4.1499999999999995E-2</v>
      </c>
      <c r="K350" t="s">
        <v>24</v>
      </c>
    </row>
    <row r="351" spans="1:11" x14ac:dyDescent="0.45">
      <c r="A351" t="s">
        <v>90</v>
      </c>
      <c r="B351" t="s">
        <v>5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2095</v>
      </c>
      <c r="J351">
        <v>3.8400000000000004E-2</v>
      </c>
      <c r="K351" t="s">
        <v>24</v>
      </c>
    </row>
    <row r="352" spans="1:11" x14ac:dyDescent="0.45">
      <c r="A352" t="s">
        <v>90</v>
      </c>
      <c r="B352" t="s">
        <v>5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2100</v>
      </c>
      <c r="J352">
        <v>3.5700000000000003E-2</v>
      </c>
      <c r="K352" t="s">
        <v>24</v>
      </c>
    </row>
    <row r="353" spans="1:11" x14ac:dyDescent="0.45">
      <c r="A353" t="s">
        <v>90</v>
      </c>
      <c r="B353" t="s">
        <v>2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2020</v>
      </c>
      <c r="J353">
        <v>5.4550000000000001E-2</v>
      </c>
      <c r="K353" t="s">
        <v>24</v>
      </c>
    </row>
    <row r="354" spans="1:11" x14ac:dyDescent="0.45">
      <c r="A354" t="s">
        <v>90</v>
      </c>
      <c r="B354" t="s">
        <v>2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2025</v>
      </c>
      <c r="J354">
        <v>5.6800000000000003E-2</v>
      </c>
      <c r="K354" t="s">
        <v>24</v>
      </c>
    </row>
    <row r="355" spans="1:11" x14ac:dyDescent="0.45">
      <c r="A355" t="s">
        <v>90</v>
      </c>
      <c r="B355" t="s">
        <v>2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2030</v>
      </c>
      <c r="J355">
        <v>5.6250000000000001E-2</v>
      </c>
      <c r="K355" t="s">
        <v>24</v>
      </c>
    </row>
    <row r="356" spans="1:11" x14ac:dyDescent="0.45">
      <c r="A356" t="s">
        <v>90</v>
      </c>
      <c r="B356" t="s">
        <v>2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2035</v>
      </c>
      <c r="J356">
        <v>6.9449999999999998E-2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2040</v>
      </c>
      <c r="J357">
        <v>9.0150000000000008E-2</v>
      </c>
      <c r="K357" t="s">
        <v>24</v>
      </c>
    </row>
    <row r="358" spans="1:11" x14ac:dyDescent="0.45">
      <c r="A358" t="s">
        <v>90</v>
      </c>
      <c r="B358" t="s">
        <v>2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2045</v>
      </c>
      <c r="J358">
        <v>0.1004</v>
      </c>
      <c r="K358" t="s">
        <v>24</v>
      </c>
    </row>
    <row r="359" spans="1:11" x14ac:dyDescent="0.45">
      <c r="A359" t="s">
        <v>90</v>
      </c>
      <c r="B359" t="s">
        <v>2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2050</v>
      </c>
      <c r="J359">
        <v>0.10034999999999999</v>
      </c>
      <c r="K359" t="s">
        <v>24</v>
      </c>
    </row>
    <row r="360" spans="1:11" x14ac:dyDescent="0.45">
      <c r="A360" t="s">
        <v>90</v>
      </c>
      <c r="B360" t="s">
        <v>2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2055</v>
      </c>
      <c r="J360">
        <v>9.1700000000000004E-2</v>
      </c>
      <c r="K360" t="s">
        <v>24</v>
      </c>
    </row>
    <row r="361" spans="1:11" x14ac:dyDescent="0.45">
      <c r="A361" t="s">
        <v>90</v>
      </c>
      <c r="B361" t="s">
        <v>2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2060</v>
      </c>
      <c r="J361">
        <v>8.2600000000000007E-2</v>
      </c>
      <c r="K361" t="s">
        <v>24</v>
      </c>
    </row>
    <row r="362" spans="1:11" x14ac:dyDescent="0.45">
      <c r="A362" t="s">
        <v>90</v>
      </c>
      <c r="B362" t="s">
        <v>2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2065</v>
      </c>
      <c r="J362">
        <v>8.0549999999999997E-2</v>
      </c>
      <c r="K362" t="s">
        <v>24</v>
      </c>
    </row>
    <row r="363" spans="1:11" x14ac:dyDescent="0.45">
      <c r="A363" t="s">
        <v>90</v>
      </c>
      <c r="B363" t="s">
        <v>2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2070</v>
      </c>
      <c r="J363">
        <v>7.8200000000000006E-2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2075</v>
      </c>
      <c r="J364">
        <v>7.5249999999999997E-2</v>
      </c>
      <c r="K364" t="s">
        <v>24</v>
      </c>
    </row>
    <row r="365" spans="1:11" x14ac:dyDescent="0.45">
      <c r="A365" t="s">
        <v>90</v>
      </c>
      <c r="B365" t="s">
        <v>2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2080</v>
      </c>
      <c r="J365">
        <v>7.22E-2</v>
      </c>
      <c r="K365" t="s">
        <v>24</v>
      </c>
    </row>
    <row r="366" spans="1:11" x14ac:dyDescent="0.45">
      <c r="A366" t="s">
        <v>90</v>
      </c>
      <c r="B366" t="s">
        <v>2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2085</v>
      </c>
      <c r="J366">
        <v>6.8599999999999994E-2</v>
      </c>
      <c r="K366" t="s">
        <v>24</v>
      </c>
    </row>
    <row r="367" spans="1:11" x14ac:dyDescent="0.45">
      <c r="A367" t="s">
        <v>90</v>
      </c>
      <c r="B367" t="s">
        <v>2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6.5250000000000002E-2</v>
      </c>
      <c r="K367" t="s">
        <v>24</v>
      </c>
    </row>
    <row r="368" spans="1:11" x14ac:dyDescent="0.45">
      <c r="A368" t="s">
        <v>90</v>
      </c>
      <c r="B368" t="s">
        <v>2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2095</v>
      </c>
      <c r="J368">
        <v>6.2300000000000001E-2</v>
      </c>
      <c r="K368" t="s">
        <v>24</v>
      </c>
    </row>
    <row r="369" spans="1:11" x14ac:dyDescent="0.45">
      <c r="A369" t="s">
        <v>90</v>
      </c>
      <c r="B369" t="s">
        <v>2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2100</v>
      </c>
      <c r="J369">
        <v>5.9499999999999997E-2</v>
      </c>
      <c r="K369" t="s">
        <v>24</v>
      </c>
    </row>
    <row r="370" spans="1:11" x14ac:dyDescent="0.45">
      <c r="A370" t="s">
        <v>90</v>
      </c>
      <c r="B370" t="s">
        <v>1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2020</v>
      </c>
      <c r="J370">
        <v>5.4599999999999996E-2</v>
      </c>
      <c r="K370" t="s">
        <v>24</v>
      </c>
    </row>
    <row r="371" spans="1:11" x14ac:dyDescent="0.45">
      <c r="A371" t="s">
        <v>90</v>
      </c>
      <c r="B371" t="s">
        <v>1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2025</v>
      </c>
      <c r="J371">
        <v>5.7999999999999996E-2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5.8700000000000002E-2</v>
      </c>
      <c r="K372" t="s">
        <v>24</v>
      </c>
    </row>
    <row r="373" spans="1:11" x14ac:dyDescent="0.45">
      <c r="A373" t="s">
        <v>90</v>
      </c>
      <c r="B373" t="s">
        <v>1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2035</v>
      </c>
      <c r="J373">
        <v>7.7850000000000003E-2</v>
      </c>
      <c r="K373" t="s">
        <v>24</v>
      </c>
    </row>
    <row r="374" spans="1:11" x14ac:dyDescent="0.45">
      <c r="A374" t="s">
        <v>90</v>
      </c>
      <c r="B374" t="s">
        <v>1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2040</v>
      </c>
      <c r="J374">
        <v>9.6149999999999999E-2</v>
      </c>
      <c r="K374" t="s">
        <v>24</v>
      </c>
    </row>
    <row r="375" spans="1:11" x14ac:dyDescent="0.45">
      <c r="A375" t="s">
        <v>90</v>
      </c>
      <c r="B375" t="s">
        <v>1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2045</v>
      </c>
      <c r="J375">
        <v>0.1133</v>
      </c>
      <c r="K375" t="s">
        <v>24</v>
      </c>
    </row>
    <row r="376" spans="1:11" x14ac:dyDescent="0.45">
      <c r="A376" t="s">
        <v>90</v>
      </c>
      <c r="B376" t="s">
        <v>1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2050</v>
      </c>
      <c r="J376">
        <v>0.11785</v>
      </c>
      <c r="K376" t="s">
        <v>24</v>
      </c>
    </row>
    <row r="377" spans="1:11" x14ac:dyDescent="0.45">
      <c r="A377" t="s">
        <v>90</v>
      </c>
      <c r="B377" t="s">
        <v>1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2055</v>
      </c>
      <c r="J377">
        <v>0.11545</v>
      </c>
      <c r="K377" t="s">
        <v>24</v>
      </c>
    </row>
    <row r="378" spans="1:11" x14ac:dyDescent="0.45">
      <c r="A378" t="s">
        <v>90</v>
      </c>
      <c r="B378" t="s">
        <v>1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2060</v>
      </c>
      <c r="J378">
        <v>0.10245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2065</v>
      </c>
      <c r="J379">
        <v>9.7500000000000003E-2</v>
      </c>
      <c r="K379" t="s">
        <v>24</v>
      </c>
    </row>
    <row r="380" spans="1:11" x14ac:dyDescent="0.45">
      <c r="A380" t="s">
        <v>90</v>
      </c>
      <c r="B380" t="s">
        <v>1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2070</v>
      </c>
      <c r="J380">
        <v>9.2499999999999999E-2</v>
      </c>
      <c r="K380" t="s">
        <v>24</v>
      </c>
    </row>
    <row r="381" spans="1:11" x14ac:dyDescent="0.45">
      <c r="A381" t="s">
        <v>90</v>
      </c>
      <c r="B381" t="s">
        <v>1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2075</v>
      </c>
      <c r="J381">
        <v>8.8099999999999998E-2</v>
      </c>
      <c r="K381" t="s">
        <v>24</v>
      </c>
    </row>
    <row r="382" spans="1:11" x14ac:dyDescent="0.45">
      <c r="A382" t="s">
        <v>90</v>
      </c>
      <c r="B382" t="s">
        <v>1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2080</v>
      </c>
      <c r="J382">
        <v>8.405E-2</v>
      </c>
      <c r="K382" t="s">
        <v>24</v>
      </c>
    </row>
    <row r="383" spans="1:11" x14ac:dyDescent="0.45">
      <c r="A383" t="s">
        <v>90</v>
      </c>
      <c r="B383" t="s">
        <v>1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2085</v>
      </c>
      <c r="J383">
        <v>8.0199999999999994E-2</v>
      </c>
      <c r="K383" t="s">
        <v>24</v>
      </c>
    </row>
    <row r="384" spans="1:11" x14ac:dyDescent="0.45">
      <c r="A384" t="s">
        <v>90</v>
      </c>
      <c r="B384" t="s">
        <v>1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2090</v>
      </c>
      <c r="J384">
        <v>7.6649999999999996E-2</v>
      </c>
      <c r="K384" t="s">
        <v>24</v>
      </c>
    </row>
    <row r="385" spans="1:11" x14ac:dyDescent="0.45">
      <c r="A385" t="s">
        <v>90</v>
      </c>
      <c r="B385" t="s">
        <v>1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2095</v>
      </c>
      <c r="J385">
        <v>7.195E-2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6.7699999999999996E-2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8.4350000000000008E-2</v>
      </c>
      <c r="K387" t="s">
        <v>28</v>
      </c>
    </row>
    <row r="388" spans="1:11" x14ac:dyDescent="0.45">
      <c r="A388" t="s">
        <v>90</v>
      </c>
      <c r="B388" t="s">
        <v>3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2025</v>
      </c>
      <c r="J388">
        <v>8.6699999999999999E-2</v>
      </c>
      <c r="K388" t="s">
        <v>28</v>
      </c>
    </row>
    <row r="389" spans="1:11" x14ac:dyDescent="0.45">
      <c r="A389" t="s">
        <v>90</v>
      </c>
      <c r="B389" t="s">
        <v>3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2030</v>
      </c>
      <c r="J389">
        <v>9.1999999999999998E-2</v>
      </c>
      <c r="K389" t="s">
        <v>28</v>
      </c>
    </row>
    <row r="390" spans="1:11" x14ac:dyDescent="0.45">
      <c r="A390" t="s">
        <v>90</v>
      </c>
      <c r="B390" t="s">
        <v>3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2035</v>
      </c>
      <c r="J390">
        <v>9.7449999999999995E-2</v>
      </c>
      <c r="K390" t="s">
        <v>28</v>
      </c>
    </row>
    <row r="391" spans="1:11" x14ac:dyDescent="0.45">
      <c r="A391" t="s">
        <v>90</v>
      </c>
      <c r="B391" t="s">
        <v>3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2040</v>
      </c>
      <c r="J391">
        <v>0.11185</v>
      </c>
      <c r="K391" t="s">
        <v>28</v>
      </c>
    </row>
    <row r="392" spans="1:11" x14ac:dyDescent="0.45">
      <c r="A392" t="s">
        <v>90</v>
      </c>
      <c r="B392" t="s">
        <v>3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2045</v>
      </c>
      <c r="J392">
        <v>0.13105</v>
      </c>
      <c r="K392" t="s">
        <v>28</v>
      </c>
    </row>
    <row r="393" spans="1:11" x14ac:dyDescent="0.45">
      <c r="A393" t="s">
        <v>90</v>
      </c>
      <c r="B393" t="s">
        <v>3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2050</v>
      </c>
      <c r="J393">
        <v>0.13414999999999999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2055</v>
      </c>
      <c r="J394">
        <v>0.11945</v>
      </c>
      <c r="K394" t="s">
        <v>28</v>
      </c>
    </row>
    <row r="395" spans="1:11" x14ac:dyDescent="0.45">
      <c r="A395" t="s">
        <v>90</v>
      </c>
      <c r="B395" t="s">
        <v>3</v>
      </c>
      <c r="C395" t="s">
        <v>84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2060</v>
      </c>
      <c r="J395">
        <v>0.11525000000000001</v>
      </c>
      <c r="K395" t="s">
        <v>28</v>
      </c>
    </row>
    <row r="396" spans="1:11" x14ac:dyDescent="0.45">
      <c r="A396" t="s">
        <v>90</v>
      </c>
      <c r="B396" t="s">
        <v>3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2065</v>
      </c>
      <c r="J396">
        <v>0.11565</v>
      </c>
      <c r="K396" t="s">
        <v>28</v>
      </c>
    </row>
    <row r="397" spans="1:11" x14ac:dyDescent="0.45">
      <c r="A397" t="s">
        <v>90</v>
      </c>
      <c r="B397" t="s">
        <v>3</v>
      </c>
      <c r="C397" t="s">
        <v>84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2070</v>
      </c>
      <c r="J397">
        <v>0.1158</v>
      </c>
      <c r="K397" t="s">
        <v>28</v>
      </c>
    </row>
    <row r="398" spans="1:11" x14ac:dyDescent="0.45">
      <c r="A398" t="s">
        <v>90</v>
      </c>
      <c r="B398" t="s">
        <v>3</v>
      </c>
      <c r="C398" t="s">
        <v>84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2075</v>
      </c>
      <c r="J398">
        <v>0.1201</v>
      </c>
      <c r="K398" t="s">
        <v>28</v>
      </c>
    </row>
    <row r="399" spans="1:11" x14ac:dyDescent="0.45">
      <c r="A399" t="s">
        <v>90</v>
      </c>
      <c r="B399" t="s">
        <v>3</v>
      </c>
      <c r="C399" t="s">
        <v>84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2080</v>
      </c>
      <c r="J399">
        <v>0.12405000000000001</v>
      </c>
      <c r="K399" t="s">
        <v>28</v>
      </c>
    </row>
    <row r="400" spans="1:11" x14ac:dyDescent="0.45">
      <c r="A400" t="s">
        <v>90</v>
      </c>
      <c r="B400" t="s">
        <v>3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2085</v>
      </c>
      <c r="J400">
        <v>0.12840000000000001</v>
      </c>
      <c r="K400" t="s">
        <v>28</v>
      </c>
    </row>
    <row r="401" spans="1:11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2090</v>
      </c>
      <c r="J401">
        <v>0.1326</v>
      </c>
      <c r="K401" t="s">
        <v>28</v>
      </c>
    </row>
    <row r="402" spans="1:11" x14ac:dyDescent="0.45">
      <c r="A402" t="s">
        <v>90</v>
      </c>
      <c r="B402" t="s">
        <v>3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2095</v>
      </c>
      <c r="J402">
        <v>0.13464999999999999</v>
      </c>
      <c r="K402" t="s">
        <v>28</v>
      </c>
    </row>
    <row r="403" spans="1:11" x14ac:dyDescent="0.45">
      <c r="A403" t="s">
        <v>90</v>
      </c>
      <c r="B403" t="s">
        <v>3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2100</v>
      </c>
      <c r="J403">
        <v>0.13690000000000002</v>
      </c>
      <c r="K403" t="s">
        <v>28</v>
      </c>
    </row>
    <row r="404" spans="1:11" x14ac:dyDescent="0.45">
      <c r="A404" t="s">
        <v>90</v>
      </c>
      <c r="B404" t="s">
        <v>4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8.6300000000000002E-2</v>
      </c>
      <c r="K404" t="s">
        <v>28</v>
      </c>
    </row>
    <row r="405" spans="1:11" x14ac:dyDescent="0.45">
      <c r="A405" t="s">
        <v>90</v>
      </c>
      <c r="B405" t="s">
        <v>4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8.9749999999999996E-2</v>
      </c>
      <c r="K405" t="s">
        <v>28</v>
      </c>
    </row>
    <row r="406" spans="1:11" x14ac:dyDescent="0.45">
      <c r="A406" t="s">
        <v>90</v>
      </c>
      <c r="B406" t="s">
        <v>4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9.5350000000000004E-2</v>
      </c>
      <c r="K406" t="s">
        <v>28</v>
      </c>
    </row>
    <row r="407" spans="1:11" x14ac:dyDescent="0.45">
      <c r="A407" t="s">
        <v>90</v>
      </c>
      <c r="B407" t="s">
        <v>4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9.9449999999999997E-2</v>
      </c>
      <c r="K407" t="s">
        <v>28</v>
      </c>
    </row>
    <row r="408" spans="1:11" x14ac:dyDescent="0.45">
      <c r="A408" t="s">
        <v>90</v>
      </c>
      <c r="B408" t="s">
        <v>4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0.10630000000000001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0.11460000000000001</v>
      </c>
      <c r="K409" t="s">
        <v>28</v>
      </c>
    </row>
    <row r="410" spans="1:11" x14ac:dyDescent="0.45">
      <c r="A410" t="s">
        <v>90</v>
      </c>
      <c r="B410" t="s">
        <v>4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0.11260000000000001</v>
      </c>
      <c r="K410" t="s">
        <v>28</v>
      </c>
    </row>
    <row r="411" spans="1:11" x14ac:dyDescent="0.45">
      <c r="A411" t="s">
        <v>90</v>
      </c>
      <c r="B411" t="s">
        <v>4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0.1084</v>
      </c>
      <c r="K411" t="s">
        <v>28</v>
      </c>
    </row>
    <row r="412" spans="1:11" x14ac:dyDescent="0.45">
      <c r="A412" t="s">
        <v>90</v>
      </c>
      <c r="B412" t="s">
        <v>4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0.10869999999999999</v>
      </c>
      <c r="K412" t="s">
        <v>28</v>
      </c>
    </row>
    <row r="413" spans="1:11" x14ac:dyDescent="0.45">
      <c r="A413" t="s">
        <v>90</v>
      </c>
      <c r="B413" t="s">
        <v>4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0.1076</v>
      </c>
      <c r="K413" t="s">
        <v>28</v>
      </c>
    </row>
    <row r="414" spans="1:11" x14ac:dyDescent="0.45">
      <c r="A414" t="s">
        <v>90</v>
      </c>
      <c r="B414" t="s">
        <v>4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0.10635</v>
      </c>
      <c r="K414" t="s">
        <v>28</v>
      </c>
    </row>
    <row r="415" spans="1:11" x14ac:dyDescent="0.45">
      <c r="A415" t="s">
        <v>90</v>
      </c>
      <c r="B415" t="s">
        <v>4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0.10979999999999999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0.1132</v>
      </c>
      <c r="K416" t="s">
        <v>28</v>
      </c>
    </row>
    <row r="417" spans="1:11" x14ac:dyDescent="0.45">
      <c r="A417" t="s">
        <v>90</v>
      </c>
      <c r="B417" t="s">
        <v>4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0.11735000000000001</v>
      </c>
      <c r="K417" t="s">
        <v>28</v>
      </c>
    </row>
    <row r="418" spans="1:11" x14ac:dyDescent="0.45">
      <c r="A418" t="s">
        <v>90</v>
      </c>
      <c r="B418" t="s">
        <v>4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0.12129999999999999</v>
      </c>
      <c r="K418" t="s">
        <v>28</v>
      </c>
    </row>
    <row r="419" spans="1:11" x14ac:dyDescent="0.45">
      <c r="A419" t="s">
        <v>90</v>
      </c>
      <c r="B419" t="s">
        <v>4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0.12459999999999999</v>
      </c>
      <c r="K419" t="s">
        <v>28</v>
      </c>
    </row>
    <row r="420" spans="1:11" x14ac:dyDescent="0.45">
      <c r="A420" t="s">
        <v>90</v>
      </c>
      <c r="B420" t="s">
        <v>4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0.12820000000000001</v>
      </c>
      <c r="K420" t="s">
        <v>28</v>
      </c>
    </row>
    <row r="421" spans="1:11" x14ac:dyDescent="0.45">
      <c r="A421" t="s">
        <v>90</v>
      </c>
      <c r="B421" t="s">
        <v>0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2020</v>
      </c>
      <c r="J421">
        <v>8.5600000000000009E-2</v>
      </c>
      <c r="K421" t="s">
        <v>28</v>
      </c>
    </row>
    <row r="422" spans="1:11" x14ac:dyDescent="0.45">
      <c r="A422" t="s">
        <v>90</v>
      </c>
      <c r="B422" t="s">
        <v>0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2025</v>
      </c>
      <c r="J422">
        <v>8.8499999999999995E-2</v>
      </c>
      <c r="K422" t="s">
        <v>28</v>
      </c>
    </row>
    <row r="423" spans="1:11" x14ac:dyDescent="0.45">
      <c r="A423" t="s">
        <v>90</v>
      </c>
      <c r="B423" t="s">
        <v>0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2030</v>
      </c>
      <c r="J423">
        <v>9.3549999999999994E-2</v>
      </c>
      <c r="K423" t="s">
        <v>28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2035</v>
      </c>
      <c r="J424">
        <v>9.665E-2</v>
      </c>
      <c r="K424" t="s">
        <v>28</v>
      </c>
    </row>
    <row r="425" spans="1:11" x14ac:dyDescent="0.45">
      <c r="A425" t="s">
        <v>90</v>
      </c>
      <c r="B425" t="s">
        <v>0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2040</v>
      </c>
      <c r="J425">
        <v>0.10664999999999999</v>
      </c>
      <c r="K425" t="s">
        <v>28</v>
      </c>
    </row>
    <row r="426" spans="1:11" x14ac:dyDescent="0.45">
      <c r="A426" t="s">
        <v>90</v>
      </c>
      <c r="B426" t="s">
        <v>0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0.12640000000000001</v>
      </c>
      <c r="K426" t="s">
        <v>28</v>
      </c>
    </row>
    <row r="427" spans="1:11" x14ac:dyDescent="0.45">
      <c r="A427" t="s">
        <v>90</v>
      </c>
      <c r="B427" t="s">
        <v>0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2050</v>
      </c>
      <c r="J427">
        <v>0.13564999999999999</v>
      </c>
      <c r="K427" t="s">
        <v>28</v>
      </c>
    </row>
    <row r="428" spans="1:11" x14ac:dyDescent="0.45">
      <c r="A428" t="s">
        <v>90</v>
      </c>
      <c r="B428" t="s">
        <v>0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2055</v>
      </c>
      <c r="J428">
        <v>0.12540000000000001</v>
      </c>
      <c r="K428" t="s">
        <v>28</v>
      </c>
    </row>
    <row r="429" spans="1:11" x14ac:dyDescent="0.45">
      <c r="A429" t="s">
        <v>90</v>
      </c>
      <c r="B429" t="s">
        <v>0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2060</v>
      </c>
      <c r="J429">
        <v>0.1216</v>
      </c>
      <c r="K429" t="s">
        <v>28</v>
      </c>
    </row>
    <row r="430" spans="1:11" x14ac:dyDescent="0.45">
      <c r="A430" t="s">
        <v>90</v>
      </c>
      <c r="B430" t="s">
        <v>0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2065</v>
      </c>
      <c r="J430">
        <v>0.11924999999999999</v>
      </c>
      <c r="K430" t="s">
        <v>28</v>
      </c>
    </row>
    <row r="431" spans="1:11" x14ac:dyDescent="0.45">
      <c r="A431" t="s">
        <v>90</v>
      </c>
      <c r="B431" t="s">
        <v>0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2070</v>
      </c>
      <c r="J431">
        <v>0.1171</v>
      </c>
      <c r="K431" t="s">
        <v>28</v>
      </c>
    </row>
    <row r="432" spans="1:11" x14ac:dyDescent="0.45">
      <c r="A432" t="s">
        <v>90</v>
      </c>
      <c r="B432" t="s">
        <v>0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2075</v>
      </c>
      <c r="J432">
        <v>0.12175</v>
      </c>
      <c r="K432" t="s">
        <v>28</v>
      </c>
    </row>
    <row r="433" spans="1:11" x14ac:dyDescent="0.45">
      <c r="A433" t="s">
        <v>90</v>
      </c>
      <c r="B433" t="s">
        <v>0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2080</v>
      </c>
      <c r="J433">
        <v>0.12620000000000001</v>
      </c>
      <c r="K433" t="s">
        <v>28</v>
      </c>
    </row>
    <row r="434" spans="1:11" x14ac:dyDescent="0.45">
      <c r="A434" t="s">
        <v>90</v>
      </c>
      <c r="B434" t="s">
        <v>0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2085</v>
      </c>
      <c r="J434">
        <v>0.12840000000000001</v>
      </c>
      <c r="K434" t="s">
        <v>28</v>
      </c>
    </row>
    <row r="435" spans="1:11" x14ac:dyDescent="0.45">
      <c r="A435" t="s">
        <v>90</v>
      </c>
      <c r="B435" t="s">
        <v>0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2090</v>
      </c>
      <c r="J435">
        <v>0.13055</v>
      </c>
      <c r="K435" t="s">
        <v>28</v>
      </c>
    </row>
    <row r="436" spans="1:11" x14ac:dyDescent="0.45">
      <c r="A436" t="s">
        <v>90</v>
      </c>
      <c r="B436" t="s">
        <v>0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2095</v>
      </c>
      <c r="J436">
        <v>0.13335</v>
      </c>
      <c r="K436" t="s">
        <v>28</v>
      </c>
    </row>
    <row r="437" spans="1:11" x14ac:dyDescent="0.45">
      <c r="A437" t="s">
        <v>90</v>
      </c>
      <c r="B437" t="s">
        <v>0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2100</v>
      </c>
      <c r="J437">
        <v>0.13645000000000002</v>
      </c>
      <c r="K437" t="s">
        <v>28</v>
      </c>
    </row>
    <row r="438" spans="1:11" x14ac:dyDescent="0.45">
      <c r="A438" t="s">
        <v>90</v>
      </c>
      <c r="B438" t="s">
        <v>6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2020</v>
      </c>
      <c r="J438">
        <v>8.6150000000000004E-2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2025</v>
      </c>
      <c r="J439">
        <v>8.9150000000000007E-2</v>
      </c>
      <c r="K439" t="s">
        <v>28</v>
      </c>
    </row>
    <row r="440" spans="1:11" x14ac:dyDescent="0.45">
      <c r="A440" t="s">
        <v>90</v>
      </c>
      <c r="B440" t="s">
        <v>6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2030</v>
      </c>
      <c r="J440">
        <v>9.4900000000000012E-2</v>
      </c>
      <c r="K440" t="s">
        <v>28</v>
      </c>
    </row>
    <row r="441" spans="1:11" x14ac:dyDescent="0.45">
      <c r="A441" t="s">
        <v>90</v>
      </c>
      <c r="B441" t="s">
        <v>6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2035</v>
      </c>
      <c r="J441">
        <v>9.955E-2</v>
      </c>
      <c r="K441" t="s">
        <v>28</v>
      </c>
    </row>
    <row r="442" spans="1:11" x14ac:dyDescent="0.45">
      <c r="A442" t="s">
        <v>90</v>
      </c>
      <c r="B442" t="s">
        <v>6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2040</v>
      </c>
      <c r="J442">
        <v>0.1076</v>
      </c>
      <c r="K442" t="s">
        <v>28</v>
      </c>
    </row>
    <row r="443" spans="1:11" x14ac:dyDescent="0.45">
      <c r="A443" t="s">
        <v>90</v>
      </c>
      <c r="B443" t="s">
        <v>6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2045</v>
      </c>
      <c r="J443">
        <v>0.11865000000000001</v>
      </c>
      <c r="K443" t="s">
        <v>28</v>
      </c>
    </row>
    <row r="444" spans="1:11" x14ac:dyDescent="0.45">
      <c r="A444" t="s">
        <v>90</v>
      </c>
      <c r="B444" t="s">
        <v>6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2050</v>
      </c>
      <c r="J444">
        <v>0.1195</v>
      </c>
      <c r="K444" t="s">
        <v>28</v>
      </c>
    </row>
    <row r="445" spans="1:11" x14ac:dyDescent="0.45">
      <c r="A445" t="s">
        <v>90</v>
      </c>
      <c r="B445" t="s">
        <v>6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2055</v>
      </c>
      <c r="J445">
        <v>0.11269999999999999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2060</v>
      </c>
      <c r="J446">
        <v>0.1116</v>
      </c>
      <c r="K446" t="s">
        <v>28</v>
      </c>
    </row>
    <row r="447" spans="1:11" x14ac:dyDescent="0.45">
      <c r="A447" t="s">
        <v>90</v>
      </c>
      <c r="B447" t="s">
        <v>6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2065</v>
      </c>
      <c r="J447">
        <v>0.1118</v>
      </c>
      <c r="K447" t="s">
        <v>28</v>
      </c>
    </row>
    <row r="448" spans="1:11" x14ac:dyDescent="0.45">
      <c r="A448" t="s">
        <v>90</v>
      </c>
      <c r="B448" t="s">
        <v>6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2070</v>
      </c>
      <c r="J448">
        <v>0.11169999999999999</v>
      </c>
      <c r="K448" t="s">
        <v>28</v>
      </c>
    </row>
    <row r="449" spans="1:11" x14ac:dyDescent="0.45">
      <c r="A449" t="s">
        <v>90</v>
      </c>
      <c r="B449" t="s">
        <v>6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2075</v>
      </c>
      <c r="J449">
        <v>0.1164</v>
      </c>
      <c r="K449" t="s">
        <v>28</v>
      </c>
    </row>
    <row r="450" spans="1:11" x14ac:dyDescent="0.45">
      <c r="A450" t="s">
        <v>90</v>
      </c>
      <c r="B450" t="s">
        <v>6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2080</v>
      </c>
      <c r="J450">
        <v>0.12095</v>
      </c>
      <c r="K450" t="s">
        <v>28</v>
      </c>
    </row>
    <row r="451" spans="1:11" x14ac:dyDescent="0.45">
      <c r="A451" t="s">
        <v>90</v>
      </c>
      <c r="B451" t="s">
        <v>6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2085</v>
      </c>
      <c r="J451">
        <v>0.12375</v>
      </c>
      <c r="K451" t="s">
        <v>28</v>
      </c>
    </row>
    <row r="452" spans="1:11" x14ac:dyDescent="0.45">
      <c r="A452" t="s">
        <v>90</v>
      </c>
      <c r="B452" t="s">
        <v>6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2090</v>
      </c>
      <c r="J452">
        <v>0.12659999999999999</v>
      </c>
      <c r="K452" t="s">
        <v>28</v>
      </c>
    </row>
    <row r="453" spans="1:11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2095</v>
      </c>
      <c r="J453">
        <v>0.13005</v>
      </c>
      <c r="K453" t="s">
        <v>28</v>
      </c>
    </row>
    <row r="454" spans="1:11" x14ac:dyDescent="0.45">
      <c r="A454" t="s">
        <v>90</v>
      </c>
      <c r="B454" t="s">
        <v>6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2100</v>
      </c>
      <c r="J454">
        <v>0.13385</v>
      </c>
      <c r="K454" t="s">
        <v>28</v>
      </c>
    </row>
    <row r="455" spans="1:11" x14ac:dyDescent="0.45">
      <c r="A455" t="s">
        <v>90</v>
      </c>
      <c r="B455" t="s">
        <v>5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8.8150000000000006E-2</v>
      </c>
      <c r="K455" t="s">
        <v>28</v>
      </c>
    </row>
    <row r="456" spans="1:11" x14ac:dyDescent="0.45">
      <c r="A456" t="s">
        <v>90</v>
      </c>
      <c r="B456" t="s">
        <v>5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9.5149999999999998E-2</v>
      </c>
      <c r="K456" t="s">
        <v>28</v>
      </c>
    </row>
    <row r="457" spans="1:11" x14ac:dyDescent="0.45">
      <c r="A457" t="s">
        <v>90</v>
      </c>
      <c r="B457" t="s">
        <v>5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9.4399999999999998E-2</v>
      </c>
      <c r="K457" t="s">
        <v>28</v>
      </c>
    </row>
    <row r="458" spans="1:11" x14ac:dyDescent="0.45">
      <c r="A458" t="s">
        <v>90</v>
      </c>
      <c r="B458" t="s">
        <v>5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0.10115</v>
      </c>
      <c r="K458" t="s">
        <v>28</v>
      </c>
    </row>
    <row r="459" spans="1:11" x14ac:dyDescent="0.45">
      <c r="A459" t="s">
        <v>90</v>
      </c>
      <c r="B459" t="s">
        <v>5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0.11144999999999999</v>
      </c>
      <c r="K459" t="s">
        <v>28</v>
      </c>
    </row>
    <row r="460" spans="1:11" x14ac:dyDescent="0.45">
      <c r="A460" t="s">
        <v>90</v>
      </c>
      <c r="B460" t="s">
        <v>5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0.12445000000000001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0.12759999999999999</v>
      </c>
      <c r="K461" t="s">
        <v>28</v>
      </c>
    </row>
    <row r="462" spans="1:11" x14ac:dyDescent="0.45">
      <c r="A462" t="s">
        <v>90</v>
      </c>
      <c r="B462" t="s">
        <v>5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0.11929999999999999</v>
      </c>
      <c r="K462" t="s">
        <v>28</v>
      </c>
    </row>
    <row r="463" spans="1:11" x14ac:dyDescent="0.45">
      <c r="A463" t="s">
        <v>90</v>
      </c>
      <c r="B463" t="s">
        <v>5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0.1182</v>
      </c>
      <c r="K463" t="s">
        <v>28</v>
      </c>
    </row>
    <row r="464" spans="1:11" x14ac:dyDescent="0.45">
      <c r="A464" t="s">
        <v>90</v>
      </c>
      <c r="B464" t="s">
        <v>5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0.1152</v>
      </c>
      <c r="K464" t="s">
        <v>28</v>
      </c>
    </row>
    <row r="465" spans="1:11" x14ac:dyDescent="0.45">
      <c r="A465" t="s">
        <v>90</v>
      </c>
      <c r="B465" t="s">
        <v>5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0.1115</v>
      </c>
      <c r="K465" t="s">
        <v>28</v>
      </c>
    </row>
    <row r="466" spans="1:11" x14ac:dyDescent="0.45">
      <c r="A466" t="s">
        <v>90</v>
      </c>
      <c r="B466" t="s">
        <v>5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0.1143</v>
      </c>
      <c r="K466" t="s">
        <v>28</v>
      </c>
    </row>
    <row r="467" spans="1:11" x14ac:dyDescent="0.45">
      <c r="A467" t="s">
        <v>90</v>
      </c>
      <c r="B467" t="s">
        <v>5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0.11660000000000001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0.11890000000000001</v>
      </c>
      <c r="K468" t="s">
        <v>28</v>
      </c>
    </row>
    <row r="469" spans="1:11" x14ac:dyDescent="0.45">
      <c r="A469" t="s">
        <v>90</v>
      </c>
      <c r="B469" t="s">
        <v>5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0.12075</v>
      </c>
      <c r="K469" t="s">
        <v>28</v>
      </c>
    </row>
    <row r="470" spans="1:11" x14ac:dyDescent="0.45">
      <c r="A470" t="s">
        <v>90</v>
      </c>
      <c r="B470" t="s">
        <v>5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0.12125</v>
      </c>
      <c r="K470" t="s">
        <v>28</v>
      </c>
    </row>
    <row r="471" spans="1:11" x14ac:dyDescent="0.45">
      <c r="A471" t="s">
        <v>90</v>
      </c>
      <c r="B471" t="s">
        <v>5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0.12215000000000001</v>
      </c>
      <c r="K471" t="s">
        <v>28</v>
      </c>
    </row>
    <row r="472" spans="1:11" x14ac:dyDescent="0.45">
      <c r="A472" t="s">
        <v>90</v>
      </c>
      <c r="B472" t="s">
        <v>2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2020</v>
      </c>
      <c r="J472">
        <v>8.5449999999999998E-2</v>
      </c>
      <c r="K472" t="s">
        <v>28</v>
      </c>
    </row>
    <row r="473" spans="1:11" x14ac:dyDescent="0.45">
      <c r="A473" t="s">
        <v>90</v>
      </c>
      <c r="B473" t="s">
        <v>2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2025</v>
      </c>
      <c r="J473">
        <v>8.8200000000000001E-2</v>
      </c>
      <c r="K473" t="s">
        <v>28</v>
      </c>
    </row>
    <row r="474" spans="1:11" x14ac:dyDescent="0.45">
      <c r="A474" t="s">
        <v>90</v>
      </c>
      <c r="B474" t="s">
        <v>2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2030</v>
      </c>
      <c r="J474">
        <v>9.2200000000000004E-2</v>
      </c>
      <c r="K474" t="s">
        <v>28</v>
      </c>
    </row>
    <row r="475" spans="1:11" x14ac:dyDescent="0.45">
      <c r="A475" t="s">
        <v>90</v>
      </c>
      <c r="B475" t="s">
        <v>2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0.10364999999999999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2040</v>
      </c>
      <c r="J476">
        <v>0.12265000000000001</v>
      </c>
      <c r="K476" t="s">
        <v>28</v>
      </c>
    </row>
    <row r="477" spans="1:11" x14ac:dyDescent="0.45">
      <c r="A477" t="s">
        <v>90</v>
      </c>
      <c r="B477" t="s">
        <v>2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2045</v>
      </c>
      <c r="J477">
        <v>0.13385000000000002</v>
      </c>
      <c r="K477" t="s">
        <v>28</v>
      </c>
    </row>
    <row r="478" spans="1:11" x14ac:dyDescent="0.45">
      <c r="A478" t="s">
        <v>90</v>
      </c>
      <c r="B478" t="s">
        <v>2</v>
      </c>
      <c r="C478" t="s">
        <v>84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2050</v>
      </c>
      <c r="J478">
        <v>0.12535000000000002</v>
      </c>
      <c r="K478" t="s">
        <v>28</v>
      </c>
    </row>
    <row r="479" spans="1:11" x14ac:dyDescent="0.45">
      <c r="A479" t="s">
        <v>90</v>
      </c>
      <c r="B479" t="s">
        <v>2</v>
      </c>
      <c r="C479" t="s">
        <v>84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2055</v>
      </c>
      <c r="J479">
        <v>0.1115</v>
      </c>
      <c r="K479" t="s">
        <v>28</v>
      </c>
    </row>
    <row r="480" spans="1:11" x14ac:dyDescent="0.45">
      <c r="A480" t="s">
        <v>90</v>
      </c>
      <c r="B480" t="s">
        <v>2</v>
      </c>
      <c r="C480" t="s">
        <v>84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2060</v>
      </c>
      <c r="J480">
        <v>0.11025</v>
      </c>
      <c r="K480" t="s">
        <v>28</v>
      </c>
    </row>
    <row r="481" spans="1:11" x14ac:dyDescent="0.45">
      <c r="A481" t="s">
        <v>90</v>
      </c>
      <c r="B481" t="s">
        <v>2</v>
      </c>
      <c r="C481" t="s">
        <v>84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2065</v>
      </c>
      <c r="J481">
        <v>0.11119999999999999</v>
      </c>
      <c r="K481" t="s">
        <v>28</v>
      </c>
    </row>
    <row r="482" spans="1:11" x14ac:dyDescent="0.45">
      <c r="A482" t="s">
        <v>90</v>
      </c>
      <c r="B482" t="s">
        <v>2</v>
      </c>
      <c r="C482" t="s">
        <v>84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2070</v>
      </c>
      <c r="J482">
        <v>0.112</v>
      </c>
      <c r="K482" t="s">
        <v>28</v>
      </c>
    </row>
    <row r="483" spans="1:11" x14ac:dyDescent="0.45">
      <c r="A483" t="s">
        <v>90</v>
      </c>
      <c r="B483" t="s">
        <v>2</v>
      </c>
      <c r="C483" t="s">
        <v>84</v>
      </c>
      <c r="D483" t="s">
        <v>28</v>
      </c>
      <c r="E483" t="s">
        <v>25</v>
      </c>
      <c r="F483" t="s">
        <v>28</v>
      </c>
      <c r="G483" t="s">
        <v>26</v>
      </c>
      <c r="H483" t="s">
        <v>12</v>
      </c>
      <c r="I483">
        <v>2075</v>
      </c>
      <c r="J483">
        <v>0.11615</v>
      </c>
      <c r="K483" t="s">
        <v>28</v>
      </c>
    </row>
    <row r="484" spans="1:11" x14ac:dyDescent="0.45">
      <c r="A484" t="s">
        <v>90</v>
      </c>
      <c r="B484" t="s">
        <v>2</v>
      </c>
      <c r="C484" t="s">
        <v>84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2080</v>
      </c>
      <c r="J484">
        <v>0.12005</v>
      </c>
      <c r="K484" t="s">
        <v>28</v>
      </c>
    </row>
    <row r="485" spans="1:11" x14ac:dyDescent="0.45">
      <c r="A485" t="s">
        <v>90</v>
      </c>
      <c r="B485" t="s">
        <v>2</v>
      </c>
      <c r="C485" t="s">
        <v>84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2085</v>
      </c>
      <c r="J485">
        <v>0.1234</v>
      </c>
      <c r="K485" t="s">
        <v>28</v>
      </c>
    </row>
    <row r="486" spans="1:11" x14ac:dyDescent="0.45">
      <c r="A486" t="s">
        <v>90</v>
      </c>
      <c r="B486" t="s">
        <v>2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2090</v>
      </c>
      <c r="J486">
        <v>0.12670000000000001</v>
      </c>
      <c r="K486" t="s">
        <v>28</v>
      </c>
    </row>
    <row r="487" spans="1:11" x14ac:dyDescent="0.45">
      <c r="A487" t="s">
        <v>90</v>
      </c>
      <c r="B487" t="s">
        <v>2</v>
      </c>
      <c r="C487" t="s">
        <v>84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2095</v>
      </c>
      <c r="J487">
        <v>0.13040000000000002</v>
      </c>
      <c r="K487" t="s">
        <v>28</v>
      </c>
    </row>
    <row r="488" spans="1:11" x14ac:dyDescent="0.45">
      <c r="A488" t="s">
        <v>90</v>
      </c>
      <c r="B488" t="s">
        <v>2</v>
      </c>
      <c r="C488" t="s">
        <v>84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2100</v>
      </c>
      <c r="J488">
        <v>0.13445000000000001</v>
      </c>
      <c r="K488" t="s">
        <v>28</v>
      </c>
    </row>
    <row r="489" spans="1:11" x14ac:dyDescent="0.45">
      <c r="A489" t="s">
        <v>90</v>
      </c>
      <c r="B489" t="s">
        <v>1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2020</v>
      </c>
      <c r="J489">
        <v>8.5400000000000004E-2</v>
      </c>
      <c r="K489" t="s">
        <v>28</v>
      </c>
    </row>
    <row r="490" spans="1:11" x14ac:dyDescent="0.45">
      <c r="A490" t="s">
        <v>90</v>
      </c>
      <c r="B490" t="s">
        <v>1</v>
      </c>
      <c r="C490" t="s">
        <v>84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2025</v>
      </c>
      <c r="J490">
        <v>8.7499999999999994E-2</v>
      </c>
      <c r="K490" t="s">
        <v>28</v>
      </c>
    </row>
    <row r="491" spans="1:11" x14ac:dyDescent="0.45">
      <c r="A491" t="s">
        <v>90</v>
      </c>
      <c r="B491" t="s">
        <v>1</v>
      </c>
      <c r="C491" t="s">
        <v>84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2030</v>
      </c>
      <c r="J491">
        <v>9.085E-2</v>
      </c>
      <c r="K491" t="s">
        <v>28</v>
      </c>
    </row>
    <row r="492" spans="1:11" x14ac:dyDescent="0.45">
      <c r="A492" t="s">
        <v>90</v>
      </c>
      <c r="B492" t="s">
        <v>1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2035</v>
      </c>
      <c r="J492">
        <v>0.11219999999999999</v>
      </c>
      <c r="K492" t="s">
        <v>28</v>
      </c>
    </row>
    <row r="493" spans="1:11" x14ac:dyDescent="0.45">
      <c r="A493" t="s">
        <v>90</v>
      </c>
      <c r="B493" t="s">
        <v>1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2040</v>
      </c>
      <c r="J493">
        <v>0.13450000000000001</v>
      </c>
      <c r="K493" t="s">
        <v>28</v>
      </c>
    </row>
    <row r="494" spans="1:11" x14ac:dyDescent="0.45">
      <c r="A494" t="s">
        <v>90</v>
      </c>
      <c r="B494" t="s">
        <v>1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2045</v>
      </c>
      <c r="J494">
        <v>0.15229999999999999</v>
      </c>
      <c r="K494" t="s">
        <v>28</v>
      </c>
    </row>
    <row r="495" spans="1:11" x14ac:dyDescent="0.45">
      <c r="A495" t="s">
        <v>90</v>
      </c>
      <c r="B495" t="s">
        <v>1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2050</v>
      </c>
      <c r="J495">
        <v>0.15995000000000001</v>
      </c>
      <c r="K495" t="s">
        <v>28</v>
      </c>
    </row>
    <row r="496" spans="1:11" x14ac:dyDescent="0.45">
      <c r="A496" t="s">
        <v>90</v>
      </c>
      <c r="B496" t="s">
        <v>1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2055</v>
      </c>
      <c r="J496">
        <v>0.13545000000000001</v>
      </c>
      <c r="K496" t="s">
        <v>28</v>
      </c>
    </row>
    <row r="497" spans="1:11" x14ac:dyDescent="0.45">
      <c r="A497" t="s">
        <v>90</v>
      </c>
      <c r="B497" t="s">
        <v>1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2060</v>
      </c>
      <c r="J497">
        <v>0.13089999999999999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2065</v>
      </c>
      <c r="J498">
        <v>0.12940000000000002</v>
      </c>
      <c r="K498" t="s">
        <v>28</v>
      </c>
    </row>
    <row r="499" spans="1:11" x14ac:dyDescent="0.45">
      <c r="A499" t="s">
        <v>90</v>
      </c>
      <c r="B499" t="s">
        <v>1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2070</v>
      </c>
      <c r="J499">
        <v>0.12739999999999999</v>
      </c>
      <c r="K499" t="s">
        <v>28</v>
      </c>
    </row>
    <row r="500" spans="1:11" x14ac:dyDescent="0.45">
      <c r="A500" t="s">
        <v>90</v>
      </c>
      <c r="B500" t="s">
        <v>1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2075</v>
      </c>
      <c r="J500">
        <v>0.13240000000000002</v>
      </c>
      <c r="K500" t="s">
        <v>28</v>
      </c>
    </row>
    <row r="501" spans="1:11" x14ac:dyDescent="0.45">
      <c r="A501" t="s">
        <v>90</v>
      </c>
      <c r="B501" t="s">
        <v>1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2080</v>
      </c>
      <c r="J501">
        <v>0.13719999999999999</v>
      </c>
      <c r="K501" t="s">
        <v>28</v>
      </c>
    </row>
    <row r="502" spans="1:11" x14ac:dyDescent="0.45">
      <c r="A502" t="s">
        <v>90</v>
      </c>
      <c r="B502" t="s">
        <v>1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2085</v>
      </c>
      <c r="J502">
        <v>0.14124999999999999</v>
      </c>
      <c r="K502" t="s">
        <v>28</v>
      </c>
    </row>
    <row r="503" spans="1:11" x14ac:dyDescent="0.45">
      <c r="A503" t="s">
        <v>90</v>
      </c>
      <c r="B503" t="s">
        <v>1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2090</v>
      </c>
      <c r="J503">
        <v>0.14510000000000001</v>
      </c>
      <c r="K503" t="s">
        <v>28</v>
      </c>
    </row>
    <row r="504" spans="1:11" x14ac:dyDescent="0.45">
      <c r="A504" t="s">
        <v>90</v>
      </c>
      <c r="B504" t="s">
        <v>1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2095</v>
      </c>
      <c r="J504">
        <v>0.14665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0.14845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5.9999999999999995E-4</v>
      </c>
      <c r="K506" t="s">
        <v>27</v>
      </c>
    </row>
    <row r="507" spans="1:11" x14ac:dyDescent="0.45">
      <c r="A507" t="s">
        <v>90</v>
      </c>
      <c r="B507" t="s">
        <v>3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2025</v>
      </c>
      <c r="J507">
        <v>2.5999999999999999E-3</v>
      </c>
      <c r="K507" t="s">
        <v>27</v>
      </c>
    </row>
    <row r="508" spans="1:11" x14ac:dyDescent="0.45">
      <c r="A508" t="s">
        <v>90</v>
      </c>
      <c r="B508" t="s">
        <v>3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2030</v>
      </c>
      <c r="J508">
        <v>8.3999999999999995E-3</v>
      </c>
      <c r="K508" t="s">
        <v>27</v>
      </c>
    </row>
    <row r="509" spans="1:11" x14ac:dyDescent="0.45">
      <c r="A509" t="s">
        <v>90</v>
      </c>
      <c r="B509" t="s">
        <v>3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2035</v>
      </c>
      <c r="J509">
        <v>1.515E-2</v>
      </c>
      <c r="K509" t="s">
        <v>27</v>
      </c>
    </row>
    <row r="510" spans="1:11" x14ac:dyDescent="0.45">
      <c r="A510" t="s">
        <v>90</v>
      </c>
      <c r="B510" t="s">
        <v>3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2040</v>
      </c>
      <c r="J510">
        <v>2.6550000000000001E-2</v>
      </c>
      <c r="K510" t="s">
        <v>27</v>
      </c>
    </row>
    <row r="511" spans="1:11" x14ac:dyDescent="0.45">
      <c r="A511" t="s">
        <v>90</v>
      </c>
      <c r="B511" t="s">
        <v>3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2045</v>
      </c>
      <c r="J511">
        <v>3.4000000000000002E-2</v>
      </c>
      <c r="K511" t="s">
        <v>27</v>
      </c>
    </row>
    <row r="512" spans="1:11" x14ac:dyDescent="0.45">
      <c r="A512" t="s">
        <v>90</v>
      </c>
      <c r="B512" t="s">
        <v>3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2050</v>
      </c>
      <c r="J512">
        <v>3.85E-2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2055</v>
      </c>
      <c r="J513">
        <v>4.1099999999999998E-2</v>
      </c>
      <c r="K513" t="s">
        <v>27</v>
      </c>
    </row>
    <row r="514" spans="1:11" x14ac:dyDescent="0.45">
      <c r="A514" t="s">
        <v>90</v>
      </c>
      <c r="B514" t="s">
        <v>3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2060</v>
      </c>
      <c r="J514">
        <v>4.3249999999999997E-2</v>
      </c>
      <c r="K514" t="s">
        <v>27</v>
      </c>
    </row>
    <row r="515" spans="1:11" x14ac:dyDescent="0.45">
      <c r="A515" t="s">
        <v>90</v>
      </c>
      <c r="B515" t="s">
        <v>3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2065</v>
      </c>
      <c r="J515">
        <v>4.6300000000000001E-2</v>
      </c>
      <c r="K515" t="s">
        <v>27</v>
      </c>
    </row>
    <row r="516" spans="1:11" x14ac:dyDescent="0.45">
      <c r="A516" t="s">
        <v>90</v>
      </c>
      <c r="B516" t="s">
        <v>3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2070</v>
      </c>
      <c r="J516">
        <v>4.9500000000000002E-2</v>
      </c>
      <c r="K516" t="s">
        <v>27</v>
      </c>
    </row>
    <row r="517" spans="1:11" x14ac:dyDescent="0.45">
      <c r="A517" t="s">
        <v>90</v>
      </c>
      <c r="B517" t="s">
        <v>3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2075</v>
      </c>
      <c r="J517">
        <v>5.2500000000000005E-2</v>
      </c>
      <c r="K517" t="s">
        <v>27</v>
      </c>
    </row>
    <row r="518" spans="1:11" x14ac:dyDescent="0.45">
      <c r="A518" t="s">
        <v>90</v>
      </c>
      <c r="B518" t="s">
        <v>3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2080</v>
      </c>
      <c r="J518">
        <v>5.57E-2</v>
      </c>
      <c r="K518" t="s">
        <v>27</v>
      </c>
    </row>
    <row r="519" spans="1:11" x14ac:dyDescent="0.45">
      <c r="A519" t="s">
        <v>90</v>
      </c>
      <c r="B519" t="s">
        <v>3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2085</v>
      </c>
      <c r="J519">
        <v>5.8900000000000001E-2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2090</v>
      </c>
      <c r="J520">
        <v>6.2100000000000002E-2</v>
      </c>
      <c r="K520" t="s">
        <v>27</v>
      </c>
    </row>
    <row r="521" spans="1:11" x14ac:dyDescent="0.45">
      <c r="A521" t="s">
        <v>90</v>
      </c>
      <c r="B521" t="s">
        <v>3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2095</v>
      </c>
      <c r="J521">
        <v>6.5700000000000008E-2</v>
      </c>
      <c r="K521" t="s">
        <v>27</v>
      </c>
    </row>
    <row r="522" spans="1:11" x14ac:dyDescent="0.45">
      <c r="A522" t="s">
        <v>90</v>
      </c>
      <c r="B522" t="s">
        <v>3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2100</v>
      </c>
      <c r="J522">
        <v>6.9349999999999995E-2</v>
      </c>
      <c r="K522" t="s">
        <v>27</v>
      </c>
    </row>
    <row r="523" spans="1:11" x14ac:dyDescent="0.45">
      <c r="A523" t="s">
        <v>90</v>
      </c>
      <c r="B523" t="s">
        <v>4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2020</v>
      </c>
      <c r="J523">
        <v>5.9999999999999995E-4</v>
      </c>
      <c r="K523" t="s">
        <v>27</v>
      </c>
    </row>
    <row r="524" spans="1:11" x14ac:dyDescent="0.45">
      <c r="A524" t="s">
        <v>90</v>
      </c>
      <c r="B524" t="s">
        <v>4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2025</v>
      </c>
      <c r="J524">
        <v>2.8500000000000001E-3</v>
      </c>
      <c r="K524" t="s">
        <v>27</v>
      </c>
    </row>
    <row r="525" spans="1:11" x14ac:dyDescent="0.45">
      <c r="A525" t="s">
        <v>90</v>
      </c>
      <c r="B525" t="s">
        <v>4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7.6500000000000005E-3</v>
      </c>
      <c r="K525" t="s">
        <v>27</v>
      </c>
    </row>
    <row r="526" spans="1:11" x14ac:dyDescent="0.45">
      <c r="A526" t="s">
        <v>90</v>
      </c>
      <c r="B526" t="s">
        <v>4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2035</v>
      </c>
      <c r="J526">
        <v>1.2400000000000001E-2</v>
      </c>
      <c r="K526" t="s">
        <v>27</v>
      </c>
    </row>
    <row r="527" spans="1:11" x14ac:dyDescent="0.45">
      <c r="A527" t="s">
        <v>90</v>
      </c>
      <c r="B527" t="s">
        <v>4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2040</v>
      </c>
      <c r="J527">
        <v>1.7399999999999999E-2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2045</v>
      </c>
      <c r="J528">
        <v>2.145E-2</v>
      </c>
      <c r="K528" t="s">
        <v>27</v>
      </c>
    </row>
    <row r="529" spans="1:11" x14ac:dyDescent="0.45">
      <c r="A529" t="s">
        <v>90</v>
      </c>
      <c r="B529" t="s">
        <v>4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2050</v>
      </c>
      <c r="J529">
        <v>2.5750000000000002E-2</v>
      </c>
      <c r="K529" t="s">
        <v>27</v>
      </c>
    </row>
    <row r="530" spans="1:11" x14ac:dyDescent="0.45">
      <c r="A530" t="s">
        <v>90</v>
      </c>
      <c r="B530" t="s">
        <v>4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2055</v>
      </c>
      <c r="J530">
        <v>3.005E-2</v>
      </c>
      <c r="K530" t="s">
        <v>27</v>
      </c>
    </row>
    <row r="531" spans="1:11" x14ac:dyDescent="0.45">
      <c r="A531" t="s">
        <v>90</v>
      </c>
      <c r="B531" t="s">
        <v>4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2060</v>
      </c>
      <c r="J531">
        <v>3.4099999999999998E-2</v>
      </c>
      <c r="K531" t="s">
        <v>27</v>
      </c>
    </row>
    <row r="532" spans="1:11" x14ac:dyDescent="0.45">
      <c r="A532" t="s">
        <v>90</v>
      </c>
      <c r="B532" t="s">
        <v>4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2065</v>
      </c>
      <c r="J532">
        <v>3.7250000000000005E-2</v>
      </c>
      <c r="K532" t="s">
        <v>27</v>
      </c>
    </row>
    <row r="533" spans="1:11" x14ac:dyDescent="0.45">
      <c r="A533" t="s">
        <v>90</v>
      </c>
      <c r="B533" t="s">
        <v>4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2070</v>
      </c>
      <c r="J533">
        <v>4.0500000000000001E-2</v>
      </c>
      <c r="K533" t="s">
        <v>27</v>
      </c>
    </row>
    <row r="534" spans="1:11" x14ac:dyDescent="0.45">
      <c r="A534" t="s">
        <v>90</v>
      </c>
      <c r="B534" t="s">
        <v>4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2075</v>
      </c>
      <c r="J534">
        <v>4.335E-2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2080</v>
      </c>
      <c r="J535">
        <v>4.6350000000000002E-2</v>
      </c>
      <c r="K535" t="s">
        <v>27</v>
      </c>
    </row>
    <row r="536" spans="1:11" x14ac:dyDescent="0.45">
      <c r="A536" t="s">
        <v>90</v>
      </c>
      <c r="B536" t="s">
        <v>4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2085</v>
      </c>
      <c r="J536">
        <v>4.9449999999999994E-2</v>
      </c>
      <c r="K536" t="s">
        <v>27</v>
      </c>
    </row>
    <row r="537" spans="1:11" x14ac:dyDescent="0.45">
      <c r="A537" t="s">
        <v>90</v>
      </c>
      <c r="B537" t="s">
        <v>4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2090</v>
      </c>
      <c r="J537">
        <v>5.2449999999999997E-2</v>
      </c>
      <c r="K537" t="s">
        <v>27</v>
      </c>
    </row>
    <row r="538" spans="1:11" x14ac:dyDescent="0.45">
      <c r="A538" t="s">
        <v>90</v>
      </c>
      <c r="B538" t="s">
        <v>4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2095</v>
      </c>
      <c r="J538">
        <v>5.595E-2</v>
      </c>
      <c r="K538" t="s">
        <v>27</v>
      </c>
    </row>
    <row r="539" spans="1:11" x14ac:dyDescent="0.45">
      <c r="A539" t="s">
        <v>90</v>
      </c>
      <c r="B539" t="s">
        <v>4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2100</v>
      </c>
      <c r="J539">
        <v>5.9399999999999994E-2</v>
      </c>
      <c r="K539" t="s">
        <v>27</v>
      </c>
    </row>
    <row r="540" spans="1:11" x14ac:dyDescent="0.45">
      <c r="A540" t="s">
        <v>90</v>
      </c>
      <c r="B540" t="s">
        <v>0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2020</v>
      </c>
      <c r="J540">
        <v>5.9999999999999995E-4</v>
      </c>
      <c r="K540" t="s">
        <v>27</v>
      </c>
    </row>
    <row r="541" spans="1:11" x14ac:dyDescent="0.45">
      <c r="A541" t="s">
        <v>90</v>
      </c>
      <c r="B541" t="s">
        <v>0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2025</v>
      </c>
      <c r="J541">
        <v>2.9500000000000004E-3</v>
      </c>
      <c r="K541" t="s">
        <v>27</v>
      </c>
    </row>
    <row r="542" spans="1:11" x14ac:dyDescent="0.45">
      <c r="A542" t="s">
        <v>90</v>
      </c>
      <c r="B542" t="s">
        <v>0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2030</v>
      </c>
      <c r="J542">
        <v>8.0499999999999999E-3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2035</v>
      </c>
      <c r="J543">
        <v>1.345E-2</v>
      </c>
      <c r="K543" t="s">
        <v>27</v>
      </c>
    </row>
    <row r="544" spans="1:11" x14ac:dyDescent="0.45">
      <c r="A544" t="s">
        <v>90</v>
      </c>
      <c r="B544" t="s">
        <v>0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2.1350000000000001E-2</v>
      </c>
      <c r="K544" t="s">
        <v>27</v>
      </c>
    </row>
    <row r="545" spans="1:11" x14ac:dyDescent="0.45">
      <c r="A545" t="s">
        <v>90</v>
      </c>
      <c r="B545" t="s">
        <v>0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2.9850000000000002E-2</v>
      </c>
      <c r="K545" t="s">
        <v>27</v>
      </c>
    </row>
    <row r="546" spans="1:11" x14ac:dyDescent="0.45">
      <c r="A546" t="s">
        <v>90</v>
      </c>
      <c r="B546" t="s">
        <v>0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2050</v>
      </c>
      <c r="J546">
        <v>3.4049999999999997E-2</v>
      </c>
      <c r="K546" t="s">
        <v>27</v>
      </c>
    </row>
    <row r="547" spans="1:11" x14ac:dyDescent="0.45">
      <c r="A547" t="s">
        <v>90</v>
      </c>
      <c r="B547" t="s">
        <v>0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2055</v>
      </c>
      <c r="J547">
        <v>3.73E-2</v>
      </c>
      <c r="K547" t="s">
        <v>27</v>
      </c>
    </row>
    <row r="548" spans="1:11" x14ac:dyDescent="0.45">
      <c r="A548" t="s">
        <v>90</v>
      </c>
      <c r="B548" t="s">
        <v>0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2060</v>
      </c>
      <c r="J548">
        <v>4.0349999999999997E-2</v>
      </c>
      <c r="K548" t="s">
        <v>27</v>
      </c>
    </row>
    <row r="549" spans="1:11" x14ac:dyDescent="0.45">
      <c r="A549" t="s">
        <v>90</v>
      </c>
      <c r="B549" t="s">
        <v>0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2065</v>
      </c>
      <c r="J549">
        <v>4.24E-2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4.4900000000000002E-2</v>
      </c>
      <c r="K550" t="s">
        <v>27</v>
      </c>
    </row>
    <row r="551" spans="1:11" x14ac:dyDescent="0.45">
      <c r="A551" t="s">
        <v>90</v>
      </c>
      <c r="B551" t="s">
        <v>0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2075</v>
      </c>
      <c r="J551">
        <v>4.7649999999999998E-2</v>
      </c>
      <c r="K551" t="s">
        <v>27</v>
      </c>
    </row>
    <row r="552" spans="1:11" x14ac:dyDescent="0.45">
      <c r="A552" t="s">
        <v>90</v>
      </c>
      <c r="B552" t="s">
        <v>0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2080</v>
      </c>
      <c r="J552">
        <v>5.04E-2</v>
      </c>
      <c r="K552" t="s">
        <v>27</v>
      </c>
    </row>
    <row r="553" spans="1:11" x14ac:dyDescent="0.45">
      <c r="A553" t="s">
        <v>90</v>
      </c>
      <c r="B553" t="s">
        <v>0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2085</v>
      </c>
      <c r="J553">
        <v>5.2749999999999998E-2</v>
      </c>
      <c r="K553" t="s">
        <v>27</v>
      </c>
    </row>
    <row r="554" spans="1:11" x14ac:dyDescent="0.45">
      <c r="A554" t="s">
        <v>90</v>
      </c>
      <c r="B554" t="s">
        <v>0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2090</v>
      </c>
      <c r="J554">
        <v>5.525E-2</v>
      </c>
      <c r="K554" t="s">
        <v>27</v>
      </c>
    </row>
    <row r="555" spans="1:11" x14ac:dyDescent="0.45">
      <c r="A555" t="s">
        <v>90</v>
      </c>
      <c r="B555" t="s">
        <v>0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2095</v>
      </c>
      <c r="J555">
        <v>5.8249999999999996E-2</v>
      </c>
      <c r="K555" t="s">
        <v>27</v>
      </c>
    </row>
    <row r="556" spans="1:11" x14ac:dyDescent="0.45">
      <c r="A556" t="s">
        <v>90</v>
      </c>
      <c r="B556" t="s">
        <v>0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2100</v>
      </c>
      <c r="J556">
        <v>6.1249999999999999E-2</v>
      </c>
      <c r="K556" t="s">
        <v>27</v>
      </c>
    </row>
    <row r="557" spans="1:11" x14ac:dyDescent="0.45">
      <c r="A557" t="s">
        <v>90</v>
      </c>
      <c r="B557" t="s">
        <v>6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2020</v>
      </c>
      <c r="J557">
        <v>5.9999999999999995E-4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2025</v>
      </c>
      <c r="J558">
        <v>3.15E-3</v>
      </c>
      <c r="K558" t="s">
        <v>27</v>
      </c>
    </row>
    <row r="559" spans="1:11" x14ac:dyDescent="0.45">
      <c r="A559" t="s">
        <v>90</v>
      </c>
      <c r="B559" t="s">
        <v>6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2030</v>
      </c>
      <c r="J559">
        <v>8.0999999999999996E-3</v>
      </c>
      <c r="K559" t="s">
        <v>27</v>
      </c>
    </row>
    <row r="560" spans="1:11" x14ac:dyDescent="0.45">
      <c r="A560" t="s">
        <v>90</v>
      </c>
      <c r="B560" t="s">
        <v>6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2035</v>
      </c>
      <c r="J560">
        <v>1.2549999999999999E-2</v>
      </c>
      <c r="K560" t="s">
        <v>27</v>
      </c>
    </row>
    <row r="561" spans="1:11" x14ac:dyDescent="0.45">
      <c r="A561" t="s">
        <v>90</v>
      </c>
      <c r="B561" t="s">
        <v>6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2040</v>
      </c>
      <c r="J561">
        <v>2.035E-2</v>
      </c>
      <c r="K561" t="s">
        <v>27</v>
      </c>
    </row>
    <row r="562" spans="1:11" x14ac:dyDescent="0.45">
      <c r="A562" t="s">
        <v>90</v>
      </c>
      <c r="B562" t="s">
        <v>6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2045</v>
      </c>
      <c r="J562">
        <v>2.6700000000000002E-2</v>
      </c>
      <c r="K562" t="s">
        <v>27</v>
      </c>
    </row>
    <row r="563" spans="1:11" x14ac:dyDescent="0.45">
      <c r="A563" t="s">
        <v>90</v>
      </c>
      <c r="B563" t="s">
        <v>6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2050</v>
      </c>
      <c r="J563">
        <v>3.0600000000000002E-2</v>
      </c>
      <c r="K563" t="s">
        <v>27</v>
      </c>
    </row>
    <row r="564" spans="1:11" x14ac:dyDescent="0.45">
      <c r="A564" t="s">
        <v>90</v>
      </c>
      <c r="B564" t="s">
        <v>6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2055</v>
      </c>
      <c r="J564">
        <v>3.4000000000000002E-2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3.7000000000000005E-2</v>
      </c>
      <c r="K565" t="s">
        <v>27</v>
      </c>
    </row>
    <row r="566" spans="1:11" x14ac:dyDescent="0.45">
      <c r="A566" t="s">
        <v>90</v>
      </c>
      <c r="B566" t="s">
        <v>6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2065</v>
      </c>
      <c r="J566">
        <v>3.9949999999999999E-2</v>
      </c>
      <c r="K566" t="s">
        <v>27</v>
      </c>
    </row>
    <row r="567" spans="1:11" x14ac:dyDescent="0.45">
      <c r="A567" t="s">
        <v>90</v>
      </c>
      <c r="B567" t="s">
        <v>6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2070</v>
      </c>
      <c r="J567">
        <v>4.2900000000000001E-2</v>
      </c>
      <c r="K567" t="s">
        <v>27</v>
      </c>
    </row>
    <row r="568" spans="1:11" x14ac:dyDescent="0.45">
      <c r="A568" t="s">
        <v>90</v>
      </c>
      <c r="B568" t="s">
        <v>6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2075</v>
      </c>
      <c r="J568">
        <v>4.5649999999999996E-2</v>
      </c>
      <c r="K568" t="s">
        <v>27</v>
      </c>
    </row>
    <row r="569" spans="1:11" x14ac:dyDescent="0.45">
      <c r="A569" t="s">
        <v>90</v>
      </c>
      <c r="B569" t="s">
        <v>6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2080</v>
      </c>
      <c r="J569">
        <v>4.845E-2</v>
      </c>
      <c r="K569" t="s">
        <v>27</v>
      </c>
    </row>
    <row r="570" spans="1:11" x14ac:dyDescent="0.45">
      <c r="A570" t="s">
        <v>90</v>
      </c>
      <c r="B570" t="s">
        <v>6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2085</v>
      </c>
      <c r="J570">
        <v>5.11E-2</v>
      </c>
      <c r="K570" t="s">
        <v>27</v>
      </c>
    </row>
    <row r="571" spans="1:11" x14ac:dyDescent="0.45">
      <c r="A571" t="s">
        <v>90</v>
      </c>
      <c r="B571" t="s">
        <v>6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2090</v>
      </c>
      <c r="J571">
        <v>5.3949999999999998E-2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2095</v>
      </c>
      <c r="J572">
        <v>5.7499999999999996E-2</v>
      </c>
      <c r="K572" t="s">
        <v>27</v>
      </c>
    </row>
    <row r="573" spans="1:11" x14ac:dyDescent="0.45">
      <c r="A573" t="s">
        <v>90</v>
      </c>
      <c r="B573" t="s">
        <v>6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2100</v>
      </c>
      <c r="J573">
        <v>6.1199999999999997E-2</v>
      </c>
      <c r="K573" t="s">
        <v>27</v>
      </c>
    </row>
    <row r="574" spans="1:11" x14ac:dyDescent="0.45">
      <c r="A574" t="s">
        <v>90</v>
      </c>
      <c r="B574" t="s">
        <v>5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2020</v>
      </c>
      <c r="J574">
        <v>5.9999999999999995E-4</v>
      </c>
      <c r="K574" t="s">
        <v>27</v>
      </c>
    </row>
    <row r="575" spans="1:11" x14ac:dyDescent="0.45">
      <c r="A575" t="s">
        <v>90</v>
      </c>
      <c r="B575" t="s">
        <v>5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2025</v>
      </c>
      <c r="J575">
        <v>2.5999999999999999E-3</v>
      </c>
      <c r="K575" t="s">
        <v>27</v>
      </c>
    </row>
    <row r="576" spans="1:11" x14ac:dyDescent="0.45">
      <c r="A576" t="s">
        <v>90</v>
      </c>
      <c r="B576" t="s">
        <v>5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2030</v>
      </c>
      <c r="J576">
        <v>9.4999999999999998E-3</v>
      </c>
      <c r="K576" t="s">
        <v>27</v>
      </c>
    </row>
    <row r="577" spans="1:11" x14ac:dyDescent="0.45">
      <c r="A577" t="s">
        <v>90</v>
      </c>
      <c r="B577" t="s">
        <v>5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2035</v>
      </c>
      <c r="J577">
        <v>1.5800000000000002E-2</v>
      </c>
      <c r="K577" t="s">
        <v>27</v>
      </c>
    </row>
    <row r="578" spans="1:11" x14ac:dyDescent="0.45">
      <c r="A578" t="s">
        <v>90</v>
      </c>
      <c r="B578" t="s">
        <v>5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2.47E-2</v>
      </c>
      <c r="K578" t="s">
        <v>27</v>
      </c>
    </row>
    <row r="579" spans="1:11" x14ac:dyDescent="0.45">
      <c r="A579" t="s">
        <v>90</v>
      </c>
      <c r="B579" t="s">
        <v>5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2045</v>
      </c>
      <c r="J579">
        <v>2.9899999999999999E-2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2050</v>
      </c>
      <c r="J580">
        <v>3.2299999999999995E-2</v>
      </c>
      <c r="K580" t="s">
        <v>27</v>
      </c>
    </row>
    <row r="581" spans="1:11" x14ac:dyDescent="0.45">
      <c r="A581" t="s">
        <v>90</v>
      </c>
      <c r="B581" t="s">
        <v>5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2055</v>
      </c>
      <c r="J581">
        <v>3.8349999999999995E-2</v>
      </c>
      <c r="K581" t="s">
        <v>27</v>
      </c>
    </row>
    <row r="582" spans="1:11" x14ac:dyDescent="0.45">
      <c r="A582" t="s">
        <v>90</v>
      </c>
      <c r="B582" t="s">
        <v>5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2060</v>
      </c>
      <c r="J582">
        <v>4.1249999999999995E-2</v>
      </c>
      <c r="K582" t="s">
        <v>27</v>
      </c>
    </row>
    <row r="583" spans="1:11" x14ac:dyDescent="0.45">
      <c r="A583" t="s">
        <v>90</v>
      </c>
      <c r="B583" t="s">
        <v>5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2065</v>
      </c>
      <c r="J583">
        <v>4.2300000000000004E-2</v>
      </c>
      <c r="K583" t="s">
        <v>27</v>
      </c>
    </row>
    <row r="584" spans="1:11" x14ac:dyDescent="0.45">
      <c r="A584" t="s">
        <v>90</v>
      </c>
      <c r="B584" t="s">
        <v>5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2070</v>
      </c>
      <c r="J584">
        <v>4.3099999999999999E-2</v>
      </c>
      <c r="K584" t="s">
        <v>27</v>
      </c>
    </row>
    <row r="585" spans="1:11" x14ac:dyDescent="0.45">
      <c r="A585" t="s">
        <v>90</v>
      </c>
      <c r="B585" t="s">
        <v>5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4.4499999999999998E-2</v>
      </c>
      <c r="K585" t="s">
        <v>27</v>
      </c>
    </row>
    <row r="586" spans="1:11" x14ac:dyDescent="0.45">
      <c r="A586" t="s">
        <v>90</v>
      </c>
      <c r="B586" t="s">
        <v>5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2080</v>
      </c>
      <c r="J586">
        <v>4.5850000000000002E-2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2085</v>
      </c>
      <c r="J587">
        <v>4.7E-2</v>
      </c>
      <c r="K587" t="s">
        <v>27</v>
      </c>
    </row>
    <row r="588" spans="1:11" x14ac:dyDescent="0.45">
      <c r="A588" t="s">
        <v>90</v>
      </c>
      <c r="B588" t="s">
        <v>5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2090</v>
      </c>
      <c r="J588">
        <v>4.8250000000000001E-2</v>
      </c>
      <c r="K588" t="s">
        <v>27</v>
      </c>
    </row>
    <row r="589" spans="1:11" x14ac:dyDescent="0.45">
      <c r="A589" t="s">
        <v>90</v>
      </c>
      <c r="B589" t="s">
        <v>5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2095</v>
      </c>
      <c r="J589">
        <v>4.9799999999999997E-2</v>
      </c>
      <c r="K589" t="s">
        <v>27</v>
      </c>
    </row>
    <row r="590" spans="1:11" x14ac:dyDescent="0.45">
      <c r="A590" t="s">
        <v>90</v>
      </c>
      <c r="B590" t="s">
        <v>5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2100</v>
      </c>
      <c r="J590">
        <v>5.1449999999999996E-2</v>
      </c>
      <c r="K590" t="s">
        <v>27</v>
      </c>
    </row>
    <row r="591" spans="1:11" x14ac:dyDescent="0.45">
      <c r="A591" t="s">
        <v>90</v>
      </c>
      <c r="B591" t="s">
        <v>2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2020</v>
      </c>
      <c r="J591">
        <v>5.9999999999999995E-4</v>
      </c>
      <c r="K591" t="s">
        <v>27</v>
      </c>
    </row>
    <row r="592" spans="1:11" x14ac:dyDescent="0.45">
      <c r="A592" t="s">
        <v>90</v>
      </c>
      <c r="B592" t="s">
        <v>2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2025</v>
      </c>
      <c r="J592">
        <v>3.2000000000000002E-3</v>
      </c>
      <c r="K592" t="s">
        <v>27</v>
      </c>
    </row>
    <row r="593" spans="1:11" x14ac:dyDescent="0.45">
      <c r="A593" t="s">
        <v>90</v>
      </c>
      <c r="B593" t="s">
        <v>2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2030</v>
      </c>
      <c r="J593">
        <v>7.4999999999999997E-3</v>
      </c>
      <c r="K593" t="s">
        <v>27</v>
      </c>
    </row>
    <row r="594" spans="1:11" x14ac:dyDescent="0.45">
      <c r="A594" t="s">
        <v>90</v>
      </c>
      <c r="B594" t="s">
        <v>2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2035</v>
      </c>
      <c r="J594">
        <v>1.46E-2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2040</v>
      </c>
      <c r="J595">
        <v>2.3449999999999999E-2</v>
      </c>
      <c r="K595" t="s">
        <v>27</v>
      </c>
    </row>
    <row r="596" spans="1:11" x14ac:dyDescent="0.45">
      <c r="A596" t="s">
        <v>90</v>
      </c>
      <c r="B596" t="s">
        <v>2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2045</v>
      </c>
      <c r="J596">
        <v>2.81E-2</v>
      </c>
      <c r="K596" t="s">
        <v>27</v>
      </c>
    </row>
    <row r="597" spans="1:11" x14ac:dyDescent="0.45">
      <c r="A597" t="s">
        <v>90</v>
      </c>
      <c r="B597" t="s">
        <v>2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2050</v>
      </c>
      <c r="J597">
        <v>3.1050000000000001E-2</v>
      </c>
      <c r="K597" t="s">
        <v>27</v>
      </c>
    </row>
    <row r="598" spans="1:11" x14ac:dyDescent="0.45">
      <c r="A598" t="s">
        <v>90</v>
      </c>
      <c r="B598" t="s">
        <v>2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2055</v>
      </c>
      <c r="J598">
        <v>3.27E-2</v>
      </c>
      <c r="K598" t="s">
        <v>27</v>
      </c>
    </row>
    <row r="599" spans="1:11" x14ac:dyDescent="0.45">
      <c r="A599" t="s">
        <v>90</v>
      </c>
      <c r="B599" t="s">
        <v>2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2060</v>
      </c>
      <c r="J599">
        <v>3.6000000000000004E-2</v>
      </c>
      <c r="K599" t="s">
        <v>27</v>
      </c>
    </row>
    <row r="600" spans="1:11" x14ac:dyDescent="0.45">
      <c r="A600" t="s">
        <v>90</v>
      </c>
      <c r="B600" t="s">
        <v>2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2065</v>
      </c>
      <c r="J600">
        <v>3.9300000000000002E-2</v>
      </c>
      <c r="K600" t="s">
        <v>27</v>
      </c>
    </row>
    <row r="601" spans="1:11" x14ac:dyDescent="0.45">
      <c r="A601" t="s">
        <v>90</v>
      </c>
      <c r="B601" t="s">
        <v>2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2070</v>
      </c>
      <c r="J601">
        <v>4.2599999999999999E-2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2075</v>
      </c>
      <c r="J602">
        <v>4.5200000000000004E-2</v>
      </c>
      <c r="K602" t="s">
        <v>27</v>
      </c>
    </row>
    <row r="603" spans="1:11" x14ac:dyDescent="0.45">
      <c r="A603" t="s">
        <v>90</v>
      </c>
      <c r="B603" t="s">
        <v>2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2080</v>
      </c>
      <c r="J603">
        <v>4.7850000000000004E-2</v>
      </c>
      <c r="K603" t="s">
        <v>27</v>
      </c>
    </row>
    <row r="604" spans="1:11" x14ac:dyDescent="0.45">
      <c r="A604" t="s">
        <v>90</v>
      </c>
      <c r="B604" t="s">
        <v>2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2085</v>
      </c>
      <c r="J604">
        <v>5.0599999999999999E-2</v>
      </c>
      <c r="K604" t="s">
        <v>27</v>
      </c>
    </row>
    <row r="605" spans="1:11" x14ac:dyDescent="0.45">
      <c r="A605" t="s">
        <v>90</v>
      </c>
      <c r="B605" t="s">
        <v>2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5.3749999999999999E-2</v>
      </c>
      <c r="K605" t="s">
        <v>27</v>
      </c>
    </row>
    <row r="606" spans="1:11" x14ac:dyDescent="0.45">
      <c r="A606" t="s">
        <v>90</v>
      </c>
      <c r="B606" t="s">
        <v>2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2095</v>
      </c>
      <c r="J606">
        <v>5.7149999999999999E-2</v>
      </c>
      <c r="K606" t="s">
        <v>27</v>
      </c>
    </row>
    <row r="607" spans="1:11" x14ac:dyDescent="0.45">
      <c r="A607" t="s">
        <v>90</v>
      </c>
      <c r="B607" t="s">
        <v>2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2100</v>
      </c>
      <c r="J607">
        <v>6.0499999999999998E-2</v>
      </c>
      <c r="K607" t="s">
        <v>27</v>
      </c>
    </row>
    <row r="608" spans="1:11" x14ac:dyDescent="0.45">
      <c r="A608" t="s">
        <v>90</v>
      </c>
      <c r="B608" t="s">
        <v>1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2020</v>
      </c>
      <c r="J608">
        <v>5.9999999999999995E-4</v>
      </c>
      <c r="K608" t="s">
        <v>27</v>
      </c>
    </row>
    <row r="609" spans="1:11" x14ac:dyDescent="0.45">
      <c r="A609" t="s">
        <v>90</v>
      </c>
      <c r="B609" t="s">
        <v>1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2025</v>
      </c>
      <c r="J609">
        <v>2.7000000000000001E-3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2030</v>
      </c>
      <c r="J610">
        <v>8.3999999999999995E-3</v>
      </c>
      <c r="K610" t="s">
        <v>27</v>
      </c>
    </row>
    <row r="611" spans="1:11" x14ac:dyDescent="0.45">
      <c r="A611" t="s">
        <v>90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2035</v>
      </c>
      <c r="J611">
        <v>1.8749999999999999E-2</v>
      </c>
      <c r="K611" t="s">
        <v>27</v>
      </c>
    </row>
    <row r="612" spans="1:11" x14ac:dyDescent="0.45">
      <c r="A612" t="s">
        <v>90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2040</v>
      </c>
      <c r="J612">
        <v>3.1549999999999995E-2</v>
      </c>
      <c r="K612" t="s">
        <v>27</v>
      </c>
    </row>
    <row r="613" spans="1:11" x14ac:dyDescent="0.45">
      <c r="A613" t="s">
        <v>90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2045</v>
      </c>
      <c r="J613">
        <v>3.95E-2</v>
      </c>
      <c r="K613" t="s">
        <v>27</v>
      </c>
    </row>
    <row r="614" spans="1:11" x14ac:dyDescent="0.45">
      <c r="A614" t="s">
        <v>90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2050</v>
      </c>
      <c r="J614">
        <v>4.3549999999999998E-2</v>
      </c>
      <c r="K614" t="s">
        <v>27</v>
      </c>
    </row>
    <row r="615" spans="1:11" x14ac:dyDescent="0.45">
      <c r="A615" t="s">
        <v>90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2055</v>
      </c>
      <c r="J615">
        <v>4.5850000000000002E-2</v>
      </c>
      <c r="K615" t="s">
        <v>27</v>
      </c>
    </row>
    <row r="616" spans="1:11" x14ac:dyDescent="0.45">
      <c r="A616" t="s">
        <v>90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2060</v>
      </c>
      <c r="J616">
        <v>4.8850000000000005E-2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2065</v>
      </c>
      <c r="J617">
        <v>5.1049999999999998E-2</v>
      </c>
      <c r="K617" t="s">
        <v>27</v>
      </c>
    </row>
    <row r="618" spans="1:11" x14ac:dyDescent="0.45">
      <c r="A618" t="s">
        <v>90</v>
      </c>
      <c r="B618" t="s">
        <v>1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2070</v>
      </c>
      <c r="J618">
        <v>5.33E-2</v>
      </c>
      <c r="K618" t="s">
        <v>27</v>
      </c>
    </row>
    <row r="619" spans="1:11" x14ac:dyDescent="0.45">
      <c r="A619" t="s">
        <v>90</v>
      </c>
      <c r="B619" t="s">
        <v>1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2075</v>
      </c>
      <c r="J619">
        <v>5.6050000000000003E-2</v>
      </c>
      <c r="K619" t="s">
        <v>27</v>
      </c>
    </row>
    <row r="620" spans="1:11" x14ac:dyDescent="0.45">
      <c r="A620" t="s">
        <v>90</v>
      </c>
      <c r="B620" t="s">
        <v>1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2080</v>
      </c>
      <c r="J620">
        <v>5.9150000000000001E-2</v>
      </c>
      <c r="K620" t="s">
        <v>27</v>
      </c>
    </row>
    <row r="621" spans="1:11" x14ac:dyDescent="0.45">
      <c r="A621" t="s">
        <v>90</v>
      </c>
      <c r="B621" t="s">
        <v>1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2085</v>
      </c>
      <c r="J621">
        <v>6.2200000000000005E-2</v>
      </c>
      <c r="K621" t="s">
        <v>27</v>
      </c>
    </row>
    <row r="622" spans="1:11" x14ac:dyDescent="0.45">
      <c r="A622" t="s">
        <v>90</v>
      </c>
      <c r="B622" t="s">
        <v>1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2090</v>
      </c>
      <c r="J622">
        <v>6.5250000000000002E-2</v>
      </c>
      <c r="K622" t="s">
        <v>27</v>
      </c>
    </row>
    <row r="623" spans="1:11" x14ac:dyDescent="0.45">
      <c r="A623" t="s">
        <v>90</v>
      </c>
      <c r="B623" t="s">
        <v>1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2095</v>
      </c>
      <c r="J623">
        <v>6.8750000000000006E-2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7.22E-2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8.9999999999999998E-4</v>
      </c>
      <c r="K625" t="s">
        <v>85</v>
      </c>
    </row>
    <row r="626" spans="1:11" x14ac:dyDescent="0.45">
      <c r="A626" t="s">
        <v>90</v>
      </c>
      <c r="B626" t="s">
        <v>3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2025</v>
      </c>
      <c r="J626">
        <v>4.6499999999999996E-3</v>
      </c>
      <c r="K626" t="s">
        <v>85</v>
      </c>
    </row>
    <row r="627" spans="1:11" x14ac:dyDescent="0.45">
      <c r="A627" t="s">
        <v>90</v>
      </c>
      <c r="B627" t="s">
        <v>3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2030</v>
      </c>
      <c r="J627">
        <v>9.7000000000000003E-3</v>
      </c>
      <c r="K627" t="s">
        <v>85</v>
      </c>
    </row>
    <row r="628" spans="1:11" x14ac:dyDescent="0.45">
      <c r="A628" t="s">
        <v>90</v>
      </c>
      <c r="B628" t="s">
        <v>3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2035</v>
      </c>
      <c r="J628">
        <v>1.61E-2</v>
      </c>
      <c r="K628" t="s">
        <v>85</v>
      </c>
    </row>
    <row r="629" spans="1:11" x14ac:dyDescent="0.45">
      <c r="A629" t="s">
        <v>90</v>
      </c>
      <c r="B629" t="s">
        <v>3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2040</v>
      </c>
      <c r="J629">
        <v>2.0299999999999999E-2</v>
      </c>
      <c r="K629" t="s">
        <v>85</v>
      </c>
    </row>
    <row r="630" spans="1:11" x14ac:dyDescent="0.45">
      <c r="A630" t="s">
        <v>90</v>
      </c>
      <c r="B630" t="s">
        <v>3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2045</v>
      </c>
      <c r="J630">
        <v>2.1650000000000003E-2</v>
      </c>
      <c r="K630" t="s">
        <v>85</v>
      </c>
    </row>
    <row r="631" spans="1:11" x14ac:dyDescent="0.45">
      <c r="A631" t="s">
        <v>90</v>
      </c>
      <c r="B631" t="s">
        <v>3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2050</v>
      </c>
      <c r="J631">
        <v>2.4050000000000002E-2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2055</v>
      </c>
      <c r="J632">
        <v>2.8999999999999998E-2</v>
      </c>
      <c r="K632" t="s">
        <v>85</v>
      </c>
    </row>
    <row r="633" spans="1:11" x14ac:dyDescent="0.45">
      <c r="A633" t="s">
        <v>90</v>
      </c>
      <c r="B633" t="s">
        <v>3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2060</v>
      </c>
      <c r="J633">
        <v>3.635E-2</v>
      </c>
      <c r="K633" t="s">
        <v>85</v>
      </c>
    </row>
    <row r="634" spans="1:11" x14ac:dyDescent="0.45">
      <c r="A634" t="s">
        <v>90</v>
      </c>
      <c r="B634" t="s">
        <v>3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2065</v>
      </c>
      <c r="J634">
        <v>3.3949999999999994E-2</v>
      </c>
      <c r="K634" t="s">
        <v>85</v>
      </c>
    </row>
    <row r="635" spans="1:11" x14ac:dyDescent="0.45">
      <c r="A635" t="s">
        <v>90</v>
      </c>
      <c r="B635" t="s">
        <v>3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2070</v>
      </c>
      <c r="J635">
        <v>3.1099999999999999E-2</v>
      </c>
      <c r="K635" t="s">
        <v>85</v>
      </c>
    </row>
    <row r="636" spans="1:11" x14ac:dyDescent="0.45">
      <c r="A636" t="s">
        <v>90</v>
      </c>
      <c r="B636" t="s">
        <v>3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2075</v>
      </c>
      <c r="J636">
        <v>2.9350000000000001E-2</v>
      </c>
      <c r="K636" t="s">
        <v>85</v>
      </c>
    </row>
    <row r="637" spans="1:11" x14ac:dyDescent="0.45">
      <c r="A637" t="s">
        <v>90</v>
      </c>
      <c r="B637" t="s">
        <v>3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2080</v>
      </c>
      <c r="J637">
        <v>2.7E-2</v>
      </c>
      <c r="K637" t="s">
        <v>85</v>
      </c>
    </row>
    <row r="638" spans="1:11" x14ac:dyDescent="0.45">
      <c r="A638" t="s">
        <v>90</v>
      </c>
      <c r="B638" t="s">
        <v>3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2085</v>
      </c>
      <c r="J638">
        <v>2.545E-2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2090</v>
      </c>
      <c r="J639">
        <v>2.775E-2</v>
      </c>
      <c r="K639" t="s">
        <v>85</v>
      </c>
    </row>
    <row r="640" spans="1:11" x14ac:dyDescent="0.45">
      <c r="A640" t="s">
        <v>90</v>
      </c>
      <c r="B640" t="s">
        <v>3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2095</v>
      </c>
      <c r="J640">
        <v>2.7049999999999998E-2</v>
      </c>
      <c r="K640" t="s">
        <v>85</v>
      </c>
    </row>
    <row r="641" spans="1:11" x14ac:dyDescent="0.45">
      <c r="A641" t="s">
        <v>90</v>
      </c>
      <c r="B641" t="s">
        <v>3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2100</v>
      </c>
      <c r="J641">
        <v>2.6700000000000002E-2</v>
      </c>
      <c r="K641" t="s">
        <v>85</v>
      </c>
    </row>
    <row r="642" spans="1:11" x14ac:dyDescent="0.45">
      <c r="A642" t="s">
        <v>90</v>
      </c>
      <c r="B642" t="s">
        <v>4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2020</v>
      </c>
      <c r="J642">
        <v>8.9999999999999998E-4</v>
      </c>
      <c r="K642" t="s">
        <v>85</v>
      </c>
    </row>
    <row r="643" spans="1:11" x14ac:dyDescent="0.45">
      <c r="A643" t="s">
        <v>90</v>
      </c>
      <c r="B643" t="s">
        <v>4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2025</v>
      </c>
      <c r="J643">
        <v>4.8500000000000001E-3</v>
      </c>
      <c r="K643" t="s">
        <v>85</v>
      </c>
    </row>
    <row r="644" spans="1:11" x14ac:dyDescent="0.45">
      <c r="A644" t="s">
        <v>90</v>
      </c>
      <c r="B644" t="s">
        <v>4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8.0999999999999996E-3</v>
      </c>
      <c r="K644" t="s">
        <v>85</v>
      </c>
    </row>
    <row r="645" spans="1:11" x14ac:dyDescent="0.45">
      <c r="A645" t="s">
        <v>90</v>
      </c>
      <c r="B645" t="s">
        <v>4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2035</v>
      </c>
      <c r="J645">
        <v>1.0700000000000001E-2</v>
      </c>
      <c r="K645" t="s">
        <v>85</v>
      </c>
    </row>
    <row r="646" spans="1:11" x14ac:dyDescent="0.45">
      <c r="A646" t="s">
        <v>90</v>
      </c>
      <c r="B646" t="s">
        <v>4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2040</v>
      </c>
      <c r="J646">
        <v>1.2400000000000001E-2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2045</v>
      </c>
      <c r="J647">
        <v>1.37E-2</v>
      </c>
      <c r="K647" t="s">
        <v>85</v>
      </c>
    </row>
    <row r="648" spans="1:11" x14ac:dyDescent="0.45">
      <c r="A648" t="s">
        <v>90</v>
      </c>
      <c r="B648" t="s">
        <v>4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2050</v>
      </c>
      <c r="J648">
        <v>1.435E-2</v>
      </c>
      <c r="K648" t="s">
        <v>85</v>
      </c>
    </row>
    <row r="649" spans="1:11" x14ac:dyDescent="0.45">
      <c r="A649" t="s">
        <v>90</v>
      </c>
      <c r="B649" t="s">
        <v>4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2055</v>
      </c>
      <c r="J649">
        <v>1.355E-2</v>
      </c>
      <c r="K649" t="s">
        <v>85</v>
      </c>
    </row>
    <row r="650" spans="1:11" x14ac:dyDescent="0.45">
      <c r="A650" t="s">
        <v>90</v>
      </c>
      <c r="B650" t="s">
        <v>4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2060</v>
      </c>
      <c r="J650">
        <v>1.4E-2</v>
      </c>
      <c r="K650" t="s">
        <v>85</v>
      </c>
    </row>
    <row r="651" spans="1:11" x14ac:dyDescent="0.45">
      <c r="A651" t="s">
        <v>90</v>
      </c>
      <c r="B651" t="s">
        <v>4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2065</v>
      </c>
      <c r="J651">
        <v>1.5449999999999998E-2</v>
      </c>
      <c r="K651" t="s">
        <v>85</v>
      </c>
    </row>
    <row r="652" spans="1:11" x14ac:dyDescent="0.45">
      <c r="A652" t="s">
        <v>90</v>
      </c>
      <c r="B652" t="s">
        <v>4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2070</v>
      </c>
      <c r="J652">
        <v>1.67E-2</v>
      </c>
      <c r="K652" t="s">
        <v>85</v>
      </c>
    </row>
    <row r="653" spans="1:11" x14ac:dyDescent="0.45">
      <c r="A653" t="s">
        <v>90</v>
      </c>
      <c r="B653" t="s">
        <v>4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2075</v>
      </c>
      <c r="J653">
        <v>2.18E-2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2080</v>
      </c>
      <c r="J654">
        <v>2.5950000000000001E-2</v>
      </c>
      <c r="K654" t="s">
        <v>85</v>
      </c>
    </row>
    <row r="655" spans="1:11" x14ac:dyDescent="0.45">
      <c r="A655" t="s">
        <v>90</v>
      </c>
      <c r="B655" t="s">
        <v>4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2085</v>
      </c>
      <c r="J655">
        <v>3.09E-2</v>
      </c>
      <c r="K655" t="s">
        <v>85</v>
      </c>
    </row>
    <row r="656" spans="1:11" x14ac:dyDescent="0.45">
      <c r="A656" t="s">
        <v>90</v>
      </c>
      <c r="B656" t="s">
        <v>4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2090</v>
      </c>
      <c r="J656">
        <v>3.4599999999999999E-2</v>
      </c>
      <c r="K656" t="s">
        <v>85</v>
      </c>
    </row>
    <row r="657" spans="1:11" x14ac:dyDescent="0.45">
      <c r="A657" t="s">
        <v>90</v>
      </c>
      <c r="B657" t="s">
        <v>4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2095</v>
      </c>
      <c r="J657">
        <v>3.8150000000000003E-2</v>
      </c>
      <c r="K657" t="s">
        <v>85</v>
      </c>
    </row>
    <row r="658" spans="1:11" x14ac:dyDescent="0.45">
      <c r="A658" t="s">
        <v>90</v>
      </c>
      <c r="B658" t="s">
        <v>4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2100</v>
      </c>
      <c r="J658">
        <v>4.0649999999999999E-2</v>
      </c>
      <c r="K658" t="s">
        <v>85</v>
      </c>
    </row>
    <row r="659" spans="1:11" x14ac:dyDescent="0.45">
      <c r="A659" t="s">
        <v>90</v>
      </c>
      <c r="B659" t="s">
        <v>0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2020</v>
      </c>
      <c r="J659">
        <v>8.9999999999999998E-4</v>
      </c>
      <c r="K659" t="s">
        <v>85</v>
      </c>
    </row>
    <row r="660" spans="1:11" x14ac:dyDescent="0.45">
      <c r="A660" t="s">
        <v>90</v>
      </c>
      <c r="B660" t="s">
        <v>0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2025</v>
      </c>
      <c r="J660">
        <v>4.8999999999999998E-3</v>
      </c>
      <c r="K660" t="s">
        <v>85</v>
      </c>
    </row>
    <row r="661" spans="1:11" x14ac:dyDescent="0.45">
      <c r="A661" t="s">
        <v>90</v>
      </c>
      <c r="B661" t="s">
        <v>0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2030</v>
      </c>
      <c r="J661">
        <v>8.150000000000001E-3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2035</v>
      </c>
      <c r="J662">
        <v>1.1599999999999999E-2</v>
      </c>
      <c r="K662" t="s">
        <v>85</v>
      </c>
    </row>
    <row r="663" spans="1:11" x14ac:dyDescent="0.45">
      <c r="A663" t="s">
        <v>90</v>
      </c>
      <c r="B663" t="s">
        <v>0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2040</v>
      </c>
      <c r="J663">
        <v>1.7000000000000001E-2</v>
      </c>
      <c r="K663" t="s">
        <v>85</v>
      </c>
    </row>
    <row r="664" spans="1:11" x14ac:dyDescent="0.45">
      <c r="A664" t="s">
        <v>90</v>
      </c>
      <c r="B664" t="s">
        <v>0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2.6099999999999998E-2</v>
      </c>
      <c r="K664" t="s">
        <v>85</v>
      </c>
    </row>
    <row r="665" spans="1:11" x14ac:dyDescent="0.45">
      <c r="A665" t="s">
        <v>90</v>
      </c>
      <c r="B665" t="s">
        <v>0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2050</v>
      </c>
      <c r="J665">
        <v>3.7699999999999997E-2</v>
      </c>
      <c r="K665" t="s">
        <v>85</v>
      </c>
    </row>
    <row r="666" spans="1:11" x14ac:dyDescent="0.45">
      <c r="A666" t="s">
        <v>90</v>
      </c>
      <c r="B666" t="s">
        <v>0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2055</v>
      </c>
      <c r="J666">
        <v>4.5950000000000005E-2</v>
      </c>
      <c r="K666" t="s">
        <v>85</v>
      </c>
    </row>
    <row r="667" spans="1:11" x14ac:dyDescent="0.45">
      <c r="A667" t="s">
        <v>90</v>
      </c>
      <c r="B667" t="s">
        <v>0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2060</v>
      </c>
      <c r="J667">
        <v>5.5750000000000001E-2</v>
      </c>
      <c r="K667" t="s">
        <v>85</v>
      </c>
    </row>
    <row r="668" spans="1:11" x14ac:dyDescent="0.45">
      <c r="A668" t="s">
        <v>90</v>
      </c>
      <c r="B668" t="s">
        <v>0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2065</v>
      </c>
      <c r="J668">
        <v>5.8450000000000002E-2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2070</v>
      </c>
      <c r="J669">
        <v>6.2899999999999998E-2</v>
      </c>
      <c r="K669" t="s">
        <v>85</v>
      </c>
    </row>
    <row r="670" spans="1:11" x14ac:dyDescent="0.45">
      <c r="A670" t="s">
        <v>90</v>
      </c>
      <c r="B670" t="s">
        <v>0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2075</v>
      </c>
      <c r="J670">
        <v>6.4950000000000008E-2</v>
      </c>
      <c r="K670" t="s">
        <v>85</v>
      </c>
    </row>
    <row r="671" spans="1:11" x14ac:dyDescent="0.45">
      <c r="A671" t="s">
        <v>90</v>
      </c>
      <c r="B671" t="s">
        <v>0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2080</v>
      </c>
      <c r="J671">
        <v>7.4450000000000002E-2</v>
      </c>
      <c r="K671" t="s">
        <v>85</v>
      </c>
    </row>
    <row r="672" spans="1:11" x14ac:dyDescent="0.45">
      <c r="A672" t="s">
        <v>90</v>
      </c>
      <c r="B672" t="s">
        <v>0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2085</v>
      </c>
      <c r="J672">
        <v>7.375000000000001E-2</v>
      </c>
      <c r="K672" t="s">
        <v>85</v>
      </c>
    </row>
    <row r="673" spans="1:11" x14ac:dyDescent="0.45">
      <c r="A673" t="s">
        <v>90</v>
      </c>
      <c r="B673" t="s">
        <v>0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2090</v>
      </c>
      <c r="J673">
        <v>7.7550000000000008E-2</v>
      </c>
      <c r="K673" t="s">
        <v>85</v>
      </c>
    </row>
    <row r="674" spans="1:11" x14ac:dyDescent="0.45">
      <c r="A674" t="s">
        <v>90</v>
      </c>
      <c r="B674" t="s">
        <v>0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2095</v>
      </c>
      <c r="J674">
        <v>6.6799999999999998E-2</v>
      </c>
      <c r="K674" t="s">
        <v>85</v>
      </c>
    </row>
    <row r="675" spans="1:11" x14ac:dyDescent="0.45">
      <c r="A675" t="s">
        <v>90</v>
      </c>
      <c r="B675" t="s">
        <v>0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2100</v>
      </c>
      <c r="J675">
        <v>5.6500000000000002E-2</v>
      </c>
      <c r="K675" t="s">
        <v>85</v>
      </c>
    </row>
    <row r="676" spans="1:11" x14ac:dyDescent="0.45">
      <c r="A676" t="s">
        <v>90</v>
      </c>
      <c r="B676" t="s">
        <v>6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2020</v>
      </c>
      <c r="J676">
        <v>8.9999999999999998E-4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2025</v>
      </c>
      <c r="J677">
        <v>4.9499999999999995E-3</v>
      </c>
      <c r="K677" t="s">
        <v>85</v>
      </c>
    </row>
    <row r="678" spans="1:11" x14ac:dyDescent="0.45">
      <c r="A678" t="s">
        <v>90</v>
      </c>
      <c r="B678" t="s">
        <v>6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2030</v>
      </c>
      <c r="J678">
        <v>8.3000000000000001E-3</v>
      </c>
      <c r="K678" t="s">
        <v>85</v>
      </c>
    </row>
    <row r="679" spans="1:11" x14ac:dyDescent="0.45">
      <c r="A679" t="s">
        <v>90</v>
      </c>
      <c r="B679" t="s">
        <v>6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2035</v>
      </c>
      <c r="J679">
        <v>1.0699999999999999E-2</v>
      </c>
      <c r="K679" t="s">
        <v>85</v>
      </c>
    </row>
    <row r="680" spans="1:11" x14ac:dyDescent="0.45">
      <c r="A680" t="s">
        <v>90</v>
      </c>
      <c r="B680" t="s">
        <v>6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2040</v>
      </c>
      <c r="J680">
        <v>1.3100000000000001E-2</v>
      </c>
      <c r="K680" t="s">
        <v>85</v>
      </c>
    </row>
    <row r="681" spans="1:11" x14ac:dyDescent="0.45">
      <c r="A681" t="s">
        <v>90</v>
      </c>
      <c r="B681" t="s">
        <v>6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2045</v>
      </c>
      <c r="J681">
        <v>1.985E-2</v>
      </c>
      <c r="K681" t="s">
        <v>85</v>
      </c>
    </row>
    <row r="682" spans="1:11" x14ac:dyDescent="0.45">
      <c r="A682" t="s">
        <v>90</v>
      </c>
      <c r="B682" t="s">
        <v>6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2050</v>
      </c>
      <c r="J682">
        <v>2.7900000000000001E-2</v>
      </c>
      <c r="K682" t="s">
        <v>85</v>
      </c>
    </row>
    <row r="683" spans="1:11" x14ac:dyDescent="0.45">
      <c r="A683" t="s">
        <v>90</v>
      </c>
      <c r="B683" t="s">
        <v>6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2055</v>
      </c>
      <c r="J683">
        <v>3.245E-2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3.8599999999999995E-2</v>
      </c>
      <c r="K684" t="s">
        <v>85</v>
      </c>
    </row>
    <row r="685" spans="1:11" x14ac:dyDescent="0.45">
      <c r="A685" t="s">
        <v>90</v>
      </c>
      <c r="B685" t="s">
        <v>6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2065</v>
      </c>
      <c r="J685">
        <v>3.7249999999999998E-2</v>
      </c>
      <c r="K685" t="s">
        <v>85</v>
      </c>
    </row>
    <row r="686" spans="1:11" x14ac:dyDescent="0.45">
      <c r="A686" t="s">
        <v>90</v>
      </c>
      <c r="B686" t="s">
        <v>6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2070</v>
      </c>
      <c r="J686">
        <v>3.5250000000000004E-2</v>
      </c>
      <c r="K686" t="s">
        <v>85</v>
      </c>
    </row>
    <row r="687" spans="1:11" x14ac:dyDescent="0.45">
      <c r="A687" t="s">
        <v>90</v>
      </c>
      <c r="B687" t="s">
        <v>6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2075</v>
      </c>
      <c r="J687">
        <v>3.4350000000000006E-2</v>
      </c>
      <c r="K687" t="s">
        <v>85</v>
      </c>
    </row>
    <row r="688" spans="1:11" x14ac:dyDescent="0.45">
      <c r="A688" t="s">
        <v>90</v>
      </c>
      <c r="B688" t="s">
        <v>6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2080</v>
      </c>
      <c r="J688">
        <v>3.2799999999999996E-2</v>
      </c>
      <c r="K688" t="s">
        <v>85</v>
      </c>
    </row>
    <row r="689" spans="1:11" x14ac:dyDescent="0.45">
      <c r="A689" t="s">
        <v>90</v>
      </c>
      <c r="B689" t="s">
        <v>6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2085</v>
      </c>
      <c r="J689">
        <v>3.1899999999999998E-2</v>
      </c>
      <c r="K689" t="s">
        <v>85</v>
      </c>
    </row>
    <row r="690" spans="1:11" x14ac:dyDescent="0.45">
      <c r="A690" t="s">
        <v>90</v>
      </c>
      <c r="B690" t="s">
        <v>6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2090</v>
      </c>
      <c r="J690">
        <v>3.0699999999999998E-2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2095</v>
      </c>
      <c r="J691">
        <v>3.0199999999999998E-2</v>
      </c>
      <c r="K691" t="s">
        <v>85</v>
      </c>
    </row>
    <row r="692" spans="1:11" x14ac:dyDescent="0.45">
      <c r="A692" t="s">
        <v>90</v>
      </c>
      <c r="B692" t="s">
        <v>6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2100</v>
      </c>
      <c r="J692">
        <v>3.0249999999999999E-2</v>
      </c>
      <c r="K692" t="s">
        <v>85</v>
      </c>
    </row>
    <row r="693" spans="1:11" x14ac:dyDescent="0.45">
      <c r="A693" t="s">
        <v>90</v>
      </c>
      <c r="B693" t="s">
        <v>5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2020</v>
      </c>
      <c r="J693">
        <v>1.1999999999999999E-3</v>
      </c>
      <c r="K693" t="s">
        <v>85</v>
      </c>
    </row>
    <row r="694" spans="1:11" x14ac:dyDescent="0.45">
      <c r="A694" t="s">
        <v>90</v>
      </c>
      <c r="B694" t="s">
        <v>5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2025</v>
      </c>
      <c r="J694">
        <v>5.5499999999999994E-3</v>
      </c>
      <c r="K694" t="s">
        <v>85</v>
      </c>
    </row>
    <row r="695" spans="1:11" x14ac:dyDescent="0.45">
      <c r="A695" t="s">
        <v>90</v>
      </c>
      <c r="B695" t="s">
        <v>5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2030</v>
      </c>
      <c r="J695">
        <v>1.06E-2</v>
      </c>
      <c r="K695" t="s">
        <v>85</v>
      </c>
    </row>
    <row r="696" spans="1:11" x14ac:dyDescent="0.45">
      <c r="A696" t="s">
        <v>90</v>
      </c>
      <c r="B696" t="s">
        <v>5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2035</v>
      </c>
      <c r="J696">
        <v>1.5699999999999999E-2</v>
      </c>
      <c r="K696" t="s">
        <v>85</v>
      </c>
    </row>
    <row r="697" spans="1:11" x14ac:dyDescent="0.45">
      <c r="A697" t="s">
        <v>90</v>
      </c>
      <c r="B697" t="s">
        <v>5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2040</v>
      </c>
      <c r="J697">
        <v>2.1850000000000001E-2</v>
      </c>
      <c r="K697" t="s">
        <v>85</v>
      </c>
    </row>
    <row r="698" spans="1:11" x14ac:dyDescent="0.45">
      <c r="A698" t="s">
        <v>90</v>
      </c>
      <c r="B698" t="s">
        <v>5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2045</v>
      </c>
      <c r="J698">
        <v>2.0299999999999999E-2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2050</v>
      </c>
      <c r="J699">
        <v>1.8800000000000001E-2</v>
      </c>
      <c r="K699" t="s">
        <v>85</v>
      </c>
    </row>
    <row r="700" spans="1:11" x14ac:dyDescent="0.45">
      <c r="A700" t="s">
        <v>90</v>
      </c>
      <c r="B700" t="s">
        <v>5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2055</v>
      </c>
      <c r="J700">
        <v>1.83E-2</v>
      </c>
      <c r="K700" t="s">
        <v>85</v>
      </c>
    </row>
    <row r="701" spans="1:11" x14ac:dyDescent="0.45">
      <c r="A701" t="s">
        <v>90</v>
      </c>
      <c r="B701" t="s">
        <v>5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2060</v>
      </c>
      <c r="J701">
        <v>1.77E-2</v>
      </c>
      <c r="K701" t="s">
        <v>85</v>
      </c>
    </row>
    <row r="702" spans="1:11" x14ac:dyDescent="0.45">
      <c r="A702" t="s">
        <v>90</v>
      </c>
      <c r="B702" t="s">
        <v>5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2065</v>
      </c>
      <c r="J702">
        <v>1.6199999999999999E-2</v>
      </c>
      <c r="K702" t="s">
        <v>85</v>
      </c>
    </row>
    <row r="703" spans="1:11" x14ac:dyDescent="0.45">
      <c r="A703" t="s">
        <v>90</v>
      </c>
      <c r="B703" t="s">
        <v>5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2070</v>
      </c>
      <c r="J703">
        <v>1.5699999999999999E-2</v>
      </c>
      <c r="K703" t="s">
        <v>85</v>
      </c>
    </row>
    <row r="704" spans="1:11" x14ac:dyDescent="0.45">
      <c r="A704" t="s">
        <v>90</v>
      </c>
      <c r="B704" t="s">
        <v>5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1.43E-2</v>
      </c>
      <c r="K704" t="s">
        <v>85</v>
      </c>
    </row>
    <row r="705" spans="1:11" x14ac:dyDescent="0.45">
      <c r="A705" t="s">
        <v>90</v>
      </c>
      <c r="B705" t="s">
        <v>5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2080</v>
      </c>
      <c r="J705">
        <v>1.3100000000000001E-2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2085</v>
      </c>
      <c r="J706">
        <v>1.2750000000000001E-2</v>
      </c>
      <c r="K706" t="s">
        <v>85</v>
      </c>
    </row>
    <row r="707" spans="1:11" x14ac:dyDescent="0.45">
      <c r="A707" t="s">
        <v>90</v>
      </c>
      <c r="B707" t="s">
        <v>5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2090</v>
      </c>
      <c r="J707">
        <v>1.24E-2</v>
      </c>
      <c r="K707" t="s">
        <v>85</v>
      </c>
    </row>
    <row r="708" spans="1:11" x14ac:dyDescent="0.45">
      <c r="A708" t="s">
        <v>90</v>
      </c>
      <c r="B708" t="s">
        <v>5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2095</v>
      </c>
      <c r="J708">
        <v>1.315E-2</v>
      </c>
      <c r="K708" t="s">
        <v>85</v>
      </c>
    </row>
    <row r="709" spans="1:11" x14ac:dyDescent="0.45">
      <c r="A709" t="s">
        <v>90</v>
      </c>
      <c r="B709" t="s">
        <v>5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2100</v>
      </c>
      <c r="J709">
        <v>1.38E-2</v>
      </c>
      <c r="K709" t="s">
        <v>85</v>
      </c>
    </row>
    <row r="710" spans="1:11" x14ac:dyDescent="0.45">
      <c r="A710" t="s">
        <v>90</v>
      </c>
      <c r="B710" t="s">
        <v>2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2020</v>
      </c>
      <c r="J710">
        <v>8.9999999999999998E-4</v>
      </c>
      <c r="K710" t="s">
        <v>85</v>
      </c>
    </row>
    <row r="711" spans="1:11" x14ac:dyDescent="0.45">
      <c r="A711" t="s">
        <v>90</v>
      </c>
      <c r="B711" t="s">
        <v>2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2025</v>
      </c>
      <c r="J711">
        <v>4.45E-3</v>
      </c>
      <c r="K711" t="s">
        <v>85</v>
      </c>
    </row>
    <row r="712" spans="1:11" x14ac:dyDescent="0.45">
      <c r="A712" t="s">
        <v>90</v>
      </c>
      <c r="B712" t="s">
        <v>2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2030</v>
      </c>
      <c r="J712">
        <v>1.0800000000000001E-2</v>
      </c>
      <c r="K712" t="s">
        <v>85</v>
      </c>
    </row>
    <row r="713" spans="1:11" x14ac:dyDescent="0.45">
      <c r="A713" t="s">
        <v>90</v>
      </c>
      <c r="B713" t="s">
        <v>2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2035</v>
      </c>
      <c r="J713">
        <v>1.9549999999999998E-2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2040</v>
      </c>
      <c r="J714">
        <v>2.495E-2</v>
      </c>
      <c r="K714" t="s">
        <v>85</v>
      </c>
    </row>
    <row r="715" spans="1:11" x14ac:dyDescent="0.45">
      <c r="A715" t="s">
        <v>90</v>
      </c>
      <c r="B715" t="s">
        <v>2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2045</v>
      </c>
      <c r="J715">
        <v>2.845E-2</v>
      </c>
      <c r="K715" t="s">
        <v>85</v>
      </c>
    </row>
    <row r="716" spans="1:11" x14ac:dyDescent="0.45">
      <c r="A716" t="s">
        <v>90</v>
      </c>
      <c r="B716" t="s">
        <v>2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2050</v>
      </c>
      <c r="J716">
        <v>3.5049999999999998E-2</v>
      </c>
      <c r="K716" t="s">
        <v>85</v>
      </c>
    </row>
    <row r="717" spans="1:11" x14ac:dyDescent="0.45">
      <c r="A717" t="s">
        <v>90</v>
      </c>
      <c r="B717" t="s">
        <v>2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2055</v>
      </c>
      <c r="J717">
        <v>4.2499999999999996E-2</v>
      </c>
      <c r="K717" t="s">
        <v>85</v>
      </c>
    </row>
    <row r="718" spans="1:11" x14ac:dyDescent="0.45">
      <c r="A718" t="s">
        <v>90</v>
      </c>
      <c r="B718" t="s">
        <v>2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2060</v>
      </c>
      <c r="J718">
        <v>4.82E-2</v>
      </c>
      <c r="K718" t="s">
        <v>85</v>
      </c>
    </row>
    <row r="719" spans="1:11" x14ac:dyDescent="0.45">
      <c r="A719" t="s">
        <v>90</v>
      </c>
      <c r="B719" t="s">
        <v>2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2065</v>
      </c>
      <c r="J719">
        <v>4.58E-2</v>
      </c>
      <c r="K719" t="s">
        <v>85</v>
      </c>
    </row>
    <row r="720" spans="1:11" x14ac:dyDescent="0.45">
      <c r="A720" t="s">
        <v>90</v>
      </c>
      <c r="B720" t="s">
        <v>2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2070</v>
      </c>
      <c r="J720">
        <v>4.6249999999999999E-2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2075</v>
      </c>
      <c r="J721">
        <v>4.6249999999999999E-2</v>
      </c>
      <c r="K721" t="s">
        <v>85</v>
      </c>
    </row>
    <row r="722" spans="1:11" x14ac:dyDescent="0.45">
      <c r="A722" t="s">
        <v>90</v>
      </c>
      <c r="B722" t="s">
        <v>2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2080</v>
      </c>
      <c r="J722">
        <v>4.9750000000000003E-2</v>
      </c>
      <c r="K722" t="s">
        <v>85</v>
      </c>
    </row>
    <row r="723" spans="1:11" x14ac:dyDescent="0.45">
      <c r="A723" t="s">
        <v>90</v>
      </c>
      <c r="B723" t="s">
        <v>2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2085</v>
      </c>
      <c r="J723">
        <v>4.725E-2</v>
      </c>
      <c r="K723" t="s">
        <v>85</v>
      </c>
    </row>
    <row r="724" spans="1:11" x14ac:dyDescent="0.45">
      <c r="A724" t="s">
        <v>90</v>
      </c>
      <c r="B724" t="s">
        <v>2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4.4549999999999999E-2</v>
      </c>
      <c r="K724" t="s">
        <v>85</v>
      </c>
    </row>
    <row r="725" spans="1:11" x14ac:dyDescent="0.45">
      <c r="A725" t="s">
        <v>90</v>
      </c>
      <c r="B725" t="s">
        <v>2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2095</v>
      </c>
      <c r="J725">
        <v>4.1800000000000004E-2</v>
      </c>
      <c r="K725" t="s">
        <v>85</v>
      </c>
    </row>
    <row r="726" spans="1:11" x14ac:dyDescent="0.45">
      <c r="A726" t="s">
        <v>90</v>
      </c>
      <c r="B726" t="s">
        <v>2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2100</v>
      </c>
      <c r="J726">
        <v>3.9300000000000002E-2</v>
      </c>
      <c r="K726" t="s">
        <v>85</v>
      </c>
    </row>
    <row r="727" spans="1:11" x14ac:dyDescent="0.45">
      <c r="A727" t="s">
        <v>90</v>
      </c>
      <c r="B727" t="s">
        <v>1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2020</v>
      </c>
      <c r="J727">
        <v>1E-3</v>
      </c>
      <c r="K727" t="s">
        <v>85</v>
      </c>
    </row>
    <row r="728" spans="1:11" x14ac:dyDescent="0.45">
      <c r="A728" t="s">
        <v>90</v>
      </c>
      <c r="B728" t="s">
        <v>1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2025</v>
      </c>
      <c r="J728">
        <v>5.1000000000000004E-3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2030</v>
      </c>
      <c r="J729">
        <v>1.345E-2</v>
      </c>
      <c r="K729" t="s">
        <v>85</v>
      </c>
    </row>
    <row r="730" spans="1:11" x14ac:dyDescent="0.45">
      <c r="A730" t="s">
        <v>90</v>
      </c>
      <c r="B730" t="s">
        <v>1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2035</v>
      </c>
      <c r="J730">
        <v>2.4149999999999998E-2</v>
      </c>
      <c r="K730" t="s">
        <v>85</v>
      </c>
    </row>
    <row r="731" spans="1:11" x14ac:dyDescent="0.45">
      <c r="A731" t="s">
        <v>90</v>
      </c>
      <c r="B731" t="s">
        <v>1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2040</v>
      </c>
      <c r="J731">
        <v>3.075E-2</v>
      </c>
      <c r="K731" t="s">
        <v>85</v>
      </c>
    </row>
    <row r="732" spans="1:11" x14ac:dyDescent="0.45">
      <c r="A732" t="s">
        <v>90</v>
      </c>
      <c r="B732" t="s">
        <v>1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3.1899999999999998E-2</v>
      </c>
      <c r="K732" t="s">
        <v>85</v>
      </c>
    </row>
    <row r="733" spans="1:11" x14ac:dyDescent="0.45">
      <c r="A733" t="s">
        <v>90</v>
      </c>
      <c r="B733" t="s">
        <v>1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2050</v>
      </c>
      <c r="J733">
        <v>3.5299999999999998E-2</v>
      </c>
      <c r="K733" t="s">
        <v>85</v>
      </c>
    </row>
    <row r="734" spans="1:11" x14ac:dyDescent="0.45">
      <c r="A734" t="s">
        <v>90</v>
      </c>
      <c r="B734" t="s">
        <v>1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2055</v>
      </c>
      <c r="J734">
        <v>3.8900000000000004E-2</v>
      </c>
      <c r="K734" t="s">
        <v>85</v>
      </c>
    </row>
    <row r="735" spans="1:11" x14ac:dyDescent="0.45">
      <c r="A735" t="s">
        <v>90</v>
      </c>
      <c r="B735" t="s">
        <v>1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2060</v>
      </c>
      <c r="J735">
        <v>4.215E-2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2065</v>
      </c>
      <c r="J736">
        <v>3.8400000000000004E-2</v>
      </c>
      <c r="K736" t="s">
        <v>85</v>
      </c>
    </row>
    <row r="737" spans="1:12" x14ac:dyDescent="0.45">
      <c r="A737" t="s">
        <v>90</v>
      </c>
      <c r="B737" t="s">
        <v>1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2070</v>
      </c>
      <c r="J737">
        <v>3.3199999999999993E-2</v>
      </c>
      <c r="K737" t="s">
        <v>85</v>
      </c>
    </row>
    <row r="738" spans="1:12" x14ac:dyDescent="0.45">
      <c r="A738" t="s">
        <v>90</v>
      </c>
      <c r="B738" t="s">
        <v>1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2075</v>
      </c>
      <c r="J738">
        <v>3.2100000000000004E-2</v>
      </c>
      <c r="K738" t="s">
        <v>85</v>
      </c>
    </row>
    <row r="739" spans="1:12" x14ac:dyDescent="0.45">
      <c r="A739" t="s">
        <v>90</v>
      </c>
      <c r="B739" t="s">
        <v>1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2080</v>
      </c>
      <c r="J739">
        <v>3.1449999999999999E-2</v>
      </c>
      <c r="K739" t="s">
        <v>85</v>
      </c>
    </row>
    <row r="740" spans="1:12" x14ac:dyDescent="0.45">
      <c r="A740" t="s">
        <v>90</v>
      </c>
      <c r="B740" t="s">
        <v>1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2085</v>
      </c>
      <c r="J740">
        <v>3.0849999999999999E-2</v>
      </c>
      <c r="K740" t="s">
        <v>85</v>
      </c>
    </row>
    <row r="741" spans="1:12" x14ac:dyDescent="0.45">
      <c r="A741" t="s">
        <v>90</v>
      </c>
      <c r="B741" t="s">
        <v>1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2090</v>
      </c>
      <c r="J741">
        <v>3.0599999999999999E-2</v>
      </c>
      <c r="K741" t="s">
        <v>85</v>
      </c>
    </row>
    <row r="742" spans="1:12" x14ac:dyDescent="0.45">
      <c r="A742" t="s">
        <v>90</v>
      </c>
      <c r="B742" t="s">
        <v>1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2095</v>
      </c>
      <c r="J742">
        <v>2.8049999999999999E-2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2.5849999999999998E-2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2.5000000000000001E-3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2025</v>
      </c>
      <c r="J745">
        <v>1.4E-3</v>
      </c>
      <c r="K745" t="s">
        <v>52</v>
      </c>
      <c r="L745">
        <v>94</v>
      </c>
    </row>
    <row r="746" spans="1:12" x14ac:dyDescent="0.45">
      <c r="A746" t="s">
        <v>90</v>
      </c>
      <c r="B746" t="s">
        <v>3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2030</v>
      </c>
      <c r="J746">
        <v>1E-4</v>
      </c>
      <c r="K746" t="s">
        <v>52</v>
      </c>
      <c r="L746">
        <v>94</v>
      </c>
    </row>
    <row r="747" spans="1:12" x14ac:dyDescent="0.45">
      <c r="A747" t="s">
        <v>90</v>
      </c>
      <c r="B747" t="s">
        <v>3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2035</v>
      </c>
      <c r="J747">
        <v>0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2040</v>
      </c>
      <c r="J748">
        <v>0</v>
      </c>
      <c r="K748" t="s">
        <v>52</v>
      </c>
      <c r="L748">
        <v>94</v>
      </c>
    </row>
    <row r="749" spans="1:12" x14ac:dyDescent="0.45">
      <c r="A749" t="s">
        <v>90</v>
      </c>
      <c r="B749" t="s">
        <v>3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2045</v>
      </c>
      <c r="J749">
        <v>0</v>
      </c>
      <c r="K749" t="s">
        <v>52</v>
      </c>
      <c r="L749">
        <v>94</v>
      </c>
    </row>
    <row r="750" spans="1:12" x14ac:dyDescent="0.45">
      <c r="A750" t="s">
        <v>90</v>
      </c>
      <c r="B750" t="s">
        <v>3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2050</v>
      </c>
      <c r="J750">
        <v>0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2055</v>
      </c>
      <c r="J751">
        <v>0</v>
      </c>
      <c r="K751" t="s">
        <v>52</v>
      </c>
      <c r="L751">
        <v>94</v>
      </c>
    </row>
    <row r="752" spans="1:12" x14ac:dyDescent="0.45">
      <c r="A752" t="s">
        <v>90</v>
      </c>
      <c r="B752" t="s">
        <v>3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2060</v>
      </c>
      <c r="J752">
        <v>0</v>
      </c>
      <c r="K752" t="s">
        <v>52</v>
      </c>
      <c r="L752">
        <v>94</v>
      </c>
    </row>
    <row r="753" spans="1:12" x14ac:dyDescent="0.45">
      <c r="A753" t="s">
        <v>90</v>
      </c>
      <c r="B753" t="s">
        <v>3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2065</v>
      </c>
      <c r="J753">
        <v>0</v>
      </c>
      <c r="K753" t="s">
        <v>52</v>
      </c>
      <c r="L753">
        <v>94</v>
      </c>
    </row>
    <row r="754" spans="1:12" x14ac:dyDescent="0.45">
      <c r="A754" t="s">
        <v>90</v>
      </c>
      <c r="B754" t="s">
        <v>3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2070</v>
      </c>
      <c r="J754">
        <v>0</v>
      </c>
      <c r="K754" t="s">
        <v>52</v>
      </c>
      <c r="L754">
        <v>94</v>
      </c>
    </row>
    <row r="755" spans="1:12" x14ac:dyDescent="0.45">
      <c r="A755" t="s">
        <v>90</v>
      </c>
      <c r="B755" t="s">
        <v>3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2075</v>
      </c>
      <c r="J755">
        <v>0</v>
      </c>
      <c r="K755" t="s">
        <v>52</v>
      </c>
      <c r="L755">
        <v>94</v>
      </c>
    </row>
    <row r="756" spans="1:12" x14ac:dyDescent="0.45">
      <c r="A756" t="s">
        <v>90</v>
      </c>
      <c r="B756" t="s">
        <v>3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2080</v>
      </c>
      <c r="J756">
        <v>0</v>
      </c>
      <c r="K756" t="s">
        <v>52</v>
      </c>
      <c r="L756">
        <v>94</v>
      </c>
    </row>
    <row r="757" spans="1:12" x14ac:dyDescent="0.45">
      <c r="A757" t="s">
        <v>90</v>
      </c>
      <c r="B757" t="s">
        <v>3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2085</v>
      </c>
      <c r="J757">
        <v>0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2090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3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2095</v>
      </c>
      <c r="J759">
        <v>0</v>
      </c>
      <c r="K759" t="s">
        <v>52</v>
      </c>
      <c r="L759">
        <v>94</v>
      </c>
    </row>
    <row r="760" spans="1:12" x14ac:dyDescent="0.45">
      <c r="A760" t="s">
        <v>90</v>
      </c>
      <c r="B760" t="s">
        <v>3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2100</v>
      </c>
      <c r="J760">
        <v>0</v>
      </c>
      <c r="K760" t="s">
        <v>52</v>
      </c>
      <c r="L760">
        <v>94</v>
      </c>
    </row>
    <row r="761" spans="1:12" x14ac:dyDescent="0.45">
      <c r="A761" t="s">
        <v>90</v>
      </c>
      <c r="B761" t="s">
        <v>4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2020</v>
      </c>
      <c r="J761">
        <v>2.7000000000000001E-3</v>
      </c>
      <c r="K761" t="s">
        <v>52</v>
      </c>
      <c r="L761">
        <v>94</v>
      </c>
    </row>
    <row r="762" spans="1:12" x14ac:dyDescent="0.45">
      <c r="A762" t="s">
        <v>90</v>
      </c>
      <c r="B762" t="s">
        <v>4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2025</v>
      </c>
      <c r="J762">
        <v>1.6000000000000001E-3</v>
      </c>
      <c r="K762" t="s">
        <v>52</v>
      </c>
      <c r="L762">
        <v>94</v>
      </c>
    </row>
    <row r="763" spans="1:12" x14ac:dyDescent="0.45">
      <c r="A763" t="s">
        <v>90</v>
      </c>
      <c r="B763" t="s">
        <v>4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2030</v>
      </c>
      <c r="J763">
        <v>1.6000000000000001E-3</v>
      </c>
      <c r="K763" t="s">
        <v>52</v>
      </c>
      <c r="L763">
        <v>94</v>
      </c>
    </row>
    <row r="764" spans="1:12" x14ac:dyDescent="0.45">
      <c r="A764" t="s">
        <v>90</v>
      </c>
      <c r="B764" t="s">
        <v>4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2035</v>
      </c>
      <c r="J764">
        <v>2.0000000000000001E-4</v>
      </c>
      <c r="K764" t="s">
        <v>52</v>
      </c>
      <c r="L764">
        <v>94</v>
      </c>
    </row>
    <row r="765" spans="1:12" x14ac:dyDescent="0.45">
      <c r="A765" t="s">
        <v>90</v>
      </c>
      <c r="B765" t="s">
        <v>4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2040</v>
      </c>
      <c r="J765">
        <v>1E-4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2045</v>
      </c>
      <c r="J766">
        <v>1E-4</v>
      </c>
      <c r="K766" t="s">
        <v>52</v>
      </c>
      <c r="L766">
        <v>94</v>
      </c>
    </row>
    <row r="767" spans="1:12" x14ac:dyDescent="0.45">
      <c r="A767" t="s">
        <v>90</v>
      </c>
      <c r="B767" t="s">
        <v>4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2050</v>
      </c>
      <c r="J767">
        <v>1E-4</v>
      </c>
      <c r="K767" t="s">
        <v>52</v>
      </c>
      <c r="L767">
        <v>94</v>
      </c>
    </row>
    <row r="768" spans="1:12" x14ac:dyDescent="0.45">
      <c r="A768" t="s">
        <v>90</v>
      </c>
      <c r="B768" t="s">
        <v>4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2055</v>
      </c>
      <c r="J768">
        <v>1E-4</v>
      </c>
      <c r="K768" t="s">
        <v>52</v>
      </c>
      <c r="L768">
        <v>94</v>
      </c>
    </row>
    <row r="769" spans="1:12" x14ac:dyDescent="0.45">
      <c r="A769" t="s">
        <v>90</v>
      </c>
      <c r="B769" t="s">
        <v>4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2060</v>
      </c>
      <c r="J769">
        <v>0</v>
      </c>
      <c r="K769" t="s">
        <v>52</v>
      </c>
      <c r="L769">
        <v>94</v>
      </c>
    </row>
    <row r="770" spans="1:12" x14ac:dyDescent="0.45">
      <c r="A770" t="s">
        <v>90</v>
      </c>
      <c r="B770" t="s">
        <v>4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2065</v>
      </c>
      <c r="J770">
        <v>0</v>
      </c>
      <c r="K770" t="s">
        <v>52</v>
      </c>
      <c r="L770">
        <v>94</v>
      </c>
    </row>
    <row r="771" spans="1:12" x14ac:dyDescent="0.45">
      <c r="A771" t="s">
        <v>90</v>
      </c>
      <c r="B771" t="s">
        <v>4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2070</v>
      </c>
      <c r="J771">
        <v>0</v>
      </c>
      <c r="K771" t="s">
        <v>52</v>
      </c>
      <c r="L771">
        <v>94</v>
      </c>
    </row>
    <row r="772" spans="1:12" x14ac:dyDescent="0.45">
      <c r="A772" t="s">
        <v>90</v>
      </c>
      <c r="B772" t="s">
        <v>4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2075</v>
      </c>
      <c r="J772">
        <v>1E-4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2080</v>
      </c>
      <c r="J773">
        <v>1.4999999999999999E-4</v>
      </c>
      <c r="K773" t="s">
        <v>52</v>
      </c>
      <c r="L773">
        <v>94</v>
      </c>
    </row>
    <row r="774" spans="1:12" x14ac:dyDescent="0.45">
      <c r="A774" t="s">
        <v>90</v>
      </c>
      <c r="B774" t="s">
        <v>4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2085</v>
      </c>
      <c r="J774">
        <v>6.9999999999999999E-4</v>
      </c>
      <c r="K774" t="s">
        <v>52</v>
      </c>
      <c r="L774">
        <v>94</v>
      </c>
    </row>
    <row r="775" spans="1:12" x14ac:dyDescent="0.45">
      <c r="A775" t="s">
        <v>90</v>
      </c>
      <c r="B775" t="s">
        <v>4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2090</v>
      </c>
      <c r="J775">
        <v>1.2000000000000001E-3</v>
      </c>
      <c r="K775" t="s">
        <v>52</v>
      </c>
      <c r="L775">
        <v>94</v>
      </c>
    </row>
    <row r="776" spans="1:12" x14ac:dyDescent="0.45">
      <c r="A776" t="s">
        <v>90</v>
      </c>
      <c r="B776" t="s">
        <v>4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2095</v>
      </c>
      <c r="J776">
        <v>2E-3</v>
      </c>
      <c r="K776" t="s">
        <v>52</v>
      </c>
      <c r="L776">
        <v>94</v>
      </c>
    </row>
    <row r="777" spans="1:12" x14ac:dyDescent="0.45">
      <c r="A777" t="s">
        <v>90</v>
      </c>
      <c r="B777" t="s">
        <v>4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2100</v>
      </c>
      <c r="J777">
        <v>2.8500000000000001E-3</v>
      </c>
      <c r="K777" t="s">
        <v>52</v>
      </c>
      <c r="L777">
        <v>94</v>
      </c>
    </row>
    <row r="778" spans="1:12" x14ac:dyDescent="0.45">
      <c r="A778" t="s">
        <v>90</v>
      </c>
      <c r="B778" t="s">
        <v>0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2020</v>
      </c>
      <c r="J778">
        <v>2.5000000000000001E-3</v>
      </c>
      <c r="K778" t="s">
        <v>52</v>
      </c>
      <c r="L778">
        <v>94</v>
      </c>
    </row>
    <row r="779" spans="1:12" x14ac:dyDescent="0.45">
      <c r="A779" t="s">
        <v>90</v>
      </c>
      <c r="B779" t="s">
        <v>0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2025</v>
      </c>
      <c r="J779">
        <v>1.4E-3</v>
      </c>
      <c r="K779" t="s">
        <v>52</v>
      </c>
      <c r="L779">
        <v>94</v>
      </c>
    </row>
    <row r="780" spans="1:12" x14ac:dyDescent="0.45">
      <c r="A780" t="s">
        <v>90</v>
      </c>
      <c r="B780" t="s">
        <v>0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2030</v>
      </c>
      <c r="J780">
        <v>1.5E-3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2035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90</v>
      </c>
      <c r="B782" t="s">
        <v>0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2040</v>
      </c>
      <c r="J782">
        <v>0</v>
      </c>
      <c r="K782" t="s">
        <v>52</v>
      </c>
      <c r="L782">
        <v>94</v>
      </c>
    </row>
    <row r="783" spans="1:12" x14ac:dyDescent="0.45">
      <c r="A783" t="s">
        <v>90</v>
      </c>
      <c r="B783" t="s">
        <v>0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0</v>
      </c>
      <c r="K783" t="s">
        <v>52</v>
      </c>
      <c r="L783">
        <v>94</v>
      </c>
    </row>
    <row r="784" spans="1:12" x14ac:dyDescent="0.45">
      <c r="A784" t="s">
        <v>90</v>
      </c>
      <c r="B784" t="s">
        <v>0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2050</v>
      </c>
      <c r="J784">
        <v>0</v>
      </c>
      <c r="K784" t="s">
        <v>52</v>
      </c>
      <c r="L784">
        <v>94</v>
      </c>
    </row>
    <row r="785" spans="1:12" x14ac:dyDescent="0.45">
      <c r="A785" t="s">
        <v>90</v>
      </c>
      <c r="B785" t="s">
        <v>0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2055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0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2060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0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2065</v>
      </c>
      <c r="J787">
        <v>0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2070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0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2075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0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2080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0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2085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0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2090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0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2095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0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2100</v>
      </c>
      <c r="J794">
        <v>0</v>
      </c>
      <c r="K794" t="s">
        <v>52</v>
      </c>
      <c r="L794">
        <v>94</v>
      </c>
    </row>
    <row r="795" spans="1:12" x14ac:dyDescent="0.45">
      <c r="A795" t="s">
        <v>90</v>
      </c>
      <c r="B795" t="s">
        <v>6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2.5999999999999999E-3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1.5E-3</v>
      </c>
      <c r="K796" t="s">
        <v>52</v>
      </c>
      <c r="L796">
        <v>94</v>
      </c>
    </row>
    <row r="797" spans="1:12" x14ac:dyDescent="0.45">
      <c r="A797" t="s">
        <v>90</v>
      </c>
      <c r="B797" t="s">
        <v>6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1.6000000000000001E-3</v>
      </c>
      <c r="K797" t="s">
        <v>52</v>
      </c>
      <c r="L797">
        <v>94</v>
      </c>
    </row>
    <row r="798" spans="1:12" x14ac:dyDescent="0.45">
      <c r="A798" t="s">
        <v>90</v>
      </c>
      <c r="B798" t="s">
        <v>6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2.0000000000000001E-4</v>
      </c>
      <c r="K798" t="s">
        <v>52</v>
      </c>
      <c r="L798">
        <v>94</v>
      </c>
    </row>
    <row r="799" spans="1:12" x14ac:dyDescent="0.45">
      <c r="A799" t="s">
        <v>90</v>
      </c>
      <c r="B799" t="s">
        <v>6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6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6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6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6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6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6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6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6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6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6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5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2020</v>
      </c>
      <c r="J812">
        <v>3.3E-3</v>
      </c>
      <c r="K812" t="s">
        <v>52</v>
      </c>
      <c r="L812">
        <v>94</v>
      </c>
    </row>
    <row r="813" spans="1:12" x14ac:dyDescent="0.45">
      <c r="A813" t="s">
        <v>90</v>
      </c>
      <c r="B813" t="s">
        <v>5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2025</v>
      </c>
      <c r="J813">
        <v>1.8E-3</v>
      </c>
      <c r="K813" t="s">
        <v>52</v>
      </c>
      <c r="L813">
        <v>94</v>
      </c>
    </row>
    <row r="814" spans="1:12" x14ac:dyDescent="0.45">
      <c r="A814" t="s">
        <v>90</v>
      </c>
      <c r="B814" t="s">
        <v>5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2030</v>
      </c>
      <c r="J814">
        <v>1E-4</v>
      </c>
      <c r="K814" t="s">
        <v>52</v>
      </c>
      <c r="L814">
        <v>94</v>
      </c>
    </row>
    <row r="815" spans="1:12" x14ac:dyDescent="0.45">
      <c r="A815" t="s">
        <v>90</v>
      </c>
      <c r="B815" t="s">
        <v>5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2035</v>
      </c>
      <c r="J815">
        <v>0</v>
      </c>
      <c r="K815" t="s">
        <v>52</v>
      </c>
      <c r="L815">
        <v>94</v>
      </c>
    </row>
    <row r="816" spans="1:12" x14ac:dyDescent="0.45">
      <c r="A816" t="s">
        <v>90</v>
      </c>
      <c r="B816" t="s">
        <v>5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2040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5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2045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2050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5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2055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5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2060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5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2065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5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2070</v>
      </c>
      <c r="J822">
        <v>0</v>
      </c>
      <c r="K822" t="s">
        <v>52</v>
      </c>
      <c r="L822">
        <v>94</v>
      </c>
    </row>
    <row r="823" spans="1:12" x14ac:dyDescent="0.45">
      <c r="A823" t="s">
        <v>90</v>
      </c>
      <c r="B823" t="s">
        <v>5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5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2080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2085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5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2090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5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2095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5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2100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2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2020</v>
      </c>
      <c r="J829">
        <v>2.7000000000000001E-3</v>
      </c>
      <c r="K829" t="s">
        <v>52</v>
      </c>
      <c r="L829">
        <v>94</v>
      </c>
    </row>
    <row r="830" spans="1:12" x14ac:dyDescent="0.45">
      <c r="A830" t="s">
        <v>90</v>
      </c>
      <c r="B830" t="s">
        <v>2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2025</v>
      </c>
      <c r="J830">
        <v>1.4E-3</v>
      </c>
      <c r="K830" t="s">
        <v>52</v>
      </c>
      <c r="L830">
        <v>94</v>
      </c>
    </row>
    <row r="831" spans="1:12" x14ac:dyDescent="0.45">
      <c r="A831" t="s">
        <v>90</v>
      </c>
      <c r="B831" t="s">
        <v>2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2030</v>
      </c>
      <c r="J831">
        <v>1E-4</v>
      </c>
      <c r="K831" t="s">
        <v>52</v>
      </c>
      <c r="L831">
        <v>94</v>
      </c>
    </row>
    <row r="832" spans="1:12" x14ac:dyDescent="0.45">
      <c r="A832" t="s">
        <v>90</v>
      </c>
      <c r="B832" t="s">
        <v>2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2035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2040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2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2045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2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2050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2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2055</v>
      </c>
      <c r="J836">
        <v>0</v>
      </c>
      <c r="K836" t="s">
        <v>52</v>
      </c>
      <c r="L836">
        <v>94</v>
      </c>
    </row>
    <row r="837" spans="1:12" x14ac:dyDescent="0.45">
      <c r="A837" t="s">
        <v>90</v>
      </c>
      <c r="B837" t="s">
        <v>2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2060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2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2065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2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2070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2075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2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2080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2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2085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2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0</v>
      </c>
      <c r="K843" t="s">
        <v>52</v>
      </c>
      <c r="L843">
        <v>94</v>
      </c>
    </row>
    <row r="844" spans="1:12" x14ac:dyDescent="0.45">
      <c r="A844" t="s">
        <v>90</v>
      </c>
      <c r="B844" t="s">
        <v>2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2095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2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2100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1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2020</v>
      </c>
      <c r="J846">
        <v>2.8999999999999998E-3</v>
      </c>
      <c r="K846" t="s">
        <v>52</v>
      </c>
      <c r="L846">
        <v>94</v>
      </c>
    </row>
    <row r="847" spans="1:12" x14ac:dyDescent="0.45">
      <c r="A847" t="s">
        <v>90</v>
      </c>
      <c r="B847" t="s">
        <v>1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2025</v>
      </c>
      <c r="J847">
        <v>1.6000000000000001E-3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2030</v>
      </c>
      <c r="J848">
        <v>1E-4</v>
      </c>
      <c r="K848" t="s">
        <v>52</v>
      </c>
      <c r="L848">
        <v>94</v>
      </c>
    </row>
    <row r="849" spans="1:12" x14ac:dyDescent="0.45">
      <c r="A849" t="s">
        <v>90</v>
      </c>
      <c r="B849" t="s">
        <v>1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2035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1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2040</v>
      </c>
      <c r="J850">
        <v>0</v>
      </c>
      <c r="K850" t="s">
        <v>52</v>
      </c>
      <c r="L850">
        <v>94</v>
      </c>
    </row>
    <row r="851" spans="1:12" x14ac:dyDescent="0.45">
      <c r="A851" t="s">
        <v>90</v>
      </c>
      <c r="B851" t="s">
        <v>1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2045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1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2050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1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2055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1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2060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2065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1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2070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1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2075</v>
      </c>
      <c r="J857">
        <v>0</v>
      </c>
      <c r="K857" t="s">
        <v>52</v>
      </c>
      <c r="L857">
        <v>94</v>
      </c>
    </row>
    <row r="858" spans="1:12" x14ac:dyDescent="0.45">
      <c r="A858" t="s">
        <v>90</v>
      </c>
      <c r="B858" t="s">
        <v>1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2080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1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2085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1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2090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1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2095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1.8E-3</v>
      </c>
      <c r="K863" t="s">
        <v>53</v>
      </c>
      <c r="L863">
        <v>55</v>
      </c>
    </row>
    <row r="864" spans="1:12" x14ac:dyDescent="0.45">
      <c r="A864" t="s">
        <v>90</v>
      </c>
      <c r="B864" t="s">
        <v>3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2025</v>
      </c>
      <c r="J864">
        <v>2.2000000000000001E-3</v>
      </c>
      <c r="K864" t="s">
        <v>53</v>
      </c>
      <c r="L864">
        <v>55</v>
      </c>
    </row>
    <row r="865" spans="1:12" x14ac:dyDescent="0.45">
      <c r="A865" t="s">
        <v>90</v>
      </c>
      <c r="B865" t="s">
        <v>3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2030</v>
      </c>
      <c r="J865">
        <v>1.6000000000000001E-3</v>
      </c>
      <c r="K865" t="s">
        <v>53</v>
      </c>
      <c r="L865">
        <v>55</v>
      </c>
    </row>
    <row r="866" spans="1:12" x14ac:dyDescent="0.45">
      <c r="A866" t="s">
        <v>90</v>
      </c>
      <c r="B866" t="s">
        <v>3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2035</v>
      </c>
      <c r="J866">
        <v>2.0000000000000001E-4</v>
      </c>
      <c r="K866" t="s">
        <v>53</v>
      </c>
      <c r="L866">
        <v>55</v>
      </c>
    </row>
    <row r="867" spans="1:12" x14ac:dyDescent="0.45">
      <c r="A867" t="s">
        <v>90</v>
      </c>
      <c r="B867" t="s">
        <v>3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2040</v>
      </c>
      <c r="J867">
        <v>1E-4</v>
      </c>
      <c r="K867" t="s">
        <v>53</v>
      </c>
      <c r="L867">
        <v>55</v>
      </c>
    </row>
    <row r="868" spans="1:12" x14ac:dyDescent="0.45">
      <c r="A868" t="s">
        <v>90</v>
      </c>
      <c r="B868" t="s">
        <v>3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2045</v>
      </c>
      <c r="J868">
        <v>2.9999999999999997E-4</v>
      </c>
      <c r="K868" t="s">
        <v>53</v>
      </c>
      <c r="L868">
        <v>55</v>
      </c>
    </row>
    <row r="869" spans="1:12" x14ac:dyDescent="0.45">
      <c r="A869" t="s">
        <v>90</v>
      </c>
      <c r="B869" t="s">
        <v>3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2050</v>
      </c>
      <c r="J869">
        <v>2.0000000000000001E-4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2055</v>
      </c>
      <c r="J870">
        <v>1E-4</v>
      </c>
      <c r="K870" t="s">
        <v>53</v>
      </c>
      <c r="L870">
        <v>55</v>
      </c>
    </row>
    <row r="871" spans="1:12" x14ac:dyDescent="0.45">
      <c r="A871" t="s">
        <v>90</v>
      </c>
      <c r="B871" t="s">
        <v>3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2060</v>
      </c>
      <c r="J871">
        <v>0</v>
      </c>
      <c r="K871" t="s">
        <v>53</v>
      </c>
      <c r="L871">
        <v>55</v>
      </c>
    </row>
    <row r="872" spans="1:12" x14ac:dyDescent="0.45">
      <c r="A872" t="s">
        <v>90</v>
      </c>
      <c r="B872" t="s">
        <v>3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2065</v>
      </c>
      <c r="J872">
        <v>0</v>
      </c>
      <c r="K872" t="s">
        <v>53</v>
      </c>
      <c r="L872">
        <v>55</v>
      </c>
    </row>
    <row r="873" spans="1:12" x14ac:dyDescent="0.45">
      <c r="A873" t="s">
        <v>90</v>
      </c>
      <c r="B873" t="s">
        <v>3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2070</v>
      </c>
      <c r="J873">
        <v>0</v>
      </c>
      <c r="K873" t="s">
        <v>53</v>
      </c>
      <c r="L873">
        <v>55</v>
      </c>
    </row>
    <row r="874" spans="1:12" x14ac:dyDescent="0.45">
      <c r="A874" t="s">
        <v>90</v>
      </c>
      <c r="B874" t="s">
        <v>3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2075</v>
      </c>
      <c r="J874">
        <v>0</v>
      </c>
      <c r="K874" t="s">
        <v>53</v>
      </c>
      <c r="L874">
        <v>55</v>
      </c>
    </row>
    <row r="875" spans="1:12" x14ac:dyDescent="0.45">
      <c r="A875" t="s">
        <v>90</v>
      </c>
      <c r="B875" t="s">
        <v>3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2080</v>
      </c>
      <c r="J875">
        <v>0</v>
      </c>
      <c r="K875" t="s">
        <v>53</v>
      </c>
      <c r="L875">
        <v>55</v>
      </c>
    </row>
    <row r="876" spans="1:12" x14ac:dyDescent="0.45">
      <c r="A876" t="s">
        <v>90</v>
      </c>
      <c r="B876" t="s">
        <v>3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2085</v>
      </c>
      <c r="J876">
        <v>0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2090</v>
      </c>
      <c r="J877">
        <v>0</v>
      </c>
      <c r="K877" t="s">
        <v>53</v>
      </c>
      <c r="L877">
        <v>55</v>
      </c>
    </row>
    <row r="878" spans="1:12" x14ac:dyDescent="0.45">
      <c r="A878" t="s">
        <v>90</v>
      </c>
      <c r="B878" t="s">
        <v>3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2095</v>
      </c>
      <c r="J878">
        <v>0</v>
      </c>
      <c r="K878" t="s">
        <v>53</v>
      </c>
      <c r="L878">
        <v>55</v>
      </c>
    </row>
    <row r="879" spans="1:12" x14ac:dyDescent="0.45">
      <c r="A879" t="s">
        <v>90</v>
      </c>
      <c r="B879" t="s">
        <v>3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2100</v>
      </c>
      <c r="J879">
        <v>0</v>
      </c>
      <c r="K879" t="s">
        <v>53</v>
      </c>
      <c r="L879">
        <v>55</v>
      </c>
    </row>
    <row r="880" spans="1:12" x14ac:dyDescent="0.45">
      <c r="A880" t="s">
        <v>90</v>
      </c>
      <c r="B880" t="s">
        <v>4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2020</v>
      </c>
      <c r="J880">
        <v>1.9E-3</v>
      </c>
      <c r="K880" t="s">
        <v>53</v>
      </c>
      <c r="L880">
        <v>55</v>
      </c>
    </row>
    <row r="881" spans="1:12" x14ac:dyDescent="0.45">
      <c r="A881" t="s">
        <v>90</v>
      </c>
      <c r="B881" t="s">
        <v>4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2025</v>
      </c>
      <c r="J881">
        <v>2.3999999999999998E-3</v>
      </c>
      <c r="K881" t="s">
        <v>53</v>
      </c>
      <c r="L881">
        <v>55</v>
      </c>
    </row>
    <row r="882" spans="1:12" x14ac:dyDescent="0.45">
      <c r="A882" t="s">
        <v>90</v>
      </c>
      <c r="B882" t="s">
        <v>4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2030</v>
      </c>
      <c r="J882">
        <v>3.3E-3</v>
      </c>
      <c r="K882" t="s">
        <v>53</v>
      </c>
      <c r="L882">
        <v>55</v>
      </c>
    </row>
    <row r="883" spans="1:12" x14ac:dyDescent="0.45">
      <c r="A883" t="s">
        <v>90</v>
      </c>
      <c r="B883" t="s">
        <v>4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2035</v>
      </c>
      <c r="J883">
        <v>3.3E-3</v>
      </c>
      <c r="K883" t="s">
        <v>53</v>
      </c>
      <c r="L883">
        <v>55</v>
      </c>
    </row>
    <row r="884" spans="1:12" x14ac:dyDescent="0.45">
      <c r="A884" t="s">
        <v>90</v>
      </c>
      <c r="B884" t="s">
        <v>4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2040</v>
      </c>
      <c r="J884">
        <v>2.8999999999999998E-3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2045</v>
      </c>
      <c r="J885">
        <v>2.3999999999999998E-3</v>
      </c>
      <c r="K885" t="s">
        <v>53</v>
      </c>
      <c r="L885">
        <v>55</v>
      </c>
    </row>
    <row r="886" spans="1:12" x14ac:dyDescent="0.45">
      <c r="A886" t="s">
        <v>90</v>
      </c>
      <c r="B886" t="s">
        <v>4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2050</v>
      </c>
      <c r="J886">
        <v>1.6000000000000001E-3</v>
      </c>
      <c r="K886" t="s">
        <v>53</v>
      </c>
      <c r="L886">
        <v>55</v>
      </c>
    </row>
    <row r="887" spans="1:12" x14ac:dyDescent="0.45">
      <c r="A887" t="s">
        <v>90</v>
      </c>
      <c r="B887" t="s">
        <v>4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2055</v>
      </c>
      <c r="J887">
        <v>1.4E-3</v>
      </c>
      <c r="K887" t="s">
        <v>53</v>
      </c>
      <c r="L887">
        <v>55</v>
      </c>
    </row>
    <row r="888" spans="1:12" x14ac:dyDescent="0.45">
      <c r="A888" t="s">
        <v>90</v>
      </c>
      <c r="B888" t="s">
        <v>4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2060</v>
      </c>
      <c r="J888">
        <v>6.9999999999999999E-4</v>
      </c>
      <c r="K888" t="s">
        <v>53</v>
      </c>
      <c r="L888">
        <v>55</v>
      </c>
    </row>
    <row r="889" spans="1:12" x14ac:dyDescent="0.45">
      <c r="A889" t="s">
        <v>90</v>
      </c>
      <c r="B889" t="s">
        <v>4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2065</v>
      </c>
      <c r="J889">
        <v>8.0000000000000004E-4</v>
      </c>
      <c r="K889" t="s">
        <v>53</v>
      </c>
      <c r="L889">
        <v>55</v>
      </c>
    </row>
    <row r="890" spans="1:12" x14ac:dyDescent="0.45">
      <c r="A890" t="s">
        <v>90</v>
      </c>
      <c r="B890" t="s">
        <v>4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2070</v>
      </c>
      <c r="J890">
        <v>8.0000000000000004E-4</v>
      </c>
      <c r="K890" t="s">
        <v>53</v>
      </c>
      <c r="L890">
        <v>55</v>
      </c>
    </row>
    <row r="891" spans="1:12" x14ac:dyDescent="0.45">
      <c r="A891" t="s">
        <v>90</v>
      </c>
      <c r="B891" t="s">
        <v>4</v>
      </c>
      <c r="C891" t="s">
        <v>84</v>
      </c>
      <c r="D891" t="s">
        <v>53</v>
      </c>
      <c r="E891" t="s">
        <v>25</v>
      </c>
      <c r="F891" t="s">
        <v>53</v>
      </c>
      <c r="G891" t="s">
        <v>71</v>
      </c>
      <c r="H891" t="s">
        <v>89</v>
      </c>
      <c r="I891">
        <v>2075</v>
      </c>
      <c r="J891">
        <v>9.5E-4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2080</v>
      </c>
      <c r="J892">
        <v>1.1000000000000001E-3</v>
      </c>
      <c r="K892" t="s">
        <v>53</v>
      </c>
      <c r="L892">
        <v>55</v>
      </c>
    </row>
    <row r="893" spans="1:12" x14ac:dyDescent="0.45">
      <c r="A893" t="s">
        <v>90</v>
      </c>
      <c r="B893" t="s">
        <v>4</v>
      </c>
      <c r="C893" t="s">
        <v>84</v>
      </c>
      <c r="D893" t="s">
        <v>53</v>
      </c>
      <c r="E893" t="s">
        <v>25</v>
      </c>
      <c r="F893" t="s">
        <v>53</v>
      </c>
      <c r="G893" t="s">
        <v>71</v>
      </c>
      <c r="H893" t="s">
        <v>89</v>
      </c>
      <c r="I893">
        <v>2085</v>
      </c>
      <c r="J893">
        <v>1.2499999999999998E-3</v>
      </c>
      <c r="K893" t="s">
        <v>53</v>
      </c>
      <c r="L893">
        <v>55</v>
      </c>
    </row>
    <row r="894" spans="1:12" x14ac:dyDescent="0.45">
      <c r="A894" t="s">
        <v>90</v>
      </c>
      <c r="B894" t="s">
        <v>4</v>
      </c>
      <c r="C894" t="s">
        <v>84</v>
      </c>
      <c r="D894" t="s">
        <v>53</v>
      </c>
      <c r="E894" t="s">
        <v>25</v>
      </c>
      <c r="F894" t="s">
        <v>53</v>
      </c>
      <c r="G894" t="s">
        <v>71</v>
      </c>
      <c r="H894" t="s">
        <v>89</v>
      </c>
      <c r="I894">
        <v>2090</v>
      </c>
      <c r="J894">
        <v>1.4E-3</v>
      </c>
      <c r="K894" t="s">
        <v>53</v>
      </c>
      <c r="L894">
        <v>55</v>
      </c>
    </row>
    <row r="895" spans="1:12" x14ac:dyDescent="0.45">
      <c r="A895" t="s">
        <v>90</v>
      </c>
      <c r="B895" t="s">
        <v>4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2095</v>
      </c>
      <c r="J895">
        <v>1.5999999999999999E-3</v>
      </c>
      <c r="K895" t="s">
        <v>53</v>
      </c>
      <c r="L895">
        <v>55</v>
      </c>
    </row>
    <row r="896" spans="1:12" x14ac:dyDescent="0.45">
      <c r="A896" t="s">
        <v>90</v>
      </c>
      <c r="B896" t="s">
        <v>4</v>
      </c>
      <c r="C896" t="s">
        <v>84</v>
      </c>
      <c r="D896" t="s">
        <v>53</v>
      </c>
      <c r="E896" t="s">
        <v>25</v>
      </c>
      <c r="F896" t="s">
        <v>53</v>
      </c>
      <c r="G896" t="s">
        <v>71</v>
      </c>
      <c r="H896" t="s">
        <v>89</v>
      </c>
      <c r="I896">
        <v>2100</v>
      </c>
      <c r="J896">
        <v>1.8500000000000001E-3</v>
      </c>
      <c r="K896" t="s">
        <v>53</v>
      </c>
      <c r="L896">
        <v>55</v>
      </c>
    </row>
    <row r="897" spans="1:12" x14ac:dyDescent="0.45">
      <c r="A897" t="s">
        <v>90</v>
      </c>
      <c r="B897" t="s">
        <v>0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2020</v>
      </c>
      <c r="J897">
        <v>1.6999999999999999E-3</v>
      </c>
      <c r="K897" t="s">
        <v>53</v>
      </c>
      <c r="L897">
        <v>55</v>
      </c>
    </row>
    <row r="898" spans="1:12" x14ac:dyDescent="0.45">
      <c r="A898" t="s">
        <v>90</v>
      </c>
      <c r="B898" t="s">
        <v>0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2025</v>
      </c>
      <c r="J898">
        <v>2.2000000000000001E-3</v>
      </c>
      <c r="K898" t="s">
        <v>53</v>
      </c>
      <c r="L898">
        <v>55</v>
      </c>
    </row>
    <row r="899" spans="1:12" x14ac:dyDescent="0.45">
      <c r="A899" t="s">
        <v>90</v>
      </c>
      <c r="B899" t="s">
        <v>0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2030</v>
      </c>
      <c r="J899">
        <v>3.0000000000000001E-3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2035</v>
      </c>
      <c r="J900">
        <v>3.2000000000000002E-3</v>
      </c>
      <c r="K900" t="s">
        <v>53</v>
      </c>
      <c r="L900">
        <v>55</v>
      </c>
    </row>
    <row r="901" spans="1:12" x14ac:dyDescent="0.45">
      <c r="A901" t="s">
        <v>90</v>
      </c>
      <c r="B901" t="s">
        <v>0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2040</v>
      </c>
      <c r="J901">
        <v>1.4E-3</v>
      </c>
      <c r="K901" t="s">
        <v>53</v>
      </c>
      <c r="L901">
        <v>55</v>
      </c>
    </row>
    <row r="902" spans="1:12" x14ac:dyDescent="0.45">
      <c r="A902" t="s">
        <v>90</v>
      </c>
      <c r="B902" t="s">
        <v>0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2.0000000000000001E-4</v>
      </c>
      <c r="K902" t="s">
        <v>53</v>
      </c>
      <c r="L902">
        <v>55</v>
      </c>
    </row>
    <row r="903" spans="1:12" x14ac:dyDescent="0.45">
      <c r="A903" t="s">
        <v>90</v>
      </c>
      <c r="B903" t="s">
        <v>0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2050</v>
      </c>
      <c r="J903">
        <v>2.0000000000000001E-4</v>
      </c>
      <c r="K903" t="s">
        <v>53</v>
      </c>
      <c r="L903">
        <v>55</v>
      </c>
    </row>
    <row r="904" spans="1:12" x14ac:dyDescent="0.45">
      <c r="A904" t="s">
        <v>90</v>
      </c>
      <c r="B904" t="s">
        <v>0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2055</v>
      </c>
      <c r="J904">
        <v>1.5000000000000001E-4</v>
      </c>
      <c r="K904" t="s">
        <v>53</v>
      </c>
      <c r="L904">
        <v>55</v>
      </c>
    </row>
    <row r="905" spans="1:12" x14ac:dyDescent="0.45">
      <c r="A905" t="s">
        <v>90</v>
      </c>
      <c r="B905" t="s">
        <v>0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2060</v>
      </c>
      <c r="J905">
        <v>1E-4</v>
      </c>
      <c r="K905" t="s">
        <v>53</v>
      </c>
      <c r="L905">
        <v>55</v>
      </c>
    </row>
    <row r="906" spans="1:12" x14ac:dyDescent="0.45">
      <c r="A906" t="s">
        <v>90</v>
      </c>
      <c r="B906" t="s">
        <v>0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2065</v>
      </c>
      <c r="J906">
        <v>5.0000000000000002E-5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2070</v>
      </c>
      <c r="J907">
        <v>0</v>
      </c>
      <c r="K907" t="s">
        <v>53</v>
      </c>
      <c r="L907">
        <v>55</v>
      </c>
    </row>
    <row r="908" spans="1:12" x14ac:dyDescent="0.45">
      <c r="A908" t="s">
        <v>90</v>
      </c>
      <c r="B908" t="s">
        <v>0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2075</v>
      </c>
      <c r="J908">
        <v>0</v>
      </c>
      <c r="K908" t="s">
        <v>53</v>
      </c>
      <c r="L908">
        <v>55</v>
      </c>
    </row>
    <row r="909" spans="1:12" x14ac:dyDescent="0.45">
      <c r="A909" t="s">
        <v>90</v>
      </c>
      <c r="B909" t="s">
        <v>0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2080</v>
      </c>
      <c r="J909">
        <v>0</v>
      </c>
      <c r="K909" t="s">
        <v>53</v>
      </c>
      <c r="L909">
        <v>55</v>
      </c>
    </row>
    <row r="910" spans="1:12" x14ac:dyDescent="0.45">
      <c r="A910" t="s">
        <v>90</v>
      </c>
      <c r="B910" t="s">
        <v>0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2085</v>
      </c>
      <c r="J910">
        <v>0</v>
      </c>
      <c r="K910" t="s">
        <v>53</v>
      </c>
      <c r="L910">
        <v>55</v>
      </c>
    </row>
    <row r="911" spans="1:12" x14ac:dyDescent="0.45">
      <c r="A911" t="s">
        <v>90</v>
      </c>
      <c r="B911" t="s">
        <v>0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2090</v>
      </c>
      <c r="J911">
        <v>0</v>
      </c>
      <c r="K911" t="s">
        <v>53</v>
      </c>
      <c r="L911">
        <v>55</v>
      </c>
    </row>
    <row r="912" spans="1:12" x14ac:dyDescent="0.45">
      <c r="A912" t="s">
        <v>90</v>
      </c>
      <c r="B912" t="s">
        <v>0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2095</v>
      </c>
      <c r="J912">
        <v>0</v>
      </c>
      <c r="K912" t="s">
        <v>53</v>
      </c>
      <c r="L912">
        <v>55</v>
      </c>
    </row>
    <row r="913" spans="1:12" x14ac:dyDescent="0.45">
      <c r="A913" t="s">
        <v>90</v>
      </c>
      <c r="B913" t="s">
        <v>0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2100</v>
      </c>
      <c r="J913">
        <v>0</v>
      </c>
      <c r="K913" t="s">
        <v>53</v>
      </c>
      <c r="L913">
        <v>55</v>
      </c>
    </row>
    <row r="914" spans="1:12" x14ac:dyDescent="0.45">
      <c r="A914" t="s">
        <v>90</v>
      </c>
      <c r="B914" t="s">
        <v>6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2020</v>
      </c>
      <c r="J914">
        <v>1.8E-3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2025</v>
      </c>
      <c r="J915">
        <v>2.3999999999999998E-3</v>
      </c>
      <c r="K915" t="s">
        <v>53</v>
      </c>
      <c r="L915">
        <v>55</v>
      </c>
    </row>
    <row r="916" spans="1:12" x14ac:dyDescent="0.45">
      <c r="A916" t="s">
        <v>90</v>
      </c>
      <c r="B916" t="s">
        <v>6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2030</v>
      </c>
      <c r="J916">
        <v>3.2000000000000002E-3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2035</v>
      </c>
      <c r="J917">
        <v>3.5999999999999999E-3</v>
      </c>
      <c r="K917" t="s">
        <v>53</v>
      </c>
      <c r="L917">
        <v>55</v>
      </c>
    </row>
    <row r="918" spans="1:12" x14ac:dyDescent="0.45">
      <c r="A918" t="s">
        <v>90</v>
      </c>
      <c r="B918" t="s">
        <v>6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2040</v>
      </c>
      <c r="J918">
        <v>1.6000000000000001E-3</v>
      </c>
      <c r="K918" t="s">
        <v>53</v>
      </c>
      <c r="L918">
        <v>55</v>
      </c>
    </row>
    <row r="919" spans="1:12" x14ac:dyDescent="0.45">
      <c r="A919" t="s">
        <v>90</v>
      </c>
      <c r="B919" t="s">
        <v>6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2045</v>
      </c>
      <c r="J919">
        <v>6.9999999999999999E-4</v>
      </c>
      <c r="K919" t="s">
        <v>53</v>
      </c>
      <c r="L919">
        <v>55</v>
      </c>
    </row>
    <row r="920" spans="1:12" x14ac:dyDescent="0.45">
      <c r="A920" t="s">
        <v>90</v>
      </c>
      <c r="B920" t="s">
        <v>6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2050</v>
      </c>
      <c r="J920">
        <v>1.6000000000000001E-3</v>
      </c>
      <c r="K920" t="s">
        <v>53</v>
      </c>
      <c r="L920">
        <v>55</v>
      </c>
    </row>
    <row r="921" spans="1:12" x14ac:dyDescent="0.45">
      <c r="A921" t="s">
        <v>90</v>
      </c>
      <c r="B921" t="s">
        <v>6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2055</v>
      </c>
      <c r="J921">
        <v>1.3500000000000001E-3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1.5E-3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2065</v>
      </c>
      <c r="J923">
        <v>1.5E-3</v>
      </c>
      <c r="K923" t="s">
        <v>53</v>
      </c>
      <c r="L923">
        <v>55</v>
      </c>
    </row>
    <row r="924" spans="1:12" x14ac:dyDescent="0.45">
      <c r="A924" t="s">
        <v>90</v>
      </c>
      <c r="B924" t="s">
        <v>6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2070</v>
      </c>
      <c r="J924">
        <v>1.2999999999999999E-3</v>
      </c>
      <c r="K924" t="s">
        <v>53</v>
      </c>
      <c r="L924">
        <v>55</v>
      </c>
    </row>
    <row r="925" spans="1:12" x14ac:dyDescent="0.45">
      <c r="A925" t="s">
        <v>90</v>
      </c>
      <c r="B925" t="s">
        <v>6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2075</v>
      </c>
      <c r="J925">
        <v>9.5E-4</v>
      </c>
      <c r="K925" t="s">
        <v>53</v>
      </c>
      <c r="L925">
        <v>55</v>
      </c>
    </row>
    <row r="926" spans="1:12" x14ac:dyDescent="0.45">
      <c r="A926" t="s">
        <v>90</v>
      </c>
      <c r="B926" t="s">
        <v>6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2080</v>
      </c>
      <c r="J926">
        <v>5.5000000000000003E-4</v>
      </c>
      <c r="K926" t="s">
        <v>53</v>
      </c>
      <c r="L926">
        <v>55</v>
      </c>
    </row>
    <row r="927" spans="1:12" x14ac:dyDescent="0.45">
      <c r="A927" t="s">
        <v>90</v>
      </c>
      <c r="B927" t="s">
        <v>6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2085</v>
      </c>
      <c r="J927">
        <v>4.0000000000000002E-4</v>
      </c>
      <c r="K927" t="s">
        <v>53</v>
      </c>
      <c r="L927">
        <v>55</v>
      </c>
    </row>
    <row r="928" spans="1:12" x14ac:dyDescent="0.45">
      <c r="A928" t="s">
        <v>90</v>
      </c>
      <c r="B928" t="s">
        <v>6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2090</v>
      </c>
      <c r="J928">
        <v>1.4999999999999999E-4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2095</v>
      </c>
      <c r="J929">
        <v>2.5000000000000001E-4</v>
      </c>
      <c r="K929" t="s">
        <v>53</v>
      </c>
      <c r="L929">
        <v>55</v>
      </c>
    </row>
    <row r="930" spans="1:12" x14ac:dyDescent="0.45">
      <c r="A930" t="s">
        <v>90</v>
      </c>
      <c r="B930" t="s">
        <v>6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2100</v>
      </c>
      <c r="J930">
        <v>2.5000000000000001E-4</v>
      </c>
      <c r="K930" t="s">
        <v>53</v>
      </c>
      <c r="L930">
        <v>55</v>
      </c>
    </row>
    <row r="931" spans="1:12" x14ac:dyDescent="0.45">
      <c r="A931" t="s">
        <v>90</v>
      </c>
      <c r="B931" t="s">
        <v>5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2020</v>
      </c>
      <c r="J931">
        <v>2.3999999999999998E-3</v>
      </c>
      <c r="K931" t="s">
        <v>53</v>
      </c>
      <c r="L931">
        <v>55</v>
      </c>
    </row>
    <row r="932" spans="1:12" x14ac:dyDescent="0.45">
      <c r="A932" t="s">
        <v>90</v>
      </c>
      <c r="B932" t="s">
        <v>5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2025</v>
      </c>
      <c r="J932">
        <v>2.7000000000000001E-3</v>
      </c>
      <c r="K932" t="s">
        <v>53</v>
      </c>
      <c r="L932">
        <v>55</v>
      </c>
    </row>
    <row r="933" spans="1:12" x14ac:dyDescent="0.45">
      <c r="A933" t="s">
        <v>90</v>
      </c>
      <c r="B933" t="s">
        <v>5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2030</v>
      </c>
      <c r="J933">
        <v>1.5E-3</v>
      </c>
      <c r="K933" t="s">
        <v>53</v>
      </c>
      <c r="L933">
        <v>55</v>
      </c>
    </row>
    <row r="934" spans="1:12" x14ac:dyDescent="0.45">
      <c r="A934" t="s">
        <v>90</v>
      </c>
      <c r="B934" t="s">
        <v>5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2035</v>
      </c>
      <c r="J934">
        <v>2.0000000000000001E-4</v>
      </c>
      <c r="K934" t="s">
        <v>53</v>
      </c>
      <c r="L934">
        <v>55</v>
      </c>
    </row>
    <row r="935" spans="1:12" x14ac:dyDescent="0.45">
      <c r="A935" t="s">
        <v>90</v>
      </c>
      <c r="B935" t="s">
        <v>5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2040</v>
      </c>
      <c r="J935">
        <v>0</v>
      </c>
      <c r="K935" t="s">
        <v>53</v>
      </c>
      <c r="L935">
        <v>55</v>
      </c>
    </row>
    <row r="936" spans="1:12" x14ac:dyDescent="0.45">
      <c r="A936" t="s">
        <v>90</v>
      </c>
      <c r="B936" t="s">
        <v>5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2045</v>
      </c>
      <c r="J936">
        <v>0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2050</v>
      </c>
      <c r="J937">
        <v>1E-4</v>
      </c>
      <c r="K937" t="s">
        <v>53</v>
      </c>
      <c r="L937">
        <v>55</v>
      </c>
    </row>
    <row r="938" spans="1:12" x14ac:dyDescent="0.45">
      <c r="A938" t="s">
        <v>90</v>
      </c>
      <c r="B938" t="s">
        <v>5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2055</v>
      </c>
      <c r="J938">
        <v>5.0000000000000002E-5</v>
      </c>
      <c r="K938" t="s">
        <v>53</v>
      </c>
      <c r="L938">
        <v>55</v>
      </c>
    </row>
    <row r="939" spans="1:12" x14ac:dyDescent="0.45">
      <c r="A939" t="s">
        <v>90</v>
      </c>
      <c r="B939" t="s">
        <v>5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2060</v>
      </c>
      <c r="J939">
        <v>0</v>
      </c>
      <c r="K939" t="s">
        <v>53</v>
      </c>
      <c r="L939">
        <v>55</v>
      </c>
    </row>
    <row r="940" spans="1:12" x14ac:dyDescent="0.45">
      <c r="A940" t="s">
        <v>90</v>
      </c>
      <c r="B940" t="s">
        <v>5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0</v>
      </c>
      <c r="K940" t="s">
        <v>53</v>
      </c>
      <c r="L940">
        <v>55</v>
      </c>
    </row>
    <row r="941" spans="1:12" x14ac:dyDescent="0.45">
      <c r="A941" t="s">
        <v>90</v>
      </c>
      <c r="B941" t="s">
        <v>5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2070</v>
      </c>
      <c r="J941">
        <v>0</v>
      </c>
      <c r="K941" t="s">
        <v>53</v>
      </c>
      <c r="L941">
        <v>55</v>
      </c>
    </row>
    <row r="942" spans="1:12" x14ac:dyDescent="0.45">
      <c r="A942" t="s">
        <v>90</v>
      </c>
      <c r="B942" t="s">
        <v>5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5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2080</v>
      </c>
      <c r="J943">
        <v>0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2085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5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2090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5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2095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5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2100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2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2020</v>
      </c>
      <c r="J948">
        <v>1.9E-3</v>
      </c>
      <c r="K948" t="s">
        <v>53</v>
      </c>
      <c r="L948">
        <v>55</v>
      </c>
    </row>
    <row r="949" spans="1:12" x14ac:dyDescent="0.45">
      <c r="A949" t="s">
        <v>90</v>
      </c>
      <c r="B949" t="s">
        <v>2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2025</v>
      </c>
      <c r="J949">
        <v>2.2000000000000001E-3</v>
      </c>
      <c r="K949" t="s">
        <v>53</v>
      </c>
      <c r="L949">
        <v>55</v>
      </c>
    </row>
    <row r="950" spans="1:12" x14ac:dyDescent="0.45">
      <c r="A950" t="s">
        <v>90</v>
      </c>
      <c r="B950" t="s">
        <v>2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2030</v>
      </c>
      <c r="J950">
        <v>1.1999999999999999E-3</v>
      </c>
      <c r="K950" t="s">
        <v>53</v>
      </c>
      <c r="L950">
        <v>55</v>
      </c>
    </row>
    <row r="951" spans="1:12" x14ac:dyDescent="0.45">
      <c r="A951" t="s">
        <v>90</v>
      </c>
      <c r="B951" t="s">
        <v>2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2035</v>
      </c>
      <c r="J951">
        <v>1E-4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2040</v>
      </c>
      <c r="J952">
        <v>1E-4</v>
      </c>
      <c r="K952" t="s">
        <v>53</v>
      </c>
      <c r="L952">
        <v>55</v>
      </c>
    </row>
    <row r="953" spans="1:12" x14ac:dyDescent="0.45">
      <c r="A953" t="s">
        <v>90</v>
      </c>
      <c r="B953" t="s">
        <v>2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2045</v>
      </c>
      <c r="J953">
        <v>2.0000000000000001E-4</v>
      </c>
      <c r="K953" t="s">
        <v>53</v>
      </c>
      <c r="L953">
        <v>55</v>
      </c>
    </row>
    <row r="954" spans="1:12" x14ac:dyDescent="0.45">
      <c r="A954" t="s">
        <v>90</v>
      </c>
      <c r="B954" t="s">
        <v>2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2050</v>
      </c>
      <c r="J954">
        <v>2.0000000000000001E-4</v>
      </c>
      <c r="K954" t="s">
        <v>53</v>
      </c>
      <c r="L954">
        <v>55</v>
      </c>
    </row>
    <row r="955" spans="1:12" x14ac:dyDescent="0.45">
      <c r="A955" t="s">
        <v>90</v>
      </c>
      <c r="B955" t="s">
        <v>2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2055</v>
      </c>
      <c r="J955">
        <v>1E-4</v>
      </c>
      <c r="K955" t="s">
        <v>53</v>
      </c>
      <c r="L955">
        <v>55</v>
      </c>
    </row>
    <row r="956" spans="1:12" x14ac:dyDescent="0.45">
      <c r="A956" t="s">
        <v>90</v>
      </c>
      <c r="B956" t="s">
        <v>2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2060</v>
      </c>
      <c r="J956">
        <v>0</v>
      </c>
      <c r="K956" t="s">
        <v>53</v>
      </c>
      <c r="L956">
        <v>55</v>
      </c>
    </row>
    <row r="957" spans="1:12" x14ac:dyDescent="0.45">
      <c r="A957" t="s">
        <v>90</v>
      </c>
      <c r="B957" t="s">
        <v>2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2065</v>
      </c>
      <c r="J957">
        <v>0</v>
      </c>
      <c r="K957" t="s">
        <v>53</v>
      </c>
      <c r="L957">
        <v>55</v>
      </c>
    </row>
    <row r="958" spans="1:12" x14ac:dyDescent="0.45">
      <c r="A958" t="s">
        <v>90</v>
      </c>
      <c r="B958" t="s">
        <v>2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2070</v>
      </c>
      <c r="J958">
        <v>0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2075</v>
      </c>
      <c r="J959">
        <v>0</v>
      </c>
      <c r="K959" t="s">
        <v>53</v>
      </c>
      <c r="L959">
        <v>55</v>
      </c>
    </row>
    <row r="960" spans="1:12" x14ac:dyDescent="0.45">
      <c r="A960" t="s">
        <v>90</v>
      </c>
      <c r="B960" t="s">
        <v>2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2080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2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2085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2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0</v>
      </c>
      <c r="K962" t="s">
        <v>53</v>
      </c>
      <c r="L962">
        <v>55</v>
      </c>
    </row>
    <row r="963" spans="1:12" x14ac:dyDescent="0.45">
      <c r="A963" t="s">
        <v>90</v>
      </c>
      <c r="B963" t="s">
        <v>2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2095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2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2100</v>
      </c>
      <c r="J964">
        <v>0</v>
      </c>
      <c r="K964" t="s">
        <v>53</v>
      </c>
      <c r="L964">
        <v>55</v>
      </c>
    </row>
    <row r="965" spans="1:12" x14ac:dyDescent="0.45">
      <c r="A965" t="s">
        <v>90</v>
      </c>
      <c r="B965" t="s">
        <v>1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2020</v>
      </c>
      <c r="J965">
        <v>2.0999999999999999E-3</v>
      </c>
      <c r="K965" t="s">
        <v>53</v>
      </c>
      <c r="L965">
        <v>55</v>
      </c>
    </row>
    <row r="966" spans="1:12" x14ac:dyDescent="0.45">
      <c r="A966" t="s">
        <v>90</v>
      </c>
      <c r="B966" t="s">
        <v>1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2025</v>
      </c>
      <c r="J966">
        <v>2.3E-3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2030</v>
      </c>
      <c r="J967">
        <v>1.1999999999999999E-3</v>
      </c>
      <c r="K967" t="s">
        <v>53</v>
      </c>
      <c r="L967">
        <v>55</v>
      </c>
    </row>
    <row r="968" spans="1:12" x14ac:dyDescent="0.45">
      <c r="A968" t="s">
        <v>90</v>
      </c>
      <c r="B968" t="s">
        <v>1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2035</v>
      </c>
      <c r="J968">
        <v>2.0000000000000001E-4</v>
      </c>
      <c r="K968" t="s">
        <v>53</v>
      </c>
      <c r="L968">
        <v>55</v>
      </c>
    </row>
    <row r="969" spans="1:12" x14ac:dyDescent="0.45">
      <c r="A969" t="s">
        <v>90</v>
      </c>
      <c r="B969" t="s">
        <v>1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2040</v>
      </c>
      <c r="J969">
        <v>1E-4</v>
      </c>
      <c r="K969" t="s">
        <v>53</v>
      </c>
      <c r="L969">
        <v>55</v>
      </c>
    </row>
    <row r="970" spans="1:12" x14ac:dyDescent="0.45">
      <c r="A970" t="s">
        <v>90</v>
      </c>
      <c r="B970" t="s">
        <v>1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2045</v>
      </c>
      <c r="J970">
        <v>2.0000000000000001E-4</v>
      </c>
      <c r="K970" t="s">
        <v>53</v>
      </c>
      <c r="L970">
        <v>55</v>
      </c>
    </row>
    <row r="971" spans="1:12" x14ac:dyDescent="0.45">
      <c r="A971" t="s">
        <v>90</v>
      </c>
      <c r="B971" t="s">
        <v>1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2050</v>
      </c>
      <c r="J971">
        <v>1E-4</v>
      </c>
      <c r="K971" t="s">
        <v>53</v>
      </c>
      <c r="L971">
        <v>55</v>
      </c>
    </row>
    <row r="972" spans="1:12" x14ac:dyDescent="0.45">
      <c r="A972" t="s">
        <v>90</v>
      </c>
      <c r="B972" t="s">
        <v>1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1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2060</v>
      </c>
      <c r="J973">
        <v>0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2065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1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2070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1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0</v>
      </c>
      <c r="K976" t="s">
        <v>53</v>
      </c>
      <c r="L976">
        <v>55</v>
      </c>
    </row>
    <row r="977" spans="1:12" x14ac:dyDescent="0.45">
      <c r="A977" t="s">
        <v>90</v>
      </c>
      <c r="B977" t="s">
        <v>1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2080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1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2085</v>
      </c>
      <c r="J978">
        <v>0</v>
      </c>
      <c r="K978" t="s">
        <v>53</v>
      </c>
      <c r="L978">
        <v>55</v>
      </c>
    </row>
    <row r="979" spans="1:12" x14ac:dyDescent="0.45">
      <c r="A979" t="s">
        <v>90</v>
      </c>
      <c r="B979" t="s">
        <v>1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2090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1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2095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4.0000000000000002E-4</v>
      </c>
      <c r="K982" t="s">
        <v>54</v>
      </c>
      <c r="L982">
        <v>70</v>
      </c>
    </row>
    <row r="983" spans="1:12" x14ac:dyDescent="0.45">
      <c r="A983" t="s">
        <v>90</v>
      </c>
      <c r="B983" t="s">
        <v>3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2025</v>
      </c>
      <c r="J983">
        <v>0</v>
      </c>
      <c r="K983" t="s">
        <v>54</v>
      </c>
      <c r="L983">
        <v>70</v>
      </c>
    </row>
    <row r="984" spans="1:12" x14ac:dyDescent="0.45">
      <c r="A984" t="s">
        <v>90</v>
      </c>
      <c r="B984" t="s">
        <v>3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2030</v>
      </c>
      <c r="J984">
        <v>0</v>
      </c>
      <c r="K984" t="s">
        <v>54</v>
      </c>
      <c r="L984">
        <v>70</v>
      </c>
    </row>
    <row r="985" spans="1:12" x14ac:dyDescent="0.45">
      <c r="A985" t="s">
        <v>90</v>
      </c>
      <c r="B985" t="s">
        <v>3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3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3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3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3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3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3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3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3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3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3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3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4</v>
      </c>
      <c r="C999" t="s">
        <v>84</v>
      </c>
      <c r="D999" t="s">
        <v>54</v>
      </c>
      <c r="E999" t="s">
        <v>25</v>
      </c>
      <c r="F999" t="s">
        <v>54</v>
      </c>
      <c r="G999" t="s">
        <v>71</v>
      </c>
      <c r="H999" t="s">
        <v>89</v>
      </c>
      <c r="I999">
        <v>2020</v>
      </c>
      <c r="J999">
        <v>4.0000000000000002E-4</v>
      </c>
      <c r="K999" t="s">
        <v>54</v>
      </c>
      <c r="L999">
        <v>70</v>
      </c>
    </row>
    <row r="1000" spans="1:12" x14ac:dyDescent="0.45">
      <c r="A1000" t="s">
        <v>90</v>
      </c>
      <c r="B1000" t="s">
        <v>4</v>
      </c>
      <c r="C1000" t="s">
        <v>84</v>
      </c>
      <c r="D1000" t="s">
        <v>54</v>
      </c>
      <c r="E1000" t="s">
        <v>25</v>
      </c>
      <c r="F1000" t="s">
        <v>54</v>
      </c>
      <c r="G1000" t="s">
        <v>71</v>
      </c>
      <c r="H1000" t="s">
        <v>89</v>
      </c>
      <c r="I1000">
        <v>2025</v>
      </c>
      <c r="J1000">
        <v>2.9999999999999997E-4</v>
      </c>
      <c r="K1000" t="s">
        <v>54</v>
      </c>
      <c r="L1000">
        <v>70</v>
      </c>
    </row>
    <row r="1001" spans="1:12" x14ac:dyDescent="0.45">
      <c r="A1001" t="s">
        <v>90</v>
      </c>
      <c r="B1001" t="s">
        <v>4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2030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4</v>
      </c>
      <c r="C1002" t="s">
        <v>84</v>
      </c>
      <c r="D1002" t="s">
        <v>54</v>
      </c>
      <c r="E1002" t="s">
        <v>25</v>
      </c>
      <c r="F1002" t="s">
        <v>54</v>
      </c>
      <c r="G1002" t="s">
        <v>71</v>
      </c>
      <c r="H1002" t="s">
        <v>89</v>
      </c>
      <c r="I1002">
        <v>2035</v>
      </c>
      <c r="J1002">
        <v>0</v>
      </c>
      <c r="K1002" t="s">
        <v>54</v>
      </c>
      <c r="L1002">
        <v>70</v>
      </c>
    </row>
    <row r="1003" spans="1:12" x14ac:dyDescent="0.45">
      <c r="A1003" t="s">
        <v>90</v>
      </c>
      <c r="B1003" t="s">
        <v>4</v>
      </c>
      <c r="C1003" t="s">
        <v>84</v>
      </c>
      <c r="D1003" t="s">
        <v>54</v>
      </c>
      <c r="E1003" t="s">
        <v>25</v>
      </c>
      <c r="F1003" t="s">
        <v>54</v>
      </c>
      <c r="G1003" t="s">
        <v>71</v>
      </c>
      <c r="H1003" t="s">
        <v>89</v>
      </c>
      <c r="I1003">
        <v>2040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2045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4</v>
      </c>
      <c r="C1005" t="s">
        <v>84</v>
      </c>
      <c r="D1005" t="s">
        <v>54</v>
      </c>
      <c r="E1005" t="s">
        <v>25</v>
      </c>
      <c r="F1005" t="s">
        <v>54</v>
      </c>
      <c r="G1005" t="s">
        <v>71</v>
      </c>
      <c r="H1005" t="s">
        <v>89</v>
      </c>
      <c r="I1005">
        <v>2050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4</v>
      </c>
      <c r="C1006" t="s">
        <v>84</v>
      </c>
      <c r="D1006" t="s">
        <v>54</v>
      </c>
      <c r="E1006" t="s">
        <v>25</v>
      </c>
      <c r="F1006" t="s">
        <v>54</v>
      </c>
      <c r="G1006" t="s">
        <v>71</v>
      </c>
      <c r="H1006" t="s">
        <v>89</v>
      </c>
      <c r="I1006">
        <v>2055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4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2060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4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2065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4</v>
      </c>
      <c r="C1009" t="s">
        <v>84</v>
      </c>
      <c r="D1009" t="s">
        <v>54</v>
      </c>
      <c r="E1009" t="s">
        <v>25</v>
      </c>
      <c r="F1009" t="s">
        <v>54</v>
      </c>
      <c r="G1009" t="s">
        <v>71</v>
      </c>
      <c r="H1009" t="s">
        <v>89</v>
      </c>
      <c r="I1009">
        <v>2070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4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2075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2080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4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2085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4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2090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4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2095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4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2100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0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2020</v>
      </c>
      <c r="J1016">
        <v>4.0000000000000002E-4</v>
      </c>
      <c r="K1016" t="s">
        <v>54</v>
      </c>
      <c r="L1016">
        <v>70</v>
      </c>
    </row>
    <row r="1017" spans="1:12" x14ac:dyDescent="0.45">
      <c r="A1017" t="s">
        <v>90</v>
      </c>
      <c r="B1017" t="s">
        <v>0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2025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0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2030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2035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0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2040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0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0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2050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0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2055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0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2060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0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2065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2070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0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2075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0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2080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0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2085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0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2090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0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2095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0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2100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2020</v>
      </c>
      <c r="J1033">
        <v>4.0000000000000002E-4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2025</v>
      </c>
      <c r="J1034">
        <v>2.9999999999999997E-4</v>
      </c>
      <c r="K1034" t="s">
        <v>54</v>
      </c>
      <c r="L1034">
        <v>70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2030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2035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2040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2045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2050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2055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2065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2070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2075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2080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2085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2090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2095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2100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5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2020</v>
      </c>
      <c r="J1050">
        <v>4.0000000000000002E-4</v>
      </c>
      <c r="K1050" t="s">
        <v>54</v>
      </c>
      <c r="L1050">
        <v>70</v>
      </c>
    </row>
    <row r="1051" spans="1:12" x14ac:dyDescent="0.45">
      <c r="A1051" t="s">
        <v>90</v>
      </c>
      <c r="B1051" t="s">
        <v>5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2025</v>
      </c>
      <c r="J1051">
        <v>2.9999999999999997E-4</v>
      </c>
      <c r="K1051" t="s">
        <v>54</v>
      </c>
      <c r="L1051">
        <v>70</v>
      </c>
    </row>
    <row r="1052" spans="1:12" x14ac:dyDescent="0.45">
      <c r="A1052" t="s">
        <v>90</v>
      </c>
      <c r="B1052" t="s">
        <v>5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2030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5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2035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5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2040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5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2045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2050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5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2055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5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2060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5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2065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5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2070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5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5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2080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2085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5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2090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5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2095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5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2100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2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2020</v>
      </c>
      <c r="J1067">
        <v>4.0000000000000002E-4</v>
      </c>
      <c r="K1067" t="s">
        <v>54</v>
      </c>
      <c r="L1067">
        <v>70</v>
      </c>
    </row>
    <row r="1068" spans="1:12" x14ac:dyDescent="0.45">
      <c r="A1068" t="s">
        <v>90</v>
      </c>
      <c r="B1068" t="s">
        <v>2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2025</v>
      </c>
      <c r="J1068">
        <v>2.9999999999999997E-4</v>
      </c>
      <c r="K1068" t="s">
        <v>54</v>
      </c>
      <c r="L1068">
        <v>70</v>
      </c>
    </row>
    <row r="1069" spans="1:12" x14ac:dyDescent="0.45">
      <c r="A1069" t="s">
        <v>90</v>
      </c>
      <c r="B1069" t="s">
        <v>2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2030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2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2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2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2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2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2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2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2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2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2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2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2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1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2020</v>
      </c>
      <c r="J1084">
        <v>4.0000000000000002E-4</v>
      </c>
      <c r="K1084" t="s">
        <v>54</v>
      </c>
      <c r="L1084">
        <v>70</v>
      </c>
    </row>
    <row r="1085" spans="1:12" x14ac:dyDescent="0.45">
      <c r="A1085" t="s">
        <v>90</v>
      </c>
      <c r="B1085" t="s">
        <v>1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2025</v>
      </c>
      <c r="J1085">
        <v>2.9999999999999997E-4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2030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1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2035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1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2040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1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2045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1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2050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1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2055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1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2060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2065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1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2070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1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2075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1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2080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1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2085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2090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1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2095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3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2025</v>
      </c>
      <c r="J1102">
        <v>5.6314500000000001</v>
      </c>
      <c r="K1102" t="s">
        <v>29</v>
      </c>
    </row>
    <row r="1103" spans="1:12" x14ac:dyDescent="0.45">
      <c r="A1103" t="s">
        <v>90</v>
      </c>
      <c r="B1103" t="s">
        <v>3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2030</v>
      </c>
      <c r="J1103">
        <v>5.5214499999999997</v>
      </c>
      <c r="K1103" t="s">
        <v>29</v>
      </c>
    </row>
    <row r="1104" spans="1:12" x14ac:dyDescent="0.45">
      <c r="A1104" t="s">
        <v>90</v>
      </c>
      <c r="B1104" t="s">
        <v>3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2035</v>
      </c>
      <c r="J1104">
        <v>5.7596500000000006</v>
      </c>
      <c r="K1104" t="s">
        <v>29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2040</v>
      </c>
      <c r="J1105">
        <v>6.8430499999999999</v>
      </c>
      <c r="K1105" t="s">
        <v>29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2045</v>
      </c>
      <c r="J1106">
        <v>6.9108000000000001</v>
      </c>
      <c r="K1106" t="s">
        <v>29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2050</v>
      </c>
      <c r="J1107">
        <v>7.9924499999999998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2055</v>
      </c>
      <c r="J1108">
        <v>8.6547000000000001</v>
      </c>
      <c r="K1108" t="s">
        <v>29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2060</v>
      </c>
      <c r="J1109">
        <v>12.725249999999999</v>
      </c>
      <c r="K1109" t="s">
        <v>29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2065</v>
      </c>
      <c r="J1110">
        <v>12.6111</v>
      </c>
      <c r="K1110" t="s">
        <v>29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2070</v>
      </c>
      <c r="J1111">
        <v>12.497</v>
      </c>
      <c r="K1111" t="s">
        <v>29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2075</v>
      </c>
      <c r="J1112">
        <v>13.562349999999999</v>
      </c>
      <c r="K1112" t="s">
        <v>29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2080</v>
      </c>
      <c r="J1113">
        <v>14.627700000000001</v>
      </c>
      <c r="K1113" t="s">
        <v>29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2085</v>
      </c>
      <c r="J1114">
        <v>15.284700000000001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2090</v>
      </c>
      <c r="J1115">
        <v>15.941649999999999</v>
      </c>
      <c r="K1115" t="s">
        <v>29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2095</v>
      </c>
      <c r="J1116">
        <v>15.99475</v>
      </c>
      <c r="K1116" t="s">
        <v>29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2100</v>
      </c>
      <c r="J1117">
        <v>16.047899999999998</v>
      </c>
      <c r="K1117" t="s">
        <v>29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2020</v>
      </c>
      <c r="J1118">
        <v>5.3799000000000001</v>
      </c>
      <c r="K1118" t="s">
        <v>29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2025</v>
      </c>
      <c r="J1119">
        <v>5.7637999999999998</v>
      </c>
      <c r="K1119" t="s">
        <v>29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5.3145500000000006</v>
      </c>
      <c r="K1120" t="s">
        <v>29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2035</v>
      </c>
      <c r="J1121">
        <v>4.5601500000000001</v>
      </c>
      <c r="K1121" t="s">
        <v>29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2040</v>
      </c>
      <c r="J1122">
        <v>2.1816000000000004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2045</v>
      </c>
      <c r="J1123">
        <v>2.3449</v>
      </c>
      <c r="K1123" t="s">
        <v>29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2050</v>
      </c>
      <c r="J1124">
        <v>3.6767000000000003</v>
      </c>
      <c r="K1124" t="s">
        <v>29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2055</v>
      </c>
      <c r="J1125">
        <v>4.1312499999999996</v>
      </c>
      <c r="K1125" t="s">
        <v>29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2060</v>
      </c>
      <c r="J1126">
        <v>5.2963500000000003</v>
      </c>
      <c r="K1126" t="s">
        <v>29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2065</v>
      </c>
      <c r="J1127">
        <v>6.2115499999999999</v>
      </c>
      <c r="K1127" t="s">
        <v>29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2070</v>
      </c>
      <c r="J1128">
        <v>7.1266999999999996</v>
      </c>
      <c r="K1128" t="s">
        <v>29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2075</v>
      </c>
      <c r="J1129">
        <v>7.1797500000000003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2080</v>
      </c>
      <c r="J1130">
        <v>7.2326999999999995</v>
      </c>
      <c r="K1130" t="s">
        <v>29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2085</v>
      </c>
      <c r="J1131">
        <v>7.1741000000000001</v>
      </c>
      <c r="K1131" t="s">
        <v>29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2090</v>
      </c>
      <c r="J1132">
        <v>7.1154500000000001</v>
      </c>
      <c r="K1132" t="s">
        <v>29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2095</v>
      </c>
      <c r="J1133">
        <v>7.3076499999999998</v>
      </c>
      <c r="K1133" t="s">
        <v>29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2100</v>
      </c>
      <c r="J1134">
        <v>7.4998000000000005</v>
      </c>
      <c r="K1134" t="s">
        <v>29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5.7637999999999998</v>
      </c>
      <c r="K1136" t="s">
        <v>29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5.3145500000000006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2.1764999999999999</v>
      </c>
      <c r="K1138" t="s">
        <v>29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5.5442</v>
      </c>
      <c r="K1139" t="s">
        <v>29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9.1586999999999996</v>
      </c>
      <c r="K1140" t="s">
        <v>29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17.657350000000001</v>
      </c>
      <c r="K1141" t="s">
        <v>29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20.9406</v>
      </c>
      <c r="K1142" t="s">
        <v>29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28.955849999999998</v>
      </c>
      <c r="K1143" t="s">
        <v>29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25.764299999999999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22.572700000000001</v>
      </c>
      <c r="K1145" t="s">
        <v>29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23.83595</v>
      </c>
      <c r="K1146" t="s">
        <v>29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25.099249999999998</v>
      </c>
      <c r="K1147" t="s">
        <v>29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23.323250000000002</v>
      </c>
      <c r="K1148" t="s">
        <v>29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21.547249999999998</v>
      </c>
      <c r="K1149" t="s">
        <v>29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22.268699999999999</v>
      </c>
      <c r="K1150" t="s">
        <v>29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22.99005</v>
      </c>
      <c r="K1151" t="s">
        <v>29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2020</v>
      </c>
      <c r="J1152">
        <v>5.3799000000000001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2025</v>
      </c>
      <c r="J1153">
        <v>5.7637999999999998</v>
      </c>
      <c r="K1153" t="s">
        <v>29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2030</v>
      </c>
      <c r="J1154">
        <v>5.3145500000000006</v>
      </c>
      <c r="K1154" t="s">
        <v>29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2035</v>
      </c>
      <c r="J1155">
        <v>4.7282500000000001</v>
      </c>
      <c r="K1155" t="s">
        <v>29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2040</v>
      </c>
      <c r="J1156">
        <v>5.6577500000000001</v>
      </c>
      <c r="K1156" t="s">
        <v>29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2045</v>
      </c>
      <c r="J1157">
        <v>6.6602499999999996</v>
      </c>
      <c r="K1157" t="s">
        <v>29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2050</v>
      </c>
      <c r="J1158">
        <v>8.1373999999999995</v>
      </c>
      <c r="K1158" t="s">
        <v>29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2055</v>
      </c>
      <c r="J1159">
        <v>9.2483499999999985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2065</v>
      </c>
      <c r="J1161">
        <v>15.117049999999999</v>
      </c>
      <c r="K1161" t="s">
        <v>29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2070</v>
      </c>
      <c r="J1162">
        <v>15.547899999999998</v>
      </c>
      <c r="K1162" t="s">
        <v>29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2075</v>
      </c>
      <c r="J1163">
        <v>15.43695</v>
      </c>
      <c r="K1163" t="s">
        <v>29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2080</v>
      </c>
      <c r="J1164">
        <v>15.325950000000001</v>
      </c>
      <c r="K1164" t="s">
        <v>29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2085</v>
      </c>
      <c r="J1165">
        <v>15.232099999999999</v>
      </c>
      <c r="K1165" t="s">
        <v>29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2090</v>
      </c>
      <c r="J1166">
        <v>15.138300000000001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2095</v>
      </c>
      <c r="J1167">
        <v>15.0703</v>
      </c>
      <c r="K1167" t="s">
        <v>29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2100</v>
      </c>
      <c r="J1168">
        <v>15.00235</v>
      </c>
      <c r="K1168" t="s">
        <v>29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2020</v>
      </c>
      <c r="J1169">
        <v>5.3799000000000001</v>
      </c>
      <c r="K1169" t="s">
        <v>29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2025</v>
      </c>
      <c r="J1170">
        <v>5.3708</v>
      </c>
      <c r="K1170" t="s">
        <v>29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2030</v>
      </c>
      <c r="J1171">
        <v>5.2363499999999998</v>
      </c>
      <c r="K1171" t="s">
        <v>29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2035</v>
      </c>
      <c r="J1172">
        <v>7.7720500000000001</v>
      </c>
      <c r="K1172" t="s">
        <v>29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2040</v>
      </c>
      <c r="J1173">
        <v>8.9328500000000002</v>
      </c>
      <c r="K1173" t="s">
        <v>29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2045</v>
      </c>
      <c r="J1174">
        <v>10.32155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2050</v>
      </c>
      <c r="J1175">
        <v>12.79175</v>
      </c>
      <c r="K1175" t="s">
        <v>29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2055</v>
      </c>
      <c r="J1176">
        <v>10.578399999999998</v>
      </c>
      <c r="K1176" t="s">
        <v>29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2060</v>
      </c>
      <c r="J1177">
        <v>21.462600000000002</v>
      </c>
      <c r="K1177" t="s">
        <v>29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2065</v>
      </c>
      <c r="J1178">
        <v>19.187899999999999</v>
      </c>
      <c r="K1178" t="s">
        <v>29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2070</v>
      </c>
      <c r="J1179">
        <v>16.913249999999998</v>
      </c>
      <c r="K1179" t="s">
        <v>29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16.574300000000001</v>
      </c>
      <c r="K1180" t="s">
        <v>29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2080</v>
      </c>
      <c r="J1181">
        <v>16.235250000000001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2085</v>
      </c>
      <c r="J1182">
        <v>16.323450000000001</v>
      </c>
      <c r="K1182" t="s">
        <v>29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2090</v>
      </c>
      <c r="J1183">
        <v>16.411549999999998</v>
      </c>
      <c r="K1183" t="s">
        <v>29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2095</v>
      </c>
      <c r="J1184">
        <v>16.4863</v>
      </c>
      <c r="K1184" t="s">
        <v>29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2100</v>
      </c>
      <c r="J1185">
        <v>16.561</v>
      </c>
      <c r="K1185" t="s">
        <v>29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2020</v>
      </c>
      <c r="J1186">
        <v>5.3799000000000001</v>
      </c>
      <c r="K1186" t="s">
        <v>29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2025</v>
      </c>
      <c r="J1187">
        <v>5.6462000000000003</v>
      </c>
      <c r="K1187" t="s">
        <v>29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2030</v>
      </c>
      <c r="J1188">
        <v>5.6435499999999994</v>
      </c>
      <c r="K1188" t="s">
        <v>29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5.8456999999999999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2040</v>
      </c>
      <c r="J1190">
        <v>5.91425</v>
      </c>
      <c r="K1190" t="s">
        <v>29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2045</v>
      </c>
      <c r="J1191">
        <v>6.5330500000000002</v>
      </c>
      <c r="K1191" t="s">
        <v>29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2050</v>
      </c>
      <c r="J1192">
        <v>7.6464999999999996</v>
      </c>
      <c r="K1192" t="s">
        <v>29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2055</v>
      </c>
      <c r="J1193">
        <v>6.8690999999999995</v>
      </c>
      <c r="K1193" t="s">
        <v>29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2060</v>
      </c>
      <c r="J1194">
        <v>13.05955</v>
      </c>
      <c r="K1194" t="s">
        <v>29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2065</v>
      </c>
      <c r="J1195">
        <v>12.338899999999999</v>
      </c>
      <c r="K1195" t="s">
        <v>29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2070</v>
      </c>
      <c r="J1196">
        <v>11.61825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2075</v>
      </c>
      <c r="J1197">
        <v>11.212400000000001</v>
      </c>
      <c r="K1197" t="s">
        <v>29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2080</v>
      </c>
      <c r="J1198">
        <v>10.8065</v>
      </c>
      <c r="K1198" t="s">
        <v>29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2085</v>
      </c>
      <c r="J1199">
        <v>10.06185</v>
      </c>
      <c r="K1199" t="s">
        <v>29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9.3171999999999997</v>
      </c>
      <c r="K1200" t="s">
        <v>29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2095</v>
      </c>
      <c r="J1201">
        <v>10.18595</v>
      </c>
      <c r="K1201" t="s">
        <v>29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2100</v>
      </c>
      <c r="J1202">
        <v>11.05475</v>
      </c>
      <c r="K1202" t="s">
        <v>29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5.2343000000000002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6.0677500000000002</v>
      </c>
      <c r="K1205" t="s">
        <v>29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8.3306499999999986</v>
      </c>
      <c r="K1206" t="s">
        <v>29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16.86035</v>
      </c>
      <c r="K1207" t="s">
        <v>29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22.537300000000002</v>
      </c>
      <c r="K1208" t="s">
        <v>29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21.625300000000003</v>
      </c>
      <c r="K1209" t="s">
        <v>29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20.022300000000001</v>
      </c>
      <c r="K1210" t="s">
        <v>29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34.522100000000002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34.848349999999996</v>
      </c>
      <c r="K1212" t="s">
        <v>29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35.174599999999998</v>
      </c>
      <c r="K1213" t="s">
        <v>29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34.450149999999994</v>
      </c>
      <c r="K1214" t="s">
        <v>29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33.725650000000002</v>
      </c>
      <c r="K1215" t="s">
        <v>29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35.534049999999993</v>
      </c>
      <c r="K1216" t="s">
        <v>29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37.342399999999998</v>
      </c>
      <c r="K1217" t="s">
        <v>29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41.003249999999994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2.2931499999999998</v>
      </c>
      <c r="K1221" t="s">
        <v>33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1.6815500000000001</v>
      </c>
      <c r="K1222" t="s">
        <v>33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1.4066000000000001</v>
      </c>
      <c r="K1223" t="s">
        <v>33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1.3738000000000001</v>
      </c>
      <c r="K1224" t="s">
        <v>33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1.4182999999999999</v>
      </c>
      <c r="K1225" t="s">
        <v>33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1.52275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1.3464499999999999</v>
      </c>
      <c r="K1227" t="s">
        <v>33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1.9051</v>
      </c>
      <c r="K1228" t="s">
        <v>33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1.8803999999999998</v>
      </c>
      <c r="K1229" t="s">
        <v>33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1.8557000000000001</v>
      </c>
      <c r="K1230" t="s">
        <v>33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1.85775</v>
      </c>
      <c r="K1231" t="s">
        <v>33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1.8597999999999999</v>
      </c>
      <c r="K1232" t="s">
        <v>33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1.8835500000000001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1.9073500000000001</v>
      </c>
      <c r="K1234" t="s">
        <v>33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1.81115</v>
      </c>
      <c r="K1235" t="s">
        <v>33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1.7150500000000002</v>
      </c>
      <c r="K1236" t="s">
        <v>33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2020</v>
      </c>
      <c r="J1237">
        <v>2.0344000000000002</v>
      </c>
      <c r="K1237" t="s">
        <v>33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2025</v>
      </c>
      <c r="J1238">
        <v>2.2243500000000003</v>
      </c>
      <c r="K1238" t="s">
        <v>33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2.2603</v>
      </c>
      <c r="K1239" t="s">
        <v>33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2035</v>
      </c>
      <c r="J1240">
        <v>2.3101000000000003</v>
      </c>
      <c r="K1240" t="s">
        <v>33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2040</v>
      </c>
      <c r="J1241">
        <v>2.3685499999999999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2045</v>
      </c>
      <c r="J1242">
        <v>2.4756</v>
      </c>
      <c r="K1242" t="s">
        <v>33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2050</v>
      </c>
      <c r="J1243">
        <v>2.7322500000000001</v>
      </c>
      <c r="K1243" t="s">
        <v>33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2055</v>
      </c>
      <c r="J1244">
        <v>2.6589499999999999</v>
      </c>
      <c r="K1244" t="s">
        <v>33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2060</v>
      </c>
      <c r="J1245">
        <v>3.4098000000000002</v>
      </c>
      <c r="K1245" t="s">
        <v>33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2065</v>
      </c>
      <c r="J1246">
        <v>3.5568999999999997</v>
      </c>
      <c r="K1246" t="s">
        <v>33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2070</v>
      </c>
      <c r="J1247">
        <v>3.7039</v>
      </c>
      <c r="K1247" t="s">
        <v>33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2075</v>
      </c>
      <c r="J1248">
        <v>3.8219000000000003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2080</v>
      </c>
      <c r="J1249">
        <v>3.9399000000000002</v>
      </c>
      <c r="K1249" t="s">
        <v>33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2085</v>
      </c>
      <c r="J1250">
        <v>4.0999499999999998</v>
      </c>
      <c r="K1250" t="s">
        <v>33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2090</v>
      </c>
      <c r="J1251">
        <v>4.2600999999999996</v>
      </c>
      <c r="K1251" t="s">
        <v>33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2095</v>
      </c>
      <c r="J1252">
        <v>4.2486499999999996</v>
      </c>
      <c r="K1252" t="s">
        <v>33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2100</v>
      </c>
      <c r="J1253">
        <v>4.2371499999999997</v>
      </c>
      <c r="K1253" t="s">
        <v>33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2.2243500000000003</v>
      </c>
      <c r="K1255" t="s">
        <v>33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2.2603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2.2969999999999997</v>
      </c>
      <c r="K1257" t="s">
        <v>33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1.8371</v>
      </c>
      <c r="K1258" t="s">
        <v>33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1.4248000000000001</v>
      </c>
      <c r="K1259" t="s">
        <v>33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1.53165</v>
      </c>
      <c r="K1260" t="s">
        <v>33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1.57935</v>
      </c>
      <c r="K1261" t="s">
        <v>33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2.1811500000000001</v>
      </c>
      <c r="K1262" t="s">
        <v>33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2.1503000000000001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2.1193999999999997</v>
      </c>
      <c r="K1264" t="s">
        <v>33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2.0685000000000002</v>
      </c>
      <c r="K1265" t="s">
        <v>33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2.0176500000000002</v>
      </c>
      <c r="K1266" t="s">
        <v>33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2.0796000000000001</v>
      </c>
      <c r="K1267" t="s">
        <v>33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2.1415499999999996</v>
      </c>
      <c r="K1268" t="s">
        <v>33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1.9457</v>
      </c>
      <c r="K1269" t="s">
        <v>33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1.7498</v>
      </c>
      <c r="K1270" t="s">
        <v>33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2020</v>
      </c>
      <c r="J1271">
        <v>2.0344000000000002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2025</v>
      </c>
      <c r="J1272">
        <v>2.2243500000000003</v>
      </c>
      <c r="K1272" t="s">
        <v>33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2030</v>
      </c>
      <c r="J1273">
        <v>2.2603</v>
      </c>
      <c r="K1273" t="s">
        <v>33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2035</v>
      </c>
      <c r="J1274">
        <v>2.2480000000000002</v>
      </c>
      <c r="K1274" t="s">
        <v>33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2040</v>
      </c>
      <c r="J1275">
        <v>1.7654000000000001</v>
      </c>
      <c r="K1275" t="s">
        <v>33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2045</v>
      </c>
      <c r="J1276">
        <v>1.5163500000000001</v>
      </c>
      <c r="K1276" t="s">
        <v>33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2050</v>
      </c>
      <c r="J1277">
        <v>1.7825</v>
      </c>
      <c r="K1277" t="s">
        <v>33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2055</v>
      </c>
      <c r="J1278">
        <v>1.5321500000000001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2065</v>
      </c>
      <c r="J1280">
        <v>2.2705000000000002</v>
      </c>
      <c r="K1280" t="s">
        <v>33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2070</v>
      </c>
      <c r="J1281">
        <v>2.2568000000000001</v>
      </c>
      <c r="K1281" t="s">
        <v>33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2.2270000000000003</v>
      </c>
      <c r="K1282" t="s">
        <v>33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2080</v>
      </c>
      <c r="J1283">
        <v>2.1972499999999999</v>
      </c>
      <c r="K1283" t="s">
        <v>33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2085</v>
      </c>
      <c r="J1284">
        <v>2.1886000000000001</v>
      </c>
      <c r="K1284" t="s">
        <v>33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2090</v>
      </c>
      <c r="J1285">
        <v>2.1798999999999999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2095</v>
      </c>
      <c r="J1286">
        <v>2.117</v>
      </c>
      <c r="K1286" t="s">
        <v>33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2100</v>
      </c>
      <c r="J1287">
        <v>2.0540000000000003</v>
      </c>
      <c r="K1287" t="s">
        <v>33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2020</v>
      </c>
      <c r="J1288">
        <v>2.0344000000000002</v>
      </c>
      <c r="K1288" t="s">
        <v>33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2025</v>
      </c>
      <c r="J1289">
        <v>2.3917000000000002</v>
      </c>
      <c r="K1289" t="s">
        <v>33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2030</v>
      </c>
      <c r="J1290">
        <v>1.6132</v>
      </c>
      <c r="K1290" t="s">
        <v>33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2035</v>
      </c>
      <c r="J1291">
        <v>1.1793999999999998</v>
      </c>
      <c r="K1291" t="s">
        <v>33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2040</v>
      </c>
      <c r="J1292">
        <v>1.33395</v>
      </c>
      <c r="K1292" t="s">
        <v>33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2045</v>
      </c>
      <c r="J1293">
        <v>1.2519499999999999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2050</v>
      </c>
      <c r="J1294">
        <v>1.59405</v>
      </c>
      <c r="K1294" t="s">
        <v>33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2055</v>
      </c>
      <c r="J1295">
        <v>1.51485</v>
      </c>
      <c r="K1295" t="s">
        <v>33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2060</v>
      </c>
      <c r="J1296">
        <v>1.5146000000000002</v>
      </c>
      <c r="K1296" t="s">
        <v>33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2065</v>
      </c>
      <c r="J1297">
        <v>1.63405</v>
      </c>
      <c r="K1297" t="s">
        <v>33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2070</v>
      </c>
      <c r="J1298">
        <v>1.7535500000000002</v>
      </c>
      <c r="K1298" t="s">
        <v>33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1.8342499999999999</v>
      </c>
      <c r="K1299" t="s">
        <v>33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2080</v>
      </c>
      <c r="J1300">
        <v>1.9149500000000002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2085</v>
      </c>
      <c r="J1301">
        <v>1.8938000000000001</v>
      </c>
      <c r="K1301" t="s">
        <v>33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2090</v>
      </c>
      <c r="J1302">
        <v>1.8727</v>
      </c>
      <c r="K1302" t="s">
        <v>33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2095</v>
      </c>
      <c r="J1303">
        <v>1.7038500000000001</v>
      </c>
      <c r="K1303" t="s">
        <v>33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2100</v>
      </c>
      <c r="J1304">
        <v>1.53505</v>
      </c>
      <c r="K1304" t="s">
        <v>33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2020</v>
      </c>
      <c r="J1305">
        <v>2.0344000000000002</v>
      </c>
      <c r="K1305" t="s">
        <v>33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2025</v>
      </c>
      <c r="J1306">
        <v>2.1265499999999999</v>
      </c>
      <c r="K1306" t="s">
        <v>33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2030</v>
      </c>
      <c r="J1307">
        <v>2.0793499999999998</v>
      </c>
      <c r="K1307" t="s">
        <v>33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2035</v>
      </c>
      <c r="J1308">
        <v>2.0721499999999997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2040</v>
      </c>
      <c r="J1309">
        <v>1.9228499999999999</v>
      </c>
      <c r="K1309" t="s">
        <v>33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2045</v>
      </c>
      <c r="J1310">
        <v>1.8179000000000001</v>
      </c>
      <c r="K1310" t="s">
        <v>33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2050</v>
      </c>
      <c r="J1311">
        <v>1.8801999999999999</v>
      </c>
      <c r="K1311" t="s">
        <v>33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2055</v>
      </c>
      <c r="J1312">
        <v>1.8517000000000001</v>
      </c>
      <c r="K1312" t="s">
        <v>33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2060</v>
      </c>
      <c r="J1313">
        <v>2.3400499999999997</v>
      </c>
      <c r="K1313" t="s">
        <v>33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2065</v>
      </c>
      <c r="J1314">
        <v>2.2040999999999999</v>
      </c>
      <c r="K1314" t="s">
        <v>33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2070</v>
      </c>
      <c r="J1315">
        <v>2.0681500000000002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2075</v>
      </c>
      <c r="J1316">
        <v>2.1757499999999999</v>
      </c>
      <c r="K1316" t="s">
        <v>33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2080</v>
      </c>
      <c r="J1317">
        <v>2.28335</v>
      </c>
      <c r="K1317" t="s">
        <v>33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2085</v>
      </c>
      <c r="J1318">
        <v>2.29</v>
      </c>
      <c r="K1318" t="s">
        <v>33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2.2967</v>
      </c>
      <c r="K1319" t="s">
        <v>33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2095</v>
      </c>
      <c r="J1320">
        <v>2.3285</v>
      </c>
      <c r="K1320" t="s">
        <v>33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2100</v>
      </c>
      <c r="J1321">
        <v>2.3602499999999997</v>
      </c>
      <c r="K1321" t="s">
        <v>33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2020</v>
      </c>
      <c r="J1322">
        <v>2.0344000000000002</v>
      </c>
      <c r="K1322" t="s">
        <v>33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2025</v>
      </c>
      <c r="J1323">
        <v>2.6320999999999999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2030</v>
      </c>
      <c r="J1324">
        <v>1.7697500000000002</v>
      </c>
      <c r="K1324" t="s">
        <v>33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2035</v>
      </c>
      <c r="J1325">
        <v>1.43615</v>
      </c>
      <c r="K1325" t="s">
        <v>33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2040</v>
      </c>
      <c r="J1326">
        <v>1.3690500000000001</v>
      </c>
      <c r="K1326" t="s">
        <v>33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2045</v>
      </c>
      <c r="J1327">
        <v>1.4416</v>
      </c>
      <c r="K1327" t="s">
        <v>33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2050</v>
      </c>
      <c r="J1328">
        <v>1.7387999999999999</v>
      </c>
      <c r="K1328" t="s">
        <v>33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2055</v>
      </c>
      <c r="J1329">
        <v>1.66615</v>
      </c>
      <c r="K1329" t="s">
        <v>33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2060</v>
      </c>
      <c r="J1330">
        <v>1.8959000000000001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2065</v>
      </c>
      <c r="J1331">
        <v>1.9075500000000001</v>
      </c>
      <c r="K1331" t="s">
        <v>33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2070</v>
      </c>
      <c r="J1332">
        <v>1.9191499999999999</v>
      </c>
      <c r="K1332" t="s">
        <v>33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2075</v>
      </c>
      <c r="J1333">
        <v>2.0170500000000002</v>
      </c>
      <c r="K1333" t="s">
        <v>33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2080</v>
      </c>
      <c r="J1334">
        <v>2.1149</v>
      </c>
      <c r="K1334" t="s">
        <v>33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2085</v>
      </c>
      <c r="J1335">
        <v>2.0994000000000002</v>
      </c>
      <c r="K1335" t="s">
        <v>33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2090</v>
      </c>
      <c r="J1336">
        <v>2.0839499999999997</v>
      </c>
      <c r="K1336" t="s">
        <v>33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2095</v>
      </c>
      <c r="J1337">
        <v>1.94255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2025</v>
      </c>
      <c r="J1340">
        <v>4.6235499999999998</v>
      </c>
      <c r="K1340" t="s">
        <v>35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2030</v>
      </c>
      <c r="J1341">
        <v>4.5418000000000003</v>
      </c>
      <c r="K1341" t="s">
        <v>35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2035</v>
      </c>
      <c r="J1342">
        <v>5.2576499999999999</v>
      </c>
      <c r="K1342" t="s">
        <v>35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2040</v>
      </c>
      <c r="J1343">
        <v>5.1192500000000001</v>
      </c>
      <c r="K1343" t="s">
        <v>35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2045</v>
      </c>
      <c r="J1344">
        <v>4.8432000000000004</v>
      </c>
      <c r="K1344" t="s">
        <v>35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2050</v>
      </c>
      <c r="J1345">
        <v>4.8777499999999998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2055</v>
      </c>
      <c r="J1346">
        <v>4.5329499999999996</v>
      </c>
      <c r="K1346" t="s">
        <v>35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2060</v>
      </c>
      <c r="J1347">
        <v>5.8452000000000002</v>
      </c>
      <c r="K1347" t="s">
        <v>35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2065</v>
      </c>
      <c r="J1348">
        <v>5.5266999999999999</v>
      </c>
      <c r="K1348" t="s">
        <v>35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2070</v>
      </c>
      <c r="J1349">
        <v>5.2081999999999997</v>
      </c>
      <c r="K1349" t="s">
        <v>35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2075</v>
      </c>
      <c r="J1350">
        <v>5.0817499999999995</v>
      </c>
      <c r="K1350" t="s">
        <v>35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2080</v>
      </c>
      <c r="J1351">
        <v>4.9551999999999996</v>
      </c>
      <c r="K1351" t="s">
        <v>35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2085</v>
      </c>
      <c r="J1352">
        <v>5.0263999999999998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2090</v>
      </c>
      <c r="J1353">
        <v>5.0976499999999998</v>
      </c>
      <c r="K1353" t="s">
        <v>35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2095</v>
      </c>
      <c r="J1354">
        <v>5.0595999999999997</v>
      </c>
      <c r="K1354" t="s">
        <v>35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2100</v>
      </c>
      <c r="J1355">
        <v>5.0215499999999995</v>
      </c>
      <c r="K1355" t="s">
        <v>35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2020</v>
      </c>
      <c r="J1356">
        <v>3.9710999999999999</v>
      </c>
      <c r="K1356" t="s">
        <v>35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2025</v>
      </c>
      <c r="J1357">
        <v>4.6684000000000001</v>
      </c>
      <c r="K1357" t="s">
        <v>35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4.6098499999999998</v>
      </c>
      <c r="K1358" t="s">
        <v>35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2035</v>
      </c>
      <c r="J1359">
        <v>4.9910999999999994</v>
      </c>
      <c r="K1359" t="s">
        <v>35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2040</v>
      </c>
      <c r="J1360">
        <v>5.2395999999999994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2045</v>
      </c>
      <c r="J1361">
        <v>5.4906499999999996</v>
      </c>
      <c r="K1361" t="s">
        <v>35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2050</v>
      </c>
      <c r="J1362">
        <v>5.7312499999999993</v>
      </c>
      <c r="K1362" t="s">
        <v>35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2055</v>
      </c>
      <c r="J1363">
        <v>5.6654</v>
      </c>
      <c r="K1363" t="s">
        <v>35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2060</v>
      </c>
      <c r="J1364">
        <v>6.6663999999999994</v>
      </c>
      <c r="K1364" t="s">
        <v>35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2065</v>
      </c>
      <c r="J1365">
        <v>6.5385</v>
      </c>
      <c r="K1365" t="s">
        <v>35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2070</v>
      </c>
      <c r="J1366">
        <v>6.4105500000000006</v>
      </c>
      <c r="K1366" t="s">
        <v>35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2075</v>
      </c>
      <c r="J1367">
        <v>6.6208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2080</v>
      </c>
      <c r="J1368">
        <v>6.8310500000000003</v>
      </c>
      <c r="K1368" t="s">
        <v>35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2085</v>
      </c>
      <c r="J1369">
        <v>7.0742500000000001</v>
      </c>
      <c r="K1369" t="s">
        <v>35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2090</v>
      </c>
      <c r="J1370">
        <v>7.31745</v>
      </c>
      <c r="K1370" t="s">
        <v>35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2095</v>
      </c>
      <c r="J1371">
        <v>7.4690499999999993</v>
      </c>
      <c r="K1371" t="s">
        <v>35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2100</v>
      </c>
      <c r="J1372">
        <v>7.6207000000000003</v>
      </c>
      <c r="K1372" t="s">
        <v>35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2020</v>
      </c>
      <c r="J1373">
        <v>3.9710999999999999</v>
      </c>
      <c r="K1373" t="s">
        <v>35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2025</v>
      </c>
      <c r="J1374">
        <v>4.6684000000000001</v>
      </c>
      <c r="K1374" t="s">
        <v>35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4.6098499999999998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2035</v>
      </c>
      <c r="J1376">
        <v>5.7725000000000009</v>
      </c>
      <c r="K1376" t="s">
        <v>35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2040</v>
      </c>
      <c r="J1377">
        <v>5.3309499999999996</v>
      </c>
      <c r="K1377" t="s">
        <v>35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4.7379999999999995</v>
      </c>
      <c r="K1378" t="s">
        <v>35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2050</v>
      </c>
      <c r="J1379">
        <v>4.1950500000000002</v>
      </c>
      <c r="K1379" t="s">
        <v>35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2055</v>
      </c>
      <c r="J1380">
        <v>4.3904499999999995</v>
      </c>
      <c r="K1380" t="s">
        <v>35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2060</v>
      </c>
      <c r="J1381">
        <v>5.1861999999999995</v>
      </c>
      <c r="K1381" t="s">
        <v>35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2065</v>
      </c>
      <c r="J1382">
        <v>5.0748999999999995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4.9635999999999996</v>
      </c>
      <c r="K1383" t="s">
        <v>35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2075</v>
      </c>
      <c r="J1384">
        <v>5.0854999999999997</v>
      </c>
      <c r="K1384" t="s">
        <v>35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5.2074499999999997</v>
      </c>
      <c r="K1385" t="s">
        <v>35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2085</v>
      </c>
      <c r="J1386">
        <v>5.1766000000000005</v>
      </c>
      <c r="K1386" t="s">
        <v>35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2090</v>
      </c>
      <c r="J1387">
        <v>5.1458000000000004</v>
      </c>
      <c r="K1387" t="s">
        <v>35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2095</v>
      </c>
      <c r="J1388">
        <v>5.0733999999999995</v>
      </c>
      <c r="K1388" t="s">
        <v>35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2100</v>
      </c>
      <c r="J1389">
        <v>5.0011000000000001</v>
      </c>
      <c r="K1389" t="s">
        <v>35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2020</v>
      </c>
      <c r="J1390">
        <v>3.9710999999999999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2025</v>
      </c>
      <c r="J1391">
        <v>4.6684000000000001</v>
      </c>
      <c r="K1391" t="s">
        <v>35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2030</v>
      </c>
      <c r="J1392">
        <v>4.6098499999999998</v>
      </c>
      <c r="K1392" t="s">
        <v>35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2035</v>
      </c>
      <c r="J1393">
        <v>5.0059500000000003</v>
      </c>
      <c r="K1393" t="s">
        <v>35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2040</v>
      </c>
      <c r="J1394">
        <v>5.21265</v>
      </c>
      <c r="K1394" t="s">
        <v>35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2045</v>
      </c>
      <c r="J1395">
        <v>5.5383499999999994</v>
      </c>
      <c r="K1395" t="s">
        <v>35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2050</v>
      </c>
      <c r="J1396">
        <v>5.4856999999999996</v>
      </c>
      <c r="K1396" t="s">
        <v>35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2055</v>
      </c>
      <c r="J1397">
        <v>4.8427000000000007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2065</v>
      </c>
      <c r="J1399">
        <v>5.65855</v>
      </c>
      <c r="K1399" t="s">
        <v>35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2070</v>
      </c>
      <c r="J1400">
        <v>5.4417</v>
      </c>
      <c r="K1400" t="s">
        <v>35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2075</v>
      </c>
      <c r="J1401">
        <v>5.4064499999999995</v>
      </c>
      <c r="K1401" t="s">
        <v>35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2080</v>
      </c>
      <c r="J1402">
        <v>5.3712499999999999</v>
      </c>
      <c r="K1402" t="s">
        <v>35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2085</v>
      </c>
      <c r="J1403">
        <v>5.36965</v>
      </c>
      <c r="K1403" t="s">
        <v>35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2090</v>
      </c>
      <c r="J1404">
        <v>5.3680500000000002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2095</v>
      </c>
      <c r="J1405">
        <v>5.4055999999999997</v>
      </c>
      <c r="K1405" t="s">
        <v>35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2100</v>
      </c>
      <c r="J1406">
        <v>5.4432</v>
      </c>
      <c r="K1406" t="s">
        <v>35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2020</v>
      </c>
      <c r="J1407">
        <v>3.9710999999999999</v>
      </c>
      <c r="K1407" t="s">
        <v>35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2025</v>
      </c>
      <c r="J1408">
        <v>4.6830999999999996</v>
      </c>
      <c r="K1408" t="s">
        <v>35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4.3525</v>
      </c>
      <c r="K1409" t="s">
        <v>35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2035</v>
      </c>
      <c r="J1410">
        <v>5.21875</v>
      </c>
      <c r="K1410" t="s">
        <v>35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2040</v>
      </c>
      <c r="J1411">
        <v>4.6886000000000001</v>
      </c>
      <c r="K1411" t="s">
        <v>35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2045</v>
      </c>
      <c r="J1412">
        <v>4.0944000000000003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2050</v>
      </c>
      <c r="J1413">
        <v>4.16275</v>
      </c>
      <c r="K1413" t="s">
        <v>35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2055</v>
      </c>
      <c r="J1414">
        <v>4.0207499999999996</v>
      </c>
      <c r="K1414" t="s">
        <v>35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2060</v>
      </c>
      <c r="J1415">
        <v>5.0639500000000002</v>
      </c>
      <c r="K1415" t="s">
        <v>35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2065</v>
      </c>
      <c r="J1416">
        <v>5.1820000000000004</v>
      </c>
      <c r="K1416" t="s">
        <v>35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2070</v>
      </c>
      <c r="J1417">
        <v>5.3000500000000006</v>
      </c>
      <c r="K1417" t="s">
        <v>35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5.1056999999999997</v>
      </c>
      <c r="K1418" t="s">
        <v>35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2080</v>
      </c>
      <c r="J1419">
        <v>4.9113500000000005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2085</v>
      </c>
      <c r="J1420">
        <v>4.8847000000000005</v>
      </c>
      <c r="K1420" t="s">
        <v>35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2090</v>
      </c>
      <c r="J1421">
        <v>4.8580500000000004</v>
      </c>
      <c r="K1421" t="s">
        <v>35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2095</v>
      </c>
      <c r="J1422">
        <v>4.3528500000000001</v>
      </c>
      <c r="K1422" t="s">
        <v>35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2100</v>
      </c>
      <c r="J1423">
        <v>3.8476499999999998</v>
      </c>
      <c r="K1423" t="s">
        <v>35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2020</v>
      </c>
      <c r="J1424">
        <v>3.9710999999999999</v>
      </c>
      <c r="K1424" t="s">
        <v>35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2025</v>
      </c>
      <c r="J1425">
        <v>4.5302500000000006</v>
      </c>
      <c r="K1425" t="s">
        <v>35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2030</v>
      </c>
      <c r="J1426">
        <v>4.2876500000000002</v>
      </c>
      <c r="K1426" t="s">
        <v>35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2035</v>
      </c>
      <c r="J1427">
        <v>4.73515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2040</v>
      </c>
      <c r="J1428">
        <v>5.0500000000000007</v>
      </c>
      <c r="K1428" t="s">
        <v>35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2045</v>
      </c>
      <c r="J1429">
        <v>5.3989500000000001</v>
      </c>
      <c r="K1429" t="s">
        <v>35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2050</v>
      </c>
      <c r="J1430">
        <v>5.3637499999999996</v>
      </c>
      <c r="K1430" t="s">
        <v>35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2055</v>
      </c>
      <c r="J1431">
        <v>5.03695</v>
      </c>
      <c r="K1431" t="s">
        <v>35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2060</v>
      </c>
      <c r="J1432">
        <v>6.1361500000000007</v>
      </c>
      <c r="K1432" t="s">
        <v>35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2065</v>
      </c>
      <c r="J1433">
        <v>5.9593500000000006</v>
      </c>
      <c r="K1433" t="s">
        <v>35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2070</v>
      </c>
      <c r="J1434">
        <v>5.7826500000000003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2075</v>
      </c>
      <c r="J1435">
        <v>5.7862499999999999</v>
      </c>
      <c r="K1435" t="s">
        <v>35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2080</v>
      </c>
      <c r="J1436">
        <v>5.7898499999999995</v>
      </c>
      <c r="K1436" t="s">
        <v>35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2085</v>
      </c>
      <c r="J1437">
        <v>5.8544</v>
      </c>
      <c r="K1437" t="s">
        <v>35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5.9189499999999997</v>
      </c>
      <c r="K1438" t="s">
        <v>35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2095</v>
      </c>
      <c r="J1439">
        <v>5.9424000000000001</v>
      </c>
      <c r="K1439" t="s">
        <v>35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2100</v>
      </c>
      <c r="J1440">
        <v>5.9658999999999995</v>
      </c>
      <c r="K1440" t="s">
        <v>35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2020</v>
      </c>
      <c r="J1441">
        <v>3.9710999999999999</v>
      </c>
      <c r="K1441" t="s">
        <v>35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2025</v>
      </c>
      <c r="J1442">
        <v>5.1760999999999999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2030</v>
      </c>
      <c r="J1443">
        <v>5.5630500000000005</v>
      </c>
      <c r="K1443" t="s">
        <v>35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2035</v>
      </c>
      <c r="J1444">
        <v>5.8599999999999994</v>
      </c>
      <c r="K1444" t="s">
        <v>35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2040</v>
      </c>
      <c r="J1445">
        <v>5.8657500000000002</v>
      </c>
      <c r="K1445" t="s">
        <v>35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2045</v>
      </c>
      <c r="J1446">
        <v>4.9245999999999999</v>
      </c>
      <c r="K1446" t="s">
        <v>35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2050</v>
      </c>
      <c r="J1447">
        <v>4.4139499999999998</v>
      </c>
      <c r="K1447" t="s">
        <v>35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2055</v>
      </c>
      <c r="J1448">
        <v>4.5674000000000001</v>
      </c>
      <c r="K1448" t="s">
        <v>35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2060</v>
      </c>
      <c r="J1449">
        <v>5.5579999999999998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2065</v>
      </c>
      <c r="J1450">
        <v>5.8658999999999999</v>
      </c>
      <c r="K1450" t="s">
        <v>35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2070</v>
      </c>
      <c r="J1451">
        <v>6.1738</v>
      </c>
      <c r="K1451" t="s">
        <v>35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2075</v>
      </c>
      <c r="J1452">
        <v>6.0717999999999996</v>
      </c>
      <c r="K1452" t="s">
        <v>35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5.9697999999999993</v>
      </c>
      <c r="K1453" t="s">
        <v>35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2085</v>
      </c>
      <c r="J1454">
        <v>5.8603500000000004</v>
      </c>
      <c r="K1454" t="s">
        <v>35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2090</v>
      </c>
      <c r="J1455">
        <v>5.7508499999999998</v>
      </c>
      <c r="K1455" t="s">
        <v>35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2095</v>
      </c>
      <c r="J1456">
        <v>5.3330500000000001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74.293300000000002</v>
      </c>
      <c r="K1458" t="s">
        <v>37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2025</v>
      </c>
      <c r="J1459">
        <v>100.63615</v>
      </c>
      <c r="K1459" t="s">
        <v>37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2030</v>
      </c>
      <c r="J1460">
        <v>81.908249999999995</v>
      </c>
      <c r="K1460" t="s">
        <v>37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2035</v>
      </c>
      <c r="J1461">
        <v>82.091899999999995</v>
      </c>
      <c r="K1461" t="s">
        <v>37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2040</v>
      </c>
      <c r="J1462">
        <v>90.412750000000003</v>
      </c>
      <c r="K1462" t="s">
        <v>37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2045</v>
      </c>
      <c r="J1463">
        <v>92.622399999999999</v>
      </c>
      <c r="K1463" t="s">
        <v>37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2050</v>
      </c>
      <c r="J1464">
        <v>118.21475000000001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2055</v>
      </c>
      <c r="J1465">
        <v>134.30709999999999</v>
      </c>
      <c r="K1465" t="s">
        <v>37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2060</v>
      </c>
      <c r="J1466">
        <v>201.67599999999999</v>
      </c>
      <c r="K1466" t="s">
        <v>37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2065</v>
      </c>
      <c r="J1467">
        <v>245.5926</v>
      </c>
      <c r="K1467" t="s">
        <v>37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2070</v>
      </c>
      <c r="J1468">
        <v>289.50925000000001</v>
      </c>
      <c r="K1468" t="s">
        <v>37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2075</v>
      </c>
      <c r="J1469">
        <v>302.67869999999999</v>
      </c>
      <c r="K1469" t="s">
        <v>37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2080</v>
      </c>
      <c r="J1470">
        <v>315.84815000000003</v>
      </c>
      <c r="K1470" t="s">
        <v>37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2085</v>
      </c>
      <c r="J1471">
        <v>335.00319999999999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2090</v>
      </c>
      <c r="J1472">
        <v>354.15820000000002</v>
      </c>
      <c r="K1472" t="s">
        <v>37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2095</v>
      </c>
      <c r="J1473">
        <v>369.08179999999999</v>
      </c>
      <c r="K1473" t="s">
        <v>37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384.00545</v>
      </c>
      <c r="K1474" t="s">
        <v>37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2020</v>
      </c>
      <c r="J1475">
        <v>74.293300000000002</v>
      </c>
      <c r="K1475" t="s">
        <v>37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2025</v>
      </c>
      <c r="J1476">
        <v>100.30600000000001</v>
      </c>
      <c r="K1476" t="s">
        <v>37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87.748149999999995</v>
      </c>
      <c r="K1477" t="s">
        <v>37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2035</v>
      </c>
      <c r="J1478">
        <v>75.25415000000001</v>
      </c>
      <c r="K1478" t="s">
        <v>37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2040</v>
      </c>
      <c r="J1479">
        <v>88.014600000000002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2045</v>
      </c>
      <c r="J1480">
        <v>99.351500000000001</v>
      </c>
      <c r="K1480" t="s">
        <v>37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2050</v>
      </c>
      <c r="J1481">
        <v>113.07419999999999</v>
      </c>
      <c r="K1481" t="s">
        <v>37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2055</v>
      </c>
      <c r="J1482">
        <v>122.97499999999999</v>
      </c>
      <c r="K1482" t="s">
        <v>37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2060</v>
      </c>
      <c r="J1483">
        <v>190.70265000000001</v>
      </c>
      <c r="K1483" t="s">
        <v>37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2065</v>
      </c>
      <c r="J1484">
        <v>229.70760000000001</v>
      </c>
      <c r="K1484" t="s">
        <v>37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2070</v>
      </c>
      <c r="J1485">
        <v>268.71249999999998</v>
      </c>
      <c r="K1485" t="s">
        <v>37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2075</v>
      </c>
      <c r="J1486">
        <v>265.19815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2080</v>
      </c>
      <c r="J1487">
        <v>261.68380000000002</v>
      </c>
      <c r="K1487" t="s">
        <v>37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265.56029999999998</v>
      </c>
      <c r="K1488" t="s">
        <v>37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2090</v>
      </c>
      <c r="J1489">
        <v>269.43680000000001</v>
      </c>
      <c r="K1489" t="s">
        <v>37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2095</v>
      </c>
      <c r="J1490">
        <v>284.58394999999996</v>
      </c>
      <c r="K1490" t="s">
        <v>37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2100</v>
      </c>
      <c r="J1491">
        <v>299.73109999999997</v>
      </c>
      <c r="K1491" t="s">
        <v>37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74.293300000000002</v>
      </c>
      <c r="K1492" t="s">
        <v>37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100.30600000000001</v>
      </c>
      <c r="K1493" t="s">
        <v>37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87.748149999999995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53.174350000000004</v>
      </c>
      <c r="K1495" t="s">
        <v>37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98.822400000000002</v>
      </c>
      <c r="K1496" t="s">
        <v>37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124.02510000000001</v>
      </c>
      <c r="K1497" t="s">
        <v>37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126.8229</v>
      </c>
      <c r="K1498" t="s">
        <v>37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165.49815000000001</v>
      </c>
      <c r="K1499" t="s">
        <v>37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255.15105</v>
      </c>
      <c r="K1500" t="s">
        <v>37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328.15460000000002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401.15819999999997</v>
      </c>
      <c r="K1502" t="s">
        <v>37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417.14115000000004</v>
      </c>
      <c r="K1503" t="s">
        <v>37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433.12400000000002</v>
      </c>
      <c r="K1504" t="s">
        <v>37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425.41969999999998</v>
      </c>
      <c r="K1505" t="s">
        <v>37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417.71535</v>
      </c>
      <c r="K1506" t="s">
        <v>37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447.65665000000001</v>
      </c>
      <c r="K1507" t="s">
        <v>37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477.59789999999998</v>
      </c>
      <c r="K1508" t="s">
        <v>37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2020</v>
      </c>
      <c r="J1509">
        <v>74.293300000000002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2025</v>
      </c>
      <c r="J1510">
        <v>100.30600000000001</v>
      </c>
      <c r="K1510" t="s">
        <v>37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2030</v>
      </c>
      <c r="J1511">
        <v>87.748149999999995</v>
      </c>
      <c r="K1511" t="s">
        <v>37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2035</v>
      </c>
      <c r="J1512">
        <v>55.533199999999994</v>
      </c>
      <c r="K1512" t="s">
        <v>37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2040</v>
      </c>
      <c r="J1513">
        <v>92.234800000000007</v>
      </c>
      <c r="K1513" t="s">
        <v>37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2045</v>
      </c>
      <c r="J1514">
        <v>108.12045000000001</v>
      </c>
      <c r="K1514" t="s">
        <v>37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2050</v>
      </c>
      <c r="J1515">
        <v>119.68615</v>
      </c>
      <c r="K1515" t="s">
        <v>37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2055</v>
      </c>
      <c r="J1516">
        <v>141.904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197.09139999999999</v>
      </c>
      <c r="K1517" t="s">
        <v>37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2065</v>
      </c>
      <c r="J1518">
        <v>243.62145000000001</v>
      </c>
      <c r="K1518" t="s">
        <v>37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2070</v>
      </c>
      <c r="J1519">
        <v>290.15139999999997</v>
      </c>
      <c r="K1519" t="s">
        <v>37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2075</v>
      </c>
      <c r="J1520">
        <v>290.75750000000005</v>
      </c>
      <c r="K1520" t="s">
        <v>37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2080</v>
      </c>
      <c r="J1521">
        <v>291.36365000000001</v>
      </c>
      <c r="K1521" t="s">
        <v>37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2085</v>
      </c>
      <c r="J1522">
        <v>295.18164999999999</v>
      </c>
      <c r="K1522" t="s">
        <v>37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2090</v>
      </c>
      <c r="J1523">
        <v>298.99959999999999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2095</v>
      </c>
      <c r="J1524">
        <v>316.91060000000004</v>
      </c>
      <c r="K1524" t="s">
        <v>37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2100</v>
      </c>
      <c r="J1525">
        <v>334.82159999999999</v>
      </c>
      <c r="K1525" t="s">
        <v>37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74.293300000000002</v>
      </c>
      <c r="K1526" t="s">
        <v>37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34.24015</v>
      </c>
      <c r="K1527" t="s">
        <v>37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35.952500000000001</v>
      </c>
      <c r="K1528" t="s">
        <v>37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2.30355</v>
      </c>
      <c r="K1529" t="s">
        <v>37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1.4838499999999999</v>
      </c>
      <c r="K1530" t="s">
        <v>37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3.6307999999999998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1.2467999999999999</v>
      </c>
      <c r="K1532" t="s">
        <v>37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78.421099999999996</v>
      </c>
      <c r="K1533" t="s">
        <v>37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130.8836</v>
      </c>
      <c r="K1534" t="s">
        <v>37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163.33404999999999</v>
      </c>
      <c r="K1535" t="s">
        <v>37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195.78455</v>
      </c>
      <c r="K1536" t="s">
        <v>37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196.56639999999999</v>
      </c>
      <c r="K1537" t="s">
        <v>37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197.34829999999999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182.1729</v>
      </c>
      <c r="K1539" t="s">
        <v>37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166.9975</v>
      </c>
      <c r="K1540" t="s">
        <v>37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195.20920000000001</v>
      </c>
      <c r="K1541" t="s">
        <v>37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223.42089999999999</v>
      </c>
      <c r="K1542" t="s">
        <v>37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2020</v>
      </c>
      <c r="J1543">
        <v>74.293300000000002</v>
      </c>
      <c r="K1543" t="s">
        <v>37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2025</v>
      </c>
      <c r="J1544">
        <v>92.331250000000011</v>
      </c>
      <c r="K1544" t="s">
        <v>37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2030</v>
      </c>
      <c r="J1545">
        <v>89.640350000000012</v>
      </c>
      <c r="K1545" t="s">
        <v>37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2035</v>
      </c>
      <c r="J1546">
        <v>92.385500000000008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2040</v>
      </c>
      <c r="J1547">
        <v>105.3052</v>
      </c>
      <c r="K1547" t="s">
        <v>37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2045</v>
      </c>
      <c r="J1548">
        <v>110.38435</v>
      </c>
      <c r="K1548" t="s">
        <v>37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2050</v>
      </c>
      <c r="J1549">
        <v>127.7315</v>
      </c>
      <c r="K1549" t="s">
        <v>37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2055</v>
      </c>
      <c r="J1550">
        <v>145.02255</v>
      </c>
      <c r="K1550" t="s">
        <v>37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2060</v>
      </c>
      <c r="J1551">
        <v>225.43959999999998</v>
      </c>
      <c r="K1551" t="s">
        <v>37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2065</v>
      </c>
      <c r="J1552">
        <v>263.71559999999999</v>
      </c>
      <c r="K1552" t="s">
        <v>37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2070</v>
      </c>
      <c r="J1553">
        <v>301.99164999999999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2075</v>
      </c>
      <c r="J1554">
        <v>308.05250000000001</v>
      </c>
      <c r="K1554" t="s">
        <v>37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2080</v>
      </c>
      <c r="J1555">
        <v>314.11329999999998</v>
      </c>
      <c r="K1555" t="s">
        <v>37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2085</v>
      </c>
      <c r="J1556">
        <v>301.22140000000002</v>
      </c>
      <c r="K1556" t="s">
        <v>37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288.32939999999996</v>
      </c>
      <c r="K1557" t="s">
        <v>37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2095</v>
      </c>
      <c r="J1558">
        <v>310.99599999999998</v>
      </c>
      <c r="K1558" t="s">
        <v>37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2100</v>
      </c>
      <c r="J1559">
        <v>333.66264999999999</v>
      </c>
      <c r="K1559" t="s">
        <v>37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74.293300000000002</v>
      </c>
      <c r="K1560" t="s">
        <v>37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92.347399999999993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86.640299999999996</v>
      </c>
      <c r="K1562" t="s">
        <v>37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92.847549999999998</v>
      </c>
      <c r="K1563" t="s">
        <v>37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92.438450000000003</v>
      </c>
      <c r="K1564" t="s">
        <v>37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98.306749999999994</v>
      </c>
      <c r="K1565" t="s">
        <v>37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108.36574999999999</v>
      </c>
      <c r="K1566" t="s">
        <v>37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147.73585</v>
      </c>
      <c r="K1567" t="s">
        <v>37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225.85429999999999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280.27679999999998</v>
      </c>
      <c r="K1569" t="s">
        <v>37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334.69920000000002</v>
      </c>
      <c r="K1570" t="s">
        <v>37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329.38329999999996</v>
      </c>
      <c r="K1571" t="s">
        <v>37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324.06735000000003</v>
      </c>
      <c r="K1572" t="s">
        <v>37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320.14305000000002</v>
      </c>
      <c r="K1573" t="s">
        <v>37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316.21875</v>
      </c>
      <c r="K1574" t="s">
        <v>37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370.82939999999996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425.44004999999999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-20.73715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-11.90795</v>
      </c>
      <c r="K1578" t="s">
        <v>48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-28.404200000000003</v>
      </c>
      <c r="K1579" t="s">
        <v>48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-43.381599999999999</v>
      </c>
      <c r="K1580" t="s">
        <v>48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-56.189400000000006</v>
      </c>
      <c r="K1581" t="s">
        <v>48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-62.978999999999999</v>
      </c>
      <c r="K1582" t="s">
        <v>48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-64.54965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-63.445799999999998</v>
      </c>
      <c r="K1584" t="s">
        <v>48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-61.793549999999996</v>
      </c>
      <c r="K1585" t="s">
        <v>48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-61.889850000000003</v>
      </c>
      <c r="K1586" t="s">
        <v>48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-61.932500000000005</v>
      </c>
      <c r="K1587" t="s">
        <v>48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-61.886700000000005</v>
      </c>
      <c r="K1588" t="s">
        <v>48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-61.827849999999998</v>
      </c>
      <c r="K1589" t="s">
        <v>48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-62.642800000000001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-63.468649999999997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-61.218499999999999</v>
      </c>
      <c r="K1592" t="s">
        <v>48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-58.953049999999998</v>
      </c>
      <c r="K1593" t="s">
        <v>48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-21.296599999999998</v>
      </c>
      <c r="K1594" t="s">
        <v>48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-13.2165</v>
      </c>
      <c r="K1595" t="s">
        <v>48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-26.347999999999999</v>
      </c>
      <c r="K1596" t="s">
        <v>48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-33.639250000000004</v>
      </c>
      <c r="K1597" t="s">
        <v>48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-35.950749999999999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-38.008650000000003</v>
      </c>
      <c r="K1599" t="s">
        <v>48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-38.407849999999996</v>
      </c>
      <c r="K1600" t="s">
        <v>48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-40.016549999999995</v>
      </c>
      <c r="K1601" t="s">
        <v>48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-41.965949999999999</v>
      </c>
      <c r="K1602" t="s">
        <v>48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-43.501899999999999</v>
      </c>
      <c r="K1603" t="s">
        <v>48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-44.874849999999995</v>
      </c>
      <c r="K1604" t="s">
        <v>48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-47.838700000000003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-50.601050000000001</v>
      </c>
      <c r="K1606" t="s">
        <v>48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-51.855450000000005</v>
      </c>
      <c r="K1607" t="s">
        <v>48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-52.855499999999999</v>
      </c>
      <c r="K1608" t="s">
        <v>48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-51.684449999999998</v>
      </c>
      <c r="K1609" t="s">
        <v>48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-50.364699999999999</v>
      </c>
      <c r="K1610" t="s">
        <v>48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2020</v>
      </c>
      <c r="J1611">
        <v>-21.160450000000001</v>
      </c>
      <c r="K1611" t="s">
        <v>48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2025</v>
      </c>
      <c r="J1612">
        <v>-11.4137</v>
      </c>
      <c r="K1612" t="s">
        <v>48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2030</v>
      </c>
      <c r="J1613">
        <v>-22.79815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2035</v>
      </c>
      <c r="J1614">
        <v>-32.232500000000002</v>
      </c>
      <c r="K1614" t="s">
        <v>48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2040</v>
      </c>
      <c r="J1615">
        <v>-58.930350000000004</v>
      </c>
      <c r="K1615" t="s">
        <v>48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-72.101500000000001</v>
      </c>
      <c r="K1616" t="s">
        <v>48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2050</v>
      </c>
      <c r="J1617">
        <v>-79.603049999999996</v>
      </c>
      <c r="K1617" t="s">
        <v>48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2055</v>
      </c>
      <c r="J1618">
        <v>-82.596699999999998</v>
      </c>
      <c r="K1618" t="s">
        <v>48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2060</v>
      </c>
      <c r="J1619">
        <v>-82.141800000000003</v>
      </c>
      <c r="K1619" t="s">
        <v>48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2065</v>
      </c>
      <c r="J1620">
        <v>-81.977149999999995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2070</v>
      </c>
      <c r="J1621">
        <v>-82.389600000000002</v>
      </c>
      <c r="K1621" t="s">
        <v>48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2075</v>
      </c>
      <c r="J1622">
        <v>-81.238200000000006</v>
      </c>
      <c r="K1622" t="s">
        <v>48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2080</v>
      </c>
      <c r="J1623">
        <v>-81.499400000000009</v>
      </c>
      <c r="K1623" t="s">
        <v>48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2085</v>
      </c>
      <c r="J1624">
        <v>-79.442450000000008</v>
      </c>
      <c r="K1624" t="s">
        <v>48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2090</v>
      </c>
      <c r="J1625">
        <v>-78.097899999999996</v>
      </c>
      <c r="K1625" t="s">
        <v>48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-73.255400000000009</v>
      </c>
      <c r="K1626" t="s">
        <v>48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2100</v>
      </c>
      <c r="J1627">
        <v>-68.615049999999997</v>
      </c>
      <c r="K1627" t="s">
        <v>48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2020</v>
      </c>
      <c r="J1628">
        <v>-21.078400000000002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2025</v>
      </c>
      <c r="J1629">
        <v>-12.147349999999999</v>
      </c>
      <c r="K1629" t="s">
        <v>48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2030</v>
      </c>
      <c r="J1630">
        <v>-24.4331</v>
      </c>
      <c r="K1630" t="s">
        <v>48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2035</v>
      </c>
      <c r="J1631">
        <v>-35.018950000000004</v>
      </c>
      <c r="K1631" t="s">
        <v>48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2040</v>
      </c>
      <c r="J1632">
        <v>-52.66245</v>
      </c>
      <c r="K1632" t="s">
        <v>48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2045</v>
      </c>
      <c r="J1633">
        <v>-62.65155</v>
      </c>
      <c r="K1633" t="s">
        <v>48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2050</v>
      </c>
      <c r="J1634">
        <v>-65.965450000000004</v>
      </c>
      <c r="K1634" t="s">
        <v>48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2055</v>
      </c>
      <c r="J1635">
        <v>-66.938549999999992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-64.408749999999998</v>
      </c>
      <c r="K1636" t="s">
        <v>48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2065</v>
      </c>
      <c r="J1637">
        <v>-63.475749999999998</v>
      </c>
      <c r="K1637" t="s">
        <v>48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2070</v>
      </c>
      <c r="J1638">
        <v>-62.441950000000006</v>
      </c>
      <c r="K1638" t="s">
        <v>48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2075</v>
      </c>
      <c r="J1639">
        <v>-63.876800000000003</v>
      </c>
      <c r="K1639" t="s">
        <v>48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2080</v>
      </c>
      <c r="J1640">
        <v>-65.095250000000007</v>
      </c>
      <c r="K1640" t="s">
        <v>48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2085</v>
      </c>
      <c r="J1641">
        <v>-65.979050000000001</v>
      </c>
      <c r="K1641" t="s">
        <v>48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2090</v>
      </c>
      <c r="J1642">
        <v>-66.780049999999989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2095</v>
      </c>
      <c r="J1643">
        <v>-64.581199999999995</v>
      </c>
      <c r="K1643" t="s">
        <v>48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2100</v>
      </c>
      <c r="J1644">
        <v>-62.322299999999998</v>
      </c>
      <c r="K1644" t="s">
        <v>48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2020</v>
      </c>
      <c r="J1645">
        <v>-18.990449999999999</v>
      </c>
      <c r="K1645" t="s">
        <v>48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2025</v>
      </c>
      <c r="J1646">
        <v>-11.1455</v>
      </c>
      <c r="K1646" t="s">
        <v>48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2030</v>
      </c>
      <c r="J1647">
        <v>-35.090850000000003</v>
      </c>
      <c r="K1647" t="s">
        <v>48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2035</v>
      </c>
      <c r="J1648">
        <v>-50.395349999999993</v>
      </c>
      <c r="K1648" t="s">
        <v>48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2040</v>
      </c>
      <c r="J1649">
        <v>-62.816699999999997</v>
      </c>
      <c r="K1649" t="s">
        <v>48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-71.135999999999996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2050</v>
      </c>
      <c r="J1651">
        <v>-74.004800000000003</v>
      </c>
      <c r="K1651" t="s">
        <v>48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2055</v>
      </c>
      <c r="J1652">
        <v>-74.203599999999994</v>
      </c>
      <c r="K1652" t="s">
        <v>48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2060</v>
      </c>
      <c r="J1653">
        <v>-73.971100000000007</v>
      </c>
      <c r="K1653" t="s">
        <v>48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2065</v>
      </c>
      <c r="J1654">
        <v>-71.405000000000001</v>
      </c>
      <c r="K1654" t="s">
        <v>48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2070</v>
      </c>
      <c r="J1655">
        <v>-69.190799999999996</v>
      </c>
      <c r="K1655" t="s">
        <v>48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-71.895199999999988</v>
      </c>
      <c r="K1656" t="s">
        <v>48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2080</v>
      </c>
      <c r="J1657">
        <v>-74.691800000000001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2085</v>
      </c>
      <c r="J1658">
        <v>-72.741549999999989</v>
      </c>
      <c r="K1658" t="s">
        <v>48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2090</v>
      </c>
      <c r="J1659">
        <v>-70.875399999999999</v>
      </c>
      <c r="K1659" t="s">
        <v>48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2095</v>
      </c>
      <c r="J1660">
        <v>-71.384050000000002</v>
      </c>
      <c r="K1660" t="s">
        <v>48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2100</v>
      </c>
      <c r="J1661">
        <v>-71.975250000000003</v>
      </c>
      <c r="K1661" t="s">
        <v>48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2020</v>
      </c>
      <c r="J1662">
        <v>-21.076599999999999</v>
      </c>
      <c r="K1662" t="s">
        <v>48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2025</v>
      </c>
      <c r="J1663">
        <v>-13.72855</v>
      </c>
      <c r="K1663" t="s">
        <v>48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2030</v>
      </c>
      <c r="J1664">
        <v>-36.47775</v>
      </c>
      <c r="K1664" t="s">
        <v>48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2035</v>
      </c>
      <c r="J1665">
        <v>-51.418499999999995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2040</v>
      </c>
      <c r="J1666">
        <v>-61.296149999999997</v>
      </c>
      <c r="K1666" t="s">
        <v>48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2045</v>
      </c>
      <c r="J1667">
        <v>-65.571449999999999</v>
      </c>
      <c r="K1667" t="s">
        <v>48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2050</v>
      </c>
      <c r="J1668">
        <v>-65.325099999999992</v>
      </c>
      <c r="K1668" t="s">
        <v>48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2055</v>
      </c>
      <c r="J1669">
        <v>-64.821349999999995</v>
      </c>
      <c r="K1669" t="s">
        <v>48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2060</v>
      </c>
      <c r="J1670">
        <v>-65.056150000000002</v>
      </c>
      <c r="K1670" t="s">
        <v>48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2065</v>
      </c>
      <c r="J1671">
        <v>-65.374449999999996</v>
      </c>
      <c r="K1671" t="s">
        <v>48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2070</v>
      </c>
      <c r="J1672">
        <v>-66.050600000000003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2075</v>
      </c>
      <c r="J1673">
        <v>-66.721599999999995</v>
      </c>
      <c r="K1673" t="s">
        <v>48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2080</v>
      </c>
      <c r="J1674">
        <v>-67.268500000000003</v>
      </c>
      <c r="K1674" t="s">
        <v>48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2085</v>
      </c>
      <c r="J1675">
        <v>-65.720050000000001</v>
      </c>
      <c r="K1675" t="s">
        <v>48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-64.227649999999997</v>
      </c>
      <c r="K1676" t="s">
        <v>48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2095</v>
      </c>
      <c r="J1677">
        <v>-60.932699999999997</v>
      </c>
      <c r="K1677" t="s">
        <v>48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2100</v>
      </c>
      <c r="J1678">
        <v>-57.588749999999997</v>
      </c>
      <c r="K1678" t="s">
        <v>48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2020</v>
      </c>
      <c r="J1679">
        <v>-20.409399999999998</v>
      </c>
      <c r="K1679" t="s">
        <v>48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2025</v>
      </c>
      <c r="J1680">
        <v>-12.149699999999999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2030</v>
      </c>
      <c r="J1681">
        <v>-35.071300000000001</v>
      </c>
      <c r="K1681" t="s">
        <v>48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2035</v>
      </c>
      <c r="J1682">
        <v>-53.195049999999995</v>
      </c>
      <c r="K1682" t="s">
        <v>48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2040</v>
      </c>
      <c r="J1683">
        <v>-65.201850000000007</v>
      </c>
      <c r="K1683" t="s">
        <v>48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2045</v>
      </c>
      <c r="J1684">
        <v>-74.319450000000003</v>
      </c>
      <c r="K1684" t="s">
        <v>48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2050</v>
      </c>
      <c r="J1685">
        <v>-79.635800000000003</v>
      </c>
      <c r="K1685" t="s">
        <v>48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2055</v>
      </c>
      <c r="J1686">
        <v>-82.197699999999998</v>
      </c>
      <c r="K1686" t="s">
        <v>48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2060</v>
      </c>
      <c r="J1687">
        <v>-79.144049999999993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2065</v>
      </c>
      <c r="J1688">
        <v>-73.258849999999995</v>
      </c>
      <c r="K1688" t="s">
        <v>48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2070</v>
      </c>
      <c r="J1689">
        <v>-67.396600000000007</v>
      </c>
      <c r="K1689" t="s">
        <v>48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2075</v>
      </c>
      <c r="J1690">
        <v>-68.918549999999996</v>
      </c>
      <c r="K1690" t="s">
        <v>48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2080</v>
      </c>
      <c r="J1691">
        <v>-70.46405</v>
      </c>
      <c r="K1691" t="s">
        <v>48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2085</v>
      </c>
      <c r="J1692">
        <v>-68.449100000000001</v>
      </c>
      <c r="K1692" t="s">
        <v>48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2090</v>
      </c>
      <c r="J1693">
        <v>-66.456299999999999</v>
      </c>
      <c r="K1693" t="s">
        <v>48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2095</v>
      </c>
      <c r="J1694">
        <v>-67.613950000000003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-68.798100000000005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31.953800000000001</v>
      </c>
      <c r="K1696" t="s">
        <v>51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2025</v>
      </c>
      <c r="J1697">
        <v>33.366150000000005</v>
      </c>
      <c r="K1697" t="s">
        <v>51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2030</v>
      </c>
      <c r="J1698">
        <v>32.863349999999997</v>
      </c>
      <c r="K1698" t="s">
        <v>51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2035</v>
      </c>
      <c r="J1699">
        <v>24.917900000000003</v>
      </c>
      <c r="K1699" t="s">
        <v>51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2040</v>
      </c>
      <c r="J1700">
        <v>13.930149999999999</v>
      </c>
      <c r="K1700" t="s">
        <v>51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2045</v>
      </c>
      <c r="J1701">
        <v>6.7973999999999997</v>
      </c>
      <c r="K1701" t="s">
        <v>51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2050</v>
      </c>
      <c r="J1702">
        <v>4.7223500000000005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2055</v>
      </c>
      <c r="J1703">
        <v>4.5444499999999994</v>
      </c>
      <c r="K1703" t="s">
        <v>51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2060</v>
      </c>
      <c r="J1704">
        <v>4.4919500000000001</v>
      </c>
      <c r="K1704" t="s">
        <v>51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2065</v>
      </c>
      <c r="J1705">
        <v>3.76715</v>
      </c>
      <c r="K1705" t="s">
        <v>51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2070</v>
      </c>
      <c r="J1706">
        <v>3.0979000000000001</v>
      </c>
      <c r="K1706" t="s">
        <v>51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2075</v>
      </c>
      <c r="J1707">
        <v>2.4278500000000003</v>
      </c>
      <c r="K1707" t="s">
        <v>51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2080</v>
      </c>
      <c r="J1708">
        <v>1.7741</v>
      </c>
      <c r="K1708" t="s">
        <v>51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2085</v>
      </c>
      <c r="J1709">
        <v>0.84979999999999989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2090</v>
      </c>
      <c r="J1710">
        <v>-8.2550000000000012E-2</v>
      </c>
      <c r="K1710" t="s">
        <v>51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2095</v>
      </c>
      <c r="J1711">
        <v>-0.224</v>
      </c>
      <c r="K1711" t="s">
        <v>51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2100</v>
      </c>
      <c r="J1712">
        <v>-0.35315000000000002</v>
      </c>
      <c r="K1712" t="s">
        <v>51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2020</v>
      </c>
      <c r="J1713">
        <v>31.388649999999998</v>
      </c>
      <c r="K1713" t="s">
        <v>51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2025</v>
      </c>
      <c r="J1714">
        <v>32.591899999999995</v>
      </c>
      <c r="K1714" t="s">
        <v>51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36.324649999999998</v>
      </c>
      <c r="K1715" t="s">
        <v>51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2035</v>
      </c>
      <c r="J1716">
        <v>36.18045</v>
      </c>
      <c r="K1716" t="s">
        <v>51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2040</v>
      </c>
      <c r="J1717">
        <v>35.972849999999994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2045</v>
      </c>
      <c r="J1718">
        <v>35.049399999999999</v>
      </c>
      <c r="K1718" t="s">
        <v>51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2050</v>
      </c>
      <c r="J1719">
        <v>35.774050000000003</v>
      </c>
      <c r="K1719" t="s">
        <v>51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2055</v>
      </c>
      <c r="J1720">
        <v>34.066050000000004</v>
      </c>
      <c r="K1720" t="s">
        <v>51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2060</v>
      </c>
      <c r="J1721">
        <v>31.646850000000001</v>
      </c>
      <c r="K1721" t="s">
        <v>51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2065</v>
      </c>
      <c r="J1722">
        <v>29.597650000000002</v>
      </c>
      <c r="K1722" t="s">
        <v>51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2070</v>
      </c>
      <c r="J1723">
        <v>27.7117</v>
      </c>
      <c r="K1723" t="s">
        <v>51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2075</v>
      </c>
      <c r="J1724">
        <v>25.420349999999999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2080</v>
      </c>
      <c r="J1725">
        <v>23.32995</v>
      </c>
      <c r="K1725" t="s">
        <v>51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2085</v>
      </c>
      <c r="J1726">
        <v>20.972750000000001</v>
      </c>
      <c r="K1726" t="s">
        <v>51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2090</v>
      </c>
      <c r="J1727">
        <v>18.869350000000001</v>
      </c>
      <c r="K1727" t="s">
        <v>51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2095</v>
      </c>
      <c r="J1728">
        <v>16.565100000000001</v>
      </c>
      <c r="K1728" t="s">
        <v>51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2100</v>
      </c>
      <c r="J1729">
        <v>14.4069</v>
      </c>
      <c r="K1729" t="s">
        <v>51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2020</v>
      </c>
      <c r="J1730">
        <v>31.524250000000002</v>
      </c>
      <c r="K1730" t="s">
        <v>51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2025</v>
      </c>
      <c r="J1731">
        <v>32.886899999999997</v>
      </c>
      <c r="K1731" t="s">
        <v>51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2030</v>
      </c>
      <c r="J1732">
        <v>36.779949999999999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2035</v>
      </c>
      <c r="J1733">
        <v>37.770099999999999</v>
      </c>
      <c r="K1733" t="s">
        <v>51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2040</v>
      </c>
      <c r="J1734">
        <v>15.579450000000001</v>
      </c>
      <c r="K1734" t="s">
        <v>51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5.0024499999999996</v>
      </c>
      <c r="K1735" t="s">
        <v>51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2050</v>
      </c>
      <c r="J1736">
        <v>-0.8325499999999999</v>
      </c>
      <c r="K1736" t="s">
        <v>51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2055</v>
      </c>
      <c r="J1737">
        <v>-4.9155499999999996</v>
      </c>
      <c r="K1737" t="s">
        <v>51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2060</v>
      </c>
      <c r="J1738">
        <v>-7.9536499999999997</v>
      </c>
      <c r="K1738" t="s">
        <v>51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2065</v>
      </c>
      <c r="J1739">
        <v>-9.5880499999999991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2070</v>
      </c>
      <c r="J1740">
        <v>-11.7988</v>
      </c>
      <c r="K1740" t="s">
        <v>51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-11.962199999999999</v>
      </c>
      <c r="K1741" t="s">
        <v>51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2080</v>
      </c>
      <c r="J1742">
        <v>-13.53745</v>
      </c>
      <c r="K1742" t="s">
        <v>51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2085</v>
      </c>
      <c r="J1743">
        <v>-11.6052</v>
      </c>
      <c r="K1743" t="s">
        <v>51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2090</v>
      </c>
      <c r="J1744">
        <v>-10.383600000000001</v>
      </c>
      <c r="K1744" t="s">
        <v>51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2095</v>
      </c>
      <c r="J1745">
        <v>-7.7263000000000002</v>
      </c>
      <c r="K1745" t="s">
        <v>51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-5.2717499999999999</v>
      </c>
      <c r="K1746" t="s">
        <v>51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2020</v>
      </c>
      <c r="J1747">
        <v>31.609300000000001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2025</v>
      </c>
      <c r="J1748">
        <v>33.031750000000002</v>
      </c>
      <c r="K1748" t="s">
        <v>51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2030</v>
      </c>
      <c r="J1749">
        <v>37.315449999999998</v>
      </c>
      <c r="K1749" t="s">
        <v>51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2035</v>
      </c>
      <c r="J1750">
        <v>37.546599999999998</v>
      </c>
      <c r="K1750" t="s">
        <v>51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2040</v>
      </c>
      <c r="J1751">
        <v>28.46275</v>
      </c>
      <c r="K1751" t="s">
        <v>51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2045</v>
      </c>
      <c r="J1752">
        <v>22.407150000000001</v>
      </c>
      <c r="K1752" t="s">
        <v>51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2050</v>
      </c>
      <c r="J1753">
        <v>20.198250000000002</v>
      </c>
      <c r="K1753" t="s">
        <v>51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2055</v>
      </c>
      <c r="J1754">
        <v>10.9574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9.9313500000000001</v>
      </c>
      <c r="K1755" t="s">
        <v>51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2065</v>
      </c>
      <c r="J1756">
        <v>9.1000499999999995</v>
      </c>
      <c r="K1756" t="s">
        <v>51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2070</v>
      </c>
      <c r="J1757">
        <v>8.3723499999999991</v>
      </c>
      <c r="K1757" t="s">
        <v>51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2075</v>
      </c>
      <c r="J1758">
        <v>7.62195</v>
      </c>
      <c r="K1758" t="s">
        <v>51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2080</v>
      </c>
      <c r="J1759">
        <v>7.0904999999999996</v>
      </c>
      <c r="K1759" t="s">
        <v>51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2085</v>
      </c>
      <c r="J1760">
        <v>6.234</v>
      </c>
      <c r="K1760" t="s">
        <v>51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2090</v>
      </c>
      <c r="J1761">
        <v>5.4642499999999998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2095</v>
      </c>
      <c r="J1762">
        <v>4.8595999999999995</v>
      </c>
      <c r="K1762" t="s">
        <v>51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2100</v>
      </c>
      <c r="J1763">
        <v>4.3124000000000002</v>
      </c>
      <c r="K1763" t="s">
        <v>51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2020</v>
      </c>
      <c r="J1764">
        <v>33.65605</v>
      </c>
      <c r="K1764" t="s">
        <v>51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2025</v>
      </c>
      <c r="J1765">
        <v>34.318399999999997</v>
      </c>
      <c r="K1765" t="s">
        <v>51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2030</v>
      </c>
      <c r="J1766">
        <v>27.4069</v>
      </c>
      <c r="K1766" t="s">
        <v>51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2035</v>
      </c>
      <c r="J1767">
        <v>20.610199999999999</v>
      </c>
      <c r="K1767" t="s">
        <v>51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2040</v>
      </c>
      <c r="J1768">
        <v>14.778849999999998</v>
      </c>
      <c r="K1768" t="s">
        <v>51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2045</v>
      </c>
      <c r="J1769">
        <v>7.7364999999999995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2050</v>
      </c>
      <c r="J1770">
        <v>2.1806999999999999</v>
      </c>
      <c r="K1770" t="s">
        <v>51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2055</v>
      </c>
      <c r="J1771">
        <v>-3.46475</v>
      </c>
      <c r="K1771" t="s">
        <v>51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2060</v>
      </c>
      <c r="J1772">
        <v>-4.9212499999999997</v>
      </c>
      <c r="K1772" t="s">
        <v>51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2065</v>
      </c>
      <c r="J1773">
        <v>-5.2360000000000007</v>
      </c>
      <c r="K1773" t="s">
        <v>51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2070</v>
      </c>
      <c r="J1774">
        <v>-5.9016999999999999</v>
      </c>
      <c r="K1774" t="s">
        <v>51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-5.4441499999999996</v>
      </c>
      <c r="K1775" t="s">
        <v>51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2080</v>
      </c>
      <c r="J1776">
        <v>-5.0779499999999995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2085</v>
      </c>
      <c r="J1777">
        <v>-4.8610499999999996</v>
      </c>
      <c r="K1777" t="s">
        <v>51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2090</v>
      </c>
      <c r="J1778">
        <v>-4.7274000000000003</v>
      </c>
      <c r="K1778" t="s">
        <v>51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2095</v>
      </c>
      <c r="J1779">
        <v>-4.2712500000000002</v>
      </c>
      <c r="K1779" t="s">
        <v>51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-3.8965500000000004</v>
      </c>
      <c r="K1780" t="s">
        <v>51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2020</v>
      </c>
      <c r="J1781">
        <v>31.611899999999999</v>
      </c>
      <c r="K1781" t="s">
        <v>51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2025</v>
      </c>
      <c r="J1782">
        <v>32.007899999999999</v>
      </c>
      <c r="K1782" t="s">
        <v>51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2030</v>
      </c>
      <c r="J1783">
        <v>26.053600000000003</v>
      </c>
      <c r="K1783" t="s">
        <v>51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2035</v>
      </c>
      <c r="J1784">
        <v>18.393700000000003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2040</v>
      </c>
      <c r="J1785">
        <v>10.654900000000001</v>
      </c>
      <c r="K1785" t="s">
        <v>51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2045</v>
      </c>
      <c r="J1786">
        <v>6.8900500000000005</v>
      </c>
      <c r="K1786" t="s">
        <v>51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2050</v>
      </c>
      <c r="J1787">
        <v>7.5863500000000004</v>
      </c>
      <c r="K1787" t="s">
        <v>51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2055</v>
      </c>
      <c r="J1788">
        <v>6.6456</v>
      </c>
      <c r="K1788" t="s">
        <v>51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2060</v>
      </c>
      <c r="J1789">
        <v>4.6998499999999996</v>
      </c>
      <c r="K1789" t="s">
        <v>51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2065</v>
      </c>
      <c r="J1790">
        <v>3.2394499999999997</v>
      </c>
      <c r="K1790" t="s">
        <v>51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2070</v>
      </c>
      <c r="J1791">
        <v>1.4235000000000002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2075</v>
      </c>
      <c r="J1792">
        <v>1.32745</v>
      </c>
      <c r="K1792" t="s">
        <v>51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2080</v>
      </c>
      <c r="J1793">
        <v>1.3585499999999999</v>
      </c>
      <c r="K1793" t="s">
        <v>51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2085</v>
      </c>
      <c r="J1794">
        <v>2.2762000000000002</v>
      </c>
      <c r="K1794" t="s">
        <v>51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3.1414499999999999</v>
      </c>
      <c r="K1795" t="s">
        <v>51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2095</v>
      </c>
      <c r="J1796">
        <v>2.9070499999999999</v>
      </c>
      <c r="K1796" t="s">
        <v>51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2100</v>
      </c>
      <c r="J1797">
        <v>2.7193499999999999</v>
      </c>
      <c r="K1797" t="s">
        <v>51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32.271100000000004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33.338850000000001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26.93515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16.139900000000001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6.9765499999999996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0.37124999999999997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-2.5633499999999998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-4.8825500000000002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-4.9763000000000002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-4.2535999999999996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-3.5501500000000004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-3.5776500000000002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-3.6260500000000002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-3.6624499999999998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-3.7211999999999996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-3.5680999999999998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-3.44475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0.15920000000000001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0.4592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1.7038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3.4388000000000001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4.9157000000000002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5.1799999999999999E-2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4.87E-2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4.0899999999999999E-2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3.32E-2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2.86E-2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3.2599999999999997E-2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3.85E-2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8.7499999999999994E-2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8.7900000000000006E-2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8.9499999999999996E-2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9.2399999999999996E-2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0.1002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0.1118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0.13569999999999999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1.1000000000000001E-3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1.9E-3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3.3999999999999998E-3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5.5999999999999999E-3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1.49E-2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3.4599999999999999E-2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1.6000000000000001E-3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0.28200000000000003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0.30080000000000001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0.13159999999999999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0.48949999999999999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0.1925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0.23649999999999999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0.34099999999999997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0.51149999999999995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0.60499999999999998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4.1999999999999996E-2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-25.669899999999998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-7.0846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-14.2658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-14.997199999999999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-18.320399999999999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-27.259599999999999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-37.821399999999997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26.710699999999999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30.801100000000002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30.794899999999998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32.024999999999999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30.8355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23.407399999999999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14.057399999999999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5.2600000000000001E-2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4.8500000000000001E-2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4.0300000000000002E-2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3.4200000000000001E-2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2.9100000000000001E-2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3.0200000000000001E-2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3.0499999999999999E-2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8.7900000000000006E-2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9.0399999999999994E-2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9.0399999999999994E-2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9.3600000000000003E-2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0.10349999999999999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0.1152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0.13370000000000001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8.0000000000000004E-4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1.1000000000000001E-3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1.1999999999999999E-3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1.2999999999999999E-3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4.4000000000000003E-3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0.3196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0.33839999999999998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0.31019999999999998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0.30080000000000001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0.32900000000000001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0.33839999999999998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0.3478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0.48400000000000004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0.24749999999999997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0.23099999999999998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0.27500000000000002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0.43450000000000005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0.67649999999999999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1.034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4.1999999999999996E-2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-27.5793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-12.592499999999999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-17.167999999999999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-18.986499999999999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-19.072900000000001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-20.7668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-22.758500000000002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24.779199999999999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26.6812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29.900099999999998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30.595400000000001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33.125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34.526499999999999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35.507100000000001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0.4743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1.8164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3.1634000000000002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5.4230999999999998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5.3100000000000001E-2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4.9099999999999998E-2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4.0899999999999999E-2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3.2899999999999999E-2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2.7300000000000001E-2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3.2500000000000001E-2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4.0500000000000001E-2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8.8300000000000003E-2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9.11E-2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9.11E-2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9.1300000000000006E-2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9.9900000000000003E-2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0.1138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0.13730000000000001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8.0000000000000004E-4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1.1999999999999999E-3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3.0999999999999999E-3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1.01E-2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2.75E-2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5.0000000000000001E-4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8.0000000000000004E-4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3.0999999999999999E-3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0.30080000000000001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0.30080000000000001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0.27259999999999995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7.5200000000000003E-2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1.8800000000000001E-2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1.8800000000000001E-2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0.47849999999999998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0.24200000000000002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0.20350000000000001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0.39050000000000001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0.47299999999999998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0.49499999999999994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0.60499999999999998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4.1999999999999996E-2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-27.654900000000001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-11.5449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-14.9643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-7.9164000000000003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-9.4045000000000005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-18.363700000000001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-29.9404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24.696100000000001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26.544899999999998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29.7454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38.845300000000002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39.630099999999999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32.240600000000001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21.895199999999999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0.2006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0.65600000000000003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1.9555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4.3205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5.2900000000000003E-2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4.8599999999999997E-2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3.9800000000000002E-2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3.3599999999999998E-2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2.9100000000000001E-2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3.4799999999999998E-2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0.04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8.9499999999999996E-2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9.2100000000000001E-2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9.0899999999999995E-2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9.4600000000000004E-2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0.1067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0.1236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0.14319999999999999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1.1999999999999999E-3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1.1999999999999999E-3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1.9E-3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3.2000000000000002E-3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9.7999999999999997E-3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2.41E-2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2.9999999999999997E-4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2.9999999999999997E-4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0.30080000000000001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0.29139999999999999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0.25380000000000003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0.23500000000000001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0.50050000000000006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0.24200000000000002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0.19799999999999998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0.40700000000000003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0.61599999999999999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0.95150000000000001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1.1000000000000001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4.1999999999999996E-2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-27.286000000000001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-11.5334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-15.1654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-15.631500000000001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-14.3047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-18.596900000000002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-26.7364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25.075900000000001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27.157499999999999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30.719899999999999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32.867899999999999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36.854500000000002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35.145899999999997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29.461200000000002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1.4814000000000001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3.4565000000000001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5.3895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7.0606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6.7205000000000004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5.2600000000000001E-2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4.8599999999999997E-2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3.2300000000000002E-2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2.7400000000000001E-2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2.6800000000000001E-2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3.2599999999999997E-2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8.7999999999999995E-2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8.8200000000000001E-2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7.2599999999999998E-2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6.59E-2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7.17E-2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8.0299999999999996E-2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7.9899999999999999E-2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1.2999999999999999E-3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1.6999999999999999E-3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1.18E-2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2.64E-2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4.4900000000000002E-2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6.0000000000000001E-3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1.6500000000000001E-2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2.9000000000000001E-2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3.4299999999999997E-2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2.63E-2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0.35720000000000002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0.44180000000000003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0.11279999999999998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8.4599999999999995E-2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9.4000000000000004E-3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0.50600000000000001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0.35200000000000004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0.13750000000000001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0.14299999999999999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0.33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0.34099999999999997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4.1999999999999996E-2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-26.439900000000002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-8.3353000000000002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-19.895800000000001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-25.4621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-31.873200000000001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-40.314500000000002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-48.583300000000001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25.904599999999999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29.463899999999999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24.971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20.056000000000001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14.7845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7.7735000000000003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0.3332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0.21579999999999999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5.2499999999999998E-2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5.0099999999999999E-2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4.0800000000000003E-2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3.3300000000000003E-2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2.8299999999999999E-2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2.9700000000000001E-2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3.1699999999999999E-2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8.9300000000000004E-2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9.0899999999999995E-2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9.11E-2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9.3299999999999994E-2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0.1032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0.113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0.1283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1.1999999999999999E-3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1.2999999999999999E-3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1.2999999999999999E-3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6.0000000000000001E-3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0.3196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0.376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0.30080000000000001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0.27259999999999995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0.24439999999999998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0.188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0.49499999999999994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0.35200000000000004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0.23649999999999999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0.29700000000000004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0.41249999999999998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0.64900000000000002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1.012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4.1999999999999996E-2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-27.303999999999998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-10.815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-14.6976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-16.3172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-16.593399999999999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-18.1982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-20.4254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25.067599999999999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27.645199999999999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30.869700000000002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31.793600000000001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34.173400000000001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35.198599999999999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35.478200000000001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2.1857000000000002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4.4200999999999997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6.5533000000000001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5.4130000000000003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5.0503999999999998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5.0599999999999999E-2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4.7100000000000003E-2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3.9300000000000002E-2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4.19E-2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4.9000000000000002E-2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0.06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6.7699999999999996E-2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8.72E-2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8.7499999999999994E-2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8.4900000000000003E-2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9.8500000000000004E-2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0.12230000000000001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0.14430000000000001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0.17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8.9999999999999998E-4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7.0000000000000001E-3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1.7100000000000001E-2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2.4400000000000002E-2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6.7000000000000002E-3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2.0199999999999999E-2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3.5700000000000003E-2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3.4200000000000001E-2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3.5200000000000002E-2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0.32900000000000001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0.376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5.6399999999999992E-2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3.7600000000000001E-2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0.49499999999999994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0.34650000000000003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0.17600000000000002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9.8999999999999991E-2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0.154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1.1000000000000001E-2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4.1999999999999996E-2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-27.196000000000002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-10.2517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-21.319199999999999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-26.285900000000002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-33.095999999999997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-39.9465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-45.934699999999999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25.183399999999999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27.629300000000001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24.0139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19.971800000000002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14.321300000000001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8.4865999999999993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3.3559000000000001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0.20910000000000001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1.1113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2.5228000000000002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4.3667999999999996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6.2107000000000001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7.4328000000000003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7.7362000000000002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6.7282000000000002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5.3509000000000002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4.2705000000000002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3.3929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2.6113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1.9382999999999999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1.5705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1.2282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1.0993999999999999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0.98170000000000002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5.3800000000000001E-2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5.67E-2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5.74E-2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6.4899999999999999E-2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8.2699999999999996E-2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9.6500000000000002E-2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0.1026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8.5500000000000007E-2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8.2100000000000006E-2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7.8799999999999995E-2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7.6300000000000007E-2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7.3599999999999999E-2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7.0199999999999999E-2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6.6799999999999998E-2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6.2799999999999995E-2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5.8999999999999997E-2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8.4400000000000003E-2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8.6699999999999999E-2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9.2299999999999993E-2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9.7799999999999998E-2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0.1105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0.1288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0.1326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0.1193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0.115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0.1148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0.1145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0.11849999999999999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0.1222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0.12670000000000001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0.13109999999999999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0.13270000000000001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0.13450000000000001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5.9999999999999995E-4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2.5999999999999999E-3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8.3999999999999995E-3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1.4999999999999999E-2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2.58E-2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3.32E-2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3.8100000000000002E-2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4.0800000000000003E-2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4.2700000000000002E-2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4.5400000000000003E-2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4.8500000000000001E-2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5.16E-2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5.4800000000000001E-2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5.79E-2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6.1100000000000002E-2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6.4600000000000005E-2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6.8199999999999997E-2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8.9999999999999998E-4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1.9199999999999998E-2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2.06E-2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2.2800000000000001E-2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2.76E-2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3.56E-2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3.3799999999999997E-2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3.1399999999999997E-2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2.9100000000000001E-2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2.63E-2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2.4899999999999999E-2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2.4400000000000002E-2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2.4299999999999999E-2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2.47E-2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1.4E-3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1.6000000000000001E-3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4.0000000000000002E-4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-20.645499999999998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-11.9656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-28.726900000000001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-43.240099999999998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-55.255200000000002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-62.264200000000002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-64.445400000000006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-63.157699999999998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-60.6462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-60.625100000000003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-60.677399999999999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-61.428400000000003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-62.165799999999997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-62.783200000000001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-63.323399999999999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-61.1111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-58.880499999999998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32.044600000000003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33.424700000000001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32.664999999999999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25.138100000000001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15.045299999999999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7.8764000000000003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5.1378000000000004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4.9005999999999998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5.5888999999999998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4.9580000000000002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4.2557999999999998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2.7970999999999999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1.3557999999999999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0.6603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4.4499999999999998E-2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-0.11799999999999999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-0.26490000000000002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0.19869999999999999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1.0408999999999999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1.2690999999999999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1.3248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1.2010000000000001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1.0746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0.96560000000000001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0.85089999999999999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0.67130000000000001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0.41360000000000002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0.2127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0.1106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1.35E-2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6.8999999999999999E-3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5.57E-2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5.7299999999999997E-2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6.0299999999999999E-2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6.4899999999999999E-2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7.51E-2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8.2400000000000001E-2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8.5599999999999996E-2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8.4699999999999998E-2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8.2100000000000006E-2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7.8600000000000003E-2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7.4899999999999994E-2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7.17E-2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6.8400000000000002E-2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6.5199999999999994E-2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6.1800000000000001E-2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5.8700000000000002E-2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5.5899999999999998E-2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8.6400000000000005E-2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8.9899999999999994E-2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9.7100000000000006E-2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0.1023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0.10979999999999999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0.1148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0.11260000000000001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0.10829999999999999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0.1084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0.107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0.10539999999999999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0.10829999999999999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0.1111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0.11749999999999999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0.12039999999999999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0.1237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5.9999999999999995E-4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3.0000000000000001E-3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7.6E-3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1.23E-2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1.72E-2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2.12E-2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2.5399999999999999E-2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2.9600000000000001E-2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3.3599999999999998E-2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3.6600000000000001E-2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3.9699999999999999E-2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4.24E-2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4.5100000000000001E-2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4.7899999999999998E-2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5.3699999999999998E-2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5.6899999999999999E-2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8.9999999999999998E-4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5.0000000000000001E-3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8.3000000000000001E-3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1.0999999999999999E-2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1.2699999999999999E-2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1.4E-2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1.46E-2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1.46E-2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1.54E-2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1.95E-2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2.29E-2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2.7400000000000001E-2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3.4599999999999999E-2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3.73E-2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2.7000000000000001E-3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1.6000000000000001E-3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1.6000000000000001E-3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1.9E-3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3.3E-3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3.3E-3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1.5E-3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6.9999999999999999E-4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8.0000000000000004E-4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1.1000000000000001E-3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1.1999999999999999E-3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1.5E-3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1.6999999999999999E-3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4.0000000000000002E-4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2.9999999999999997E-4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-21.158200000000001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-13.1981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-26.511600000000001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-33.7836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-36.097999999999999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-38.061599999999999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-38.570099999999996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-40.264899999999997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-42.438000000000002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-43.927999999999997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-45.268099999999997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-48.270699999999998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-51.063400000000001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-52.224499999999999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-53.121699999999997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-51.953299999999999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-50.648000000000003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31.5289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32.905000000000001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36.683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36.726199999999999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36.544199999999996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35.596800000000002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36.040999999999997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33.840200000000003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31.168399999999998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29.155799999999999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27.293399999999998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24.962199999999999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22.8399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20.580100000000002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18.583500000000001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16.279299999999999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14.109400000000001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0.21199999999999999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1.0847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1.3676999999999999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1.7161999999999999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6.9287999999999998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10.1166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11.348800000000001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11.7639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11.960699999999999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12.1256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12.8352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12.5425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13.9267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11.8645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10.508699999999999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7.9984999999999999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5.6792999999999996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5.4199999999999998E-2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5.6500000000000002E-2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5.8999999999999997E-2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6.25E-2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8.77E-2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0.1009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0.10299999999999999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0.1031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9.0899999999999995E-2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8.5500000000000007E-2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8.1000000000000003E-2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7.8100000000000003E-2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7.5200000000000003E-2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7.0999999999999994E-2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6.7000000000000004E-2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6.3299999999999995E-2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5.9900000000000002E-2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8.5699999999999998E-2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8.8300000000000003E-2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9.5100000000000004E-2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9.8400000000000001E-2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0.10920000000000001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0.129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0.1353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0.1242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0.1202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0.1182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0.1162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0.12039999999999999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0.1244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0.12640000000000001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0.1283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0.13109999999999999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0.13420000000000001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5.9999999999999995E-4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3.2000000000000002E-3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8.0999999999999996E-3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1.34E-2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2.1100000000000001E-2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2.9600000000000001E-2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3.3700000000000001E-2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3.6900000000000002E-2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3.9800000000000002E-2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4.1700000000000001E-2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4.4400000000000002E-2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4.6899999999999997E-2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4.9500000000000002E-2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5.1799999999999999E-2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5.4199999999999998E-2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5.7200000000000001E-2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6.0100000000000001E-2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8.9999999999999998E-4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5.1000000000000004E-3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8.5000000000000006E-3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1.1900000000000001E-2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1.7299999999999999E-2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2.5899999999999999E-2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3.6999999999999998E-2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4.4900000000000002E-2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5.4699999999999999E-2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5.7500000000000002E-2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6.1199999999999997E-2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6.3E-2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7.3099999999999998E-2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7.2300000000000003E-2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7.5899999999999995E-2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6.5600000000000006E-2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5.5800000000000002E-2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1.5E-3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1.5E-3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1.6999999999999999E-3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2.2000000000000001E-3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3.0999999999999999E-3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3.2000000000000002E-3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2.0000000000000001E-4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2.0000000000000001E-4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4.0000000000000002E-4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-20.729800000000001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-11.270200000000001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-22.984100000000002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-32.349699999999999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-59.357399999999998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-72.198099999999997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-79.563299999999998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-82.194999999999993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-81.473500000000001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-81.524699999999996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-81.942300000000003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-80.715500000000006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-81.057100000000005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-79.039400000000001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-77.717699999999994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-73.0642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-68.601200000000006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31.954000000000001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33.6355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37.831000000000003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37.676900000000003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15.321400000000001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5.15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-0.55569999999999997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-4.5334000000000003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-7.3524000000000003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-9.2151999999999994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-11.444000000000001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-11.533799999999999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-13.1912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-11.2721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-10.0471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-7.5327000000000002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-5.2092999999999998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0.20880000000000001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1.0779000000000001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1.3513999999999999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1.5181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5.6710000000000003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6.7949999999999999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7.3883999999999999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6.0902000000000003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4.8577000000000004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4.3518999999999997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3.9723000000000002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2.2612999999999999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1.7441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1.105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0.47170000000000001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0.3125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0.1517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5.4699999999999999E-2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5.6899999999999999E-2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5.96E-2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7.8200000000000006E-2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9.0499999999999997E-2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9.7100000000000006E-2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9.4299999999999995E-2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8.43E-2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8.1699999999999995E-2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7.8799999999999995E-2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7.5999999999999998E-2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7.3200000000000001E-2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6.9199999999999998E-2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6.5299999999999997E-2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6.1899999999999997E-2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5.8799999999999998E-2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8.6199999999999999E-2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8.9099999999999999E-2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9.6100000000000005E-2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0.1013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0.1085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0.1187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0.12180000000000001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0.11459999999999999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0.1132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0.1132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0.1128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0.1169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0.1208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0.1232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0.12570000000000001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0.12839999999999999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0.13159999999999999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5.9999999999999995E-4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3.2000000000000002E-3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8.2000000000000007E-3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1.24E-2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2.1999999999999999E-2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3.3599999999999998E-2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3.49E-2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3.7400000000000003E-2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4.0399999999999998E-2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4.3299999999999998E-2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4.58E-2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4.8399999999999999E-2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5.0700000000000002E-2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5.2999999999999999E-2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5.6099999999999997E-2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5.9499999999999997E-2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8.9999999999999998E-4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5.0000000000000001E-3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8.3999999999999995E-3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1.1599999999999999E-2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1.9300000000000001E-2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2.93E-2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3.3300000000000003E-2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3.6799999999999999E-2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4.0899999999999999E-2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3.7499999999999999E-2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3.4099999999999998E-2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3.2300000000000002E-2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3.0099999999999998E-2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2.8899999999999999E-2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2.7199999999999998E-2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2.6599999999999999E-2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2.6200000000000001E-2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1.5E-3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2.3999999999999998E-3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3.2000000000000002E-3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3.5999999999999999E-3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1.6000000000000001E-3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4.0000000000000002E-4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2.9999999999999997E-4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-20.812100000000001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-12.0153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-24.435099999999998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-33.634900000000002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-55.686300000000003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-67.3934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-71.163700000000006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-70.106899999999996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-68.146600000000007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-66.959699999999998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-65.769400000000005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-66.754400000000004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-67.583600000000004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-67.868499999999997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-68.070499999999996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-66.098500000000001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-64.065299999999993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31.873799999999999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33.479799999999997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37.553199999999997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36.97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17.482800000000001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6.3430999999999997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2.9462999999999999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2.3325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2.5085999999999999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2.657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2.8108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2.9415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3.2303000000000002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3.3498999999999999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3.5587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3.0825999999999998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2.6650999999999998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0.21190000000000001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1.1911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2.7494999999999998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3.9411999999999998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4.7469000000000001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5.1878000000000002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5.3381999999999996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5.1471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4.6837999999999997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4.3855000000000004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4.1745000000000001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4.0286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3.9228999999999998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3.8811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3.9146000000000001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3.5430000000000001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3.2201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5.8700000000000002E-2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5.7299999999999997E-2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5.5599999999999997E-2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5.4800000000000001E-2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5.9499999999999997E-2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6.4600000000000005E-2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6.8000000000000005E-2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6.3700000000000007E-2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5.8799999999999998E-2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5.4699999999999999E-2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5.0500000000000003E-2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4.7300000000000002E-2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4.4299999999999999E-2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4.2299999999999997E-2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4.0399999999999998E-2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3.73E-2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3.4700000000000002E-2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8.8300000000000003E-2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9.5299999999999996E-2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9.4E-2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9.9000000000000005E-2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0.10680000000000001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0.11890000000000001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0.1225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0.1157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0.11550000000000001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0.11260000000000001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0.1119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0.1143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0.1171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0.11940000000000001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0.1198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0.1206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5.9999999999999995E-4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2.5999999999999999E-3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9.4999999999999998E-3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1.5599999999999999E-2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2.41E-2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2.8799999999999999E-2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2.9000000000000001E-2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3.6600000000000001E-2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3.9699999999999999E-2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4.07E-2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4.1599999999999998E-2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4.3200000000000002E-2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4.4699999999999997E-2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4.6100000000000002E-2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4.7600000000000003E-2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4.9299999999999997E-2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5.11E-2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5.4999999999999997E-3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1.0500000000000001E-2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1.44E-2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1.4500000000000001E-2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1.2999999999999999E-2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9.4000000000000004E-3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7.6E-3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6.4000000000000003E-3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5.4999999999999997E-3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5.1999999999999998E-3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4.8999999999999998E-3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5.1000000000000004E-3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5.1999999999999998E-3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7.0000000000000001E-3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8.5000000000000006E-3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1.8E-3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2.3999999999999998E-3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2.7000000000000001E-3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4.0000000000000002E-4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2.9999999999999997E-4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-19.090499999999999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-11.5951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-35.863500000000002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-51.412399999999998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-63.144500000000001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-72.096800000000002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-74.492900000000006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-73.117699999999999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-69.818700000000007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-66.403099999999995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-62.907899999999998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-65.688299999999998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-68.436400000000006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-67.248699999999999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-66.069999999999993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-67.491600000000005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-68.902799999999999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33.560499999999998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34.148400000000002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27.461099999999998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21.455100000000002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15.4175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9.3681999999999999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5.5846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3.4264999999999999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2.6415999999999999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1.9036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1.2462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0.85870000000000002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0.50419999999999998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-7.3300000000000004E-2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-0.65920000000000001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-0.7248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-0.77800000000000002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0.2072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1.1623000000000001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3.573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6.3798000000000004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8.3000000000000007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8.7698999999999998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8.1790000000000003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7.4867999999999997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6.5895999999999999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5.7392000000000003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5.4687999999999999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4.1657000000000002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2.9028999999999998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1.6434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0.4824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0.30769999999999997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0.14169999999999999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5.4699999999999999E-2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5.7200000000000001E-2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5.6899999999999999E-2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7.0300000000000001E-2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9.06E-2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9.98E-2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9.0999999999999998E-2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8.2400000000000001E-2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8.0199999999999994E-2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7.7700000000000005E-2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7.46E-2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7.1400000000000005E-2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6.7400000000000002E-2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6.3899999999999998E-2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6.0999999999999999E-2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5.8200000000000002E-2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8.5500000000000007E-2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8.8200000000000001E-2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9.2399999999999996E-2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0.1046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0.1235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0.1343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0.125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0.1114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0.1099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0.1106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0.1111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0.1149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0.11840000000000001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0.1237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0.12720000000000001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0.13100000000000001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5.9999999999999995E-4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3.2000000000000002E-3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7.4999999999999997E-3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1.47E-2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2.3400000000000001E-2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2.7900000000000001E-2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3.0700000000000002E-2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3.2199999999999999E-2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3.56E-2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3.8800000000000001E-2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4.2000000000000003E-2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4.4499999999999998E-2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4.7E-2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4.9299999999999997E-2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5.2299999999999999E-2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5.5599999999999997E-2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5.8900000000000001E-2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8.9999999999999998E-4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4.4999999999999997E-3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1.11E-2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2.0199999999999999E-2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2.5700000000000001E-2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2.9100000000000001E-2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3.5700000000000003E-2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4.2900000000000001E-2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4.8399999999999999E-2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4.5900000000000003E-2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4.6699999999999998E-2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4.6399999999999997E-2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4.6399999999999997E-2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4.36E-2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4.0899999999999999E-2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3.8399999999999997E-2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2.7000000000000001E-3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1.5E-3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1.9E-3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2.2000000000000001E-3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1.1999999999999999E-3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4.0000000000000002E-4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2.9999999999999997E-4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-20.939499999999999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-13.7529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-36.673900000000003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-51.934899999999999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-62.237099999999998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-66.886700000000005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-67.786799999999999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-65.760300000000001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-66.027299999999997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-66.262299999999996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-66.902799999999999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-67.354299999999995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-67.705200000000005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-66.113200000000006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-64.563299999999998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-61.241599999999998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-57.873199999999997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31.7484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32.127099999999999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25.825500000000002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17.8581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9.7751000000000001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5.6463999999999999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5.2060000000000004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5.7084000000000001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3.7376999999999998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2.3626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0.58450000000000002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0.70979999999999999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0.93859999999999999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1.8992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2.8212999999999999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2.6137000000000001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2.4504999999999999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0.2145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1.2501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3.6011000000000002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6.1856999999999998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8.1675000000000004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8.7028999999999996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8.6233000000000004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7.7126999999999999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6.1448999999999998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4.8757999999999999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3.6888000000000001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3.5956000000000001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3.5548999999999999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3.5284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3.5162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3.2679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3.0449999999999999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5.4399999999999997E-2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5.7599999999999998E-2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5.7299999999999997E-2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7.46E-2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9.1600000000000001E-2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0.1076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0.1123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0.10979999999999999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9.7299999999999998E-2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9.1899999999999996E-2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8.6499999999999994E-2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8.2400000000000001E-2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7.8799999999999995E-2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7.51E-2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7.1800000000000003E-2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6.7299999999999999E-2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6.3299999999999995E-2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8.4699999999999998E-2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8.6199999999999999E-2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8.9300000000000004E-2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0.1074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0.12670000000000001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0.14410000000000001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0.1431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0.12770000000000001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0.1239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0.122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0.1196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0.1245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0.1293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0.13339999999999999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0.13730000000000001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0.1386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0.14019999999999999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5.9999999999999995E-4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2.8E-3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8.5000000000000006E-3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1.8599999999999998E-2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3.1199999999999999E-2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3.9300000000000002E-2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4.3299999999999998E-2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4.5499999999999999E-2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5.1799999999999999E-2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5.4399999999999997E-2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5.74E-2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6.0299999999999999E-2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6.3200000000000006E-2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6.6400000000000001E-2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6.9500000000000006E-2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5.1000000000000004E-3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2.2800000000000001E-2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2.63E-2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2.6800000000000001E-2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3.5400000000000001E-2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3.9399999999999998E-2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3.6600000000000001E-2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3.2099999999999997E-2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3.1800000000000002E-2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3.1099999999999999E-2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3.0599999999999999E-2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2.7900000000000001E-2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2.5499999999999998E-2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2.3999999999999998E-3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1.2999999999999999E-3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1.6999999999999999E-3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1.9E-3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4.0000000000000002E-4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-20.504100000000001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-12.3154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-35.276200000000003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-53.429299999999998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-65.2423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-74.267600000000002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-79.184700000000007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-81.309399999999997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-77.908299999999997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-71.846000000000004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-65.814599999999999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-68.133799999999994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-70.410700000000006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-68.531599999999997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-66.646000000000001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-67.847800000000007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-69.059600000000003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32.180599999999998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33.306800000000003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27.441800000000001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17.0566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8.2700999999999993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1.4803999999999999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-1.5164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-3.0573000000000001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-3.2185000000000001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-2.4224999999999999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-1.6534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-2.4439000000000002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-3.1903000000000001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-3.3155999999999999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-3.4350999999999998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-3.3176999999999999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-3.2132999999999998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0.20880000000000001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1.1221000000000001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2.7645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6.4787999999999997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9.5833999999999993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11.0625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9.9631000000000007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9.1999999999999993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7.2881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4.9954999999999998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4.1562999999999999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3.1208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2.1259999999999999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1.6725000000000001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1.4661999999999999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1.3058000000000001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1.1634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5.3800000000000001E-2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5.6500000000000002E-2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5.7200000000000001E-2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6.4500000000000002E-2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8.5500000000000007E-2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9.8900000000000002E-2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0.1043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0.1009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8.72E-2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8.48E-2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8.2000000000000003E-2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7.7799999999999994E-2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7.4700000000000003E-2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7.1499999999999994E-2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6.8400000000000002E-2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6.4500000000000002E-2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6.0900000000000003E-2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8.43E-2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8.6699999999999999E-2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9.2200000000000004E-2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9.7699999999999995E-2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0.1132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0.1333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0.13370000000000001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0.1196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0.11550000000000001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0.11650000000000001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0.1171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0.1217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0.12590000000000001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0.13009999999999999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0.1341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0.1366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0.13930000000000001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5.9999999999999995E-4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2.5999999999999999E-3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8.3999999999999995E-3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1.54E-2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2.7300000000000001E-2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3.4799999999999998E-2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3.8899999999999997E-2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4.1399999999999999E-2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4.3799999999999999E-2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4.7199999999999999E-2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5.0500000000000003E-2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5.3400000000000003E-2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5.6599999999999998E-2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5.9900000000000002E-2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6.3100000000000003E-2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6.6799999999999998E-2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7.0499999999999993E-2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8.9999999999999998E-4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4.7000000000000002E-3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9.9000000000000008E-3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1.6799999999999999E-2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2.1399999999999999E-2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2.2700000000000001E-2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2.53E-2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3.7100000000000001E-2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3.4099999999999998E-2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3.0800000000000001E-2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2.9600000000000001E-2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2.7699999999999999E-2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2.5999999999999999E-2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3.1099999999999999E-2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2.98E-2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2.87E-2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2.5000000000000001E-3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1.6999999999999999E-3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4.0000000000000002E-4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-20.727900000000002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-11.850300000000001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-28.277100000000001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-43.523099999999999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-57.123600000000003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-63.693800000000003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-64.653899999999993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-63.733899999999998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-62.940899999999999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-63.154600000000002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-63.187600000000003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-62.344999999999999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-61.489899999999999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-62.502400000000002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-63.613900000000001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-61.325899999999997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-59.025599999999997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31.962399999999999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33.5458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33.084800000000001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24.697700000000001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12.815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5.7183999999999999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4.3068999999999997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4.1882999999999999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3.395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2.5762999999999998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1.94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2.0586000000000002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2.1924000000000001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1.0392999999999999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-0.20960000000000001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-0.44140000000000001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0.19869999999999999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1.0043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1.1801999999999999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1.2454000000000001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1.1133999999999999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1.0307999999999999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0.92259999999999998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0.81820000000000004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0.65300000000000002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0.41110000000000002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0.21690000000000001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0.1144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1.6899999999999998E-2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8.5000000000000006E-3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5.5500000000000001E-2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5.7099999999999998E-2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5.9900000000000002E-2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6.4500000000000002E-2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7.46E-2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8.2199999999999995E-2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8.5500000000000007E-2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8.48E-2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8.2600000000000007E-2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7.9500000000000001E-2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7.6300000000000007E-2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7.3599999999999999E-2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7.0999999999999994E-2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6.83E-2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6.5699999999999995E-2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6.2799999999999995E-2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6.0100000000000001E-2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8.6199999999999999E-2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8.9499999999999996E-2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9.6500000000000002E-2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0.1016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0.1091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0.1144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0.11260000000000001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0.1085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0.109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0.1082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0.10730000000000001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0.1113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0.1153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0.12509999999999999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0.1288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0.13270000000000001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5.9999999999999995E-4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3.0000000000000001E-3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7.7000000000000002E-3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1.2500000000000001E-2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1.7600000000000001E-2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2.1700000000000001E-2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2.6100000000000002E-2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3.0499999999999999E-2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3.4599999999999999E-2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3.7900000000000003E-2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4.1300000000000003E-2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4.4299999999999999E-2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4.7600000000000003E-2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5.0999999999999997E-2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5.4399999999999997E-2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5.8200000000000002E-2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6.1899999999999997E-2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8.9999999999999998E-4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4.8999999999999998E-3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8.2000000000000007E-3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1.09E-2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1.26E-2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1.3899999999999999E-2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1.46E-2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1.43E-2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1.6299999999999999E-2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1.7999999999999999E-2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2.41E-2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2.9000000000000001E-2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3.44E-2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3.8300000000000001E-2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4.1700000000000001E-2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4.3999999999999997E-2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2.7000000000000001E-3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1.6000000000000001E-3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1.6000000000000001E-3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2.0000000000000001E-4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2.9999999999999997E-4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1.1000000000000001E-3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3.0000000000000001E-3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4.1999999999999997E-3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1.9E-3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3.3E-3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3.3E-3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2.8999999999999998E-3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2.5999999999999999E-3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1.2999999999999999E-3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8.0000000000000004E-4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1.1000000000000001E-3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1.2999999999999999E-3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1.5E-3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1.6999999999999999E-3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4.0000000000000002E-4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2.9999999999999997E-4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-21.270499999999998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-13.2349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-26.1844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-33.494900000000001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-35.8035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-37.9557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-38.245600000000003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-39.7682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-41.493899999999996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-43.075800000000001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-44.4816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-47.406700000000001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-50.1387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-51.486400000000003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-52.589300000000001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-51.415599999999998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-50.081400000000002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31.418199999999999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32.750399999999999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36.812199999999997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36.798900000000003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36.6631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35.572299999999998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36.273099999999999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34.291899999999998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32.125300000000003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30.0395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28.13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25.878499999999999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23.82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21.365400000000001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19.155200000000001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16.850899999999999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14.7044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0.2117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1.0471999999999999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1.2723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1.6215999999999999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6.5922000000000001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10.0265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11.507899999999999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12.332100000000001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12.987399999999999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13.1119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14.1144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13.8034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14.880800000000001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12.6852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11.2407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8.4459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5.8604000000000003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5.3999999999999999E-2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5.6300000000000003E-2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5.8599999999999999E-2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6.2E-2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8.7999999999999995E-2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0.1011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0.1036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0.1037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9.3799999999999994E-2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8.8800000000000004E-2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8.3699999999999997E-2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8.0399999999999999E-2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7.7200000000000005E-2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7.3099999999999998E-2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6.9199999999999998E-2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6.5500000000000003E-2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6.2E-2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8.5500000000000007E-2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8.7900000000000006E-2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9.4500000000000001E-2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9.7799999999999998E-2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0.1089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0.1295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0.13600000000000001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0.12659999999999999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0.123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0.1203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0.11799999999999999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0.1231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0.128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0.13039999999999999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0.1328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0.1356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0.13869999999999999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5.9999999999999995E-4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3.2000000000000002E-3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8.2000000000000007E-3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1.35E-2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2.1600000000000001E-2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3.0099999999999998E-2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3.44E-2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3.7699999999999997E-2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4.0899999999999999E-2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4.3099999999999999E-2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4.5400000000000003E-2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4.8399999999999999E-2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5.1299999999999998E-2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5.3699999999999998E-2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5.6300000000000003E-2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5.9299999999999999E-2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6.2399999999999997E-2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8.9999999999999998E-4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5.0000000000000001E-3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8.3999999999999995E-3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1.17E-2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1.6899999999999998E-2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2.63E-2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3.8399999999999997E-2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4.7E-2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5.6800000000000003E-2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5.9400000000000001E-2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6.4600000000000005E-2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6.6900000000000001E-2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7.5800000000000006E-2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7.5200000000000003E-2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7.9200000000000007E-2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6.8000000000000005E-2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5.7200000000000001E-2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1.5E-3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1.6999999999999999E-3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2.2000000000000001E-3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3.0000000000000001E-3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3.2000000000000002E-3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2.0000000000000001E-4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2.0000000000000001E-4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4.0000000000000002E-4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-20.8322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-11.282500000000001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-22.612200000000001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-32.115299999999998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-59.551099999999998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-72.525700000000001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-80.148200000000003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-82.998400000000004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-82.810100000000006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-82.429599999999994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-82.8369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-81.760900000000007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-81.941699999999997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-79.845500000000001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-78.478099999999998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-73.446600000000004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-68.628900000000002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31.8523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33.505200000000002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38.003999999999998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37.863300000000002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15.168900000000001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4.8548999999999998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-1.1093999999999999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-5.2976999999999999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-8.5548999999999999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-9.9609000000000005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-12.153600000000001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-12.390599999999999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-13.883699999999999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-11.9383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-10.7201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-7.9199000000000002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-5.3342000000000001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0.2039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1.0281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1.2281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1.3726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3.5106999999999999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4.2398999999999996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3.8214000000000001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3.6438999999999999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3.0988000000000002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2.1499000000000001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1.7554000000000001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0.66930000000000001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0.48170000000000002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0.27689999999999998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6.0499999999999998E-2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3.1399999999999997E-2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5.5199999999999999E-2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5.7000000000000002E-2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5.9700000000000003E-2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6.3299999999999995E-2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7.3099999999999998E-2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8.6300000000000002E-2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8.9700000000000002E-2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8.7499999999999994E-2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8.2600000000000007E-2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8.0299999999999996E-2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7.7600000000000002E-2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7.5399999999999995E-2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7.3099999999999998E-2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6.9500000000000006E-2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6.6100000000000006E-2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6.3200000000000006E-2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6.0400000000000002E-2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8.6099999999999996E-2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8.9200000000000002E-2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9.6199999999999994E-2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0.10150000000000001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0.1085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0.1186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0.1172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0.1108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0.1104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0.1106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0.1159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0.1211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0.12429999999999999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0.1275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0.13170000000000001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0.1361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5.9999999999999995E-4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3.0999999999999999E-3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8.0000000000000002E-3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1.2699999999999999E-2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1.9300000000000001E-2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2.58E-2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2.9899999999999999E-2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3.3099999999999997E-2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3.6600000000000001E-2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3.95E-2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4.2500000000000003E-2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4.5499999999999999E-2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4.8500000000000001E-2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5.1499999999999997E-2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5.4899999999999997E-2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5.8900000000000001E-2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6.2899999999999998E-2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8.9999999999999998E-4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5.0000000000000001E-3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8.3000000000000001E-3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1.17E-2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1.5299999999999999E-2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2.2499999999999999E-2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2.81E-2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3.6299999999999999E-2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3.6999999999999998E-2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3.6400000000000002E-2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3.6400000000000002E-2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3.5499999999999997E-2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3.49E-2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3.4200000000000001E-2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3.3799999999999997E-2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3.4299999999999997E-2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1.5E-3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1.6000000000000001E-3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2.3999999999999998E-3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3.2000000000000002E-3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3.7000000000000002E-3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1.6999999999999999E-3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6.9999999999999999E-4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2.2000000000000001E-3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2.5000000000000001E-3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2.5999999999999999E-3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2.3999999999999998E-3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1.1000000000000001E-3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8.0000000000000004E-4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2.9999999999999997E-4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5.0000000000000001E-4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5.0000000000000001E-4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4.0000000000000002E-4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2.9999999999999997E-4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-21.0595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-12.279400000000001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-24.431100000000001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-36.402999999999999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-51.030200000000001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-60.321399999999997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-64.451499999999996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-63.770200000000003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-60.670900000000003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-59.991799999999998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-59.1145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-60.999200000000002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-62.606900000000003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-64.089600000000004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-65.489599999999996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-63.063899999999997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-60.579300000000003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31.625900000000001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33.107100000000003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37.372199999999999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38.123199999999997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29.868200000000002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24.832100000000001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22.5624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19.5823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17.354099999999999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15.543100000000001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13.9339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12.3024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10.950699999999999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9.1181000000000001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7.3697999999999997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6.6365999999999996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5.9596999999999998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0.21929999999999999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1.1996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3.3012000000000001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5.6984000000000004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8.8699999999999992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10.265499999999999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11.9114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12.3217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13.484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13.0954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13.55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12.2227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11.113899999999999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10.095700000000001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9.2354000000000003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8.1434999999999995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7.2545000000000002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5.8999999999999997E-2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5.7599999999999998E-2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5.5100000000000003E-2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5.4800000000000001E-2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6.4100000000000004E-2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7.0800000000000002E-2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7.2499999999999995E-2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6.7000000000000004E-2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6.1800000000000001E-2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5.7799999999999997E-2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5.3600000000000002E-2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5.0500000000000003E-2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4.7600000000000003E-2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4.4999999999999998E-2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4.2599999999999999E-2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3.95E-2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3.6700000000000003E-2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8.7400000000000005E-2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9.5000000000000001E-2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9.4799999999999995E-2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0.1033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0.11609999999999999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0.13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0.13270000000000001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0.1229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0.12089999999999999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0.1178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0.114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0.1167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0.11890000000000001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0.1207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0.1221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0.1227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0.1237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5.9999999999999995E-4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2.7000000000000001E-3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1.6E-2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2.81E-2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3.32E-2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4.0099999999999997E-2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4.2799999999999998E-2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4.3900000000000002E-2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4.4600000000000001E-2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4.58E-2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5.0299999999999997E-2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5.1799999999999999E-2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5.7000000000000002E-3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1.3299999999999999E-2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2.3599999999999999E-2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2.86E-2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2.7400000000000001E-2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2.7699999999999999E-2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2.7199999999999998E-2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2.7799999999999998E-2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2.5999999999999999E-2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2.5899999999999999E-2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2.3400000000000001E-2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2.1299999999999999E-2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1.9599999999999999E-2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1.9099999999999999E-2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1.8E-3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2.3999999999999998E-3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2.7000000000000001E-3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4.0000000000000002E-4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2.9999999999999997E-4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-18.8904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-10.6959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-34.415100000000002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-49.949599999999997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-63.673200000000001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-70.175200000000004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-73.5167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-75.289500000000004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-78.123500000000007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-76.406899999999993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-75.473699999999994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-78.102099999999993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-80.947199999999995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-78.234399999999994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-75.680800000000005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-75.276499999999999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-75.047700000000006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33.751600000000003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34.703099999999999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27.352699999999999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17.204599999999999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3.6404999999999998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-4.0423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-8.5974000000000004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-10.356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-12.4841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-12.3756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-13.0496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-11.747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-10.6601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-9.6487999999999996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-8.7956000000000003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-7.8177000000000003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-7.0151000000000003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0.2069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1.1298999999999999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3.2387999999999999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6.0125000000000002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8.1130999999999993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8.6072000000000006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7.9793000000000003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7.2847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6.3513999999999999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5.5206999999999997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5.1639999999999997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3.9537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2.8119000000000001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1.5342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0.35780000000000001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0.17510000000000001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5.4600000000000003E-2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5.6899999999999999E-2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5.6300000000000003E-2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6.9099999999999995E-2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8.9700000000000002E-2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0.1009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9.2399999999999996E-2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8.2799999999999999E-2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7.8700000000000006E-2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7.5899999999999995E-2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7.2999999999999995E-2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6.9800000000000001E-2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6.6600000000000006E-2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6.3600000000000004E-2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6.08E-2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8.5400000000000004E-2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8.8200000000000001E-2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9.2200000000000004E-2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0.1033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0.1222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0.13350000000000001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0.12540000000000001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0.1116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0.1106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0.1118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0.1129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0.1174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0.1217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0.1258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0.12970000000000001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0.1336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0.13789999999999999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5.9999999999999995E-4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3.2000000000000002E-3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7.4999999999999997E-3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1.4500000000000001E-2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2.35E-2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2.8299999999999999E-2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3.1399999999999997E-2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3.32E-2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3.6400000000000002E-2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3.9800000000000002E-2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4.3200000000000002E-2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4.5900000000000003E-2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4.87E-2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5.1900000000000002E-2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5.5199999999999999E-2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5.8700000000000002E-2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6.2100000000000002E-2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8.9999999999999998E-4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4.4000000000000003E-3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1.0500000000000001E-2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1.89E-2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2.4199999999999999E-2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2.7799999999999998E-2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3.44E-2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4.2099999999999999E-2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4.8000000000000001E-2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4.5699999999999998E-2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4.58E-2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4.6100000000000002E-2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5.0599999999999999E-2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4.8099999999999997E-2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4.2700000000000002E-2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4.02E-2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2.7000000000000001E-3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1.4E-3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1.9E-3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2.2000000000000001E-3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4.0000000000000002E-4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2.9999999999999997E-4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-21.052199999999999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-13.7042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-36.281599999999997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-50.902099999999997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-60.503399999999999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-64.731399999999994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-64.820700000000002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-63.882399999999997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-64.084999999999994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-64.486599999999996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-65.198400000000007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-66.088899999999995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-66.831800000000001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-65.326899999999995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-63.892000000000003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-60.623800000000003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-57.304299999999998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31.635999999999999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32.2361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26.281700000000001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18.929300000000001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11.534700000000001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7.8232999999999997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8.1858000000000004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7.5827999999999998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5.6619999999999999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4.1162999999999998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2.2625000000000002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1.9451000000000001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1.7785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2.6532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3.4615999999999998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3.2004000000000001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2.9882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0.21820000000000001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1.2293000000000001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3.8620000000000001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7.1109999999999998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9.7774000000000001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10.5382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10.7295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9.6265000000000001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7.8174000000000001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6.3489000000000004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4.9763000000000002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4.2423999999999999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3.5990000000000002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3.5367000000000002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3.5358999999999998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3.4112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3.306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5.4800000000000001E-2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5.8400000000000001E-2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6.0100000000000001E-2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8.1100000000000005E-2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0.1007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0.11899999999999999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0.1234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0.1211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0.1076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0.1031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9.8500000000000004E-2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9.3799999999999994E-2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8.9300000000000004E-2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8.5300000000000001E-2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8.1500000000000003E-2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7.6600000000000001E-2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7.2099999999999997E-2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8.5400000000000004E-2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8.7499999999999994E-2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9.2600000000000002E-2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0.11700000000000001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0.14230000000000001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0.1603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0.14319999999999999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0.13789999999999999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0.1368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0.13519999999999999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0.14030000000000001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0.14510000000000001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0.14910000000000001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0.15290000000000001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0.1547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0.15670000000000001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5.9999999999999995E-4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2.7000000000000001E-3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8.3999999999999995E-3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1.89E-2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3.1899999999999998E-2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3.9699999999999999E-2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4.3799999999999999E-2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4.6199999999999998E-2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4.9399999999999999E-2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5.21E-2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5.4800000000000001E-2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5.7700000000000001E-2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6.0900000000000003E-2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6.4100000000000004E-2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6.7299999999999999E-2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7.1099999999999997E-2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7.4899999999999994E-2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5.1000000000000004E-3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2.6499999999999999E-2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3.1800000000000002E-2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3.32E-2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3.7999999999999999E-2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4.24E-2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4.4900000000000002E-2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4.02E-2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3.4299999999999997E-2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3.2399999999999998E-2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3.1099999999999999E-2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3.0599999999999999E-2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3.0599999999999999E-2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2.8199999999999999E-2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2.6200000000000001E-2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2.8999999999999998E-3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1.6000000000000001E-3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2.0999999999999999E-3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1.1999999999999999E-3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2.0000000000000001E-4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4.0000000000000002E-4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2.9999999999999997E-4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-20.2926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-11.984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-34.866399999999999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-52.960799999999999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-65.1614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-74.371300000000005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-80.269300000000001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-83.085999999999999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-80.379800000000003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-74.671700000000001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-68.9786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-69.703299999999999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-70.517399999999995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-68.366600000000005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-66.266599999999997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-67.380099999999999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-68.536600000000007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32.383400000000002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33.454799999999999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27.0303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15.2018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5.0511999999999997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-2.0444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-5.375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-6.7077999999999998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-6.7340999999999998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-6.0846999999999998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-5.4469000000000003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-4.7114000000000003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-4.0617999999999999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-4.0092999999999996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-4.0072999999999999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-3.8184999999999998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-3.6762000000000001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0.20910000000000001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1.1521999999999999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2.6379000000000001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7.0388000000000002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10.3071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11.7492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10.8582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5.3600000000000002E-2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5.6399999999999999E-2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5.7000000000000002E-2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6.4199999999999993E-2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8.5500000000000007E-2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9.9299999999999999E-2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0.10489999999999999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8.4199999999999997E-2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8.6300000000000002E-2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9.1800000000000007E-2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9.7199999999999995E-2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0.11360000000000001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0.13400000000000001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0.1346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5.9999999999999995E-4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2.5999999999999999E-3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8.3999999999999995E-3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1.5299999999999999E-2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2.7300000000000001E-2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3.5099999999999999E-2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3.9199999999999999E-2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8.9999999999999998E-4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4.7000000000000002E-3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1.6799999999999999E-2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2.18E-2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2.6100000000000002E-2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2.5000000000000001E-3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1.6999999999999999E-3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2.0999999999999999E-3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1.6000000000000001E-3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4.0000000000000002E-4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-20.746400000000001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-12.976800000000001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-28.531300000000002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-43.619199999999999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-57.5623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-64.344300000000004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-65.282499999999999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31.9452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33.307600000000001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33.061700000000002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24.5379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12.2913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4.8912000000000004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3.4969999999999999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0.19980000000000001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1.0374000000000001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1.1933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1.2425999999999999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1.1308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1.0469999999999999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0.92789999999999995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5.5399999999999998E-2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5.7200000000000001E-2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5.79E-2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6.0999999999999999E-2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6.8900000000000003E-2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7.5800000000000006E-2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7.9399999999999998E-2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8.5999999999999993E-2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8.9599999999999999E-2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9.4200000000000006E-2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9.7299999999999998E-2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0.1028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0.10780000000000001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0.1066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5.0000000000000001E-4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2.7000000000000001E-3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7.9000000000000008E-3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1.4E-2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2.0299999999999999E-2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2.3699999999999999E-2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2.76E-2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8.9999999999999998E-4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4.7999999999999996E-3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8.0000000000000002E-3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1.0500000000000001E-2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1.2200000000000001E-2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2.5999999999999999E-3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1.5E-3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1.8E-3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3.2000000000000002E-3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3.2000000000000002E-3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2.8E-3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2.3999999999999998E-3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1.5E-3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4.0000000000000002E-4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-21.322700000000001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-14.651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-27.487200000000001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-34.7395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-36.9876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-39.014000000000003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-39.321800000000003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31.359100000000002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32.433399999999999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35.966299999999997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35.634700000000002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35.401499999999999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34.411900000000003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35.130600000000001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0.19919999999999999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1.0335000000000001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1.1842999999999999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1.6185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5.6749000000000001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9.6450999999999993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11.356400000000001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5.4899999999999997E-2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5.6399999999999999E-2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5.6399999999999999E-2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5.9900000000000002E-2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8.5500000000000007E-2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9.8400000000000001E-2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0.10009999999999999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8.5400000000000004E-2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8.8700000000000001E-2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9.2600000000000002E-2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9.5500000000000002E-2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0.10440000000000001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0.12379999999999999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0.13020000000000001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2.7000000000000001E-3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8.0000000000000002E-3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1.3599999999999999E-2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3.0499999999999999E-2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3.4799999999999998E-2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8.9999999999999998E-4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4.7999999999999996E-3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7.9000000000000008E-3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1.7100000000000001E-2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2.6800000000000001E-2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3.9300000000000002E-2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2.2000000000000001E-3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1.2999999999999999E-3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1.6000000000000001E-3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2.5999999999999999E-3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2.5999999999999999E-3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1.1000000000000001E-3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4.0000000000000002E-4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-21.488700000000001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-13.6487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-25.390599999999999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-32.6922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-58.503300000000003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-72.004900000000006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-79.642799999999994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31.196200000000001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32.268599999999999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35.728900000000003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37.1922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15.8375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4.7218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-1.5237000000000001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0.2072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1.0616000000000001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1.2746999999999999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1.3845000000000001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2.2780999999999998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2.1526000000000001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1.8956999999999999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5.3999999999999999E-2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5.57E-2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5.74E-2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6.0400000000000002E-2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6.9900000000000004E-2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8.5800000000000001E-2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8.5800000000000001E-2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8.5099999999999995E-2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8.7499999999999994E-2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9.3700000000000006E-2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9.7799999999999998E-2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0.1026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0.11219999999999999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0.1105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5.9999999999999995E-4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3.2000000000000002E-3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1.3299999999999999E-2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2.1399999999999999E-2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3.1300000000000001E-2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8.9999999999999998E-4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4.8999999999999998E-3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8.3000000000000001E-3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2.4400000000000002E-2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3.6799999999999999E-2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2.0999999999999999E-3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1.1999999999999999E-3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1.2999999999999999E-3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1.5E-3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1.8E-3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2.5000000000000001E-3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2.8999999999999998E-3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6.9999999999999999E-4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4.0000000000000002E-4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-21.097300000000001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-13.532299999999999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-24.990300000000001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-36.6965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-54.294699999999999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-64.981700000000004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-67.479399999999998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31.592700000000001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32.956400000000002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37.258699999999997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38.180300000000003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27.057300000000001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19.982199999999999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17.834099999999999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0.2162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1.1996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2.8304999999999998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4.2054999999999998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5.1604000000000001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5.7184999999999997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5.7774999999999999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6.0900000000000003E-2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0.06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5.9900000000000002E-2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6.2100000000000002E-2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6.8599999999999994E-2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7.5399999999999995E-2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7.8899999999999998E-2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9.0399999999999994E-2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9.9099999999999994E-2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0.1012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0.11260000000000001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0.1258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0.14219999999999999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0.1474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5.9999999999999995E-4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2.5999999999999999E-3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9.4999999999999998E-3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1.61E-2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2.53E-2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3.1399999999999997E-2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5.5999999999999999E-3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1.0699999999999999E-2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1.49E-2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1.5100000000000001E-2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3.8E-3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2.2000000000000001E-3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3.0000000000000001E-3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3.3E-3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2.0000000000000001E-4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4.0000000000000002E-4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2.9999999999999997E-4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-18.679099999999998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-12.207000000000001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-35.766599999999997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-50.841099999999997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-62.488900000000001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-73.8673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-78.709199999999996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33.950899999999997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34.488399999999999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27.673200000000001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21.164400000000001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14.773199999999999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7.6994999999999996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4.0282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0.2069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1.1695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3.4708000000000001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6.585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8.8773999999999997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9.4349000000000007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8.6426999999999996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5.45E-2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5.62E-2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6.9800000000000001E-2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9.06E-2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0.1011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0.1011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8.5300000000000001E-2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8.8099999999999998E-2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9.2200000000000004E-2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0.1231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0.13420000000000001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0.12529999999999999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5.9999999999999995E-4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3.2000000000000002E-3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7.6E-3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2.41E-2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2.8799999999999999E-2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3.1800000000000002E-2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8.9999999999999998E-4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4.4999999999999997E-3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1.11E-2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2.0400000000000001E-2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2.6100000000000002E-2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2.9700000000000001E-2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3.6200000000000003E-2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2.7000000000000001E-3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1.4E-3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1.9E-3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2.2000000000000001E-3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2.0000000000000001E-4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4.0000000000000002E-4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2.9999999999999997E-4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-21.100999999999999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-14.609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-37.07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-52.082500000000003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-62.088900000000002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-66.411500000000004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-65.829499999999996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31.587800000000001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31.8887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25.463000000000001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17.564599999999999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9.7650000000000006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5.9568000000000003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6.9869000000000003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0.21779999999999999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1.2101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4.0076999999999998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7.2525000000000004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9.7334999999999994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10.130000000000001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9.8693000000000008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5.4899999999999997E-2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5.8400000000000001E-2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6.0199999999999997E-2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8.1799999999999998E-2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0.1014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0.1196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0.124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8.5400000000000004E-2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8.7499999999999994E-2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9.2399999999999996E-2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0.1171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0.1426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0.16039999999999999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0.15890000000000001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5.9999999999999995E-4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2.7000000000000001E-3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8.3999999999999995E-3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1.9099999999999999E-2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3.2099999999999997E-2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3.9899999999999998E-2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4.3900000000000002E-2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5.1999999999999998E-3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2.5499999999999998E-2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2.9700000000000001E-2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3.0599999999999999E-2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3.5400000000000001E-2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2.8999999999999998E-3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1.6000000000000001E-3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2.0999999999999999E-3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1.1999999999999999E-3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2.0000000000000001E-4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4.0000000000000002E-4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2.9999999999999997E-4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-20.314699999999998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-13.1075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-36.237400000000001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-55.7014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-68.478099999999998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-76.716399999999993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-80.0869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32.361600000000003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33.370899999999999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26.84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15.2232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5.6829999999999998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-0.7379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-3.6103000000000001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2025-09-09T03:18:39Z</dcterms:modified>
</cp:coreProperties>
</file>