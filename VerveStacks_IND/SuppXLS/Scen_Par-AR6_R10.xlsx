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B6FD21BB-2CB9-4BD8-9E9A-67D074A1A332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<sst xmlns="http://schemas.openxmlformats.org/spreadsheetml/2006/main" count="1898" uniqueCount="187">
  <si>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</si>
  <si>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</si>
  <si>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</si>
  <si>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</si>
  <si>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</si>
  <si>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</si>
  <si>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</si>
  <si>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</si>
  <si>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</si>
  <si>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</si>
  <si>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</si>
  <si>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</si>
  <si>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</si>
  <si>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</si>
  <si>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</si>
  <si>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</si>
  <si>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</si>
  <si>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</si>
  <si>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</si>
  <si>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</si>
  <si>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</si>
  <si>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</si>
  <si>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</si>
  <si>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</si>
  <si>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</si>
  <si>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</si>
  <si>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</si>
  <si>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</si>
  <si>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</si>
  <si>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</si>
  <si>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</si>
  <si>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</si>
  <si>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</si>
  <si>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</si>
  <si>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</si>
  <si>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</si>
  <si>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</si>
  <si>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</si>
  <si>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</si>
  <si>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</si>
  <si>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</si>
  <si>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</si>
  <si>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</si>
  <si>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</si>
  <si>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</si>
  <si>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</si>
  <si>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</si>
  <si>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</si>
  <si>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</si>
  <si>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</si>
  <si>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</si>
  <si>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</si>
  <si>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</si>
  <si>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</si>
  <si>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</si>
  <si>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</si>
  <si>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</si>
  <si>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</si>
  <si>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</si>
  <si>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</si>
  <si>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</si>
  <si>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</si>
  <si>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</si>
  <si>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</si>
  <si>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</si>
  <si>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</si>
  <si>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</si>
  <si>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</si>
  <si>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</si>
  <si>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</si>
  <si>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</si>
  <si>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</si>
  <si>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</si>
  <si>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</si>
  <si>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</si>
  <si>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</si>
  <si>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</si>
  <si>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</si>
  <si>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</si>
  <si>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</si>
  <si>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</si>
  <si>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</si>
  <si>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</si>
  <si>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</si>
  <si>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</si>
  <si>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</si>
  <si>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</si>
  <si>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</si>
  <si>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</si>
  <si>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</si>
  <si>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</si>
  <si>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</si>
  <si>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</si>
  <si>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</si>
  <si>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</si>
  <si>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</si>
  <si>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</si>
  <si>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</si>
  <si>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</si>
  <si>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</si>
  <si>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</si>
  <si>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</si>
  <si>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</si>
  <si>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</si>
  <si>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</si>
  <si>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</si>
  <si>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</si>
  <si>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</si>
  <si>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</si>
  <si>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</si>
  <si>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</si>
  <si>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</si>
  <si>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</si>
  <si>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</si>
  <si>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</si>
  <si>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</si>
  <si>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</si>
  <si>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</si>
  <si>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</si>
  <si>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</si>
  <si>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</si>
  <si>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</si>
  <si>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</si>
  <si>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</si>
  <si>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</si>
  <si>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</si>
  <si>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</si>
  <si>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</si>
  <si>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</si>
  <si>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</si>
  <si>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</si>
  <si>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</si>
  <si>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</si>
  <si>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</si>
  <si>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</si>
  <si>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</si>
  <si>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</si>
  <si>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</si>
  <si>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</si>
  <si>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</si>
  <si>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</si>
  <si>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</si>
  <si>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IND</t>
  </si>
  <si>
    <t>R10INDIA+</t>
  </si>
  <si>
    <t>Expensive LNG imports, cheap domestic coal</t>
  </si>
  <si>
    <t>1-70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</si>
  <si>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</si>
  <si>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</si>
  <si>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</si>
  <si>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</si>
  <si>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</si>
  <si>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</si>
  <si>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</si>
  <si>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</si>
  <si>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</si>
  <si>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elc_spv-IND</t>
  </si>
  <si>
    <t>AllSaAllH</t>
  </si>
  <si>
    <t>IMPNRGZ</t>
  </si>
  <si>
    <t>elc_won-IND</t>
  </si>
  <si>
    <t>elc_wof-IND</t>
  </si>
  <si>
    <t>g_yrfr</t>
  </si>
  <si>
    <t>day_night</t>
  </si>
  <si>
    <t>D</t>
  </si>
  <si>
    <t>N</t>
  </si>
  <si>
    <t>com_pkflx</t>
  </si>
  <si>
    <t>ncap_afs</t>
  </si>
  <si>
    <t>pset_ci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</si>
  <si>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</si>
  <si>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</si>
  <si>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</si>
  <si>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</si>
  <si>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</si>
  <si>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</si>
  <si>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</si>
  <si>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</si>
  <si>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</si>
  <si>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</si>
  <si>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</si>
  <si>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</si>
  <si>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</si>
  <si>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</si>
  <si>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</si>
  <si>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</si>
  <si>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</si>
  <si>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</si>
  <si>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SaD,FaD,RaD,WaP,FaP,SaP,RaP,WaD</t>
  </si>
  <si>
    <t>SaN,WaN,FaN,FaP,SaP,RaP,RaN,WaP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</si>
</sst>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3">$S$12*J15</f>
        <v>2355.145</v>
      </c>
      <c r="V14" s="8">
        <f t="shared" si="3"/>
        <v>2934.873</v>
      </c>
      <c r="W14" s="8">
        <f t="shared" si="3"/>
        <v>3840.6979999999999</v>
      </c>
      <c r="X14" s="8">
        <f t="shared" si="3"/>
        <v>4782.7560000000003</v>
      </c>
      <c r="Y14" s="8">
        <f t="shared" si="3"/>
        <v>6213.9594999999999</v>
      </c>
      <c r="Z14" s="8">
        <f t="shared" si="3"/>
        <v>7445.8815000000004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38.406979999999997</v>
      </c>
      <c r="X18" s="6">
        <f t="shared" si="7"/>
        <v>95.655120000000011</v>
      </c>
      <c r="Y18" s="6">
        <f t="shared" si="7"/>
        <v>124.27919</v>
      </c>
      <c r="Z18" s="6">
        <f t="shared" si="7"/>
        <v>223.37644500000002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887.70849999999996</v>
      </c>
      <c r="U19" s="6">
        <f t="shared" si="7"/>
        <v>1154.0210500000001</v>
      </c>
      <c r="V19" s="6">
        <f t="shared" si="7"/>
        <v>1350.0415800000001</v>
      </c>
      <c r="W19" s="6">
        <f t="shared" si="7"/>
        <v>1843.5350399999998</v>
      </c>
      <c r="X19" s="6">
        <f t="shared" si="7"/>
        <v>2200.0677600000004</v>
      </c>
      <c r="Y19" s="6">
        <f t="shared" si="7"/>
        <v>2982.7005599999998</v>
      </c>
      <c r="Z19" s="6">
        <f t="shared" si="7"/>
        <v>3499.5643049999999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7"/>
        <v>833.35899999999992</v>
      </c>
      <c r="U20" s="6">
        <f t="shared" si="7"/>
        <v>1106.91815</v>
      </c>
      <c r="V20" s="6">
        <f t="shared" si="7"/>
        <v>1320.6928500000001</v>
      </c>
      <c r="W20" s="6">
        <f t="shared" si="7"/>
        <v>1728.3141000000001</v>
      </c>
      <c r="X20" s="6">
        <f t="shared" si="7"/>
        <v>2247.8953200000001</v>
      </c>
      <c r="Y20" s="6">
        <f t="shared" si="7"/>
        <v>2734.1421799999998</v>
      </c>
      <c r="Z20" s="6">
        <f t="shared" si="7"/>
        <v>3276.18786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54.349500000000035</v>
      </c>
      <c r="U22" s="6">
        <f t="shared" si="9"/>
        <v>57.972800000000007</v>
      </c>
      <c r="V22" s="6">
        <f t="shared" si="9"/>
        <v>227.90556999999944</v>
      </c>
      <c r="W22" s="6">
        <f t="shared" si="9"/>
        <v>232.61585999999988</v>
      </c>
      <c r="X22" s="6">
        <f t="shared" si="9"/>
        <v>298.55991999999969</v>
      </c>
      <c r="Y22" s="6">
        <f t="shared" si="9"/>
        <v>460.88375999999971</v>
      </c>
      <c r="Z22" s="6">
        <f t="shared" si="9"/>
        <v>633.89633500000036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36</v>
      </c>
      <c r="J45">
        <f t="shared" si="12"/>
        <v>39.96</v>
      </c>
      <c r="K45">
        <f t="shared" si="12"/>
        <v>43.56</v>
      </c>
      <c r="L45">
        <f t="shared" si="12"/>
        <v>41.76</v>
      </c>
      <c r="M45">
        <f t="shared" si="12"/>
        <v>48.96</v>
      </c>
      <c r="N45">
        <f t="shared" si="12"/>
        <v>50.4</v>
      </c>
      <c r="O45">
        <f t="shared" si="12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9.8000000000000007</v>
      </c>
      <c r="J46">
        <f t="shared" si="12"/>
        <v>10.486000000000001</v>
      </c>
      <c r="K46">
        <f t="shared" si="12"/>
        <v>11.465999999999999</v>
      </c>
      <c r="L46">
        <f t="shared" si="12"/>
        <v>11.858000000000001</v>
      </c>
      <c r="M46">
        <f t="shared" si="12"/>
        <v>13.426000000000002</v>
      </c>
      <c r="N46">
        <f t="shared" si="12"/>
        <v>13.034000000000002</v>
      </c>
      <c r="O46">
        <f t="shared" si="12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71.5</v>
      </c>
      <c r="K47">
        <f t="shared" si="12"/>
        <v>79</v>
      </c>
      <c r="L47">
        <f t="shared" si="12"/>
        <v>76.5</v>
      </c>
      <c r="M47">
        <f t="shared" si="12"/>
        <v>87</v>
      </c>
      <c r="N47">
        <f t="shared" si="12"/>
        <v>97</v>
      </c>
      <c r="O47">
        <f t="shared" si="12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18.5</v>
      </c>
      <c r="J48">
        <f t="shared" si="12"/>
        <v>19.425000000000001</v>
      </c>
      <c r="K48">
        <f t="shared" si="12"/>
        <v>19.61</v>
      </c>
      <c r="L48">
        <f t="shared" si="12"/>
        <v>19.240000000000002</v>
      </c>
      <c r="M48">
        <f t="shared" si="12"/>
        <v>18.5</v>
      </c>
      <c r="N48">
        <f t="shared" si="12"/>
        <v>17.574999999999999</v>
      </c>
      <c r="O48">
        <f t="shared" si="12"/>
        <v>17.205000000000002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142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142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142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142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142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142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142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142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142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142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142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142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142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142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142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142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142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142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142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142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142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142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161</v>
      </c>
      <c r="D10" t="s">
        <v>107</v>
      </c>
      <c r="F10" t="s">
        <v>161</v>
      </c>
      <c r="G10" t="s">
        <v>132</v>
      </c>
    </row>
    <row r="11" spans="1:7" x14ac:dyDescent="0.45">
      <c r="B11" s="15"/>
      <c r="C11" s="15" t="s">
        <v>162</v>
      </c>
      <c r="D11" t="s">
        <v>156</v>
      </c>
      <c r="F11" t="s">
        <v>162</v>
      </c>
      <c r="G11" t="s">
        <v>185</v>
      </c>
    </row>
    <row r="12" spans="1:7" x14ac:dyDescent="0.45">
      <c r="B12" s="15"/>
      <c r="C12" s="15" t="s">
        <v>163</v>
      </c>
      <c r="D12" t="s">
        <v>156</v>
      </c>
      <c r="F12" t="s">
        <v>163</v>
      </c>
      <c r="G12" t="s">
        <v>186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6786F-6A8F-4952-9251-DCEB5ADB5F67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160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164</v>
      </c>
      <c r="AK10" t="s">
        <v>47</v>
      </c>
      <c r="AL10" t="s">
        <v>122</v>
      </c>
      <c r="AM10" t="s">
        <v>165</v>
      </c>
      <c r="AN10" t="s">
        <v>166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0.99999999999981126</v>
      </c>
      <c r="L11" t="s">
        <v>157</v>
      </c>
      <c r="N11" t="s">
        <v>158</v>
      </c>
      <c r="O11" t="s">
        <v>156</v>
      </c>
      <c r="P11">
        <v>0.99999999999979794</v>
      </c>
      <c r="Q11" t="s">
        <v>157</v>
      </c>
      <c r="S11" t="s">
        <v>159</v>
      </c>
      <c r="T11" t="s">
        <v>156</v>
      </c>
      <c r="U11">
        <v>0.9999999999997955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97</v>
      </c>
      <c r="AH11" t="s">
        <v>156</v>
      </c>
      <c r="AI11">
        <v>0.39875731634259948</v>
      </c>
    </row>
    <row r="12" spans="1:40" x14ac:dyDescent="0.45">
      <c r="AC12" t="s">
        <v>19</v>
      </c>
      <c r="AD12" t="s">
        <v>156</v>
      </c>
      <c r="AE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3CE20-E22F-409E-A59F-24E67BAFB0DD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160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164</v>
      </c>
      <c r="AK10" t="s">
        <v>47</v>
      </c>
      <c r="AL10" t="s">
        <v>122</v>
      </c>
      <c r="AM10" t="s">
        <v>165</v>
      </c>
      <c r="AN10" t="s">
        <v>166</v>
      </c>
    </row>
    <row r="11" spans="1:40" x14ac:dyDescent="0.45">
      <c r="A11" t="str">
        <f>IFERROR(IF(Veda!D5=A10,"ok","x"),"")</f>
        <v>x</v>
      </c>
      <c r="C11" t="s">
        <v>167</v>
      </c>
      <c r="D11" t="s">
        <v>152</v>
      </c>
      <c r="E11" t="s">
        <v>162</v>
      </c>
      <c r="F11" t="s">
        <v>168</v>
      </c>
      <c r="G11" t="s">
        <v>152</v>
      </c>
      <c r="I11" t="s">
        <v>155</v>
      </c>
      <c r="J11" t="s">
        <v>173</v>
      </c>
      <c r="K11">
        <v>0.22892187101939004</v>
      </c>
      <c r="L11" t="s">
        <v>157</v>
      </c>
      <c r="N11" t="s">
        <v>158</v>
      </c>
      <c r="O11" t="s">
        <v>173</v>
      </c>
      <c r="P11">
        <v>6.0587196849342884E-2</v>
      </c>
      <c r="Q11" t="s">
        <v>157</v>
      </c>
      <c r="S11" t="s">
        <v>159</v>
      </c>
      <c r="T11" t="s">
        <v>173</v>
      </c>
      <c r="U11">
        <v>7.4238004045111286E-2</v>
      </c>
      <c r="V11" t="s">
        <v>157</v>
      </c>
      <c r="X11">
        <v>0.11426940639269406</v>
      </c>
      <c r="Y11">
        <v>0.16087081189037786</v>
      </c>
      <c r="Z11" t="s">
        <v>173</v>
      </c>
      <c r="AA11" t="s">
        <v>25</v>
      </c>
      <c r="AC11" t="s">
        <v>22</v>
      </c>
      <c r="AD11" t="s">
        <v>173</v>
      </c>
      <c r="AE11">
        <v>0.13201910267211542</v>
      </c>
      <c r="AG11" t="s">
        <v>97</v>
      </c>
      <c r="AH11" t="s">
        <v>173</v>
      </c>
      <c r="AI11">
        <v>0.21263055394925612</v>
      </c>
    </row>
    <row r="12" spans="1:40" x14ac:dyDescent="0.45">
      <c r="C12" t="s">
        <v>169</v>
      </c>
      <c r="E12" t="s">
        <v>163</v>
      </c>
      <c r="G12" t="s">
        <v>152</v>
      </c>
      <c r="I12" t="s">
        <v>155</v>
      </c>
      <c r="J12" t="s">
        <v>174</v>
      </c>
      <c r="K12">
        <v>0</v>
      </c>
      <c r="L12" t="s">
        <v>157</v>
      </c>
      <c r="N12" t="s">
        <v>158</v>
      </c>
      <c r="O12" t="s">
        <v>174</v>
      </c>
      <c r="P12">
        <v>8.2669930738199837E-2</v>
      </c>
      <c r="Q12" t="s">
        <v>157</v>
      </c>
      <c r="S12" t="s">
        <v>159</v>
      </c>
      <c r="T12" t="s">
        <v>174</v>
      </c>
      <c r="U12">
        <v>7.8690000104160759E-2</v>
      </c>
      <c r="V12" t="s">
        <v>157</v>
      </c>
      <c r="X12">
        <v>0.11426940639269406</v>
      </c>
      <c r="Y12">
        <v>5.2547713165767528E-2</v>
      </c>
      <c r="Z12" t="s">
        <v>174</v>
      </c>
      <c r="AA12" t="s">
        <v>25</v>
      </c>
      <c r="AC12" t="s">
        <v>22</v>
      </c>
      <c r="AD12" t="s">
        <v>174</v>
      </c>
      <c r="AE12">
        <v>7.6695493054062189E-2</v>
      </c>
      <c r="AG12" t="s">
        <v>97</v>
      </c>
      <c r="AH12" t="s">
        <v>174</v>
      </c>
      <c r="AI12">
        <v>0.33133962465880051</v>
      </c>
    </row>
    <row r="13" spans="1:40" x14ac:dyDescent="0.45">
      <c r="C13" t="s">
        <v>170</v>
      </c>
      <c r="E13" t="s">
        <v>171</v>
      </c>
      <c r="G13" t="s">
        <v>152</v>
      </c>
      <c r="I13" t="s">
        <v>155</v>
      </c>
      <c r="J13" t="s">
        <v>175</v>
      </c>
      <c r="K13">
        <v>1.4448481220240218E-2</v>
      </c>
      <c r="L13" t="s">
        <v>157</v>
      </c>
      <c r="N13" t="s">
        <v>158</v>
      </c>
      <c r="O13" t="s">
        <v>175</v>
      </c>
      <c r="P13">
        <v>1.3082240024376078E-2</v>
      </c>
      <c r="Q13" t="s">
        <v>157</v>
      </c>
      <c r="S13" t="s">
        <v>159</v>
      </c>
      <c r="T13" t="s">
        <v>175</v>
      </c>
      <c r="U13">
        <v>1.4336656242266576E-2</v>
      </c>
      <c r="V13" t="s">
        <v>157</v>
      </c>
      <c r="X13">
        <v>2.0776255707762557E-2</v>
      </c>
      <c r="Y13">
        <v>3.5896543437005365E-2</v>
      </c>
      <c r="Z13" t="s">
        <v>175</v>
      </c>
      <c r="AA13" t="s">
        <v>25</v>
      </c>
      <c r="AC13" t="s">
        <v>22</v>
      </c>
      <c r="AD13" t="s">
        <v>175</v>
      </c>
      <c r="AE13">
        <v>9.4123175362001172E-3</v>
      </c>
      <c r="AG13" t="s">
        <v>97</v>
      </c>
      <c r="AH13" t="s">
        <v>175</v>
      </c>
      <c r="AI13">
        <v>0.15550590993781066</v>
      </c>
    </row>
    <row r="14" spans="1:40" x14ac:dyDescent="0.45">
      <c r="C14" t="s">
        <v>172</v>
      </c>
      <c r="I14" t="s">
        <v>155</v>
      </c>
      <c r="J14" t="s">
        <v>176</v>
      </c>
      <c r="K14">
        <v>0.27524756121470834</v>
      </c>
      <c r="L14" t="s">
        <v>157</v>
      </c>
      <c r="N14" t="s">
        <v>158</v>
      </c>
      <c r="O14" t="s">
        <v>176</v>
      </c>
      <c r="P14">
        <v>7.0940830856374107E-2</v>
      </c>
      <c r="Q14" t="s">
        <v>157</v>
      </c>
      <c r="S14" t="s">
        <v>159</v>
      </c>
      <c r="T14" t="s">
        <v>176</v>
      </c>
      <c r="U14">
        <v>8.032836088065444E-2</v>
      </c>
      <c r="V14" t="s">
        <v>157</v>
      </c>
      <c r="X14">
        <v>0.11552511415525114</v>
      </c>
      <c r="Y14">
        <v>0.16263862301005233</v>
      </c>
      <c r="Z14" t="s">
        <v>176</v>
      </c>
      <c r="AA14" t="s">
        <v>25</v>
      </c>
      <c r="AC14" t="s">
        <v>22</v>
      </c>
      <c r="AD14" t="s">
        <v>176</v>
      </c>
      <c r="AE14">
        <v>0.16832811432475922</v>
      </c>
      <c r="AG14" t="s">
        <v>97</v>
      </c>
      <c r="AH14" t="s">
        <v>176</v>
      </c>
      <c r="AI14">
        <v>0.15337534139547904</v>
      </c>
    </row>
    <row r="15" spans="1:40" x14ac:dyDescent="0.45">
      <c r="I15" t="s">
        <v>155</v>
      </c>
      <c r="J15" t="s">
        <v>177</v>
      </c>
      <c r="K15">
        <v>1.6262638039275001E-3</v>
      </c>
      <c r="L15" t="s">
        <v>157</v>
      </c>
      <c r="N15" t="s">
        <v>158</v>
      </c>
      <c r="O15" t="s">
        <v>177</v>
      </c>
      <c r="P15">
        <v>0.14032683826540737</v>
      </c>
      <c r="Q15" t="s">
        <v>157</v>
      </c>
      <c r="S15" t="s">
        <v>159</v>
      </c>
      <c r="T15" t="s">
        <v>177</v>
      </c>
      <c r="U15">
        <v>0.10528833222581799</v>
      </c>
      <c r="V15" t="s">
        <v>157</v>
      </c>
      <c r="X15">
        <v>0.11552511415525114</v>
      </c>
      <c r="Y15">
        <v>5.3125160563193538E-2</v>
      </c>
      <c r="Z15" t="s">
        <v>177</v>
      </c>
      <c r="AA15" t="s">
        <v>25</v>
      </c>
      <c r="AC15" t="s">
        <v>22</v>
      </c>
      <c r="AD15" t="s">
        <v>177</v>
      </c>
      <c r="AE15">
        <v>0.11237883694870346</v>
      </c>
      <c r="AG15" t="s">
        <v>97</v>
      </c>
      <c r="AH15" t="s">
        <v>177</v>
      </c>
      <c r="AI15">
        <v>0.30839531320548841</v>
      </c>
    </row>
    <row r="16" spans="1:40" x14ac:dyDescent="0.45">
      <c r="I16" t="s">
        <v>155</v>
      </c>
      <c r="J16" t="s">
        <v>178</v>
      </c>
      <c r="K16">
        <v>3.0825911424003122E-2</v>
      </c>
      <c r="L16" t="s">
        <v>157</v>
      </c>
      <c r="N16" t="s">
        <v>158</v>
      </c>
      <c r="O16" t="s">
        <v>178</v>
      </c>
      <c r="P16">
        <v>2.026047324021742E-2</v>
      </c>
      <c r="Q16" t="s">
        <v>157</v>
      </c>
      <c r="S16" t="s">
        <v>159</v>
      </c>
      <c r="T16" t="s">
        <v>178</v>
      </c>
      <c r="U16">
        <v>1.9184962197870681E-2</v>
      </c>
      <c r="V16" t="s">
        <v>157</v>
      </c>
      <c r="X16">
        <v>2.1004566210045664E-2</v>
      </c>
      <c r="Y16">
        <v>3.6291010947302131E-2</v>
      </c>
      <c r="Z16" t="s">
        <v>178</v>
      </c>
      <c r="AA16" t="s">
        <v>25</v>
      </c>
      <c r="AC16" t="s">
        <v>22</v>
      </c>
      <c r="AD16" t="s">
        <v>178</v>
      </c>
      <c r="AE16">
        <v>1.6936987872785941E-2</v>
      </c>
      <c r="AG16" t="s">
        <v>97</v>
      </c>
      <c r="AH16" t="s">
        <v>178</v>
      </c>
      <c r="AI16">
        <v>0.21737402070323264</v>
      </c>
    </row>
    <row r="17" spans="9:35" x14ac:dyDescent="0.45">
      <c r="I17" t="s">
        <v>155</v>
      </c>
      <c r="J17" t="s">
        <v>179</v>
      </c>
      <c r="K17">
        <v>0.167281954510446</v>
      </c>
      <c r="L17" t="s">
        <v>157</v>
      </c>
      <c r="N17" t="s">
        <v>158</v>
      </c>
      <c r="O17" t="s">
        <v>179</v>
      </c>
      <c r="P17">
        <v>0.21336850287126816</v>
      </c>
      <c r="Q17" t="s">
        <v>157</v>
      </c>
      <c r="S17" t="s">
        <v>159</v>
      </c>
      <c r="T17" t="s">
        <v>179</v>
      </c>
      <c r="U17">
        <v>0.20379918227638175</v>
      </c>
      <c r="V17" t="s">
        <v>157</v>
      </c>
      <c r="X17">
        <v>0.11552511415525114</v>
      </c>
      <c r="Y17">
        <v>0.16263862301005233</v>
      </c>
      <c r="Z17" t="s">
        <v>179</v>
      </c>
      <c r="AA17" t="s">
        <v>25</v>
      </c>
      <c r="AC17" t="s">
        <v>22</v>
      </c>
      <c r="AD17" t="s">
        <v>179</v>
      </c>
      <c r="AE17">
        <v>0.16416722419293511</v>
      </c>
      <c r="AG17" t="s">
        <v>97</v>
      </c>
      <c r="AH17" t="s">
        <v>179</v>
      </c>
      <c r="AI17">
        <v>0.16314594342851452</v>
      </c>
    </row>
    <row r="18" spans="9:35" x14ac:dyDescent="0.45">
      <c r="I18" t="s">
        <v>155</v>
      </c>
      <c r="J18" t="s">
        <v>180</v>
      </c>
      <c r="K18">
        <v>1.1681306629492563E-3</v>
      </c>
      <c r="L18" t="s">
        <v>157</v>
      </c>
      <c r="N18" t="s">
        <v>158</v>
      </c>
      <c r="O18" t="s">
        <v>180</v>
      </c>
      <c r="P18">
        <v>0.21306290486292903</v>
      </c>
      <c r="Q18" t="s">
        <v>157</v>
      </c>
      <c r="S18" t="s">
        <v>159</v>
      </c>
      <c r="T18" t="s">
        <v>180</v>
      </c>
      <c r="U18">
        <v>0.21941956419926026</v>
      </c>
      <c r="V18" t="s">
        <v>157</v>
      </c>
      <c r="X18">
        <v>0.11552511415525114</v>
      </c>
      <c r="Y18">
        <v>5.3125160563193538E-2</v>
      </c>
      <c r="Z18" t="s">
        <v>180</v>
      </c>
      <c r="AA18" t="s">
        <v>25</v>
      </c>
      <c r="AC18" t="s">
        <v>22</v>
      </c>
      <c r="AD18" t="s">
        <v>180</v>
      </c>
      <c r="AE18">
        <v>0.12005881152620454</v>
      </c>
      <c r="AG18" t="s">
        <v>97</v>
      </c>
      <c r="AH18" t="s">
        <v>180</v>
      </c>
      <c r="AI18">
        <v>0.26579736832915013</v>
      </c>
    </row>
    <row r="19" spans="9:35" x14ac:dyDescent="0.45">
      <c r="I19" t="s">
        <v>155</v>
      </c>
      <c r="J19" t="s">
        <v>181</v>
      </c>
      <c r="K19">
        <v>1.526496773376769E-2</v>
      </c>
      <c r="L19" t="s">
        <v>157</v>
      </c>
      <c r="N19" t="s">
        <v>158</v>
      </c>
      <c r="O19" t="s">
        <v>181</v>
      </c>
      <c r="P19">
        <v>4.0214761848889252E-2</v>
      </c>
      <c r="Q19" t="s">
        <v>157</v>
      </c>
      <c r="S19" t="s">
        <v>159</v>
      </c>
      <c r="T19" t="s">
        <v>181</v>
      </c>
      <c r="U19">
        <v>3.9326362080978276E-2</v>
      </c>
      <c r="V19" t="s">
        <v>157</v>
      </c>
      <c r="X19">
        <v>2.1004566210045664E-2</v>
      </c>
      <c r="Y19">
        <v>3.6291010947302131E-2</v>
      </c>
      <c r="Z19" t="s">
        <v>181</v>
      </c>
      <c r="AA19" t="s">
        <v>25</v>
      </c>
      <c r="AC19" t="s">
        <v>22</v>
      </c>
      <c r="AD19" t="s">
        <v>181</v>
      </c>
      <c r="AE19">
        <v>1.8267330157595636E-2</v>
      </c>
      <c r="AG19" t="s">
        <v>97</v>
      </c>
      <c r="AH19" t="s">
        <v>181</v>
      </c>
      <c r="AI19">
        <v>0.15126100012993127</v>
      </c>
    </row>
    <row r="20" spans="9:35" x14ac:dyDescent="0.45">
      <c r="I20" t="s">
        <v>155</v>
      </c>
      <c r="J20" t="s">
        <v>182</v>
      </c>
      <c r="K20">
        <v>0.24404768225706128</v>
      </c>
      <c r="L20" t="s">
        <v>157</v>
      </c>
      <c r="N20" t="s">
        <v>158</v>
      </c>
      <c r="O20" t="s">
        <v>182</v>
      </c>
      <c r="P20">
        <v>4.3199722775366163E-2</v>
      </c>
      <c r="Q20" t="s">
        <v>157</v>
      </c>
      <c r="S20" t="s">
        <v>159</v>
      </c>
      <c r="T20" t="s">
        <v>182</v>
      </c>
      <c r="U20">
        <v>7.1297546645008036E-2</v>
      </c>
      <c r="V20" t="s">
        <v>157</v>
      </c>
      <c r="X20">
        <v>0.11301369863013698</v>
      </c>
      <c r="Y20">
        <v>0.15910300077070333</v>
      </c>
      <c r="Z20" t="s">
        <v>182</v>
      </c>
      <c r="AA20" t="s">
        <v>25</v>
      </c>
      <c r="AC20" t="s">
        <v>22</v>
      </c>
      <c r="AD20" t="s">
        <v>182</v>
      </c>
      <c r="AE20">
        <v>0.11303219893564689</v>
      </c>
      <c r="AG20" t="s">
        <v>97</v>
      </c>
      <c r="AH20" t="s">
        <v>182</v>
      </c>
      <c r="AI20">
        <v>0.2180580876997793</v>
      </c>
    </row>
    <row r="21" spans="9:35" x14ac:dyDescent="0.45">
      <c r="I21" t="s">
        <v>155</v>
      </c>
      <c r="J21" t="s">
        <v>183</v>
      </c>
      <c r="K21">
        <v>0</v>
      </c>
      <c r="L21" t="s">
        <v>157</v>
      </c>
      <c r="N21" t="s">
        <v>158</v>
      </c>
      <c r="O21" t="s">
        <v>183</v>
      </c>
      <c r="P21">
        <v>9.2569608849613377E-2</v>
      </c>
      <c r="Q21" t="s">
        <v>157</v>
      </c>
      <c r="S21" t="s">
        <v>159</v>
      </c>
      <c r="T21" t="s">
        <v>183</v>
      </c>
      <c r="U21">
        <v>8.1139932215594956E-2</v>
      </c>
      <c r="V21" t="s">
        <v>157</v>
      </c>
      <c r="X21">
        <v>0.11301369863013698</v>
      </c>
      <c r="Y21">
        <v>5.197026576834151E-2</v>
      </c>
      <c r="Z21" t="s">
        <v>183</v>
      </c>
      <c r="AA21" t="s">
        <v>25</v>
      </c>
      <c r="AC21" t="s">
        <v>22</v>
      </c>
      <c r="AD21" t="s">
        <v>183</v>
      </c>
      <c r="AE21">
        <v>6.0612903148312858E-2</v>
      </c>
      <c r="AG21" t="s">
        <v>97</v>
      </c>
      <c r="AH21" t="s">
        <v>183</v>
      </c>
      <c r="AI21">
        <v>0.32038783620471678</v>
      </c>
    </row>
    <row r="22" spans="9:35" x14ac:dyDescent="0.45">
      <c r="I22" t="s">
        <v>155</v>
      </c>
      <c r="J22" t="s">
        <v>184</v>
      </c>
      <c r="K22">
        <v>2.1167176153317806E-2</v>
      </c>
      <c r="L22" t="s">
        <v>157</v>
      </c>
      <c r="N22" t="s">
        <v>158</v>
      </c>
      <c r="O22" t="s">
        <v>184</v>
      </c>
      <c r="P22">
        <v>9.7169888178142375E-3</v>
      </c>
      <c r="Q22" t="s">
        <v>157</v>
      </c>
      <c r="S22" t="s">
        <v>159</v>
      </c>
      <c r="T22" t="s">
        <v>184</v>
      </c>
      <c r="U22">
        <v>1.2951096886690506E-2</v>
      </c>
      <c r="V22" t="s">
        <v>157</v>
      </c>
      <c r="X22">
        <v>2.0547945205479451E-2</v>
      </c>
      <c r="Y22">
        <v>3.5502075926708607E-2</v>
      </c>
      <c r="Z22" t="s">
        <v>184</v>
      </c>
      <c r="AA22" t="s">
        <v>25</v>
      </c>
      <c r="AC22" t="s">
        <v>22</v>
      </c>
      <c r="AD22" t="s">
        <v>184</v>
      </c>
      <c r="AE22">
        <v>8.0906796306786672E-3</v>
      </c>
      <c r="AG22" t="s">
        <v>97</v>
      </c>
      <c r="AH22" t="s">
        <v>184</v>
      </c>
      <c r="AI22">
        <v>0.26793251992398681</v>
      </c>
    </row>
    <row r="23" spans="9:35" x14ac:dyDescent="0.45">
      <c r="AC23" t="s">
        <v>19</v>
      </c>
      <c r="AD23" t="s">
        <v>173</v>
      </c>
      <c r="AE23">
        <v>0.11572651744733087</v>
      </c>
    </row>
    <row r="24" spans="9:35" x14ac:dyDescent="0.45">
      <c r="AC24" t="s">
        <v>19</v>
      </c>
      <c r="AD24" t="s">
        <v>174</v>
      </c>
      <c r="AE24">
        <v>0.11309951190079548</v>
      </c>
    </row>
    <row r="25" spans="9:35" x14ac:dyDescent="0.45">
      <c r="AC25" t="s">
        <v>19</v>
      </c>
      <c r="AD25" t="s">
        <v>175</v>
      </c>
      <c r="AE25">
        <v>2.0348333472631642E-2</v>
      </c>
    </row>
    <row r="26" spans="9:35" x14ac:dyDescent="0.45">
      <c r="AC26" t="s">
        <v>19</v>
      </c>
      <c r="AD26" t="s">
        <v>176</v>
      </c>
      <c r="AE26">
        <v>0.11713451169006861</v>
      </c>
    </row>
    <row r="27" spans="9:35" x14ac:dyDescent="0.45">
      <c r="AC27" t="s">
        <v>19</v>
      </c>
      <c r="AD27" t="s">
        <v>177</v>
      </c>
      <c r="AE27">
        <v>0.1144777967178123</v>
      </c>
    </row>
    <row r="28" spans="9:35" x14ac:dyDescent="0.45">
      <c r="AC28" t="s">
        <v>19</v>
      </c>
      <c r="AD28" t="s">
        <v>178</v>
      </c>
      <c r="AE28">
        <v>2.0648161991887924E-2</v>
      </c>
    </row>
    <row r="29" spans="9:35" x14ac:dyDescent="0.45">
      <c r="AC29" t="s">
        <v>19</v>
      </c>
      <c r="AD29" t="s">
        <v>179</v>
      </c>
      <c r="AE29">
        <v>0.11684142078646637</v>
      </c>
    </row>
    <row r="30" spans="9:35" x14ac:dyDescent="0.45">
      <c r="AC30" t="s">
        <v>19</v>
      </c>
      <c r="AD30" t="s">
        <v>180</v>
      </c>
      <c r="AE30">
        <v>0.11474696155785953</v>
      </c>
    </row>
    <row r="31" spans="9:35" x14ac:dyDescent="0.45">
      <c r="AC31" t="s">
        <v>19</v>
      </c>
      <c r="AD31" t="s">
        <v>181</v>
      </c>
      <c r="AE31">
        <v>2.0693966292349993E-2</v>
      </c>
    </row>
    <row r="32" spans="9:35" x14ac:dyDescent="0.45">
      <c r="AC32" t="s">
        <v>19</v>
      </c>
      <c r="AD32" t="s">
        <v>182</v>
      </c>
      <c r="AE32">
        <v>0.11429164958734063</v>
      </c>
    </row>
    <row r="33" spans="29:31" x14ac:dyDescent="0.45">
      <c r="AC33" t="s">
        <v>19</v>
      </c>
      <c r="AD33" t="s">
        <v>183</v>
      </c>
      <c r="AE33">
        <v>0.1118025534902221</v>
      </c>
    </row>
    <row r="34" spans="29:31" x14ac:dyDescent="0.45">
      <c r="AC34" t="s">
        <v>19</v>
      </c>
      <c r="AD34" t="s">
        <v>184</v>
      </c>
      <c r="AE34">
        <v>2.0188615065234557E-2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2025-09-12T10:31:14Z</dcterms:modified>
</cp:coreProperties>
</file>